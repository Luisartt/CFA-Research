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https://spgl-my.sharepoint.com/personal/ggunda_spglobal_com/Documents/Desktop/Desktop/Multi-Language/Template Upload Procedure/2026/Discounted Cash Flow (DCF)/"/>
    </mc:Choice>
  </mc:AlternateContent>
  <xr:revisionPtr revIDLastSave="67" documentId="8_{D4E856E1-EBC2-44CB-8DA6-B45318804BC0}" xr6:coauthVersionLast="47" xr6:coauthVersionMax="47" xr10:uidLastSave="{83BBF62B-9CC6-4BC6-B165-D36328381EA7}"/>
  <bookViews>
    <workbookView xWindow="-110" yWindow="-110" windowWidth="19420" windowHeight="11500" tabRatio="586" firstSheet="2" activeTab="2" xr2:uid="{00000000-000D-0000-FFFF-FFFF00000000}"/>
  </bookViews>
  <sheets>
    <sheet name="__snloffice" sheetId="3" state="veryHidden" r:id="rId1"/>
    <sheet name="CIQ_LinkingNames" sheetId="6" state="veryHidden" r:id="rId2"/>
    <sheet name="DCF" sheetId="1" r:id="rId3"/>
    <sheet name="Reverse_DCF_Overview" sheetId="9" r:id="rId4"/>
    <sheet name="Reverse_DCF" sheetId="8" r:id="rId5"/>
    <sheet name="Language_Index" sheetId="7" r:id="rId6"/>
    <sheet name="___snlofficequeries" sheetId="5" state="veryHidden" r:id="rId7"/>
  </sheets>
  <definedNames>
    <definedName name="__FDS_HYPERLINK_TOGGLE_STATE__" hidden="1">"ON"</definedName>
    <definedName name="_Order1" hidden="1">0</definedName>
    <definedName name="_xleta.FIND" hidden="1" xlm="1">#NAME?</definedName>
    <definedName name="_xleta.GROWTH" hidden="1" xlm="1">#NAME?</definedName>
    <definedName name="_xleta.NA" hidden="1" xlm="1">#NAME?</definedName>
    <definedName name="_xleta.PRICE" hidden="1" xlm="1">#NAME?</definedName>
    <definedName name="AutoPeers">DCF!$L$22:$L$27,DCF!$N$22:$N$27</definedName>
    <definedName name="Beta_Selection">DCF!$F$72</definedName>
    <definedName name="Button2">Language_Index!$P$18</definedName>
    <definedName name="Button9">Language_Index!$P$17</definedName>
    <definedName name="CAP_CONV">DCF!$BL$145</definedName>
    <definedName name="CAP_CURR">DCF!$BL$52</definedName>
    <definedName name="CAP_ID">DCF!$BM$51</definedName>
    <definedName name="CAP_MAG">DCF!$BK$135</definedName>
    <definedName name="CIQWBGuid" hidden="1">"14945028-e150-4057-9e79-1e62b2b17899"</definedName>
    <definedName name="CIQWBInfo" hidden="1">"{ ""CIQVersion"":""9.52.4409.4666"" }"</definedName>
    <definedName name="Clear_Data">DCF!$AJ$58:$AJ$1048576,DCF!$AX$58:$AX$1048576</definedName>
    <definedName name="Clear_DT">DCF!$K$71:$S$77,DCF!$K$84:$S$90</definedName>
    <definedName name="Clear_FI">DCF!$AK$59:$AQ$1048576,DCF!$AY$59:$BC$1048576</definedName>
    <definedName name="Copy">Reverse_DCF!$AQ$4</definedName>
    <definedName name="Count_A">DCF!$AK$54</definedName>
    <definedName name="Count_B">DCF!$AY$54</definedName>
    <definedName name="Currency_List">DCF!$BJ$55:$BJ$133</definedName>
    <definedName name="Currency_Selection">DCF!$J$30</definedName>
    <definedName name="CurrMagClear">DCF!$J$30:$L$30</definedName>
    <definedName name="Date">TODAY()</definedName>
    <definedName name="Def_Beta">DCF!$Y$35</definedName>
    <definedName name="DS_1">DCF!$F$81</definedName>
    <definedName name="DS_2">DCF!$F$84</definedName>
    <definedName name="Entity_Name">DCF!$B$46</definedName>
    <definedName name="ES_1">DCF!$F$77</definedName>
    <definedName name="ES_2">DCF!$F$78</definedName>
    <definedName name="FormFI_1">DCF!$AK$58:$AQ$58</definedName>
    <definedName name="FormFI_2">DCF!$AY$58:$BC$58</definedName>
    <definedName name="FormL1">Language_Index!$R$31</definedName>
    <definedName name="FormL2">Language_Index!$Q$30</definedName>
    <definedName name="FormL3">Language_Index!$R$29</definedName>
    <definedName name="Index_Sel">DCF!$J$18</definedName>
    <definedName name="IQ_ADDIN" hidden="1">"AUTO"</definedName>
    <definedName name="IQ_AVG_PRICE_TARGET" hidden="1">"c82"</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ST_ACT_EPS_PRIMARY" hidden="1">"c2232"</definedName>
    <definedName name="IQ_EST_EPS_SURPRISE" hidden="1">"c1635"</definedName>
    <definedName name="IQ_EST_NUM_BUY_REUT" hidden="1">"c3869"</definedName>
    <definedName name="IQ_EST_NUM_BUY_THOM" hidden="1">"c5165"</definedName>
    <definedName name="IQ_EST_NUM_HOLD_REUT" hidden="1">"c3871"</definedName>
    <definedName name="IQ_EST_NUM_HOLD_THOM" hidden="1">"c5167"</definedName>
    <definedName name="IQ_EST_NUM_OUTPERFORM_REUT" hidden="1">"c3870"</definedName>
    <definedName name="IQ_EST_NUM_OUTPERFORM_THOM" hidden="1">"c5166"</definedName>
    <definedName name="IQ_EST_NUM_SELL_REUT" hidden="1">"c3873"</definedName>
    <definedName name="IQ_EST_NUM_SELL_THOM" hidden="1">"c5169"</definedName>
    <definedName name="IQ_EST_NUM_UNDERPERFORM_REUT" hidden="1">"c3872"</definedName>
    <definedName name="IQ_EST_NUM_UNDERPERFORM_THOM" hidden="1">"c5168"</definedName>
    <definedName name="IQ_EXPENSE_CODE_" hidden="1">"019802400"</definedName>
    <definedName name="IQ_FH">100000</definedName>
    <definedName name="IQ_FIN_DIV_CURRENT_PORT_DEBT_TOTAL" hidden="1">"c5524"</definedName>
    <definedName name="IQ_FIN_DIV_CURRENT_PORT_LEASES_TOTAL" hidden="1">"c5523"</definedName>
    <definedName name="IQ_FIN_DIV_DEBT_LT_TOTAL" hidden="1">"c5526"</definedName>
    <definedName name="IQ_FIN_DIV_LEASES_LT_TOTAL" hidden="1">"c5525"</definedName>
    <definedName name="IQ_FIN_DIV_NOTES_PAY_TOTAL" hidden="1">"c5522"</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46140.2611574074</definedName>
    <definedName name="IQ_NAV_ACT_OR_EST" hidden="1">"c2225"</definedName>
    <definedName name="IQ_NTM">6000</definedName>
    <definedName name="IQ_OG_TOTAL_OIL_PRODUCTON" hidden="1">"c2059"</definedName>
    <definedName name="IQ_OPENED55" hidden="1">1</definedName>
    <definedName name="IQ_PRIMARY_EPS_TYPE_THOM" hidden="1">"c5297"</definedName>
    <definedName name="IQ_QTD" hidden="1">750000</definedName>
    <definedName name="IQ_SHAREOUTSTANDING" hidden="1">"c1347"</definedName>
    <definedName name="IQ_TODAY" hidden="1">0</definedName>
    <definedName name="IQ_TOTAL_PENSION_OBLIGATION" hidden="1">"c1292"</definedName>
    <definedName name="IQ_WEEK">50000</definedName>
    <definedName name="IQ_YTD">3000</definedName>
    <definedName name="IQ_YTDMONTH" hidden="1">130000</definedName>
    <definedName name="Language_Data">Language_Index!$B$6:$L$4005</definedName>
    <definedName name="Language_Option">DCF!$K$4</definedName>
    <definedName name="Language_Option1">Language_Index!#REF!</definedName>
    <definedName name="Language_Option2">Language_Index!$O$2</definedName>
    <definedName name="List1">DCF!$AJ$57</definedName>
    <definedName name="List2">DCF!$AX$57</definedName>
    <definedName name="List3">DCF!$AK$58:$AN$1057</definedName>
    <definedName name="List4">DCF!$AY$58:$AZ$1057</definedName>
    <definedName name="ListOffset" hidden="1">1</definedName>
    <definedName name="LookR">Language_Index!$Q$31:$R$41</definedName>
    <definedName name="Lookup_Column">Language_Index!$B$2</definedName>
    <definedName name="Lookup_Column1">Language_Index!$P$3</definedName>
    <definedName name="Magnitude_List">DCF!$BJ$139:$BJ$143</definedName>
    <definedName name="Magnitude_Selection">DCF!$L$30</definedName>
    <definedName name="MI_ID">DCF!$L$13</definedName>
    <definedName name="MI_Key">DCF!$AA$77</definedName>
    <definedName name="o" hidden="1">{#N/A,#N/A,FALSE,"New Depr Sch-150% DB";#N/A,#N/A,FALSE,"Cash Flows RLP";#N/A,#N/A,FALSE,"IRR";#N/A,#N/A,FALSE,"Proforma IS";#N/A,#N/A,FALSE,"Assumptions"}</definedName>
    <definedName name="Off_CD1">OFFSET(DCF!$AV$56,1,0,DCF!$AW$52,1)</definedName>
    <definedName name="Off_CD2">OFFSET(DCF!$BE$56,1,0,DCF!$BF$52,1)</definedName>
    <definedName name="Paste">Reverse_DCF!$O$14</definedName>
    <definedName name="Paste_Q">___snlofficequeries!$B$1:$B$2</definedName>
    <definedName name="Period">DCF!$K$15</definedName>
    <definedName name="_xlnm.Print_Area" localSheetId="2">DCF!$B$46:$S$244</definedName>
    <definedName name="_xlnm.Print_Titles" localSheetId="2">DCF!$46:$46</definedName>
    <definedName name="QComps">DCF!$L$21,DCF!$L$15</definedName>
    <definedName name="RiskFree">IF(ISERROR(MATCH(DCF!$AA$79,DCF!#REF!,0)),DCF!#REF!,OFFSET(DCF!#REF!,2,MATCH(DCF!$AA$79,DCF!#REF!,0)-1,OFFSET(DCF!#REF!,0,MATCH(DCF!$AA$79,DCF!#REF!,0)-1,1)))</definedName>
    <definedName name="RiskFreeClear">DCF!$AO$83:$AQ$84</definedName>
    <definedName name="RiskFreeRate">DCF!$B$51</definedName>
    <definedName name="RiskFreeSelect">IF(ISERROR(MATCH(DCF!$AA$79,DCF!#REF!,0)),DCF!#REF!,OFFSET(DCF!#REF!,2,MATCH(DCF!$AA$79,DCF!#REF!,0)-1,1,1))</definedName>
    <definedName name="SA_1">DCF!$J$70:$S$77</definedName>
    <definedName name="SA_2">DCF!$J$83:$S$90</definedName>
    <definedName name="snl__96D90EB6_8786_4CC5_9C90_B81A7BC0E7E7_" localSheetId="2" hidden="1">DCF!$L$21:$L$27</definedName>
    <definedName name="snl__A8BD8E1E_6DCA_483F_AE68_1B032FF19C45_" localSheetId="2" hidden="1">DCF!$AJ$57:$AJ$107</definedName>
    <definedName name="snl__EA5F446E_6F59_4828_B0D4_270976656EA2_" localSheetId="2" hidden="1">DCF!$AX$57:$AX$58</definedName>
    <definedName name="snlquery__4AF20A4A_FE0E_43CF_8756_0EA6F7CCA43A_" localSheetId="2" hidden="1">DCF!$AU$52,DCF!$AU$53:$AZ$73</definedName>
    <definedName name="snlquery__D9F53E63_0083_4DC3_A8A3_FC089EB65EEC_" localSheetId="2" hidden="1">DCF!$BB$52,DCF!$BB$53:$BH$57</definedName>
    <definedName name="SPG_Fx1">DCF!$AA$66:$AA$79,DCF!$X$52:$AH$57</definedName>
    <definedName name="SPG_Fx2">DCF!$AF$76:$AH$157,DCF!$M$51:$M$56,DCF!$Z$36,DCF!$AE$63:$AF$72</definedName>
    <definedName name="SPG_Fx3">DCF!$G$252:$M$257,DCF!$H$103:$M$131,DCF!$Y$135:$Y$136,DCF!$AA$143:$AA$144,DCF!$AA$153:$AA$154,DCF!$R$144,DCF!$F$214:$M$235</definedName>
    <definedName name="SPG_Fx4">DCF!$AF$52:$AH$57</definedName>
    <definedName name="Start">DCF!$B$8</definedName>
    <definedName name="Step2">DCF!$B$15</definedName>
    <definedName name="Ticker_Exch">DCF!$AA$75</definedName>
    <definedName name="wrn.Basic._.Report." hidden="1">{#N/A,#N/A,FALSE,"New Depr Sch-150% DB";#N/A,#N/A,FALSE,"Cash Flows RLP";#N/A,#N/A,FALSE,"IRR";#N/A,#N/A,FALSE,"Proforma IS";#N/A,#N/A,FALSE,"Assumptions"}</definedName>
    <definedName name="wrn.clientcopy."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omplete._.Report." hidden="1">{#N/A,#N/A,FALSE,"Assumptions";#N/A,#N/A,FALSE,"Proforma IS";#N/A,#N/A,FALSE,"Cash Flows RLP";#N/A,#N/A,FALSE,"IRR";#N/A,#N/A,FALSE,"New Depr Sch-150% DB";#N/A,#N/A,FALSE,"Comments"}</definedName>
    <definedName name="wrn.filecopy."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print." hidden="1">{#N/A,#N/A,FALSE,"Japan 2003";#N/A,#N/A,FALSE,"Sheet2"}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107" i="1" l="1" a="1"/>
  <c r="AM107" i="1" l="1"/>
  <c r="AL107" i="1" a="1"/>
  <c r="AL107" i="1" l="1"/>
  <c r="AM106" i="1" a="1"/>
  <c r="AM106" i="1" l="1"/>
  <c r="AL106" i="1" a="1"/>
  <c r="AL106" i="1" l="1"/>
  <c r="AM105" i="1" a="1"/>
  <c r="AM105" i="1" l="1"/>
  <c r="AL105" i="1" a="1"/>
  <c r="AL105" i="1" l="1"/>
  <c r="AM104" i="1" a="1"/>
  <c r="AM104" i="1" l="1"/>
  <c r="AL104" i="1" a="1"/>
  <c r="AL104" i="1" l="1"/>
  <c r="AM103" i="1" a="1"/>
  <c r="AM103" i="1" l="1"/>
  <c r="AL103" i="1" a="1"/>
  <c r="AL103" i="1" l="1"/>
  <c r="AM102" i="1" a="1"/>
  <c r="AM102" i="1" l="1"/>
  <c r="AL102" i="1" a="1"/>
  <c r="AL102" i="1" l="1"/>
  <c r="AM101" i="1" a="1"/>
  <c r="AM101" i="1" l="1"/>
  <c r="AL101" i="1" a="1"/>
  <c r="AL101" i="1" l="1"/>
  <c r="AM100" i="1" a="1"/>
  <c r="AM100" i="1" l="1"/>
  <c r="AL100" i="1" a="1"/>
  <c r="AL100" i="1" l="1"/>
  <c r="AM99" i="1" a="1"/>
  <c r="AM99" i="1" l="1"/>
  <c r="AL99" i="1" a="1"/>
  <c r="AL99" i="1" l="1"/>
  <c r="AM98" i="1" a="1"/>
  <c r="AM98" i="1" l="1"/>
  <c r="AL98" i="1" a="1"/>
  <c r="AL98" i="1" l="1"/>
  <c r="AM97" i="1" a="1"/>
  <c r="AM97" i="1" l="1"/>
  <c r="AL97" i="1" a="1"/>
  <c r="AL97" i="1" l="1"/>
  <c r="AM96" i="1" a="1"/>
  <c r="AM96" i="1" l="1"/>
  <c r="AL96" i="1" a="1"/>
  <c r="AL96" i="1" l="1"/>
  <c r="AM95" i="1" a="1"/>
  <c r="AM95" i="1" l="1"/>
  <c r="AL95" i="1" a="1"/>
  <c r="AL95" i="1" l="1"/>
  <c r="AM94" i="1" a="1"/>
  <c r="AM94" i="1" l="1"/>
  <c r="AL94" i="1" a="1"/>
  <c r="AL94" i="1" l="1"/>
  <c r="AM93" i="1" a="1"/>
  <c r="AM93" i="1" l="1"/>
  <c r="AL93" i="1" a="1"/>
  <c r="AL93" i="1" l="1"/>
  <c r="AM92" i="1" a="1"/>
  <c r="AM92" i="1" l="1"/>
  <c r="AL92" i="1" a="1"/>
  <c r="AL92" i="1" l="1"/>
  <c r="AM91" i="1" a="1"/>
  <c r="AM91" i="1" l="1"/>
  <c r="AL91" i="1" a="1"/>
  <c r="AL91" i="1" l="1"/>
  <c r="AM90" i="1" a="1"/>
  <c r="AM90" i="1" l="1"/>
  <c r="AL90" i="1" a="1"/>
  <c r="AL90" i="1" l="1"/>
  <c r="AM89" i="1" a="1"/>
  <c r="AM89" i="1" l="1"/>
  <c r="AL89" i="1" a="1"/>
  <c r="AL89" i="1" l="1"/>
  <c r="AM88" i="1" a="1"/>
  <c r="AM88" i="1" l="1"/>
  <c r="AL88" i="1" a="1"/>
  <c r="AL88" i="1" l="1"/>
  <c r="AM87" i="1" a="1"/>
  <c r="AM87" i="1" l="1"/>
  <c r="AL87" i="1" a="1"/>
  <c r="AL87" i="1" l="1"/>
  <c r="AM86" i="1" a="1"/>
  <c r="AM86" i="1" l="1"/>
  <c r="AL86" i="1" a="1"/>
  <c r="AL86" i="1" l="1"/>
  <c r="AM85" i="1" a="1"/>
  <c r="AM85" i="1" l="1"/>
  <c r="AL85" i="1" a="1"/>
  <c r="AL85" i="1" l="1"/>
  <c r="AM84" i="1" a="1"/>
  <c r="AM84" i="1" l="1"/>
  <c r="AL84" i="1" a="1"/>
  <c r="AL84" i="1" l="1"/>
  <c r="AM83" i="1" a="1"/>
  <c r="AM83" i="1" l="1"/>
  <c r="AL83" i="1" a="1"/>
  <c r="AL83" i="1" l="1"/>
  <c r="AM82" i="1" a="1"/>
  <c r="AM82" i="1" l="1"/>
  <c r="AL82" i="1" a="1"/>
  <c r="AL82" i="1" l="1"/>
  <c r="AM81" i="1" a="1"/>
  <c r="AM81" i="1" l="1"/>
  <c r="AL81" i="1" a="1"/>
  <c r="AL81" i="1" l="1"/>
  <c r="AM80" i="1" a="1"/>
  <c r="AM80" i="1" l="1"/>
  <c r="AL80" i="1" a="1"/>
  <c r="AL80" i="1" l="1"/>
  <c r="AM79" i="1" a="1"/>
  <c r="AM79" i="1" l="1"/>
  <c r="AL79" i="1" a="1"/>
  <c r="AL79" i="1" l="1"/>
  <c r="AM78" i="1" a="1"/>
  <c r="AM78" i="1" l="1"/>
  <c r="AL78" i="1" a="1"/>
  <c r="AL78" i="1" l="1"/>
  <c r="AM77" i="1" a="1"/>
  <c r="AM77" i="1" l="1"/>
  <c r="AL77" i="1" a="1"/>
  <c r="AL77" i="1" l="1"/>
  <c r="AM76" i="1" a="1"/>
  <c r="AM76" i="1" l="1"/>
  <c r="AL76" i="1" a="1"/>
  <c r="AL76" i="1" l="1"/>
  <c r="AM75" i="1" a="1"/>
  <c r="AM75" i="1" l="1"/>
  <c r="AL75" i="1" a="1"/>
  <c r="AL75" i="1" l="1"/>
  <c r="AM74" i="1" a="1"/>
  <c r="AM74" i="1" l="1"/>
  <c r="AL74" i="1" a="1"/>
  <c r="AL74" i="1" l="1"/>
  <c r="AM73" i="1" a="1"/>
  <c r="AM73" i="1" l="1"/>
  <c r="AL73" i="1" a="1"/>
  <c r="AL73" i="1" l="1"/>
  <c r="AM72" i="1" a="1"/>
  <c r="AM72" i="1" l="1"/>
  <c r="AL72" i="1" a="1"/>
  <c r="AL72" i="1" l="1"/>
  <c r="AM71" i="1" a="1"/>
  <c r="AM71" i="1" l="1"/>
  <c r="AL71" i="1" a="1"/>
  <c r="AL71" i="1" l="1"/>
  <c r="AM70" i="1" a="1"/>
  <c r="AM70" i="1" l="1"/>
  <c r="AL70" i="1" a="1"/>
  <c r="AL70" i="1" l="1"/>
  <c r="AM69" i="1" a="1"/>
  <c r="AM69" i="1" l="1"/>
  <c r="AL69" i="1" a="1"/>
  <c r="AL69" i="1" l="1"/>
  <c r="AM68" i="1" a="1"/>
  <c r="AM68" i="1" l="1"/>
  <c r="AL68" i="1" a="1"/>
  <c r="AL68" i="1" l="1"/>
  <c r="AM67" i="1" a="1"/>
  <c r="AM67" i="1" l="1"/>
  <c r="AL67" i="1" a="1"/>
  <c r="AL67" i="1" l="1"/>
  <c r="AM66" i="1" a="1"/>
  <c r="AM66" i="1" l="1"/>
  <c r="AL66" i="1" a="1"/>
  <c r="AL66" i="1" l="1"/>
  <c r="AM65" i="1" a="1"/>
  <c r="AM65" i="1" l="1"/>
  <c r="AL65" i="1" a="1"/>
  <c r="AL65" i="1" l="1"/>
  <c r="AM64" i="1" a="1"/>
  <c r="AM64" i="1" l="1"/>
  <c r="AL64" i="1" a="1"/>
  <c r="AL64" i="1" l="1"/>
  <c r="AM63" i="1" a="1"/>
  <c r="AM63" i="1" l="1"/>
  <c r="AL63" i="1" a="1"/>
  <c r="AL63" i="1" l="1"/>
  <c r="AM62" i="1" a="1"/>
  <c r="AM62" i="1" l="1"/>
  <c r="AL62" i="1" a="1"/>
  <c r="AL62" i="1" l="1"/>
  <c r="AM61" i="1" a="1"/>
  <c r="AM61" i="1" l="1"/>
  <c r="AL61" i="1" a="1"/>
  <c r="AL61" i="1" l="1"/>
  <c r="AM60" i="1" a="1"/>
  <c r="AM60" i="1" l="1"/>
  <c r="AL60" i="1" a="1"/>
  <c r="AL60" i="1" l="1"/>
  <c r="AM59" i="1" a="1"/>
  <c r="AM59" i="1" l="1"/>
  <c r="AL59" i="1" a="1"/>
  <c r="AL59" i="1" l="1"/>
  <c r="AM58" i="1" a="1"/>
  <c r="AM58" i="1" l="1"/>
  <c r="AL58" i="1" a="1"/>
  <c r="AL58" i="1" l="1"/>
  <c r="E50" i="8" a="1"/>
  <c r="E50" i="8" l="1"/>
  <c r="D50" i="8" a="1"/>
  <c r="D50" i="8" l="1"/>
  <c r="E42" i="8" a="1"/>
  <c r="E42" i="8" l="1"/>
  <c r="D42" i="8" a="1"/>
  <c r="D42" i="8" l="1"/>
  <c r="O33" i="8" a="1"/>
  <c r="O33" i="8" l="1"/>
  <c r="E26" i="8" a="1"/>
  <c r="E26" i="8" l="1"/>
  <c r="E25" i="8" a="1"/>
  <c r="E25" i="8" l="1"/>
  <c r="E21" i="8" a="1"/>
  <c r="E21" i="8" l="1"/>
  <c r="E20" i="8" a="1"/>
  <c r="E20" i="8" l="1"/>
  <c r="E16" i="8" a="1"/>
  <c r="E16" i="8" l="1"/>
  <c r="E12" i="8" a="1"/>
  <c r="E12" i="8" l="1"/>
  <c r="D12" i="8" a="1"/>
  <c r="D12" i="8" l="1"/>
  <c r="M257" i="1" a="1"/>
  <c r="M257" i="1" l="1"/>
  <c r="L257" i="1" a="1"/>
  <c r="L257" i="1" l="1"/>
  <c r="K257" i="1" a="1"/>
  <c r="K257" i="1" l="1"/>
  <c r="J257" i="1" a="1"/>
  <c r="J257" i="1" l="1"/>
  <c r="I257" i="1" a="1"/>
  <c r="I257" i="1" l="1"/>
  <c r="H257" i="1" a="1"/>
  <c r="H257" i="1" l="1"/>
  <c r="G257" i="1" a="1"/>
  <c r="G257" i="1" l="1"/>
  <c r="M256" i="1" a="1"/>
  <c r="M256" i="1" l="1"/>
  <c r="L256" i="1" a="1"/>
  <c r="L256" i="1" l="1"/>
  <c r="K256" i="1" a="1"/>
  <c r="K256" i="1" l="1"/>
  <c r="J256" i="1" a="1"/>
  <c r="J256" i="1" l="1"/>
  <c r="I256" i="1" a="1"/>
  <c r="I256" i="1" l="1"/>
  <c r="H256" i="1" a="1"/>
  <c r="H256" i="1" l="1"/>
  <c r="G256" i="1" a="1"/>
  <c r="G256" i="1" l="1"/>
  <c r="M255" i="1" a="1"/>
  <c r="M255" i="1" l="1"/>
  <c r="L255" i="1" a="1"/>
  <c r="L255" i="1" l="1"/>
  <c r="K255" i="1" a="1"/>
  <c r="K255" i="1" l="1"/>
  <c r="J255" i="1" a="1"/>
  <c r="J255" i="1" l="1"/>
  <c r="I255" i="1" a="1"/>
  <c r="I255" i="1" l="1"/>
  <c r="H255" i="1" a="1"/>
  <c r="H255" i="1" l="1"/>
  <c r="G255" i="1" a="1"/>
  <c r="G255" i="1" l="1"/>
  <c r="M254" i="1" a="1"/>
  <c r="M254" i="1" l="1"/>
  <c r="L254" i="1" a="1"/>
  <c r="L254" i="1" l="1"/>
  <c r="K254" i="1" a="1"/>
  <c r="K254" i="1" l="1"/>
  <c r="J254" i="1" a="1"/>
  <c r="J254" i="1" l="1"/>
  <c r="I254" i="1" a="1"/>
  <c r="I254" i="1" l="1"/>
  <c r="H254" i="1" a="1"/>
  <c r="H254" i="1" l="1"/>
  <c r="G254" i="1" a="1"/>
  <c r="G254" i="1" l="1"/>
  <c r="M253" i="1" a="1"/>
  <c r="M253" i="1" l="1"/>
  <c r="L253" i="1" a="1"/>
  <c r="L253" i="1" l="1"/>
  <c r="K253" i="1" a="1"/>
  <c r="K253" i="1" l="1"/>
  <c r="J253" i="1" a="1"/>
  <c r="J253" i="1" l="1"/>
  <c r="I253" i="1" a="1"/>
  <c r="I253" i="1" l="1"/>
  <c r="H253" i="1" a="1"/>
  <c r="H253" i="1" l="1"/>
  <c r="G253" i="1" a="1"/>
  <c r="G253" i="1" l="1"/>
  <c r="M252" i="1" a="1"/>
  <c r="M252" i="1" l="1"/>
  <c r="L252" i="1" a="1"/>
  <c r="L252" i="1" l="1"/>
  <c r="K252" i="1" a="1"/>
  <c r="K252" i="1" l="1"/>
  <c r="J252" i="1" a="1"/>
  <c r="J252" i="1" l="1"/>
  <c r="I252" i="1" a="1"/>
  <c r="I252" i="1" l="1"/>
  <c r="H252" i="1" a="1"/>
  <c r="H252" i="1" l="1"/>
  <c r="G252" i="1" a="1"/>
  <c r="G252" i="1" l="1"/>
  <c r="M235" i="1" a="1"/>
  <c r="M235" i="1" l="1"/>
  <c r="L235" i="1" a="1"/>
  <c r="L235" i="1" l="1"/>
  <c r="K235" i="1" a="1"/>
  <c r="K235" i="1" l="1"/>
  <c r="J235" i="1" a="1"/>
  <c r="J235" i="1" l="1"/>
  <c r="I235" i="1" a="1"/>
  <c r="I235" i="1" l="1"/>
  <c r="M234" i="1" a="1"/>
  <c r="M234" i="1" l="1"/>
  <c r="L234" i="1" a="1"/>
  <c r="L234" i="1" l="1"/>
  <c r="K234" i="1" a="1"/>
  <c r="K234" i="1" l="1"/>
  <c r="J234" i="1" a="1"/>
  <c r="J234" i="1" l="1"/>
  <c r="I234" i="1" a="1"/>
  <c r="I234" i="1" l="1"/>
  <c r="M233" i="1" a="1"/>
  <c r="M233" i="1" l="1"/>
  <c r="L233" i="1" a="1"/>
  <c r="L233" i="1" l="1"/>
  <c r="K233" i="1" a="1"/>
  <c r="K233" i="1" l="1"/>
  <c r="J233" i="1" a="1"/>
  <c r="J233" i="1" l="1"/>
  <c r="I233" i="1" a="1"/>
  <c r="I233" i="1" l="1"/>
  <c r="M232" i="1" a="1"/>
  <c r="M232" i="1" l="1"/>
  <c r="L232" i="1" a="1"/>
  <c r="L232" i="1" l="1"/>
  <c r="K232" i="1" a="1"/>
  <c r="K232" i="1" l="1"/>
  <c r="J232" i="1" a="1"/>
  <c r="J232" i="1" l="1"/>
  <c r="I232" i="1" a="1"/>
  <c r="I232" i="1" l="1"/>
  <c r="F235" i="1" a="1"/>
  <c r="F235" i="1" l="1"/>
  <c r="F234" i="1" a="1"/>
  <c r="F234" i="1" l="1"/>
  <c r="F233" i="1" a="1"/>
  <c r="F233" i="1" l="1"/>
  <c r="F232" i="1" a="1"/>
  <c r="F232" i="1" l="1"/>
  <c r="M229" i="1" a="1"/>
  <c r="M229" i="1" l="1"/>
  <c r="L229" i="1" a="1"/>
  <c r="L229" i="1" l="1"/>
  <c r="K229" i="1" a="1"/>
  <c r="K229" i="1" l="1"/>
  <c r="J229" i="1" a="1"/>
  <c r="J229" i="1" l="1"/>
  <c r="I229" i="1" a="1"/>
  <c r="I229" i="1" l="1"/>
  <c r="F229" i="1" a="1"/>
  <c r="F229" i="1" l="1"/>
  <c r="M227" i="1" a="1"/>
  <c r="M227" i="1" l="1"/>
  <c r="L227" i="1" a="1"/>
  <c r="L227" i="1" l="1"/>
  <c r="K227" i="1" a="1"/>
  <c r="K227" i="1" l="1"/>
  <c r="J227" i="1" a="1"/>
  <c r="J227" i="1" l="1"/>
  <c r="I227" i="1" a="1"/>
  <c r="I227" i="1" l="1"/>
  <c r="F227" i="1" a="1"/>
  <c r="F227" i="1" l="1"/>
  <c r="M223" i="1" a="1"/>
  <c r="M223" i="1" l="1"/>
  <c r="L223" i="1" a="1"/>
  <c r="L223" i="1" l="1"/>
  <c r="K223" i="1" a="1"/>
  <c r="K223" i="1" l="1"/>
  <c r="J223" i="1" a="1"/>
  <c r="J223" i="1" l="1"/>
  <c r="I223" i="1" a="1"/>
  <c r="I223" i="1" l="1"/>
  <c r="M222" i="1" a="1"/>
  <c r="M222" i="1" l="1"/>
  <c r="L222" i="1" a="1"/>
  <c r="L222" i="1" l="1"/>
  <c r="K222" i="1" a="1"/>
  <c r="K222" i="1" l="1"/>
  <c r="J222" i="1" a="1"/>
  <c r="J222" i="1" l="1"/>
  <c r="I222" i="1" a="1"/>
  <c r="I222" i="1" l="1"/>
  <c r="F223" i="1" a="1"/>
  <c r="F223" i="1" l="1"/>
  <c r="F222" i="1" a="1"/>
  <c r="F222" i="1" l="1"/>
  <c r="M219" i="1" a="1"/>
  <c r="M219" i="1" l="1"/>
  <c r="L219" i="1" a="1"/>
  <c r="L219" i="1" l="1"/>
  <c r="K219" i="1" a="1"/>
  <c r="K219" i="1" l="1"/>
  <c r="J219" i="1" a="1"/>
  <c r="J219" i="1" l="1"/>
  <c r="I219" i="1" a="1"/>
  <c r="I219" i="1" l="1"/>
  <c r="F219" i="1" a="1"/>
  <c r="F219" i="1" l="1"/>
  <c r="M217" i="1" a="1"/>
  <c r="M217" i="1" l="1"/>
  <c r="L217" i="1" a="1"/>
  <c r="L217" i="1" l="1"/>
  <c r="K217" i="1" a="1"/>
  <c r="K217" i="1" l="1"/>
  <c r="J217" i="1" a="1"/>
  <c r="J217" i="1" l="1"/>
  <c r="I217" i="1" a="1"/>
  <c r="I217" i="1" l="1"/>
  <c r="F217" i="1" a="1"/>
  <c r="F217" i="1" l="1"/>
  <c r="M215" i="1" a="1"/>
  <c r="M215" i="1" l="1"/>
  <c r="L215" i="1" a="1"/>
  <c r="L215" i="1" l="1"/>
  <c r="K215" i="1" a="1"/>
  <c r="K215" i="1" l="1"/>
  <c r="J215" i="1" a="1"/>
  <c r="J215" i="1" l="1"/>
  <c r="I215" i="1" a="1"/>
  <c r="I215" i="1" l="1"/>
  <c r="M214" i="1" a="1"/>
  <c r="M214" i="1" l="1"/>
  <c r="L214" i="1" a="1"/>
  <c r="L214" i="1" l="1"/>
  <c r="K214" i="1" a="1"/>
  <c r="K214" i="1" l="1"/>
  <c r="J214" i="1" a="1"/>
  <c r="J214" i="1" l="1"/>
  <c r="I214" i="1" a="1"/>
  <c r="I214" i="1" l="1"/>
  <c r="F215" i="1" a="1"/>
  <c r="F215" i="1" l="1"/>
  <c r="F214" i="1" a="1"/>
  <c r="F214" i="1" l="1"/>
  <c r="AF157" i="1" a="1"/>
  <c r="AF157" i="1" l="1"/>
  <c r="AF156" i="1" a="1"/>
  <c r="AF156" i="1" l="1"/>
  <c r="AF155" i="1" a="1"/>
  <c r="AF155" i="1" l="1"/>
  <c r="AF154" i="1" a="1"/>
  <c r="AF154" i="1" l="1"/>
  <c r="AF153" i="1" a="1"/>
  <c r="AF153" i="1" l="1"/>
  <c r="AF152" i="1" a="1"/>
  <c r="AF152" i="1" l="1"/>
  <c r="AF151" i="1" a="1"/>
  <c r="AF151" i="1" l="1"/>
  <c r="AF150" i="1" a="1"/>
  <c r="AF150" i="1" l="1"/>
  <c r="AF149" i="1" a="1"/>
  <c r="AF149" i="1" l="1"/>
  <c r="AF148" i="1" a="1"/>
  <c r="AF148" i="1" l="1"/>
  <c r="AF147" i="1" a="1"/>
  <c r="AF147" i="1" l="1"/>
  <c r="AF146" i="1" a="1"/>
  <c r="AF146" i="1" l="1"/>
  <c r="AF145" i="1" a="1"/>
  <c r="AF145" i="1" l="1"/>
  <c r="AF144" i="1" a="1"/>
  <c r="AF144" i="1" l="1"/>
  <c r="AF143" i="1" a="1"/>
  <c r="AF143" i="1" l="1"/>
  <c r="AF142" i="1" a="1"/>
  <c r="AF142" i="1" l="1"/>
  <c r="AF141" i="1" a="1"/>
  <c r="AF141" i="1" l="1"/>
  <c r="AF140" i="1" a="1"/>
  <c r="AF140" i="1" l="1"/>
  <c r="AF139" i="1" a="1"/>
  <c r="AF139" i="1" l="1"/>
  <c r="AF138" i="1" a="1"/>
  <c r="AF138" i="1" l="1"/>
  <c r="AF137" i="1" a="1"/>
  <c r="AF137" i="1" l="1"/>
  <c r="AF136" i="1" a="1"/>
  <c r="AF136" i="1" l="1"/>
  <c r="AF135" i="1" a="1"/>
  <c r="AF135" i="1" l="1"/>
  <c r="AF134" i="1" a="1"/>
  <c r="AF134" i="1" l="1"/>
  <c r="AF133" i="1" a="1"/>
  <c r="AF133" i="1" l="1"/>
  <c r="AF132" i="1" a="1"/>
  <c r="AF132" i="1" l="1"/>
  <c r="AF131" i="1" a="1"/>
  <c r="AF131" i="1" l="1"/>
  <c r="AF130" i="1" a="1"/>
  <c r="AF130" i="1" l="1"/>
  <c r="AF129" i="1" a="1"/>
  <c r="AF129" i="1" l="1"/>
  <c r="AF128" i="1" a="1"/>
  <c r="AF128" i="1" l="1"/>
  <c r="AF127" i="1" a="1"/>
  <c r="AF127" i="1" l="1"/>
  <c r="AF126" i="1" a="1"/>
  <c r="AF126" i="1" l="1"/>
  <c r="AF125" i="1" a="1"/>
  <c r="AF125" i="1" l="1"/>
  <c r="AF124" i="1" a="1"/>
  <c r="AF124" i="1" l="1"/>
  <c r="AF123" i="1" a="1"/>
  <c r="AF123" i="1" l="1"/>
  <c r="AF122" i="1" a="1"/>
  <c r="AF122" i="1" l="1"/>
  <c r="AF121" i="1" a="1"/>
  <c r="AF121" i="1" l="1"/>
  <c r="AF120" i="1" a="1"/>
  <c r="AF120" i="1" l="1"/>
  <c r="AF119" i="1" a="1"/>
  <c r="AF119" i="1" l="1"/>
  <c r="AF118" i="1" a="1"/>
  <c r="AF118" i="1" l="1"/>
  <c r="AF117" i="1" a="1"/>
  <c r="AF117" i="1" l="1"/>
  <c r="AF116" i="1" a="1"/>
  <c r="AF116" i="1" l="1"/>
  <c r="AF115" i="1" a="1"/>
  <c r="AF115" i="1" l="1"/>
  <c r="AF114" i="1" a="1"/>
  <c r="AF114" i="1" l="1"/>
  <c r="AF113" i="1" a="1"/>
  <c r="AF113" i="1" l="1"/>
  <c r="AF112" i="1" a="1"/>
  <c r="AF112" i="1" l="1"/>
  <c r="AF111" i="1" a="1"/>
  <c r="AF111" i="1" l="1"/>
  <c r="AF110" i="1" a="1"/>
  <c r="AF110" i="1" l="1"/>
  <c r="AF109" i="1" a="1"/>
  <c r="AF109" i="1" l="1"/>
  <c r="AF108" i="1" a="1"/>
  <c r="AF108" i="1" l="1"/>
  <c r="AF107" i="1" a="1"/>
  <c r="AF107" i="1" l="1"/>
  <c r="AF106" i="1" a="1"/>
  <c r="AF106" i="1" l="1"/>
  <c r="AF105" i="1" a="1"/>
  <c r="AF105" i="1" l="1"/>
  <c r="AF104" i="1" a="1"/>
  <c r="AF104" i="1" l="1"/>
  <c r="AF103" i="1" a="1"/>
  <c r="AF103" i="1" l="1"/>
  <c r="AF102" i="1" a="1"/>
  <c r="AF102" i="1" l="1"/>
  <c r="AF101" i="1" a="1"/>
  <c r="AF101" i="1" l="1"/>
  <c r="AF100" i="1" a="1"/>
  <c r="AF100" i="1" l="1"/>
  <c r="AF99" i="1" a="1"/>
  <c r="AF99" i="1" l="1"/>
  <c r="AF98" i="1" a="1"/>
  <c r="AF98" i="1" l="1"/>
  <c r="AF97" i="1" a="1"/>
  <c r="AF97" i="1" l="1"/>
  <c r="AF96" i="1" a="1"/>
  <c r="AF96" i="1" l="1"/>
  <c r="AF95" i="1" a="1"/>
  <c r="AF95" i="1" l="1"/>
  <c r="AF94" i="1" a="1"/>
  <c r="AF94" i="1" l="1"/>
  <c r="AF93" i="1" a="1"/>
  <c r="AF93" i="1" l="1"/>
  <c r="AF92" i="1" a="1"/>
  <c r="AF92" i="1" l="1"/>
  <c r="AF91" i="1" a="1"/>
  <c r="AF91" i="1" l="1"/>
  <c r="AF90" i="1" a="1"/>
  <c r="AF90" i="1" l="1"/>
  <c r="AF89" i="1" a="1"/>
  <c r="AF89" i="1" l="1"/>
  <c r="AF88" i="1" a="1"/>
  <c r="AF88" i="1" l="1"/>
  <c r="AF87" i="1" a="1"/>
  <c r="AF87" i="1" l="1"/>
  <c r="AF86" i="1" a="1"/>
  <c r="AF86" i="1" l="1"/>
  <c r="AF85" i="1" a="1"/>
  <c r="AF85" i="1" l="1"/>
  <c r="AF84" i="1" a="1"/>
  <c r="AF84" i="1" l="1"/>
  <c r="AF83" i="1" a="1"/>
  <c r="AF83" i="1" l="1"/>
  <c r="AF82" i="1" a="1"/>
  <c r="AF82" i="1" l="1"/>
  <c r="AF81" i="1" a="1"/>
  <c r="AF81" i="1" l="1"/>
  <c r="AF80" i="1" a="1"/>
  <c r="AF80" i="1" l="1"/>
  <c r="AF79" i="1" a="1"/>
  <c r="AF79" i="1" l="1"/>
  <c r="AF78" i="1" a="1"/>
  <c r="AF78" i="1" l="1"/>
  <c r="AF77" i="1" a="1"/>
  <c r="AF77" i="1" l="1"/>
  <c r="AF76" i="1" a="1"/>
  <c r="AF76" i="1" l="1"/>
  <c r="AA154" i="1" a="1"/>
  <c r="AA154" i="1" l="1"/>
  <c r="AA153" i="1" a="1"/>
  <c r="AA153" i="1" l="1"/>
  <c r="AA144" i="1" a="1"/>
  <c r="AA144" i="1" l="1"/>
  <c r="AA143" i="1" a="1"/>
  <c r="AA143" i="1" l="1"/>
  <c r="Y136" i="1" a="1"/>
  <c r="Y136" i="1" l="1"/>
  <c r="Y135" i="1" a="1"/>
  <c r="Y135" i="1" l="1"/>
  <c r="M131" i="1" a="1"/>
  <c r="M131" i="1" l="1"/>
  <c r="L131" i="1" a="1"/>
  <c r="L131" i="1" l="1"/>
  <c r="K131" i="1" a="1"/>
  <c r="K131" i="1" l="1"/>
  <c r="J131" i="1" a="1"/>
  <c r="J131" i="1" l="1"/>
  <c r="I131" i="1" a="1"/>
  <c r="I131" i="1" l="1"/>
  <c r="H131" i="1" a="1"/>
  <c r="H131" i="1" l="1"/>
  <c r="M130" i="1" a="1"/>
  <c r="M130" i="1" l="1"/>
  <c r="L130" i="1" a="1"/>
  <c r="L130" i="1" l="1"/>
  <c r="K130" i="1" a="1"/>
  <c r="K130" i="1" l="1"/>
  <c r="J130" i="1" a="1"/>
  <c r="J130" i="1" l="1"/>
  <c r="I130" i="1" a="1"/>
  <c r="I130" i="1" l="1"/>
  <c r="H130" i="1" a="1"/>
  <c r="H130" i="1" l="1"/>
  <c r="M129" i="1" a="1"/>
  <c r="M129" i="1" l="1"/>
  <c r="L129" i="1" a="1"/>
  <c r="L129" i="1" l="1"/>
  <c r="K129" i="1" a="1"/>
  <c r="K129" i="1" l="1"/>
  <c r="J129" i="1" a="1"/>
  <c r="J129" i="1" l="1"/>
  <c r="I129" i="1" a="1"/>
  <c r="I129" i="1" l="1"/>
  <c r="H129" i="1" a="1"/>
  <c r="H129" i="1" l="1"/>
  <c r="M128" i="1" a="1"/>
  <c r="M128" i="1" l="1"/>
  <c r="L128" i="1" a="1"/>
  <c r="L128" i="1" l="1"/>
  <c r="K128" i="1" a="1"/>
  <c r="K128" i="1" l="1"/>
  <c r="J128" i="1" a="1"/>
  <c r="J128" i="1" l="1"/>
  <c r="I128" i="1" a="1"/>
  <c r="I128" i="1" l="1"/>
  <c r="H128" i="1" a="1"/>
  <c r="H128" i="1" l="1"/>
  <c r="M127" i="1" a="1"/>
  <c r="M127" i="1" l="1"/>
  <c r="L127" i="1" a="1"/>
  <c r="L127" i="1" l="1"/>
  <c r="K127" i="1" a="1"/>
  <c r="K127" i="1" l="1"/>
  <c r="J127" i="1" a="1"/>
  <c r="J127" i="1" l="1"/>
  <c r="I127" i="1" a="1"/>
  <c r="I127" i="1" l="1"/>
  <c r="H127" i="1" a="1"/>
  <c r="H127" i="1" l="1"/>
  <c r="M126" i="1" a="1"/>
  <c r="M126" i="1" l="1"/>
  <c r="L126" i="1" a="1"/>
  <c r="L126" i="1" l="1"/>
  <c r="K126" i="1" a="1"/>
  <c r="K126" i="1" l="1"/>
  <c r="J126" i="1" a="1"/>
  <c r="J126" i="1" l="1"/>
  <c r="I126" i="1" a="1"/>
  <c r="I126" i="1" l="1"/>
  <c r="H126" i="1" a="1"/>
  <c r="H126" i="1" l="1"/>
  <c r="M125" i="1" a="1"/>
  <c r="M125" i="1" l="1"/>
  <c r="L125" i="1" a="1"/>
  <c r="L125" i="1" l="1"/>
  <c r="K125" i="1" a="1"/>
  <c r="K125" i="1" l="1"/>
  <c r="J125" i="1" a="1"/>
  <c r="J125" i="1" l="1"/>
  <c r="I125" i="1" a="1"/>
  <c r="I125" i="1" l="1"/>
  <c r="H125" i="1" a="1"/>
  <c r="H125" i="1" l="1"/>
  <c r="M124" i="1" a="1"/>
  <c r="M124" i="1" l="1"/>
  <c r="L124" i="1" a="1"/>
  <c r="L124" i="1" l="1"/>
  <c r="K124" i="1" a="1"/>
  <c r="K124" i="1" l="1"/>
  <c r="J124" i="1" a="1"/>
  <c r="J124" i="1" l="1"/>
  <c r="I124" i="1" a="1"/>
  <c r="I124" i="1" l="1"/>
  <c r="H124" i="1" a="1"/>
  <c r="H124" i="1" l="1"/>
  <c r="M122" i="1" a="1"/>
  <c r="M122" i="1" l="1"/>
  <c r="L122" i="1" a="1"/>
  <c r="L122" i="1" l="1"/>
  <c r="K122" i="1" a="1"/>
  <c r="K122" i="1" l="1"/>
  <c r="J122" i="1" a="1"/>
  <c r="J122" i="1" l="1"/>
  <c r="I122" i="1" a="1"/>
  <c r="I122" i="1" l="1"/>
  <c r="H122" i="1" a="1"/>
  <c r="H122" i="1" l="1"/>
  <c r="M109" i="1" a="1"/>
  <c r="M109" i="1" l="1"/>
  <c r="L109" i="1" a="1"/>
  <c r="L109" i="1" l="1"/>
  <c r="K109" i="1" a="1"/>
  <c r="K109" i="1" l="1"/>
  <c r="J109" i="1" a="1"/>
  <c r="J109" i="1" l="1"/>
  <c r="I109" i="1" a="1"/>
  <c r="I109" i="1" l="1"/>
  <c r="H109" i="1" a="1"/>
  <c r="H109" i="1" l="1"/>
  <c r="M107" i="1" a="1"/>
  <c r="M107" i="1" l="1"/>
  <c r="L107" i="1" a="1"/>
  <c r="L107" i="1" l="1"/>
  <c r="K107" i="1" a="1"/>
  <c r="K107" i="1" l="1"/>
  <c r="J107" i="1" a="1"/>
  <c r="J107" i="1" l="1"/>
  <c r="I107" i="1" a="1"/>
  <c r="I107" i="1" l="1"/>
  <c r="H107" i="1" a="1"/>
  <c r="H107" i="1" l="1"/>
  <c r="M105" i="1" a="1"/>
  <c r="M105" i="1" l="1"/>
  <c r="L105" i="1" a="1"/>
  <c r="L105" i="1" l="1"/>
  <c r="K105" i="1" a="1"/>
  <c r="K105" i="1" l="1"/>
  <c r="J105" i="1" a="1"/>
  <c r="J105" i="1" l="1"/>
  <c r="I105" i="1" a="1"/>
  <c r="I105" i="1" l="1"/>
  <c r="H105" i="1" a="1"/>
  <c r="H105" i="1" l="1"/>
  <c r="M103" i="1" a="1"/>
  <c r="M103" i="1" l="1"/>
  <c r="L103" i="1" a="1"/>
  <c r="L103" i="1" l="1"/>
  <c r="K103" i="1" a="1"/>
  <c r="K103" i="1" l="1"/>
  <c r="J103" i="1" a="1"/>
  <c r="J103" i="1" l="1"/>
  <c r="I103" i="1" a="1"/>
  <c r="I103" i="1" l="1"/>
  <c r="H103" i="1" a="1"/>
  <c r="H103" i="1" l="1"/>
  <c r="AA74" i="1" a="1"/>
  <c r="AA74" i="1" l="1"/>
  <c r="AA73" i="1" a="1"/>
  <c r="AA73" i="1" l="1"/>
  <c r="AA72" i="1" a="1"/>
  <c r="AA72" i="1" l="1"/>
  <c r="AA71" i="1" a="1"/>
  <c r="AA71" i="1" l="1"/>
  <c r="AA70" i="1" a="1"/>
  <c r="AA70" i="1" l="1"/>
  <c r="AA69" i="1" a="1"/>
  <c r="AA69" i="1" l="1"/>
  <c r="AA68" i="1" a="1"/>
  <c r="AA68" i="1" l="1"/>
  <c r="AA67" i="1" a="1"/>
  <c r="AA67" i="1" l="1"/>
  <c r="AA66" i="1" a="1"/>
  <c r="AA66" i="1" l="1"/>
  <c r="AF72" i="1" a="1"/>
  <c r="AF72" i="1" l="1"/>
  <c r="AE72" i="1" a="1"/>
  <c r="AE72" i="1" l="1"/>
  <c r="AF71" i="1" a="1"/>
  <c r="AF71" i="1" l="1"/>
  <c r="AE71" i="1" a="1"/>
  <c r="AE71" i="1" l="1"/>
  <c r="AF70" i="1" a="1"/>
  <c r="AF70" i="1" l="1"/>
  <c r="AE70" i="1" a="1"/>
  <c r="AE70" i="1" l="1"/>
  <c r="AF69" i="1" a="1"/>
  <c r="AF69" i="1" l="1"/>
  <c r="AE69" i="1" a="1"/>
  <c r="AE69" i="1" l="1"/>
  <c r="AF68" i="1" a="1"/>
  <c r="AF68" i="1" l="1"/>
  <c r="AE68" i="1" a="1"/>
  <c r="AE68" i="1" l="1"/>
  <c r="AF67" i="1" a="1"/>
  <c r="AF67" i="1" l="1"/>
  <c r="AE67" i="1" a="1"/>
  <c r="AE67" i="1" l="1"/>
  <c r="AF66" i="1" a="1"/>
  <c r="AF66" i="1" l="1"/>
  <c r="AE66" i="1" a="1"/>
  <c r="AE66" i="1" l="1"/>
  <c r="AF65" i="1" a="1"/>
  <c r="AF65" i="1" l="1"/>
  <c r="AE65" i="1" a="1"/>
  <c r="AE65" i="1" l="1"/>
  <c r="AF64" i="1" a="1"/>
  <c r="AF64" i="1" l="1"/>
  <c r="AE64" i="1" a="1"/>
  <c r="AE64" i="1" l="1"/>
  <c r="AF63" i="1" a="1"/>
  <c r="AF63" i="1" l="1"/>
  <c r="AE63" i="1" a="1"/>
  <c r="AE63" i="1" l="1"/>
  <c r="AX57" i="1" a="1"/>
  <c r="AX57" i="1" l="1"/>
  <c r="AJ57" i="1" a="1"/>
  <c r="AJ57" i="1" l="1"/>
  <c r="Z36" i="1" a="1"/>
  <c r="Z36" i="1" l="1"/>
  <c r="L21" i="1" a="1"/>
  <c r="L21" i="1" l="1"/>
  <c r="P2" i="7"/>
  <c r="O2" i="7" s="1"/>
  <c r="O5" i="7"/>
  <c r="O3" i="7"/>
  <c r="P3" i="7" s="1"/>
  <c r="O6" i="7"/>
  <c r="O7" i="7"/>
  <c r="O8" i="7"/>
  <c r="O9" i="7"/>
  <c r="O10" i="7"/>
  <c r="O11" i="7"/>
  <c r="O12" i="7"/>
  <c r="O13" i="7"/>
  <c r="O14" i="7"/>
  <c r="O15" i="7"/>
  <c r="P17" i="7"/>
  <c r="P18" i="7"/>
  <c r="AP4" i="8"/>
  <c r="AP5" i="8"/>
  <c r="AQ5" i="8"/>
  <c r="AQ4" i="8"/>
  <c r="B5" i="8"/>
  <c r="AP6" i="8"/>
  <c r="AQ6" i="8"/>
  <c r="B7" i="8"/>
  <c r="AP7" i="8"/>
  <c r="AQ7" i="8"/>
  <c r="B9" i="8"/>
  <c r="B12" i="8"/>
  <c r="M12" i="8"/>
  <c r="B14" i="8"/>
  <c r="G16" i="8"/>
  <c r="H16" i="8"/>
  <c r="I16" i="8" s="1"/>
  <c r="J16" i="8" s="1"/>
  <c r="M14" i="8"/>
  <c r="M15" i="8"/>
  <c r="B16" i="8"/>
  <c r="M16" i="8"/>
  <c r="B18" i="8"/>
  <c r="G19" i="8"/>
  <c r="H19" i="8" s="1"/>
  <c r="I19" i="8" s="1"/>
  <c r="J19" i="8" s="1"/>
  <c r="M18" i="8"/>
  <c r="B19" i="8"/>
  <c r="B20" i="8"/>
  <c r="G21" i="8"/>
  <c r="H21" i="8"/>
  <c r="I21" i="8" s="1"/>
  <c r="M20" i="8"/>
  <c r="O20" i="8"/>
  <c r="B21" i="8"/>
  <c r="M21" i="8"/>
  <c r="F29" i="8"/>
  <c r="G29" i="8"/>
  <c r="H29" i="8"/>
  <c r="I29" i="8"/>
  <c r="J29" i="8" s="1"/>
  <c r="B22" i="8"/>
  <c r="M22" i="8"/>
  <c r="G25" i="8"/>
  <c r="H25" i="8"/>
  <c r="I25" i="8" s="1"/>
  <c r="J25" i="8" s="1"/>
  <c r="B23" i="8"/>
  <c r="M23" i="8"/>
  <c r="O23" i="8"/>
  <c r="B24" i="8"/>
  <c r="M24" i="8"/>
  <c r="B25" i="8"/>
  <c r="M25" i="8"/>
  <c r="B26" i="8"/>
  <c r="M26" i="8"/>
  <c r="B27" i="8"/>
  <c r="M27" i="8"/>
  <c r="B28" i="8"/>
  <c r="M28" i="8"/>
  <c r="B29" i="8"/>
  <c r="M29" i="8"/>
  <c r="B30" i="8"/>
  <c r="M30" i="8"/>
  <c r="M31" i="8"/>
  <c r="B32" i="8"/>
  <c r="M32" i="8"/>
  <c r="M33" i="8"/>
  <c r="B34" i="8"/>
  <c r="M34" i="8"/>
  <c r="B35" i="8"/>
  <c r="B36" i="8"/>
  <c r="B37" i="8"/>
  <c r="B38" i="8"/>
  <c r="B39" i="8"/>
  <c r="B40" i="8"/>
  <c r="B41" i="8"/>
  <c r="B42" i="8"/>
  <c r="B44" i="8"/>
  <c r="B45" i="8"/>
  <c r="B46" i="8"/>
  <c r="B47" i="8"/>
  <c r="B48" i="8"/>
  <c r="B49" i="8"/>
  <c r="B50" i="8"/>
  <c r="B52" i="8"/>
  <c r="B53" i="8"/>
  <c r="B2" i="9"/>
  <c r="B4" i="9"/>
  <c r="B5" i="9"/>
  <c r="B7" i="9"/>
  <c r="B8" i="9"/>
  <c r="B9" i="9"/>
  <c r="B10" i="9"/>
  <c r="B11" i="9"/>
  <c r="B12" i="9"/>
  <c r="B14" i="9"/>
  <c r="B15" i="9"/>
  <c r="B17" i="9"/>
  <c r="B18" i="9"/>
  <c r="B20" i="9"/>
  <c r="B21" i="9"/>
  <c r="B23" i="9"/>
  <c r="B24" i="9"/>
  <c r="B26" i="9"/>
  <c r="B27" i="9"/>
  <c r="B28" i="9"/>
  <c r="B29" i="9"/>
  <c r="I2" i="1"/>
  <c r="B4" i="1"/>
  <c r="N4" i="1"/>
  <c r="N5" i="1"/>
  <c r="B6" i="1"/>
  <c r="N6" i="1"/>
  <c r="B8" i="1"/>
  <c r="N8" i="1"/>
  <c r="B9" i="1"/>
  <c r="N9" i="1"/>
  <c r="B10" i="1"/>
  <c r="N10" i="1"/>
  <c r="N11" i="1"/>
  <c r="N12" i="1"/>
  <c r="B13" i="1"/>
  <c r="N13" i="1"/>
  <c r="N14" i="1"/>
  <c r="B15" i="1"/>
  <c r="B18" i="1"/>
  <c r="Y19" i="1"/>
  <c r="AA19" i="1"/>
  <c r="B20" i="1"/>
  <c r="L20" i="1"/>
  <c r="N20" i="1"/>
  <c r="B22" i="1"/>
  <c r="K22" i="1"/>
  <c r="Y22" i="1"/>
  <c r="Z22" i="1" s="1"/>
  <c r="Y23" i="1"/>
  <c r="Z23" i="1"/>
  <c r="Y24" i="1"/>
  <c r="Z24" i="1"/>
  <c r="Y25" i="1"/>
  <c r="Z25" i="1" s="1"/>
  <c r="Y26" i="1"/>
  <c r="Z26" i="1"/>
  <c r="Y27" i="1"/>
  <c r="Z27" i="1" s="1"/>
  <c r="AA22" i="1" s="1"/>
  <c r="W52" i="1" s="1"/>
  <c r="B23" i="1"/>
  <c r="K23" i="1"/>
  <c r="B24" i="1"/>
  <c r="K24" i="1"/>
  <c r="K25" i="1"/>
  <c r="B26" i="1"/>
  <c r="K26" i="1"/>
  <c r="K27" i="1"/>
  <c r="J29" i="1"/>
  <c r="L29" i="1"/>
  <c r="B30" i="1"/>
  <c r="B32" i="1"/>
  <c r="J32" i="1"/>
  <c r="J33" i="1"/>
  <c r="J34" i="1"/>
  <c r="N34" i="1"/>
  <c r="Y35" i="1"/>
  <c r="Z34" i="1" s="1"/>
  <c r="BK52" i="1"/>
  <c r="BJ55" i="1"/>
  <c r="BJ56" i="1"/>
  <c r="BJ57" i="1"/>
  <c r="BJ58" i="1"/>
  <c r="BJ59" i="1"/>
  <c r="BJ60" i="1"/>
  <c r="BJ61" i="1"/>
  <c r="BJ62" i="1"/>
  <c r="BJ63" i="1"/>
  <c r="BJ64" i="1"/>
  <c r="BJ65" i="1"/>
  <c r="BJ66" i="1"/>
  <c r="BJ67" i="1"/>
  <c r="BJ68" i="1"/>
  <c r="BJ69" i="1"/>
  <c r="BJ70" i="1"/>
  <c r="BJ71" i="1"/>
  <c r="BJ72" i="1"/>
  <c r="BJ73" i="1"/>
  <c r="BJ74" i="1"/>
  <c r="BJ75" i="1"/>
  <c r="BJ76" i="1"/>
  <c r="BJ77" i="1"/>
  <c r="BJ78" i="1"/>
  <c r="BJ79" i="1"/>
  <c r="BJ80" i="1"/>
  <c r="BJ81" i="1"/>
  <c r="BJ82" i="1"/>
  <c r="BJ83" i="1"/>
  <c r="BJ84" i="1"/>
  <c r="BJ85" i="1"/>
  <c r="BJ86" i="1"/>
  <c r="BJ87" i="1"/>
  <c r="BJ88" i="1"/>
  <c r="BJ89" i="1"/>
  <c r="BJ90" i="1"/>
  <c r="BJ91" i="1"/>
  <c r="BJ92" i="1"/>
  <c r="BJ93" i="1"/>
  <c r="BJ94" i="1"/>
  <c r="BJ95" i="1"/>
  <c r="BJ96" i="1"/>
  <c r="BJ97" i="1"/>
  <c r="BJ98" i="1"/>
  <c r="BJ99" i="1"/>
  <c r="BJ100" i="1"/>
  <c r="BJ101" i="1"/>
  <c r="BJ102" i="1"/>
  <c r="BJ103" i="1"/>
  <c r="BJ104" i="1"/>
  <c r="BJ105" i="1"/>
  <c r="BJ106" i="1"/>
  <c r="BJ107" i="1"/>
  <c r="BJ108" i="1"/>
  <c r="BJ109" i="1"/>
  <c r="BJ110" i="1"/>
  <c r="BJ111" i="1"/>
  <c r="BJ112" i="1"/>
  <c r="BJ113" i="1"/>
  <c r="BJ114" i="1"/>
  <c r="BJ115" i="1"/>
  <c r="BJ116" i="1"/>
  <c r="BJ117" i="1"/>
  <c r="BJ118" i="1"/>
  <c r="BJ119" i="1"/>
  <c r="BJ120" i="1"/>
  <c r="BJ121" i="1"/>
  <c r="BJ122" i="1"/>
  <c r="BJ123" i="1"/>
  <c r="BJ124" i="1"/>
  <c r="BJ125" i="1"/>
  <c r="BJ126" i="1"/>
  <c r="BJ127" i="1"/>
  <c r="BJ128" i="1"/>
  <c r="BJ129" i="1"/>
  <c r="BJ130" i="1"/>
  <c r="BJ131" i="1"/>
  <c r="BJ132" i="1"/>
  <c r="BJ133" i="1"/>
  <c r="BJ135" i="1"/>
  <c r="BJ138" i="1"/>
  <c r="BJ139" i="1"/>
  <c r="BJ140" i="1"/>
  <c r="BJ141" i="1"/>
  <c r="BK135" i="1"/>
  <c r="BL135" i="1"/>
  <c r="BM136" i="1" s="1" a="1"/>
  <c r="BM135" i="1"/>
  <c r="BN135" i="1"/>
  <c r="BJ142" i="1"/>
  <c r="BJ143" i="1"/>
  <c r="BL145" i="1"/>
  <c r="AA49" i="1"/>
  <c r="AA60" i="1"/>
  <c r="B36" i="1"/>
  <c r="J36" i="1"/>
  <c r="N36" i="1"/>
  <c r="Y36" i="1"/>
  <c r="J37" i="1"/>
  <c r="J38" i="1"/>
  <c r="B40" i="1"/>
  <c r="BN52" i="1"/>
  <c r="B48" i="1"/>
  <c r="J48" i="1"/>
  <c r="L49" i="1"/>
  <c r="M49" i="1"/>
  <c r="N49" i="1"/>
  <c r="O49" i="1"/>
  <c r="P49" i="1"/>
  <c r="Q49" i="1"/>
  <c r="R49" i="1"/>
  <c r="S49" i="1"/>
  <c r="B50" i="1"/>
  <c r="J50" i="1"/>
  <c r="L50" i="1"/>
  <c r="O50" i="1"/>
  <c r="D52" i="1"/>
  <c r="B53" i="1"/>
  <c r="AC60" i="1"/>
  <c r="AD60" i="1"/>
  <c r="D54" i="1"/>
  <c r="AK54" i="1"/>
  <c r="AY54" i="1"/>
  <c r="AY59" i="1" a="1"/>
  <c r="AY59" i="1" s="1"/>
  <c r="B58" i="1"/>
  <c r="J58" i="1"/>
  <c r="D60" i="1"/>
  <c r="J60" i="1"/>
  <c r="D62" i="1"/>
  <c r="J63" i="1"/>
  <c r="B64" i="1"/>
  <c r="B65" i="1"/>
  <c r="B66" i="1"/>
  <c r="B67" i="1"/>
  <c r="J67" i="1"/>
  <c r="B68" i="1"/>
  <c r="J69" i="1"/>
  <c r="K69" i="1"/>
  <c r="B70" i="1"/>
  <c r="F76" i="1"/>
  <c r="L70" i="1"/>
  <c r="M70" i="1"/>
  <c r="N70" i="1"/>
  <c r="O70" i="1" s="1"/>
  <c r="P70" i="1" s="1"/>
  <c r="Q70" i="1"/>
  <c r="R70" i="1" s="1"/>
  <c r="S70" i="1"/>
  <c r="B71" i="1"/>
  <c r="J73" i="1"/>
  <c r="J72" i="1" s="1"/>
  <c r="J71" i="1" s="1"/>
  <c r="D72" i="1"/>
  <c r="B74" i="1"/>
  <c r="B75" i="1"/>
  <c r="J75" i="1"/>
  <c r="J76" i="1" s="1"/>
  <c r="B76" i="1"/>
  <c r="B77" i="1"/>
  <c r="J77" i="1"/>
  <c r="B79" i="1"/>
  <c r="J80" i="1"/>
  <c r="B82" i="1"/>
  <c r="J82" i="1"/>
  <c r="K82" i="1"/>
  <c r="B83" i="1"/>
  <c r="N83" i="1"/>
  <c r="M83" i="1"/>
  <c r="L83" i="1" s="1"/>
  <c r="K83" i="1" s="1"/>
  <c r="P83" i="1"/>
  <c r="Q83" i="1" s="1"/>
  <c r="R83" i="1" s="1"/>
  <c r="S83" i="1" s="1"/>
  <c r="J86" i="1"/>
  <c r="J85" i="1" s="1"/>
  <c r="J84" i="1"/>
  <c r="B85" i="1"/>
  <c r="J88" i="1"/>
  <c r="J89" i="1" s="1"/>
  <c r="J90" i="1" s="1"/>
  <c r="B89" i="1"/>
  <c r="B91" i="1"/>
  <c r="B92" i="1"/>
  <c r="B93" i="1"/>
  <c r="B94" i="1"/>
  <c r="B97" i="1"/>
  <c r="H99" i="1"/>
  <c r="I99" i="1"/>
  <c r="I249" i="1" s="1"/>
  <c r="J99" i="1"/>
  <c r="K99" i="1"/>
  <c r="L99" i="1"/>
  <c r="M99" i="1"/>
  <c r="I102" i="1"/>
  <c r="S102" i="1"/>
  <c r="B105" i="1"/>
  <c r="B106" i="1"/>
  <c r="B107" i="1"/>
  <c r="B108" i="1"/>
  <c r="B109" i="1"/>
  <c r="B110" i="1"/>
  <c r="B111" i="1"/>
  <c r="B112" i="1"/>
  <c r="H249" i="1"/>
  <c r="H250" i="1"/>
  <c r="I250" i="1"/>
  <c r="J249" i="1"/>
  <c r="J250" i="1"/>
  <c r="K249" i="1"/>
  <c r="K250" i="1"/>
  <c r="L249" i="1"/>
  <c r="L250" i="1"/>
  <c r="M249" i="1"/>
  <c r="M250" i="1"/>
  <c r="U112" i="1"/>
  <c r="B113" i="1"/>
  <c r="G249" i="1"/>
  <c r="B114" i="1"/>
  <c r="B115" i="1"/>
  <c r="B116" i="1"/>
  <c r="B117" i="1"/>
  <c r="B118" i="1"/>
  <c r="B119" i="1"/>
  <c r="B120" i="1"/>
  <c r="B121" i="1"/>
  <c r="B122" i="1"/>
  <c r="B123" i="1"/>
  <c r="B124" i="1"/>
  <c r="B125" i="1"/>
  <c r="B126" i="1"/>
  <c r="B127" i="1"/>
  <c r="B128" i="1"/>
  <c r="B129" i="1"/>
  <c r="B130" i="1"/>
  <c r="B131" i="1"/>
  <c r="B132" i="1"/>
  <c r="Y132" i="1"/>
  <c r="B133" i="1"/>
  <c r="B134" i="1"/>
  <c r="B136" i="1"/>
  <c r="AA147" i="1"/>
  <c r="BM136" i="1"/>
  <c r="B137" i="1"/>
  <c r="M140" i="1"/>
  <c r="AA141" i="1"/>
  <c r="M142" i="1"/>
  <c r="B144" i="1"/>
  <c r="M144" i="1"/>
  <c r="B145" i="1"/>
  <c r="B146" i="1"/>
  <c r="M146" i="1"/>
  <c r="C147" i="1"/>
  <c r="C148" i="1"/>
  <c r="M148" i="1"/>
  <c r="C149" i="1"/>
  <c r="B150" i="1"/>
  <c r="C151" i="1"/>
  <c r="B152" i="1"/>
  <c r="B154" i="1"/>
  <c r="B155" i="1"/>
  <c r="B156" i="1"/>
  <c r="B157" i="1"/>
  <c r="B161" i="1"/>
  <c r="W162" i="1"/>
  <c r="B163" i="1"/>
  <c r="W163" i="1"/>
  <c r="W164" i="1" s="1"/>
  <c r="W165" i="1" s="1"/>
  <c r="W166" i="1"/>
  <c r="W167" i="1" s="1"/>
  <c r="W168" i="1" s="1"/>
  <c r="D168" i="1"/>
  <c r="I168" i="1"/>
  <c r="O168" i="1"/>
  <c r="D169" i="1"/>
  <c r="I169" i="1"/>
  <c r="O169" i="1" s="1"/>
  <c r="W169" i="1"/>
  <c r="W170" i="1" s="1"/>
  <c r="W171" i="1" s="1"/>
  <c r="W172" i="1" s="1"/>
  <c r="B170" i="1"/>
  <c r="B182" i="1" s="1"/>
  <c r="B194" i="1" s="1"/>
  <c r="T174" i="1"/>
  <c r="T175" i="1"/>
  <c r="D180" i="1"/>
  <c r="I180" i="1"/>
  <c r="O180" i="1"/>
  <c r="D181" i="1"/>
  <c r="I181" i="1"/>
  <c r="O181" i="1"/>
  <c r="D182" i="1"/>
  <c r="N183" i="1"/>
  <c r="N184" i="1"/>
  <c r="N186" i="1"/>
  <c r="I192" i="1"/>
  <c r="O192" i="1"/>
  <c r="I193" i="1"/>
  <c r="B204" i="1"/>
  <c r="B206" i="1"/>
  <c r="F208" i="1"/>
  <c r="I208" i="1"/>
  <c r="J208" i="1"/>
  <c r="K208" i="1"/>
  <c r="L208" i="1"/>
  <c r="M208" i="1"/>
  <c r="F209" i="1"/>
  <c r="I209" i="1"/>
  <c r="J209" i="1"/>
  <c r="K209" i="1"/>
  <c r="L209" i="1"/>
  <c r="M209" i="1"/>
  <c r="F211" i="1"/>
  <c r="B214" i="1"/>
  <c r="B215" i="1"/>
  <c r="B217" i="1"/>
  <c r="C218" i="1"/>
  <c r="B219" i="1"/>
  <c r="C220" i="1"/>
  <c r="B221" i="1"/>
  <c r="B222" i="1"/>
  <c r="B223" i="1"/>
  <c r="C224" i="1"/>
  <c r="B225" i="1"/>
  <c r="B227" i="1"/>
  <c r="C228" i="1"/>
  <c r="B229" i="1"/>
  <c r="C230" i="1"/>
  <c r="B231" i="1"/>
  <c r="B232" i="1"/>
  <c r="B233" i="1"/>
  <c r="B234" i="1"/>
  <c r="B235" i="1"/>
  <c r="C236" i="1"/>
  <c r="B237" i="1"/>
  <c r="B239" i="1"/>
  <c r="B241" i="1"/>
  <c r="B243" i="1"/>
  <c r="M51" i="1" a="1"/>
  <c r="AA52" i="1" a="1"/>
  <c r="AB52" i="1" a="1"/>
  <c r="AC52" i="1" a="1"/>
  <c r="AD52" i="1" a="1"/>
  <c r="AE52" i="1" a="1"/>
  <c r="AF52" i="1" a="1"/>
  <c r="AG52" i="1" a="1"/>
  <c r="AH52" i="1" a="1"/>
  <c r="N35" i="1" a="1"/>
  <c r="BF68" i="1" a="1"/>
  <c r="AA76" i="1" a="1"/>
  <c r="AT68" i="1" a="1"/>
  <c r="AY58" i="1" a="1"/>
  <c r="L15" i="1" a="1"/>
  <c r="AA79" i="1" a="1"/>
  <c r="AA78" i="1" a="1"/>
  <c r="AA75" i="1" a="1"/>
  <c r="AA77" i="1" a="1"/>
  <c r="B244" i="1" a="1"/>
  <c r="R144" i="1" a="1"/>
  <c r="AH52" i="1" l="1"/>
  <c r="AG52" i="1"/>
  <c r="AF52" i="1"/>
  <c r="AE52" i="1"/>
  <c r="AD52" i="1"/>
  <c r="AC52" i="1"/>
  <c r="AB52" i="1"/>
  <c r="AA52" i="1"/>
  <c r="M51" i="1"/>
  <c r="R144" i="1"/>
  <c r="K170" i="1" s="1"/>
  <c r="B244" i="1"/>
  <c r="AA77" i="1"/>
  <c r="AA75" i="1"/>
  <c r="AA78" i="1"/>
  <c r="AA79" i="1"/>
  <c r="L15" i="1"/>
  <c r="AY58" i="1"/>
  <c r="AT68" i="1"/>
  <c r="AA76" i="1"/>
  <c r="B46" i="1" s="1"/>
  <c r="BF68" i="1"/>
  <c r="N35" i="1"/>
  <c r="O193" i="1"/>
  <c r="AA26" i="1"/>
  <c r="W56" i="1" s="1"/>
  <c r="AA27" i="1"/>
  <c r="W57" i="1" s="1"/>
  <c r="AA24" i="1"/>
  <c r="W54" i="1" s="1"/>
  <c r="AA25" i="1"/>
  <c r="W55" i="1" s="1"/>
  <c r="AA23" i="1"/>
  <c r="W53" i="1" s="1"/>
  <c r="J21" i="8"/>
  <c r="AZ59" i="1" a="1"/>
  <c r="AZ59" i="1" s="1"/>
  <c r="BB59" i="1" s="1"/>
  <c r="BC59" i="1" s="1"/>
  <c r="BA59" i="1"/>
  <c r="BM52" i="1"/>
  <c r="BL52" i="1"/>
  <c r="O21" i="8"/>
  <c r="O14" i="8"/>
  <c r="N12" i="9"/>
  <c r="M12" i="9"/>
  <c r="L12" i="9"/>
  <c r="K12" i="9"/>
  <c r="J12" i="9"/>
  <c r="I12" i="9"/>
  <c r="H12" i="9"/>
  <c r="G12" i="9"/>
  <c r="F12" i="9"/>
  <c r="E12" i="9"/>
  <c r="D12" i="9"/>
  <c r="C12" i="9"/>
  <c r="M54" i="1" a="1"/>
  <c r="AA55" i="1" a="1"/>
  <c r="AB55" i="1" a="1"/>
  <c r="AC55" i="1" a="1"/>
  <c r="AD55" i="1" a="1"/>
  <c r="AE55" i="1" a="1"/>
  <c r="AF55" i="1" a="1"/>
  <c r="AG55" i="1" a="1"/>
  <c r="AH55" i="1" a="1"/>
  <c r="M56" i="1" a="1"/>
  <c r="AA57" i="1" a="1"/>
  <c r="AB57" i="1" a="1"/>
  <c r="AC57" i="1" a="1"/>
  <c r="AD57" i="1" a="1"/>
  <c r="AE57" i="1" a="1"/>
  <c r="AF57" i="1" a="1"/>
  <c r="AG57" i="1" a="1"/>
  <c r="AH57" i="1" a="1"/>
  <c r="M55" i="1" a="1"/>
  <c r="AA56" i="1" a="1"/>
  <c r="AB56" i="1" a="1"/>
  <c r="AC56" i="1" a="1"/>
  <c r="AD56" i="1" a="1"/>
  <c r="AE56" i="1" a="1"/>
  <c r="AF56" i="1" a="1"/>
  <c r="AG56" i="1" a="1"/>
  <c r="AH56" i="1" a="1"/>
  <c r="M52" i="1" a="1"/>
  <c r="AA53" i="1" a="1"/>
  <c r="AB53" i="1" a="1"/>
  <c r="AC53" i="1" a="1"/>
  <c r="AD53" i="1" a="1"/>
  <c r="AE53" i="1" a="1"/>
  <c r="AF53" i="1" a="1"/>
  <c r="AG53" i="1" a="1"/>
  <c r="AH53" i="1" a="1"/>
  <c r="M53" i="1" a="1"/>
  <c r="AA54" i="1" a="1"/>
  <c r="AB54" i="1" a="1"/>
  <c r="AC54" i="1" a="1"/>
  <c r="AD54" i="1" a="1"/>
  <c r="AE54" i="1" a="1"/>
  <c r="AF54" i="1" a="1"/>
  <c r="AG54" i="1" a="1"/>
  <c r="AH54" i="1" a="1"/>
  <c r="Y52" i="1" a="1"/>
  <c r="X52" i="1" a="1"/>
  <c r="Z52" i="1" a="1"/>
  <c r="AH54" i="1" l="1"/>
  <c r="AG54" i="1"/>
  <c r="AF54" i="1"/>
  <c r="AE54" i="1"/>
  <c r="AD54" i="1"/>
  <c r="AC54" i="1"/>
  <c r="AB54" i="1"/>
  <c r="AA54" i="1"/>
  <c r="M53" i="1"/>
  <c r="AH53" i="1"/>
  <c r="AG53" i="1"/>
  <c r="AF53" i="1"/>
  <c r="AE53" i="1"/>
  <c r="AD53" i="1"/>
  <c r="AC53" i="1"/>
  <c r="AB53" i="1"/>
  <c r="AA53" i="1"/>
  <c r="M52" i="1"/>
  <c r="AH56" i="1"/>
  <c r="AG56" i="1"/>
  <c r="AF56" i="1"/>
  <c r="AE56" i="1"/>
  <c r="AD56" i="1"/>
  <c r="AC56" i="1"/>
  <c r="AB56" i="1"/>
  <c r="AA56" i="1"/>
  <c r="M55" i="1"/>
  <c r="AH57" i="1"/>
  <c r="AG57" i="1"/>
  <c r="AF57" i="1"/>
  <c r="AE57" i="1"/>
  <c r="AD57" i="1"/>
  <c r="AC57" i="1"/>
  <c r="AB57" i="1"/>
  <c r="AA57" i="1"/>
  <c r="M56" i="1"/>
  <c r="AH55" i="1"/>
  <c r="AG55" i="1"/>
  <c r="AF55" i="1"/>
  <c r="AE55" i="1"/>
  <c r="AD55" i="1"/>
  <c r="AC55" i="1"/>
  <c r="AB55" i="1"/>
  <c r="AA55" i="1"/>
  <c r="M54" i="1"/>
  <c r="Z52" i="1"/>
  <c r="AK62" i="1"/>
  <c r="AK69" i="1"/>
  <c r="AK76" i="1"/>
  <c r="AK83" i="1"/>
  <c r="AK90" i="1"/>
  <c r="AK97" i="1"/>
  <c r="AK104" i="1"/>
  <c r="F12" i="8"/>
  <c r="G12" i="8" s="1"/>
  <c r="H12" i="8" s="1"/>
  <c r="I12" i="8" s="1"/>
  <c r="J12" i="8" s="1"/>
  <c r="AK60" i="1"/>
  <c r="AK63" i="1"/>
  <c r="AK72" i="1"/>
  <c r="AK66" i="1"/>
  <c r="AK75" i="1"/>
  <c r="AK81" i="1"/>
  <c r="AK84" i="1"/>
  <c r="AK93" i="1"/>
  <c r="AK99" i="1"/>
  <c r="AK71" i="1"/>
  <c r="AK80" i="1"/>
  <c r="AK89" i="1"/>
  <c r="AK95" i="1"/>
  <c r="AK98" i="1"/>
  <c r="AK107" i="1"/>
  <c r="AK92" i="1"/>
  <c r="AK101" i="1"/>
  <c r="AK67" i="1"/>
  <c r="AK103" i="1"/>
  <c r="AK77" i="1"/>
  <c r="AK88" i="1"/>
  <c r="AK78" i="1"/>
  <c r="AK58" i="1"/>
  <c r="AK73" i="1"/>
  <c r="AK79" i="1"/>
  <c r="AK94" i="1"/>
  <c r="AK105" i="1"/>
  <c r="AK86" i="1"/>
  <c r="AK100" i="1"/>
  <c r="AK64" i="1"/>
  <c r="AK91" i="1"/>
  <c r="AK82" i="1"/>
  <c r="AK74" i="1"/>
  <c r="AK65" i="1"/>
  <c r="AK102" i="1"/>
  <c r="AK85" i="1"/>
  <c r="AK70" i="1"/>
  <c r="AK61" i="1"/>
  <c r="AK106" i="1"/>
  <c r="AK87" i="1"/>
  <c r="AK59" i="1"/>
  <c r="AK68" i="1"/>
  <c r="AK96" i="1"/>
  <c r="X52" i="1"/>
  <c r="J51" i="1" s="1"/>
  <c r="Y52" i="1"/>
  <c r="AZ58" i="1" a="1"/>
  <c r="AZ58" i="1" s="1"/>
  <c r="BB58" i="1" s="1"/>
  <c r="BC58" i="1" s="1"/>
  <c r="Z70" i="1"/>
  <c r="Z67" i="1"/>
  <c r="AA50" i="1"/>
  <c r="Z74" i="1"/>
  <c r="AB50" i="1"/>
  <c r="AG49" i="1"/>
  <c r="Z69" i="1"/>
  <c r="AE50" i="1"/>
  <c r="Z71" i="1"/>
  <c r="H101" i="1"/>
  <c r="AH50" i="1"/>
  <c r="Z72" i="1"/>
  <c r="BF59" i="1"/>
  <c r="J101" i="1"/>
  <c r="AC50" i="1"/>
  <c r="AF75" i="1"/>
  <c r="AD50" i="1"/>
  <c r="AD63" i="1"/>
  <c r="AT59" i="1"/>
  <c r="M251" i="1"/>
  <c r="Z66" i="1"/>
  <c r="K101" i="1"/>
  <c r="J251" i="1"/>
  <c r="Y68" i="1"/>
  <c r="L101" i="1"/>
  <c r="AF50" i="1"/>
  <c r="M101" i="1"/>
  <c r="G251" i="1"/>
  <c r="K251" i="1"/>
  <c r="B140" i="1"/>
  <c r="L251" i="1"/>
  <c r="I251" i="1"/>
  <c r="Y143" i="1"/>
  <c r="Z73" i="1"/>
  <c r="F210" i="1"/>
  <c r="I210" i="1"/>
  <c r="J210" i="1"/>
  <c r="K210" i="1"/>
  <c r="L210" i="1"/>
  <c r="H251" i="1"/>
  <c r="Z153" i="1"/>
  <c r="Y144" i="1"/>
  <c r="I101" i="1"/>
  <c r="Z154" i="1"/>
  <c r="AA155" i="1"/>
  <c r="Y134" i="1"/>
  <c r="M210" i="1"/>
  <c r="B98" i="1"/>
  <c r="B207" i="1"/>
  <c r="B164" i="1"/>
  <c r="AA81" i="1"/>
  <c r="J64" i="1" s="1"/>
  <c r="B73" i="1"/>
  <c r="B59" i="1"/>
  <c r="B55" i="1"/>
  <c r="B57" i="1"/>
  <c r="J62" i="1" s="1"/>
  <c r="B56" i="1"/>
  <c r="J61" i="1" s="1"/>
  <c r="B61" i="1"/>
  <c r="B78" i="1"/>
  <c r="B87" i="1"/>
  <c r="B81" i="1"/>
  <c r="B84" i="1"/>
  <c r="B169" i="1"/>
  <c r="B181" i="1" s="1"/>
  <c r="B193" i="1" s="1"/>
  <c r="B88" i="1"/>
  <c r="AK8" i="5"/>
  <c r="AL3" i="5" s="1"/>
  <c r="AK9" i="5"/>
  <c r="AK4" i="5" s="1"/>
  <c r="BL138" i="1"/>
  <c r="BM51" i="1"/>
  <c r="L170" i="1"/>
  <c r="Q170" i="1"/>
  <c r="J170" i="1"/>
  <c r="K182" i="1"/>
  <c r="K194" i="1"/>
  <c r="AN75" i="1" a="1"/>
  <c r="AN74" i="1" a="1"/>
  <c r="Y56" i="1" a="1"/>
  <c r="Y55" i="1" a="1"/>
  <c r="O32" i="8" a="1"/>
  <c r="Z54" i="1" a="1"/>
  <c r="Y57" i="1" a="1"/>
  <c r="X54" i="1" a="1"/>
  <c r="Z53" i="1" a="1"/>
  <c r="X53" i="1" a="1"/>
  <c r="Z56" i="1" a="1"/>
  <c r="Z55" i="1" a="1"/>
  <c r="Z57" i="1" a="1"/>
  <c r="O31" i="8" a="1"/>
  <c r="Y54" i="1" a="1"/>
  <c r="Y53" i="1" a="1"/>
  <c r="X56" i="1" a="1"/>
  <c r="X57" i="1" a="1"/>
  <c r="X55" i="1" a="1"/>
  <c r="AN74" i="1" l="1"/>
  <c r="AN75" i="1"/>
  <c r="BA58" i="1"/>
  <c r="X55" i="1"/>
  <c r="J54" i="1" s="1"/>
  <c r="X57" i="1"/>
  <c r="J56" i="1" s="1"/>
  <c r="X56" i="1"/>
  <c r="J55" i="1" s="1"/>
  <c r="Y53" i="1"/>
  <c r="I151" i="1"/>
  <c r="Y54" i="1"/>
  <c r="I220" i="1"/>
  <c r="O31" i="8"/>
  <c r="Z57" i="1"/>
  <c r="Z55" i="1"/>
  <c r="D36" i="8"/>
  <c r="L212" i="1"/>
  <c r="Z56" i="1"/>
  <c r="X53" i="1"/>
  <c r="J52" i="1" s="1"/>
  <c r="W158" i="1"/>
  <c r="AD77" i="1"/>
  <c r="AD82" i="1"/>
  <c r="AD76" i="1"/>
  <c r="AD80" i="1"/>
  <c r="AD103" i="1"/>
  <c r="AD106" i="1"/>
  <c r="AD115" i="1"/>
  <c r="F51" i="1" s="1"/>
  <c r="F75" i="1" s="1"/>
  <c r="AD89" i="1"/>
  <c r="AD86" i="1"/>
  <c r="AD121" i="1"/>
  <c r="AD124" i="1"/>
  <c r="AD83" i="1"/>
  <c r="AD148" i="1"/>
  <c r="AD153" i="1"/>
  <c r="AD96" i="1"/>
  <c r="AD85" i="1"/>
  <c r="AD94" i="1"/>
  <c r="AD116" i="1"/>
  <c r="AD123" i="1"/>
  <c r="AD126" i="1"/>
  <c r="AD87" i="1"/>
  <c r="AD99" i="1"/>
  <c r="AD102" i="1"/>
  <c r="AD105" i="1"/>
  <c r="AD122" i="1"/>
  <c r="AD78" i="1"/>
  <c r="AD91" i="1"/>
  <c r="AD104" i="1"/>
  <c r="AD93" i="1"/>
  <c r="AD111" i="1"/>
  <c r="AD117" i="1"/>
  <c r="AD84" i="1"/>
  <c r="AD97" i="1"/>
  <c r="AD110" i="1"/>
  <c r="AD118" i="1"/>
  <c r="AD127" i="1"/>
  <c r="AD130" i="1"/>
  <c r="AD157" i="1"/>
  <c r="AD90" i="1"/>
  <c r="AD107" i="1"/>
  <c r="AD112" i="1"/>
  <c r="AD92" i="1"/>
  <c r="AD114" i="1"/>
  <c r="AD133" i="1"/>
  <c r="AD138" i="1"/>
  <c r="AD156" i="1"/>
  <c r="AD88" i="1"/>
  <c r="AD129" i="1"/>
  <c r="AD139" i="1"/>
  <c r="AD144" i="1"/>
  <c r="AD141" i="1"/>
  <c r="AD149" i="1"/>
  <c r="AD151" i="1"/>
  <c r="AD95" i="1"/>
  <c r="AD120" i="1"/>
  <c r="AD135" i="1"/>
  <c r="AD143" i="1"/>
  <c r="AD125" i="1"/>
  <c r="AD137" i="1"/>
  <c r="AD136" i="1"/>
  <c r="AD146" i="1"/>
  <c r="AD142" i="1"/>
  <c r="AD155" i="1"/>
  <c r="AD100" i="1"/>
  <c r="AD113" i="1"/>
  <c r="AD147" i="1"/>
  <c r="AD154" i="1"/>
  <c r="AD108" i="1"/>
  <c r="AD119" i="1"/>
  <c r="AD131" i="1"/>
  <c r="AD128" i="1"/>
  <c r="AD79" i="1"/>
  <c r="AD101" i="1"/>
  <c r="AD98" i="1"/>
  <c r="AD109" i="1"/>
  <c r="AD140" i="1"/>
  <c r="AD134" i="1"/>
  <c r="AD145" i="1"/>
  <c r="AD150" i="1"/>
  <c r="AD81" i="1"/>
  <c r="AD132" i="1"/>
  <c r="AD152" i="1"/>
  <c r="J212" i="1"/>
  <c r="H132" i="1"/>
  <c r="K220" i="1"/>
  <c r="F212" i="1"/>
  <c r="L221" i="1"/>
  <c r="L224" i="1" s="1"/>
  <c r="I108" i="1"/>
  <c r="K212" i="1"/>
  <c r="H120" i="1"/>
  <c r="H121" i="1" s="1"/>
  <c r="L51" i="1"/>
  <c r="J220" i="1"/>
  <c r="Z53" i="1"/>
  <c r="N122" i="1"/>
  <c r="O122" i="1" s="1"/>
  <c r="P122" i="1" s="1"/>
  <c r="Q122" i="1" s="1"/>
  <c r="R122" i="1" s="1"/>
  <c r="X54" i="1"/>
  <c r="J53" i="1" s="1"/>
  <c r="Y57" i="1"/>
  <c r="Z54" i="1"/>
  <c r="I149" i="1"/>
  <c r="K120" i="1"/>
  <c r="K121" i="1" s="1"/>
  <c r="H112" i="1"/>
  <c r="I230" i="1"/>
  <c r="J106" i="1"/>
  <c r="O32" i="8"/>
  <c r="O30" i="8" s="1"/>
  <c r="L231" i="1"/>
  <c r="L236" i="1" s="1"/>
  <c r="I212" i="1"/>
  <c r="Y55" i="1"/>
  <c r="I156" i="1"/>
  <c r="W159" i="1"/>
  <c r="X159" i="1" s="1"/>
  <c r="M112" i="1"/>
  <c r="K108" i="1"/>
  <c r="Y56" i="1"/>
  <c r="E36" i="8"/>
  <c r="I154" i="1"/>
  <c r="N185" i="1" s="1"/>
  <c r="F50" i="1"/>
  <c r="P170" i="1"/>
  <c r="J182" i="1"/>
  <c r="I170" i="1"/>
  <c r="J194" i="1"/>
  <c r="BF74" i="1"/>
  <c r="BF73" i="1"/>
  <c r="BF71" i="1"/>
  <c r="BF70" i="1"/>
  <c r="BF72" i="1"/>
  <c r="BF63" i="1"/>
  <c r="BF62" i="1"/>
  <c r="BF61" i="1"/>
  <c r="BF64" i="1"/>
  <c r="BF65" i="1"/>
  <c r="D52" i="8"/>
  <c r="AD64" i="1"/>
  <c r="AC63" i="1"/>
  <c r="AG75" i="1"/>
  <c r="E52" i="8"/>
  <c r="M58" i="1"/>
  <c r="AA156" i="1"/>
  <c r="Q194" i="1"/>
  <c r="Q182" i="1"/>
  <c r="L182" i="1"/>
  <c r="M170" i="1"/>
  <c r="R170" i="1"/>
  <c r="L194" i="1"/>
  <c r="N51" i="1"/>
  <c r="O51" i="1"/>
  <c r="P51" i="1"/>
  <c r="W66" i="1"/>
  <c r="AH47" i="1"/>
  <c r="W67" i="1"/>
  <c r="AF47" i="1"/>
  <c r="AN80" i="1" a="1"/>
  <c r="AN85" i="1" a="1"/>
  <c r="AN98" i="1" a="1"/>
  <c r="AN66" i="1" a="1"/>
  <c r="AN86" i="1" a="1"/>
  <c r="AN101" i="1" a="1"/>
  <c r="AN92" i="1" a="1"/>
  <c r="AN68" i="1" a="1"/>
  <c r="AN84" i="1" a="1"/>
  <c r="AN103" i="1" a="1"/>
  <c r="AN81" i="1" a="1"/>
  <c r="AN64" i="1" a="1"/>
  <c r="AN71" i="1" a="1"/>
  <c r="AN58" i="1" a="1"/>
  <c r="AN102" i="1" a="1"/>
  <c r="AN99" i="1" a="1"/>
  <c r="AN72" i="1" a="1"/>
  <c r="AN88" i="1" a="1"/>
  <c r="AG107" i="1" a="1"/>
  <c r="AG136" i="1" a="1"/>
  <c r="AG155" i="1" a="1"/>
  <c r="AG115" i="1" a="1"/>
  <c r="AG148" i="1" a="1"/>
  <c r="AG128" i="1" a="1"/>
  <c r="AG142" i="1" a="1"/>
  <c r="AG152" i="1" a="1"/>
  <c r="AG133" i="1" a="1"/>
  <c r="AG132" i="1" a="1"/>
  <c r="AG117" i="1" a="1"/>
  <c r="AG145" i="1" a="1"/>
  <c r="AG134" i="1" a="1"/>
  <c r="AG86" i="1" a="1"/>
  <c r="AG157" i="1" a="1"/>
  <c r="AG150" i="1" a="1"/>
  <c r="AG140" i="1" a="1"/>
  <c r="AG138" i="1" a="1"/>
  <c r="AG121" i="1" a="1"/>
  <c r="AG137" i="1" a="1"/>
  <c r="AG125" i="1" a="1"/>
  <c r="AG111" i="1" a="1"/>
  <c r="AG143" i="1" a="1"/>
  <c r="AG112" i="1" a="1"/>
  <c r="AG153" i="1" a="1"/>
  <c r="AG151" i="1" a="1"/>
  <c r="AG149" i="1" a="1"/>
  <c r="AG144" i="1" a="1"/>
  <c r="AG141" i="1" a="1"/>
  <c r="AG139" i="1" a="1"/>
  <c r="AG135" i="1" a="1"/>
  <c r="AG156" i="1" a="1"/>
  <c r="AG131" i="1" a="1"/>
  <c r="AG147" i="1" a="1"/>
  <c r="AG154" i="1" a="1"/>
  <c r="AG119" i="1" a="1"/>
  <c r="AG93" i="1" a="1"/>
  <c r="AG109" i="1" a="1"/>
  <c r="AG108" i="1" a="1"/>
  <c r="AG103" i="1" a="1"/>
  <c r="AG88" i="1" a="1"/>
  <c r="AG79" i="1" a="1"/>
  <c r="AG120" i="1" a="1"/>
  <c r="AG100" i="1" a="1"/>
  <c r="AG95" i="1" a="1"/>
  <c r="AG146" i="1" a="1"/>
  <c r="AG113" i="1" a="1"/>
  <c r="AG81" i="1" a="1"/>
  <c r="AG98" i="1" a="1"/>
  <c r="AG102" i="1" a="1"/>
  <c r="AG99" i="1" a="1"/>
  <c r="AG89" i="1" a="1"/>
  <c r="AG129" i="1" a="1"/>
  <c r="AG126" i="1" a="1"/>
  <c r="AG123" i="1" a="1"/>
  <c r="AG116" i="1" a="1"/>
  <c r="AG85" i="1" a="1"/>
  <c r="AG80" i="1" a="1"/>
  <c r="AG96" i="1" a="1"/>
  <c r="AG76" i="1" a="1"/>
  <c r="AG106" i="1" a="1"/>
  <c r="AG130" i="1" a="1"/>
  <c r="AG127" i="1" a="1"/>
  <c r="AG124" i="1" a="1"/>
  <c r="AG118" i="1" a="1"/>
  <c r="AG90" i="1" a="1"/>
  <c r="AG84" i="1" a="1"/>
  <c r="AG82" i="1" a="1"/>
  <c r="AG122" i="1" a="1"/>
  <c r="AG114" i="1" a="1"/>
  <c r="AG110" i="1" a="1"/>
  <c r="AG105" i="1" a="1"/>
  <c r="AG101" i="1" a="1"/>
  <c r="AG92" i="1" a="1"/>
  <c r="AG77" i="1" a="1"/>
  <c r="AG97" i="1" a="1"/>
  <c r="AG94" i="1" a="1"/>
  <c r="AG104" i="1" a="1"/>
  <c r="AG91" i="1" a="1"/>
  <c r="AG87" i="1" a="1"/>
  <c r="AG83" i="1" a="1"/>
  <c r="AG78" i="1" a="1"/>
  <c r="AN93" i="1" a="1"/>
  <c r="AN83" i="1" a="1"/>
  <c r="AN105" i="1" a="1"/>
  <c r="AN67" i="1" a="1"/>
  <c r="AN60" i="1" a="1"/>
  <c r="AN62" i="1" a="1"/>
  <c r="AN96" i="1" a="1"/>
  <c r="AN63" i="1" a="1"/>
  <c r="AN104" i="1" a="1"/>
  <c r="AN61" i="1" a="1"/>
  <c r="AN89" i="1" a="1"/>
  <c r="AN100" i="1" a="1"/>
  <c r="AN90" i="1" a="1"/>
  <c r="AN69" i="1" a="1"/>
  <c r="AN59" i="1" a="1"/>
  <c r="AN106" i="1" a="1"/>
  <c r="AN82" i="1" a="1"/>
  <c r="AN79" i="1" a="1"/>
  <c r="AN65" i="1" a="1"/>
  <c r="AN95" i="1" a="1"/>
  <c r="AN70" i="1" a="1"/>
  <c r="AN94" i="1" a="1"/>
  <c r="AN107" i="1" a="1"/>
  <c r="AN97" i="1" a="1"/>
  <c r="AN87" i="1" a="1"/>
  <c r="AN91" i="1" a="1"/>
  <c r="AN73" i="1" a="1"/>
  <c r="AN76" i="1" a="1"/>
  <c r="AN78" i="1" a="1"/>
  <c r="AN77" i="1" a="1"/>
  <c r="E53" i="8" l="1"/>
  <c r="E27" i="8" s="1"/>
  <c r="AN77" i="1"/>
  <c r="AN78" i="1"/>
  <c r="AN76" i="1"/>
  <c r="AN73" i="1"/>
  <c r="AN91" i="1"/>
  <c r="AN87" i="1"/>
  <c r="AN97" i="1"/>
  <c r="AN107" i="1"/>
  <c r="AN94" i="1"/>
  <c r="AN70" i="1"/>
  <c r="AN95" i="1"/>
  <c r="AN65" i="1"/>
  <c r="AN79" i="1"/>
  <c r="AN82" i="1"/>
  <c r="AN106" i="1"/>
  <c r="AN59" i="1"/>
  <c r="AN69" i="1"/>
  <c r="AN90" i="1"/>
  <c r="AN100" i="1"/>
  <c r="AN89" i="1"/>
  <c r="AN61" i="1"/>
  <c r="AN104" i="1"/>
  <c r="AN63" i="1"/>
  <c r="AN96" i="1"/>
  <c r="AN62" i="1"/>
  <c r="AN60" i="1"/>
  <c r="AN67" i="1"/>
  <c r="AN105" i="1"/>
  <c r="AN83" i="1"/>
  <c r="AN93" i="1"/>
  <c r="AG78" i="1"/>
  <c r="AG83" i="1"/>
  <c r="AG87" i="1"/>
  <c r="AG91" i="1"/>
  <c r="AG104" i="1"/>
  <c r="AG94" i="1"/>
  <c r="AG97" i="1"/>
  <c r="AG77" i="1"/>
  <c r="AG92" i="1"/>
  <c r="AG101" i="1"/>
  <c r="AG105" i="1"/>
  <c r="AG110" i="1"/>
  <c r="AG114" i="1"/>
  <c r="AG122" i="1"/>
  <c r="AG82" i="1"/>
  <c r="AG84" i="1"/>
  <c r="AG90" i="1"/>
  <c r="AG118" i="1"/>
  <c r="AG124" i="1"/>
  <c r="AG127" i="1"/>
  <c r="AG130" i="1"/>
  <c r="AG106" i="1"/>
  <c r="AG76" i="1"/>
  <c r="AG96" i="1"/>
  <c r="AG80" i="1"/>
  <c r="AG85" i="1"/>
  <c r="AG116" i="1"/>
  <c r="AG123" i="1"/>
  <c r="AG126" i="1"/>
  <c r="AG129" i="1"/>
  <c r="AG89" i="1"/>
  <c r="AG99" i="1"/>
  <c r="AG102" i="1"/>
  <c r="AG98" i="1"/>
  <c r="AG81" i="1"/>
  <c r="AG113" i="1"/>
  <c r="AG146" i="1"/>
  <c r="AG95" i="1"/>
  <c r="AG100" i="1"/>
  <c r="AG120" i="1"/>
  <c r="AG79" i="1"/>
  <c r="AG88" i="1"/>
  <c r="AG103" i="1"/>
  <c r="AG108" i="1"/>
  <c r="AG109" i="1"/>
  <c r="AG93" i="1"/>
  <c r="AG119" i="1"/>
  <c r="AG154" i="1"/>
  <c r="AG147" i="1"/>
  <c r="AG131" i="1"/>
  <c r="AG156" i="1"/>
  <c r="AG135" i="1"/>
  <c r="AG139" i="1"/>
  <c r="AG141" i="1"/>
  <c r="AG144" i="1"/>
  <c r="AG149" i="1"/>
  <c r="AG151" i="1"/>
  <c r="AG153" i="1"/>
  <c r="AG112" i="1"/>
  <c r="AG143" i="1"/>
  <c r="AG111" i="1"/>
  <c r="AG125" i="1"/>
  <c r="AG137" i="1"/>
  <c r="AG121" i="1"/>
  <c r="AG138" i="1"/>
  <c r="AG140" i="1"/>
  <c r="AG150" i="1"/>
  <c r="AG157" i="1"/>
  <c r="AG86" i="1"/>
  <c r="AG134" i="1"/>
  <c r="AG145" i="1"/>
  <c r="AG117" i="1"/>
  <c r="AG132" i="1"/>
  <c r="AG133" i="1"/>
  <c r="AG152" i="1"/>
  <c r="AG142" i="1"/>
  <c r="AG128" i="1"/>
  <c r="AG148" i="1"/>
  <c r="AG115" i="1"/>
  <c r="AG155" i="1"/>
  <c r="AG136" i="1"/>
  <c r="AG107" i="1"/>
  <c r="AN88" i="1"/>
  <c r="AN72" i="1"/>
  <c r="AN99" i="1"/>
  <c r="AN102" i="1"/>
  <c r="AN58" i="1"/>
  <c r="AN71" i="1"/>
  <c r="AN64" i="1"/>
  <c r="AN81" i="1"/>
  <c r="AN103" i="1"/>
  <c r="AN84" i="1"/>
  <c r="AN68" i="1"/>
  <c r="AN92" i="1"/>
  <c r="AN101" i="1"/>
  <c r="AN86" i="1"/>
  <c r="AN66" i="1"/>
  <c r="AN98" i="1"/>
  <c r="AN85" i="1"/>
  <c r="AN80" i="1"/>
  <c r="BH65" i="1"/>
  <c r="BG65" i="1"/>
  <c r="BH73" i="1"/>
  <c r="BG73" i="1"/>
  <c r="J230" i="1"/>
  <c r="K230" i="1"/>
  <c r="E38" i="8"/>
  <c r="M220" i="1"/>
  <c r="J231" i="1"/>
  <c r="J236" i="1" s="1"/>
  <c r="K231" i="1"/>
  <c r="K236" i="1" s="1"/>
  <c r="I111" i="1"/>
  <c r="BG71" i="1"/>
  <c r="BH71" i="1"/>
  <c r="BH64" i="1"/>
  <c r="BG64" i="1"/>
  <c r="BH74" i="1"/>
  <c r="BG74" i="1"/>
  <c r="E46" i="8"/>
  <c r="M230" i="1"/>
  <c r="J112" i="1"/>
  <c r="J114" i="1" s="1"/>
  <c r="E34" i="8"/>
  <c r="M218" i="1"/>
  <c r="N218" i="1" s="1"/>
  <c r="O218" i="1" s="1"/>
  <c r="P218" i="1" s="1"/>
  <c r="Q218" i="1" s="1"/>
  <c r="R218" i="1" s="1"/>
  <c r="M111" i="1"/>
  <c r="N111" i="1" s="1"/>
  <c r="M110" i="1"/>
  <c r="M114" i="1"/>
  <c r="J228" i="1"/>
  <c r="L52" i="1"/>
  <c r="N52" i="1"/>
  <c r="P52" i="1"/>
  <c r="O52" i="1"/>
  <c r="K110" i="1"/>
  <c r="K111" i="1"/>
  <c r="BG63" i="1"/>
  <c r="BH63" i="1"/>
  <c r="J108" i="1"/>
  <c r="K106" i="1"/>
  <c r="I112" i="1"/>
  <c r="I114" i="1" s="1"/>
  <c r="N103" i="1"/>
  <c r="M212" i="1"/>
  <c r="N212" i="1" s="1"/>
  <c r="O212" i="1" s="1"/>
  <c r="P212" i="1" s="1"/>
  <c r="Q212" i="1" s="1"/>
  <c r="R212" i="1" s="1"/>
  <c r="M119" i="1"/>
  <c r="E24" i="8" s="1"/>
  <c r="E23" i="8" s="1"/>
  <c r="F23" i="8" s="1"/>
  <c r="G23" i="8" s="1"/>
  <c r="H23" i="8" s="1"/>
  <c r="I23" i="8" s="1"/>
  <c r="J23" i="8" s="1"/>
  <c r="E14" i="8"/>
  <c r="F14" i="8" s="1"/>
  <c r="M106" i="1"/>
  <c r="N106" i="1" s="1"/>
  <c r="O106" i="1" s="1"/>
  <c r="P106" i="1" s="1"/>
  <c r="Q106" i="1" s="1"/>
  <c r="R106" i="1" s="1"/>
  <c r="D14" i="8"/>
  <c r="D37" i="8" s="1"/>
  <c r="L106" i="1"/>
  <c r="L108" i="1"/>
  <c r="O53" i="1"/>
  <c r="N53" i="1"/>
  <c r="L53" i="1"/>
  <c r="P53" i="1"/>
  <c r="L56" i="1"/>
  <c r="N56" i="1"/>
  <c r="P56" i="1"/>
  <c r="O56" i="1"/>
  <c r="F228" i="1"/>
  <c r="Q51" i="1"/>
  <c r="R51" i="1"/>
  <c r="I120" i="1"/>
  <c r="I121" i="1" s="1"/>
  <c r="F57" i="1"/>
  <c r="S62" i="1" s="1"/>
  <c r="I148" i="1"/>
  <c r="F88" i="1"/>
  <c r="E44" i="8"/>
  <c r="M228" i="1"/>
  <c r="H114" i="1"/>
  <c r="J110" i="1"/>
  <c r="J111" i="1"/>
  <c r="M120" i="1"/>
  <c r="M121" i="1" s="1"/>
  <c r="N121" i="1" s="1"/>
  <c r="AC64" i="1"/>
  <c r="AD65" i="1"/>
  <c r="J218" i="1"/>
  <c r="M108" i="1"/>
  <c r="N108" i="1" s="1"/>
  <c r="O108" i="1" s="1"/>
  <c r="P108" i="1" s="1"/>
  <c r="Q108" i="1" s="1"/>
  <c r="R108" i="1" s="1"/>
  <c r="H119" i="1"/>
  <c r="H113" i="1"/>
  <c r="I231" i="1"/>
  <c r="I236" i="1" s="1"/>
  <c r="O170" i="1"/>
  <c r="I194" i="1"/>
  <c r="I182" i="1"/>
  <c r="I228" i="1"/>
  <c r="I123" i="1"/>
  <c r="I132" i="1" s="1"/>
  <c r="I218" i="1"/>
  <c r="L120" i="1"/>
  <c r="L121" i="1" s="1"/>
  <c r="D38" i="8"/>
  <c r="L220" i="1"/>
  <c r="D39" i="8" s="1"/>
  <c r="K221" i="1"/>
  <c r="K224" i="1" s="1"/>
  <c r="F55" i="1"/>
  <c r="F84" i="1" s="1"/>
  <c r="F56" i="1"/>
  <c r="S61" i="1" s="1"/>
  <c r="I147" i="1"/>
  <c r="J221" i="1"/>
  <c r="J224" i="1" s="1"/>
  <c r="M231" i="1"/>
  <c r="M236" i="1" s="1"/>
  <c r="N236" i="1" s="1"/>
  <c r="O236" i="1" s="1"/>
  <c r="P236" i="1" s="1"/>
  <c r="Q236" i="1" s="1"/>
  <c r="R236" i="1" s="1"/>
  <c r="BH61" i="1"/>
  <c r="BG61" i="1"/>
  <c r="BG62" i="1"/>
  <c r="BH62" i="1"/>
  <c r="S63" i="1"/>
  <c r="F82" i="1"/>
  <c r="F117" i="1"/>
  <c r="R148" i="1"/>
  <c r="AH75" i="1"/>
  <c r="P182" i="1"/>
  <c r="P194" i="1"/>
  <c r="J123" i="1"/>
  <c r="J132" i="1" s="1"/>
  <c r="F221" i="1"/>
  <c r="F224" i="1" s="1"/>
  <c r="K112" i="1"/>
  <c r="K114" i="1" s="1"/>
  <c r="L111" i="1"/>
  <c r="L110" i="1"/>
  <c r="AG63" i="1"/>
  <c r="K237" i="1"/>
  <c r="K228" i="1"/>
  <c r="D44" i="8"/>
  <c r="L228" i="1"/>
  <c r="D45" i="8" s="1"/>
  <c r="L237" i="1"/>
  <c r="R194" i="1"/>
  <c r="R182" i="1"/>
  <c r="J120" i="1"/>
  <c r="J121" i="1" s="1"/>
  <c r="D46" i="8"/>
  <c r="L230" i="1"/>
  <c r="D47" i="8" s="1"/>
  <c r="L123" i="1"/>
  <c r="L132" i="1" s="1"/>
  <c r="K218" i="1"/>
  <c r="F220" i="1"/>
  <c r="F230" i="1"/>
  <c r="F218" i="1"/>
  <c r="P55" i="1"/>
  <c r="L55" i="1"/>
  <c r="O55" i="1"/>
  <c r="N55" i="1"/>
  <c r="M182" i="1"/>
  <c r="S170" i="1"/>
  <c r="M194" i="1"/>
  <c r="BH72" i="1"/>
  <c r="BG72" i="1"/>
  <c r="M221" i="1"/>
  <c r="M224" i="1" s="1"/>
  <c r="N224" i="1" s="1"/>
  <c r="O224" i="1" s="1"/>
  <c r="P224" i="1" s="1"/>
  <c r="Q224" i="1" s="1"/>
  <c r="R224" i="1" s="1"/>
  <c r="M123" i="1"/>
  <c r="M132" i="1" s="1"/>
  <c r="N132" i="1" s="1"/>
  <c r="D34" i="8"/>
  <c r="L225" i="1"/>
  <c r="L218" i="1"/>
  <c r="L112" i="1"/>
  <c r="L114" i="1" s="1"/>
  <c r="O54" i="1"/>
  <c r="P54" i="1"/>
  <c r="L54" i="1"/>
  <c r="N54" i="1"/>
  <c r="N136" i="1"/>
  <c r="O136" i="1" s="1"/>
  <c r="P136" i="1" s="1"/>
  <c r="Q136" i="1" s="1"/>
  <c r="R136" i="1" s="1"/>
  <c r="E37" i="8"/>
  <c r="F37" i="8" s="1"/>
  <c r="G37" i="8" s="1"/>
  <c r="H37" i="8" s="1"/>
  <c r="I37" i="8" s="1"/>
  <c r="J37" i="8" s="1"/>
  <c r="BH70" i="1"/>
  <c r="BG70" i="1"/>
  <c r="I221" i="1"/>
  <c r="I224" i="1" s="1"/>
  <c r="F231" i="1"/>
  <c r="F236" i="1" s="1"/>
  <c r="K123" i="1"/>
  <c r="K132" i="1" s="1"/>
  <c r="AH146" i="1" a="1"/>
  <c r="AH136" i="1" a="1"/>
  <c r="AH130" i="1" a="1"/>
  <c r="AH123" i="1" a="1"/>
  <c r="AH103" i="1" a="1"/>
  <c r="AH155" i="1" a="1"/>
  <c r="AH143" i="1" a="1"/>
  <c r="AH157" i="1" a="1"/>
  <c r="AH150" i="1" a="1"/>
  <c r="AH140" i="1" a="1"/>
  <c r="AH138" i="1" a="1"/>
  <c r="AH126" i="1" a="1"/>
  <c r="AH148" i="1" a="1"/>
  <c r="AH106" i="1" a="1"/>
  <c r="AH142" i="1" a="1"/>
  <c r="AH153" i="1" a="1"/>
  <c r="AH151" i="1" a="1"/>
  <c r="AH144" i="1" a="1"/>
  <c r="AH135" i="1" a="1"/>
  <c r="AH156" i="1" a="1"/>
  <c r="AH127" i="1" a="1"/>
  <c r="AH129" i="1" a="1"/>
  <c r="AH147" i="1" a="1"/>
  <c r="AH131" i="1" a="1"/>
  <c r="AH89" i="1" a="1"/>
  <c r="AH154" i="1" a="1"/>
  <c r="AH133" i="1" a="1"/>
  <c r="AH119" i="1" a="1"/>
  <c r="AH102" i="1" a="1"/>
  <c r="AH152" i="1" a="1"/>
  <c r="AH145" i="1" a="1"/>
  <c r="AH134" i="1" a="1"/>
  <c r="AH132" i="1" a="1"/>
  <c r="AH108" i="1" a="1"/>
  <c r="AH113" i="1" a="1"/>
  <c r="AH97" i="1" a="1"/>
  <c r="AH121" i="1" a="1"/>
  <c r="AH101" i="1" a="1"/>
  <c r="AH93" i="1" a="1"/>
  <c r="AH86" i="1" a="1"/>
  <c r="AH84" i="1" a="1"/>
  <c r="AH139" i="1" a="1"/>
  <c r="AH137" i="1" a="1"/>
  <c r="AH128" i="1" a="1"/>
  <c r="AH125" i="1" a="1"/>
  <c r="AH111" i="1" a="1"/>
  <c r="AH122" i="1" a="1"/>
  <c r="AH116" i="1" a="1"/>
  <c r="AH105" i="1" a="1"/>
  <c r="AH99" i="1" a="1"/>
  <c r="AH85" i="1" a="1"/>
  <c r="AH78" i="1" a="1"/>
  <c r="AH96" i="1" a="1"/>
  <c r="AH94" i="1" a="1"/>
  <c r="AH82" i="1" a="1"/>
  <c r="AH76" i="1" a="1"/>
  <c r="AH115" i="1" a="1"/>
  <c r="AH114" i="1" a="1"/>
  <c r="AH112" i="1" a="1"/>
  <c r="AH92" i="1" a="1"/>
  <c r="AH124" i="1" a="1"/>
  <c r="AH118" i="1" a="1"/>
  <c r="AH90" i="1" a="1"/>
  <c r="AH88" i="1" a="1"/>
  <c r="AH149" i="1" a="1"/>
  <c r="AH141" i="1" a="1"/>
  <c r="AH120" i="1" a="1"/>
  <c r="AH110" i="1" a="1"/>
  <c r="AH100" i="1" a="1"/>
  <c r="AH77" i="1" a="1"/>
  <c r="AH117" i="1" a="1"/>
  <c r="AH107" i="1" a="1"/>
  <c r="AH95" i="1" a="1"/>
  <c r="AH80" i="1" a="1"/>
  <c r="AH109" i="1" a="1"/>
  <c r="AH104" i="1" a="1"/>
  <c r="AH91" i="1" a="1"/>
  <c r="AH87" i="1" a="1"/>
  <c r="AH83" i="1" a="1"/>
  <c r="AH98" i="1" a="1"/>
  <c r="AH81" i="1" a="1"/>
  <c r="AH79" i="1" a="1"/>
  <c r="M237" i="1" l="1"/>
  <c r="S51" i="1"/>
  <c r="D48" i="8"/>
  <c r="D49" i="8" s="1"/>
  <c r="J237" i="1"/>
  <c r="F78" i="1"/>
  <c r="AH79" i="1"/>
  <c r="AH81" i="1"/>
  <c r="AH98" i="1"/>
  <c r="AH83" i="1"/>
  <c r="AH87" i="1"/>
  <c r="AH91" i="1"/>
  <c r="AH104" i="1"/>
  <c r="AH109" i="1"/>
  <c r="AH80" i="1"/>
  <c r="AH95" i="1"/>
  <c r="AH107" i="1"/>
  <c r="AH117" i="1"/>
  <c r="AH77" i="1"/>
  <c r="AH100" i="1"/>
  <c r="AH110" i="1"/>
  <c r="AH120" i="1"/>
  <c r="AH141" i="1"/>
  <c r="AH149" i="1"/>
  <c r="AH88" i="1"/>
  <c r="AH90" i="1"/>
  <c r="AH118" i="1"/>
  <c r="AH124" i="1"/>
  <c r="AH92" i="1"/>
  <c r="AH112" i="1"/>
  <c r="AH114" i="1"/>
  <c r="AH115" i="1"/>
  <c r="AH76" i="1"/>
  <c r="AH82" i="1"/>
  <c r="AH94" i="1"/>
  <c r="AH96" i="1"/>
  <c r="AH78" i="1"/>
  <c r="AH85" i="1"/>
  <c r="AH99" i="1"/>
  <c r="AH105" i="1"/>
  <c r="AH116" i="1"/>
  <c r="AH122" i="1"/>
  <c r="AH111" i="1"/>
  <c r="AH125" i="1"/>
  <c r="AH128" i="1"/>
  <c r="AH137" i="1"/>
  <c r="AH139" i="1"/>
  <c r="AH84" i="1"/>
  <c r="AH86" i="1"/>
  <c r="AH93" i="1"/>
  <c r="AH101" i="1"/>
  <c r="AH121" i="1"/>
  <c r="AH97" i="1"/>
  <c r="AH113" i="1"/>
  <c r="AH108" i="1"/>
  <c r="AH132" i="1"/>
  <c r="AH134" i="1"/>
  <c r="AH145" i="1"/>
  <c r="AH152" i="1"/>
  <c r="AH102" i="1"/>
  <c r="AH119" i="1"/>
  <c r="AH133" i="1"/>
  <c r="AH154" i="1"/>
  <c r="AH89" i="1"/>
  <c r="AH131" i="1"/>
  <c r="AH147" i="1"/>
  <c r="AH129" i="1"/>
  <c r="AH127" i="1"/>
  <c r="AH156" i="1"/>
  <c r="AH135" i="1"/>
  <c r="AH144" i="1"/>
  <c r="AH151" i="1"/>
  <c r="AH153" i="1"/>
  <c r="AH142" i="1"/>
  <c r="AH106" i="1"/>
  <c r="AH148" i="1"/>
  <c r="AH126" i="1"/>
  <c r="AH138" i="1"/>
  <c r="AH140" i="1"/>
  <c r="AH150" i="1"/>
  <c r="AH157" i="1"/>
  <c r="AH143" i="1"/>
  <c r="AH155" i="1"/>
  <c r="AH103" i="1"/>
  <c r="AH123" i="1"/>
  <c r="AH130" i="1"/>
  <c r="AH136" i="1"/>
  <c r="AH146" i="1"/>
  <c r="I116" i="1"/>
  <c r="I117" i="1"/>
  <c r="I118" i="1" s="1"/>
  <c r="L117" i="1"/>
  <c r="L116" i="1"/>
  <c r="L118" i="1"/>
  <c r="L115" i="1"/>
  <c r="K117" i="1"/>
  <c r="K118" i="1" s="1"/>
  <c r="K116" i="1"/>
  <c r="K115" i="1"/>
  <c r="AP94" i="1"/>
  <c r="AO94" i="1"/>
  <c r="D35" i="8"/>
  <c r="D40" i="8"/>
  <c r="D41" i="8" s="1"/>
  <c r="F225" i="1"/>
  <c r="J225" i="1"/>
  <c r="J239" i="1" s="1"/>
  <c r="AP71" i="1"/>
  <c r="AO71" i="1"/>
  <c r="AP61" i="1"/>
  <c r="AO61" i="1"/>
  <c r="AP107" i="1"/>
  <c r="AO107" i="1"/>
  <c r="R55" i="1"/>
  <c r="Q55" i="1"/>
  <c r="AP84" i="1"/>
  <c r="AO84" i="1"/>
  <c r="AP65" i="1"/>
  <c r="AO65" i="1"/>
  <c r="AP64" i="1"/>
  <c r="AO64" i="1"/>
  <c r="AP104" i="1"/>
  <c r="AO104" i="1"/>
  <c r="O132" i="1"/>
  <c r="Q53" i="1"/>
  <c r="R53" i="1"/>
  <c r="M116" i="1"/>
  <c r="E19" i="8" s="1"/>
  <c r="E18" i="8"/>
  <c r="E22" i="8" s="1"/>
  <c r="E28" i="8" s="1"/>
  <c r="E30" i="8" s="1"/>
  <c r="M115" i="1"/>
  <c r="M117" i="1"/>
  <c r="M118" i="1" s="1"/>
  <c r="M133" i="1" s="1"/>
  <c r="AP80" i="1"/>
  <c r="AO80" i="1"/>
  <c r="AP58" i="1"/>
  <c r="AO58" i="1"/>
  <c r="AP89" i="1"/>
  <c r="AO89" i="1"/>
  <c r="AP97" i="1"/>
  <c r="AO97" i="1"/>
  <c r="O182" i="1"/>
  <c r="O194" i="1"/>
  <c r="AP68" i="1"/>
  <c r="AO68" i="1"/>
  <c r="AP79" i="1"/>
  <c r="AO79" i="1"/>
  <c r="E48" i="8"/>
  <c r="E49" i="8" s="1"/>
  <c r="F49" i="8" s="1"/>
  <c r="G49" i="8" s="1"/>
  <c r="H49" i="8" s="1"/>
  <c r="I49" i="8" s="1"/>
  <c r="J49" i="8" s="1"/>
  <c r="AP95" i="1"/>
  <c r="AO95" i="1"/>
  <c r="AP81" i="1"/>
  <c r="AO81" i="1"/>
  <c r="BH68" i="1"/>
  <c r="AD66" i="1"/>
  <c r="AC65" i="1"/>
  <c r="AP85" i="1"/>
  <c r="AO85" i="1"/>
  <c r="AP75" i="1"/>
  <c r="AQ75" i="1" s="1"/>
  <c r="AO75" i="1"/>
  <c r="AP100" i="1"/>
  <c r="AO100" i="1"/>
  <c r="AP87" i="1"/>
  <c r="AO87" i="1"/>
  <c r="R54" i="1"/>
  <c r="Q54" i="1"/>
  <c r="S54" i="1" s="1"/>
  <c r="AP62" i="1"/>
  <c r="AO62" i="1"/>
  <c r="AP103" i="1"/>
  <c r="AO103" i="1"/>
  <c r="L239" i="1"/>
  <c r="K225" i="1"/>
  <c r="K239" i="1" s="1"/>
  <c r="L241" i="1" s="1"/>
  <c r="I225" i="1"/>
  <c r="O111" i="1"/>
  <c r="AP102" i="1"/>
  <c r="AO102" i="1"/>
  <c r="AG64" i="1"/>
  <c r="AP91" i="1"/>
  <c r="AO91" i="1"/>
  <c r="O121" i="1"/>
  <c r="F237" i="1"/>
  <c r="M225" i="1"/>
  <c r="M239" i="1" s="1"/>
  <c r="AP98" i="1"/>
  <c r="AO98" i="1"/>
  <c r="AP99" i="1"/>
  <c r="AO99" i="1"/>
  <c r="AP90" i="1"/>
  <c r="AO90" i="1"/>
  <c r="AP73" i="1"/>
  <c r="AO73" i="1"/>
  <c r="AP60" i="1"/>
  <c r="AO60" i="1"/>
  <c r="E45" i="8"/>
  <c r="F45" i="8" s="1"/>
  <c r="G45" i="8" s="1"/>
  <c r="H45" i="8" s="1"/>
  <c r="I45" i="8" s="1"/>
  <c r="J45" i="8" s="1"/>
  <c r="N228" i="1"/>
  <c r="AP96" i="1"/>
  <c r="AO96" i="1"/>
  <c r="BH59" i="1"/>
  <c r="BH56" i="1" s="1"/>
  <c r="F61" i="1" s="1"/>
  <c r="F87" i="1" s="1"/>
  <c r="F89" i="1" s="1"/>
  <c r="I237" i="1"/>
  <c r="N105" i="1"/>
  <c r="N109" i="1" s="1"/>
  <c r="AP66" i="1"/>
  <c r="AO66" i="1"/>
  <c r="AP72" i="1"/>
  <c r="AO72" i="1"/>
  <c r="AP93" i="1"/>
  <c r="AO93" i="1"/>
  <c r="AP69" i="1"/>
  <c r="AO69" i="1"/>
  <c r="AP76" i="1"/>
  <c r="AO76" i="1"/>
  <c r="O103" i="1"/>
  <c r="B142" i="1"/>
  <c r="AP70" i="1"/>
  <c r="AO70" i="1"/>
  <c r="K113" i="1"/>
  <c r="K119" i="1"/>
  <c r="J117" i="1"/>
  <c r="J118" i="1" s="1"/>
  <c r="J115" i="1"/>
  <c r="J116" i="1"/>
  <c r="R56" i="1"/>
  <c r="Q56" i="1"/>
  <c r="E35" i="8"/>
  <c r="F35" i="8" s="1"/>
  <c r="G35" i="8" s="1"/>
  <c r="H35" i="8" s="1"/>
  <c r="I35" i="8" s="1"/>
  <c r="J35" i="8" s="1"/>
  <c r="E40" i="8"/>
  <c r="E41" i="8" s="1"/>
  <c r="F41" i="8" s="1"/>
  <c r="G41" i="8" s="1"/>
  <c r="H41" i="8" s="1"/>
  <c r="I41" i="8" s="1"/>
  <c r="J41" i="8" s="1"/>
  <c r="E39" i="8"/>
  <c r="F39" i="8" s="1"/>
  <c r="G39" i="8" s="1"/>
  <c r="H39" i="8" s="1"/>
  <c r="I39" i="8" s="1"/>
  <c r="J39" i="8" s="1"/>
  <c r="N220" i="1"/>
  <c r="O220" i="1" s="1"/>
  <c r="P220" i="1" s="1"/>
  <c r="Q220" i="1" s="1"/>
  <c r="R220" i="1" s="1"/>
  <c r="AP86" i="1"/>
  <c r="AO86" i="1"/>
  <c r="AP88" i="1"/>
  <c r="AO88" i="1"/>
  <c r="AP83" i="1"/>
  <c r="AO83" i="1"/>
  <c r="AP59" i="1"/>
  <c r="AO59" i="1"/>
  <c r="AP78" i="1"/>
  <c r="AO78" i="1"/>
  <c r="AP63" i="1"/>
  <c r="AO63" i="1"/>
  <c r="S194" i="1"/>
  <c r="S182" i="1"/>
  <c r="F48" i="8"/>
  <c r="F40" i="8"/>
  <c r="G14" i="8"/>
  <c r="F26" i="8"/>
  <c r="F24" i="8" s="1"/>
  <c r="F36" i="8"/>
  <c r="F18" i="8"/>
  <c r="J119" i="1"/>
  <c r="J113" i="1"/>
  <c r="AP101" i="1"/>
  <c r="AO101" i="1"/>
  <c r="AP105" i="1"/>
  <c r="AO105" i="1"/>
  <c r="AP106" i="1"/>
  <c r="AO106" i="1"/>
  <c r="AP77" i="1"/>
  <c r="AO77" i="1"/>
  <c r="L113" i="1"/>
  <c r="L119" i="1"/>
  <c r="I113" i="1"/>
  <c r="I119" i="1"/>
  <c r="D183" i="1"/>
  <c r="D184" i="1" s="1"/>
  <c r="D185" i="1" s="1"/>
  <c r="D186" i="1" s="1"/>
  <c r="D187" i="1" s="1"/>
  <c r="H118" i="1"/>
  <c r="H133" i="1" s="1"/>
  <c r="H117" i="1"/>
  <c r="H115" i="1"/>
  <c r="H116" i="1"/>
  <c r="M113" i="1"/>
  <c r="Q52" i="1"/>
  <c r="R52" i="1"/>
  <c r="E47" i="8"/>
  <c r="F47" i="8" s="1"/>
  <c r="G47" i="8" s="1"/>
  <c r="H47" i="8" s="1"/>
  <c r="I47" i="8" s="1"/>
  <c r="J47" i="8" s="1"/>
  <c r="N230" i="1"/>
  <c r="O230" i="1" s="1"/>
  <c r="P230" i="1" s="1"/>
  <c r="Q230" i="1" s="1"/>
  <c r="R230" i="1" s="1"/>
  <c r="AP92" i="1"/>
  <c r="AO92" i="1"/>
  <c r="AP67" i="1"/>
  <c r="AO67" i="1"/>
  <c r="AP82" i="1"/>
  <c r="AO82" i="1"/>
  <c r="AP74" i="1"/>
  <c r="AQ74" i="1" s="1"/>
  <c r="AO74" i="1"/>
  <c r="S52" i="1" l="1"/>
  <c r="AQ96" i="1"/>
  <c r="AQ63" i="1"/>
  <c r="S56" i="1"/>
  <c r="N120" i="1"/>
  <c r="I133" i="1"/>
  <c r="AQ101" i="1"/>
  <c r="K133" i="1"/>
  <c r="N110" i="1"/>
  <c r="I239" i="1"/>
  <c r="J241" i="1" s="1"/>
  <c r="AQ79" i="1"/>
  <c r="AQ85" i="1"/>
  <c r="AQ105" i="1"/>
  <c r="AQ98" i="1"/>
  <c r="AQ84" i="1"/>
  <c r="AQ94" i="1"/>
  <c r="P103" i="1"/>
  <c r="Q103" i="1" s="1"/>
  <c r="R103" i="1" s="1"/>
  <c r="B143" i="1"/>
  <c r="M241" i="1"/>
  <c r="AQ68" i="1"/>
  <c r="S55" i="1"/>
  <c r="AQ82" i="1"/>
  <c r="AQ76" i="1"/>
  <c r="AQ107" i="1"/>
  <c r="F22" i="8"/>
  <c r="F20" i="8"/>
  <c r="AQ69" i="1"/>
  <c r="AQ97" i="1"/>
  <c r="P132" i="1"/>
  <c r="P121" i="1"/>
  <c r="AQ78" i="1"/>
  <c r="AC66" i="1"/>
  <c r="AD67" i="1"/>
  <c r="S53" i="1"/>
  <c r="S58" i="1" s="1"/>
  <c r="S60" i="1" s="1"/>
  <c r="S64" i="1" s="1"/>
  <c r="Z35" i="1" s="1"/>
  <c r="F73" i="1" s="1"/>
  <c r="AQ67" i="1"/>
  <c r="F38" i="8"/>
  <c r="F44" i="8"/>
  <c r="F50" i="8" s="1"/>
  <c r="AQ59" i="1"/>
  <c r="AQ60" i="1"/>
  <c r="AQ91" i="1"/>
  <c r="AQ62" i="1"/>
  <c r="N123" i="1"/>
  <c r="AQ61" i="1"/>
  <c r="AQ92" i="1"/>
  <c r="L133" i="1"/>
  <c r="L134" i="1" s="1"/>
  <c r="F46" i="8"/>
  <c r="AQ83" i="1"/>
  <c r="AQ73" i="1"/>
  <c r="AQ81" i="1"/>
  <c r="AT73" i="1"/>
  <c r="AT74" i="1"/>
  <c r="AT72" i="1"/>
  <c r="AT70" i="1"/>
  <c r="AT71" i="1"/>
  <c r="AQ104" i="1"/>
  <c r="AQ71" i="1"/>
  <c r="F34" i="8"/>
  <c r="AQ102" i="1"/>
  <c r="AQ58" i="1"/>
  <c r="K241" i="1"/>
  <c r="O228" i="1"/>
  <c r="AQ103" i="1"/>
  <c r="AQ89" i="1"/>
  <c r="AQ72" i="1"/>
  <c r="AQ77" i="1"/>
  <c r="G40" i="8"/>
  <c r="G26" i="8"/>
  <c r="G24" i="8" s="1"/>
  <c r="G46" i="8"/>
  <c r="G48" i="8"/>
  <c r="H14" i="8"/>
  <c r="G36" i="8"/>
  <c r="G18" i="8"/>
  <c r="G34" i="8"/>
  <c r="AQ88" i="1"/>
  <c r="AQ90" i="1"/>
  <c r="AQ87" i="1"/>
  <c r="AQ95" i="1"/>
  <c r="AQ64" i="1"/>
  <c r="F239" i="1"/>
  <c r="J133" i="1"/>
  <c r="J134" i="1" s="1"/>
  <c r="AQ66" i="1"/>
  <c r="P111" i="1"/>
  <c r="AQ80" i="1"/>
  <c r="AQ93" i="1"/>
  <c r="U113" i="1"/>
  <c r="N113" i="1" s="1"/>
  <c r="AQ106" i="1"/>
  <c r="AQ86" i="1"/>
  <c r="AQ70" i="1"/>
  <c r="N107" i="1"/>
  <c r="N215" i="1" s="1"/>
  <c r="N219" i="1" s="1"/>
  <c r="O105" i="1"/>
  <c r="O120" i="1" s="1"/>
  <c r="N214" i="1"/>
  <c r="AQ99" i="1"/>
  <c r="AQ100" i="1"/>
  <c r="AQ65" i="1"/>
  <c r="AG65" i="1"/>
  <c r="I241" i="1" l="1"/>
  <c r="N112" i="1"/>
  <c r="O113" i="1"/>
  <c r="AV74" i="1"/>
  <c r="AU74" i="1"/>
  <c r="AV72" i="1"/>
  <c r="AU72" i="1"/>
  <c r="AU70" i="1"/>
  <c r="AV70" i="1"/>
  <c r="N227" i="1"/>
  <c r="G42" i="8"/>
  <c r="AD68" i="1"/>
  <c r="AC67" i="1"/>
  <c r="G20" i="8"/>
  <c r="G22" i="8" s="1"/>
  <c r="AT62" i="1"/>
  <c r="AT63" i="1"/>
  <c r="AT61" i="1"/>
  <c r="AT64" i="1"/>
  <c r="AT65" i="1"/>
  <c r="K134" i="1"/>
  <c r="N229" i="1"/>
  <c r="N217" i="1"/>
  <c r="N221" i="1"/>
  <c r="N231" i="1"/>
  <c r="AU73" i="1"/>
  <c r="AV73" i="1"/>
  <c r="G44" i="8"/>
  <c r="G50" i="8" s="1"/>
  <c r="G38" i="8"/>
  <c r="F42" i="8"/>
  <c r="F52" i="8" s="1"/>
  <c r="P228" i="1"/>
  <c r="H34" i="8"/>
  <c r="H36" i="8"/>
  <c r="H40" i="8"/>
  <c r="H48" i="8"/>
  <c r="H18" i="8"/>
  <c r="H46" i="8"/>
  <c r="I14" i="8"/>
  <c r="H26" i="8"/>
  <c r="H24" i="8" s="1"/>
  <c r="Q111" i="1"/>
  <c r="P109" i="1"/>
  <c r="M134" i="1"/>
  <c r="Q121" i="1"/>
  <c r="O107" i="1"/>
  <c r="O215" i="1" s="1"/>
  <c r="O219" i="1" s="1"/>
  <c r="P105" i="1"/>
  <c r="P120" i="1" s="1"/>
  <c r="O214" i="1"/>
  <c r="O109" i="1"/>
  <c r="P123" i="1"/>
  <c r="Q132" i="1"/>
  <c r="B159" i="1"/>
  <c r="S103" i="1"/>
  <c r="D170" i="1" s="1"/>
  <c r="AU71" i="1"/>
  <c r="AV71" i="1"/>
  <c r="O123" i="1"/>
  <c r="AG66" i="1"/>
  <c r="N237" i="1" l="1"/>
  <c r="AV68" i="1"/>
  <c r="H20" i="8"/>
  <c r="H22" i="8" s="1"/>
  <c r="AU65" i="1"/>
  <c r="AV65" i="1"/>
  <c r="R132" i="1"/>
  <c r="H38" i="8"/>
  <c r="H42" i="8" s="1"/>
  <c r="H44" i="8"/>
  <c r="H50" i="8" s="1"/>
  <c r="P107" i="1"/>
  <c r="P215" i="1" s="1"/>
  <c r="P219" i="1" s="1"/>
  <c r="Q105" i="1"/>
  <c r="Q120" i="1" s="1"/>
  <c r="P214" i="1"/>
  <c r="AU64" i="1"/>
  <c r="AV64" i="1"/>
  <c r="N225" i="1"/>
  <c r="N239" i="1" s="1"/>
  <c r="O217" i="1"/>
  <c r="O221" i="1"/>
  <c r="O229" i="1"/>
  <c r="O231" i="1"/>
  <c r="Q228" i="1"/>
  <c r="AU61" i="1"/>
  <c r="AV61" i="1"/>
  <c r="R121" i="1"/>
  <c r="O227" i="1"/>
  <c r="AU63" i="1"/>
  <c r="AV63" i="1"/>
  <c r="O112" i="1"/>
  <c r="O119" i="1" s="1"/>
  <c r="P113" i="1"/>
  <c r="F53" i="8"/>
  <c r="F27" i="8" s="1"/>
  <c r="F28" i="8" s="1"/>
  <c r="F30" i="8" s="1"/>
  <c r="N119" i="1"/>
  <c r="N114" i="1"/>
  <c r="O110" i="1"/>
  <c r="AV62" i="1"/>
  <c r="AU62" i="1"/>
  <c r="P110" i="1"/>
  <c r="R111" i="1"/>
  <c r="AC68" i="1"/>
  <c r="AD69" i="1"/>
  <c r="I18" i="8"/>
  <c r="I46" i="8"/>
  <c r="I26" i="8"/>
  <c r="I24" i="8" s="1"/>
  <c r="I48" i="8"/>
  <c r="I34" i="8"/>
  <c r="J14" i="8"/>
  <c r="I36" i="8"/>
  <c r="I40" i="8"/>
  <c r="G52" i="8"/>
  <c r="G53" i="8" s="1"/>
  <c r="G27" i="8" s="1"/>
  <c r="G28" i="8" s="1"/>
  <c r="G30" i="8" s="1"/>
  <c r="AG67" i="1"/>
  <c r="AV59" i="1" l="1"/>
  <c r="AV56" i="1" s="1"/>
  <c r="F59" i="1" s="1"/>
  <c r="F81" i="1" s="1"/>
  <c r="F83" i="1" s="1"/>
  <c r="F85" i="1" s="1"/>
  <c r="H52" i="8"/>
  <c r="O114" i="1"/>
  <c r="O225" i="1"/>
  <c r="I44" i="8"/>
  <c r="I50" i="8" s="1"/>
  <c r="I38" i="8"/>
  <c r="I42" i="8" s="1"/>
  <c r="I52" i="8" s="1"/>
  <c r="I53" i="8" s="1"/>
  <c r="I27" i="8" s="1"/>
  <c r="Q123" i="1"/>
  <c r="R105" i="1"/>
  <c r="Q107" i="1"/>
  <c r="Q215" i="1" s="1"/>
  <c r="Q219" i="1" s="1"/>
  <c r="Q214" i="1"/>
  <c r="O117" i="1"/>
  <c r="O118" i="1" s="1"/>
  <c r="O133" i="1" s="1"/>
  <c r="O115" i="1"/>
  <c r="O116" i="1"/>
  <c r="I20" i="8"/>
  <c r="I22" i="8" s="1"/>
  <c r="AD70" i="1"/>
  <c r="AC69" i="1"/>
  <c r="P112" i="1"/>
  <c r="Q113" i="1"/>
  <c r="R228" i="1"/>
  <c r="P227" i="1"/>
  <c r="R109" i="1"/>
  <c r="N241" i="1"/>
  <c r="J18" i="8"/>
  <c r="J40" i="8"/>
  <c r="J46" i="8"/>
  <c r="J48" i="8"/>
  <c r="J26" i="8"/>
  <c r="J24" i="8" s="1"/>
  <c r="J34" i="8"/>
  <c r="J36" i="8"/>
  <c r="N117" i="1"/>
  <c r="N115" i="1"/>
  <c r="N116" i="1"/>
  <c r="N118" i="1"/>
  <c r="N133" i="1" s="1"/>
  <c r="Q109" i="1"/>
  <c r="O237" i="1"/>
  <c r="O239" i="1" s="1"/>
  <c r="AG68" i="1"/>
  <c r="H53" i="8"/>
  <c r="H27" i="8" s="1"/>
  <c r="H28" i="8" s="1"/>
  <c r="H30" i="8" s="1"/>
  <c r="P221" i="1"/>
  <c r="P217" i="1"/>
  <c r="P225" i="1" s="1"/>
  <c r="P229" i="1"/>
  <c r="P231" i="1"/>
  <c r="P237" i="1" l="1"/>
  <c r="I28" i="8"/>
  <c r="I30" i="8" s="1"/>
  <c r="O134" i="1"/>
  <c r="O241" i="1"/>
  <c r="S105" i="1"/>
  <c r="R107" i="1"/>
  <c r="R215" i="1" s="1"/>
  <c r="R219" i="1" s="1"/>
  <c r="R214" i="1"/>
  <c r="J38" i="8"/>
  <c r="J42" i="8" s="1"/>
  <c r="J44" i="8"/>
  <c r="J50" i="8" s="1"/>
  <c r="Q112" i="1"/>
  <c r="Q119" i="1" s="1"/>
  <c r="R113" i="1"/>
  <c r="R112" i="1" s="1"/>
  <c r="N134" i="1"/>
  <c r="Q221" i="1"/>
  <c r="Q217" i="1"/>
  <c r="Q225" i="1" s="1"/>
  <c r="Q229" i="1"/>
  <c r="Q231" i="1"/>
  <c r="P119" i="1"/>
  <c r="P114" i="1"/>
  <c r="Q110" i="1"/>
  <c r="P239" i="1"/>
  <c r="P241" i="1" s="1"/>
  <c r="R110" i="1"/>
  <c r="S109" i="1"/>
  <c r="B160" i="1"/>
  <c r="AC70" i="1"/>
  <c r="AD71" i="1"/>
  <c r="J20" i="8"/>
  <c r="J22" i="8" s="1"/>
  <c r="R227" i="1"/>
  <c r="R120" i="1"/>
  <c r="S120" i="1" s="1"/>
  <c r="Q227" i="1"/>
  <c r="R123" i="1"/>
  <c r="S123" i="1" s="1"/>
  <c r="AG69" i="1"/>
  <c r="Q237" i="1" l="1"/>
  <c r="Q239" i="1" s="1"/>
  <c r="Q241" i="1" s="1"/>
  <c r="R119" i="1"/>
  <c r="S112" i="1"/>
  <c r="R231" i="1"/>
  <c r="R221" i="1"/>
  <c r="R217" i="1"/>
  <c r="R225" i="1" s="1"/>
  <c r="R229" i="1"/>
  <c r="R237" i="1" s="1"/>
  <c r="J52" i="8"/>
  <c r="J53" i="8" s="1"/>
  <c r="J27" i="8" s="1"/>
  <c r="J28" i="8" s="1"/>
  <c r="J30" i="8" s="1"/>
  <c r="P116" i="1"/>
  <c r="P115" i="1"/>
  <c r="P117" i="1"/>
  <c r="P118" i="1" s="1"/>
  <c r="P133" i="1" s="1"/>
  <c r="AD72" i="1"/>
  <c r="AC71" i="1"/>
  <c r="R114" i="1"/>
  <c r="Q114" i="1"/>
  <c r="AG70" i="1"/>
  <c r="O24" i="8" l="1"/>
  <c r="O25" i="8" s="1"/>
  <c r="O26" i="8" s="1"/>
  <c r="O22" i="8"/>
  <c r="P134" i="1"/>
  <c r="Q115" i="1"/>
  <c r="Q116" i="1"/>
  <c r="Q117" i="1"/>
  <c r="Q118" i="1" s="1"/>
  <c r="Q133" i="1" s="1"/>
  <c r="R115" i="1"/>
  <c r="S114" i="1"/>
  <c r="R116" i="1"/>
  <c r="R117" i="1"/>
  <c r="R118" i="1" s="1"/>
  <c r="O27" i="8"/>
  <c r="R239" i="1"/>
  <c r="R241" i="1" s="1"/>
  <c r="AC72" i="1"/>
  <c r="AG71" i="1"/>
  <c r="Q134" i="1" l="1"/>
  <c r="S118" i="1"/>
  <c r="R133" i="1"/>
  <c r="AG72" i="1"/>
  <c r="F53" i="1" s="1"/>
  <c r="F71" i="1" s="1"/>
  <c r="F74" i="1" s="1"/>
  <c r="F77" i="1" s="1"/>
  <c r="F79" i="1" s="1"/>
  <c r="F91" i="1" s="1"/>
  <c r="O28" i="8"/>
  <c r="O34" i="8"/>
  <c r="J83" i="1" l="1"/>
  <c r="J70" i="1"/>
  <c r="R142" i="1"/>
  <c r="B173" i="1"/>
  <c r="R137" i="1"/>
  <c r="S133" i="1"/>
  <c r="R134" i="1"/>
  <c r="B174" i="1" l="1"/>
  <c r="B185" i="1"/>
  <c r="B197" i="1"/>
  <c r="B172" i="1"/>
  <c r="L173" i="1"/>
  <c r="D173" i="1"/>
  <c r="I173" i="1"/>
  <c r="M173" i="1"/>
  <c r="K173" i="1"/>
  <c r="J173" i="1"/>
  <c r="R146" i="1"/>
  <c r="O137" i="1"/>
  <c r="I143" i="1" s="1"/>
  <c r="I144" i="1"/>
  <c r="N137" i="1"/>
  <c r="I142" i="1" s="1"/>
  <c r="P137" i="1"/>
  <c r="Q137" i="1"/>
  <c r="I145" i="1" l="1"/>
  <c r="I152" i="1" s="1"/>
  <c r="P173" i="1"/>
  <c r="J185" i="1" s="1"/>
  <c r="P185" i="1" s="1"/>
  <c r="P197" i="1" s="1"/>
  <c r="Q173" i="1"/>
  <c r="K185" i="1" s="1"/>
  <c r="Q185" i="1" s="1"/>
  <c r="Q197" i="1" s="1"/>
  <c r="R173" i="1"/>
  <c r="L185" i="1" s="1"/>
  <c r="R185" i="1" s="1"/>
  <c r="R197" i="1" s="1"/>
  <c r="S173" i="1"/>
  <c r="M185" i="1" s="1"/>
  <c r="S185" i="1" s="1"/>
  <c r="S197" i="1" s="1"/>
  <c r="O173" i="1"/>
  <c r="I185" i="1" s="1"/>
  <c r="O185" i="1" s="1"/>
  <c r="O197" i="1" s="1"/>
  <c r="K144" i="1"/>
  <c r="J144" i="1"/>
  <c r="J143" i="1"/>
  <c r="K143" i="1"/>
  <c r="B196" i="1"/>
  <c r="B184" i="1"/>
  <c r="B171" i="1"/>
  <c r="J172" i="1"/>
  <c r="L172" i="1"/>
  <c r="I172" i="1"/>
  <c r="M172" i="1"/>
  <c r="D172" i="1"/>
  <c r="K172" i="1"/>
  <c r="I197" i="1"/>
  <c r="L197" i="1"/>
  <c r="K197" i="1"/>
  <c r="J197" i="1"/>
  <c r="M197" i="1"/>
  <c r="B175" i="1"/>
  <c r="B186" i="1"/>
  <c r="B198" i="1"/>
  <c r="M174" i="1"/>
  <c r="D174" i="1"/>
  <c r="I174" i="1"/>
  <c r="J174" i="1"/>
  <c r="L174" i="1"/>
  <c r="K174" i="1"/>
  <c r="B187" i="1" l="1"/>
  <c r="B199" i="1"/>
  <c r="D175" i="1"/>
  <c r="L175" i="1"/>
  <c r="I175" i="1"/>
  <c r="M175" i="1"/>
  <c r="J175" i="1"/>
  <c r="K175" i="1"/>
  <c r="I155" i="1"/>
  <c r="I157" i="1" s="1"/>
  <c r="K149" i="1"/>
  <c r="K151" i="1"/>
  <c r="K147" i="1"/>
  <c r="K148" i="1"/>
  <c r="L196" i="1"/>
  <c r="J196" i="1"/>
  <c r="I196" i="1"/>
  <c r="M196" i="1"/>
  <c r="K196" i="1"/>
  <c r="O172" i="1"/>
  <c r="I184" i="1" s="1"/>
  <c r="O184" i="1" s="1"/>
  <c r="O196" i="1" s="1"/>
  <c r="P172" i="1"/>
  <c r="J184" i="1" s="1"/>
  <c r="P184" i="1" s="1"/>
  <c r="P196" i="1" s="1"/>
  <c r="Q172" i="1"/>
  <c r="K184" i="1" s="1"/>
  <c r="Q184" i="1" s="1"/>
  <c r="Q196" i="1" s="1"/>
  <c r="R172" i="1"/>
  <c r="L184" i="1" s="1"/>
  <c r="R184" i="1" s="1"/>
  <c r="R196" i="1" s="1"/>
  <c r="S172" i="1"/>
  <c r="M184" i="1" s="1"/>
  <c r="S184" i="1" s="1"/>
  <c r="S196" i="1" s="1"/>
  <c r="K142" i="1"/>
  <c r="K145" i="1" s="1"/>
  <c r="R174" i="1"/>
  <c r="L186" i="1" s="1"/>
  <c r="R186" i="1" s="1"/>
  <c r="R198" i="1" s="1"/>
  <c r="S174" i="1"/>
  <c r="M186" i="1" s="1"/>
  <c r="S186" i="1" s="1"/>
  <c r="S198" i="1" s="1"/>
  <c r="O174" i="1"/>
  <c r="I186" i="1" s="1"/>
  <c r="O186" i="1" s="1"/>
  <c r="O198" i="1" s="1"/>
  <c r="P174" i="1"/>
  <c r="J186" i="1" s="1"/>
  <c r="P186" i="1" s="1"/>
  <c r="P198" i="1" s="1"/>
  <c r="Q174" i="1"/>
  <c r="K186" i="1" s="1"/>
  <c r="Q186" i="1" s="1"/>
  <c r="Q198" i="1" s="1"/>
  <c r="I198" i="1"/>
  <c r="K198" i="1"/>
  <c r="J198" i="1"/>
  <c r="M198" i="1"/>
  <c r="L198" i="1"/>
  <c r="B195" i="1"/>
  <c r="B183" i="1"/>
  <c r="D171" i="1"/>
  <c r="K171" i="1"/>
  <c r="L171" i="1"/>
  <c r="M171" i="1"/>
  <c r="I171" i="1"/>
  <c r="J171" i="1"/>
  <c r="J142" i="1"/>
  <c r="J145" i="1" s="1"/>
  <c r="O171" i="1" l="1"/>
  <c r="I183" i="1" s="1"/>
  <c r="O183" i="1" s="1"/>
  <c r="O195" i="1" s="1"/>
  <c r="P171" i="1"/>
  <c r="J183" i="1" s="1"/>
  <c r="P183" i="1" s="1"/>
  <c r="P195" i="1" s="1"/>
  <c r="Q171" i="1"/>
  <c r="K183" i="1" s="1"/>
  <c r="Q183" i="1" s="1"/>
  <c r="Q195" i="1" s="1"/>
  <c r="R171" i="1"/>
  <c r="L183" i="1" s="1"/>
  <c r="R183" i="1" s="1"/>
  <c r="R195" i="1" s="1"/>
  <c r="S171" i="1"/>
  <c r="M183" i="1" s="1"/>
  <c r="S183" i="1" s="1"/>
  <c r="S195" i="1" s="1"/>
  <c r="K152" i="1"/>
  <c r="S175" i="1"/>
  <c r="M187" i="1" s="1"/>
  <c r="S187" i="1" s="1"/>
  <c r="S199" i="1" s="1"/>
  <c r="P175" i="1"/>
  <c r="J187" i="1" s="1"/>
  <c r="P187" i="1" s="1"/>
  <c r="P199" i="1" s="1"/>
  <c r="Q175" i="1"/>
  <c r="K187" i="1" s="1"/>
  <c r="Q187" i="1" s="1"/>
  <c r="Q199" i="1" s="1"/>
  <c r="O175" i="1"/>
  <c r="I187" i="1" s="1"/>
  <c r="O187" i="1" s="1"/>
  <c r="O199" i="1" s="1"/>
  <c r="R175" i="1"/>
  <c r="L187" i="1" s="1"/>
  <c r="R187" i="1" s="1"/>
  <c r="R199" i="1" s="1"/>
  <c r="I195" i="1"/>
  <c r="K195" i="1"/>
  <c r="J195" i="1"/>
  <c r="M195" i="1"/>
  <c r="L195" i="1"/>
  <c r="K199" i="1"/>
  <c r="L199" i="1"/>
  <c r="J199" i="1"/>
  <c r="I199" i="1"/>
  <c r="M19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Bagga, Nandan</author>
    <author>Shah, Hetashree</author>
    <author>Training The Street</author>
    <author>S&amp;P GMI</author>
  </authors>
  <commentList>
    <comment ref="F50" authorId="0" shapeId="0" xr:uid="{9C3144F6-77A5-4FB6-AAAE-5880442F9C63}">
      <text>
        <r>
          <rPr>
            <sz val="9"/>
            <color indexed="81"/>
            <rFont val="Tahoma"/>
            <family val="2"/>
          </rPr>
          <t>Average of Effective Tax Rate for Last 5 Fiscal Years. Please adjust as you see fit.</t>
        </r>
      </text>
    </comment>
    <comment ref="F53" authorId="0" shapeId="0" xr:uid="{47770CB4-8D2C-437B-AE6A-FA5D362A92C7}">
      <text>
        <r>
          <rPr>
            <sz val="9"/>
            <color indexed="81"/>
            <rFont val="Tahoma"/>
            <family val="2"/>
          </rPr>
          <t>Average of Last 10 Years of Yearly Price Returns for the selected Index. Please adjust as you see fit.</t>
        </r>
      </text>
    </comment>
    <comment ref="F58" authorId="0" shapeId="0" xr:uid="{15E2688D-5E85-4DAD-AB07-E55882CBFA17}">
      <text>
        <r>
          <rPr>
            <sz val="9"/>
            <color indexed="81"/>
            <rFont val="Tahoma"/>
            <family val="2"/>
          </rPr>
          <t>Arbitrary Number</t>
        </r>
      </text>
    </comment>
    <comment ref="F59" authorId="0" shapeId="0" xr:uid="{F9E345CA-819D-4FED-9FD4-B6D1824C46FD}">
      <text>
        <r>
          <rPr>
            <sz val="9"/>
            <color indexed="81"/>
            <rFont val="Tahoma"/>
            <family val="2"/>
          </rPr>
          <t>Average of Yields of 5 Most Recently Issued Bonds. Please adjust as you see fit.</t>
        </r>
      </text>
    </comment>
    <comment ref="F61" authorId="0" shapeId="0" xr:uid="{37FECD7C-E73B-4285-A46B-BC1F3632399C}">
      <text>
        <r>
          <rPr>
            <sz val="9"/>
            <color indexed="81"/>
            <rFont val="Tahoma"/>
            <family val="2"/>
          </rPr>
          <t>Average of Coupons of all Preferred Fixed Income instruments.  Please adjust as you see fit.</t>
        </r>
      </text>
    </comment>
    <comment ref="B112" authorId="1" shapeId="0" xr:uid="{38A9E3A5-59A1-458F-B3AF-2444ED9EED04}">
      <text>
        <r>
          <rPr>
            <b/>
            <sz val="9"/>
            <color indexed="81"/>
            <rFont val="Tahoma"/>
            <family val="2"/>
          </rPr>
          <t>S&amp;P Cap IQ Pro:</t>
        </r>
        <r>
          <rPr>
            <sz val="9"/>
            <color indexed="81"/>
            <rFont val="Tahoma"/>
            <family val="2"/>
          </rPr>
          <t xml:space="preserve">
Includes Net Rental Expense for GAAP filers</t>
        </r>
      </text>
    </comment>
    <comment ref="U113" authorId="2" shapeId="0" xr:uid="{00000000-0006-0000-0200-000001000000}">
      <text>
        <r>
          <rPr>
            <b/>
            <sz val="10"/>
            <color indexed="81"/>
            <rFont val="Tahoma"/>
            <family val="2"/>
          </rPr>
          <t xml:space="preserve">Training The Street:
</t>
        </r>
        <r>
          <rPr>
            <sz val="6"/>
            <color indexed="81"/>
            <rFont val="Tahoma"/>
            <family val="2"/>
          </rPr>
          <t xml:space="preserve">
</t>
        </r>
        <r>
          <rPr>
            <b/>
            <u/>
            <sz val="9"/>
            <color indexed="81"/>
            <rFont val="Tahoma"/>
            <family val="2"/>
          </rPr>
          <t>Steady state indicator:</t>
        </r>
        <r>
          <rPr>
            <sz val="9"/>
            <color indexed="81"/>
            <rFont val="Tahoma"/>
            <family val="2"/>
          </rPr>
          <t xml:space="preserve">
● Shows when a company is only sustaining its capital investments rather than expanding them
    –   All new spending in a year goes to replacing fixed assets lost from depreciation 
● Notice that depreciation is 100% of capital expenditures</t>
        </r>
      </text>
    </comment>
    <comment ref="R144" authorId="3" shapeId="0" xr:uid="{00000000-0006-0000-0200-000002000000}">
      <text>
        <r>
          <rPr>
            <b/>
            <sz val="9"/>
            <color indexed="81"/>
            <rFont val="Tahoma"/>
            <family val="2"/>
          </rPr>
          <t>S&amp;P GMI:</t>
        </r>
        <r>
          <rPr>
            <sz val="9"/>
            <color indexed="81"/>
            <rFont val="Tahoma"/>
            <family val="2"/>
          </rPr>
          <t xml:space="preserve">
TEV/EBITDA. Please adjust as you see fit.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<sst xmlns="http://schemas.openxmlformats.org/spreadsheetml/2006/main" count="6455" uniqueCount="5537">
  <si>
    <t>WACC</t>
  </si>
  <si>
    <t>Market Risk Premium (Rm - Rf)</t>
  </si>
  <si>
    <t>Adjusted Market Risk Premium</t>
  </si>
  <si>
    <t>Add: Size Premium</t>
  </si>
  <si>
    <t>Cost of Equity</t>
  </si>
  <si>
    <t>Cost of Equity Portion</t>
  </si>
  <si>
    <t>After-Tax Cost of Debt</t>
  </si>
  <si>
    <t>Cost of Debt Portion</t>
  </si>
  <si>
    <t>Cost of Preferred Portion</t>
  </si>
  <si>
    <t>Add: Risk-Free Rate of Return (Rf)(1)</t>
  </si>
  <si>
    <t>Tax Rate (5 Year Average)</t>
  </si>
  <si>
    <t>10y US T-Note</t>
  </si>
  <si>
    <t>ALL</t>
  </si>
  <si>
    <t>S&amp;P 500</t>
  </si>
  <si>
    <t>ASSUMPTIONS</t>
  </si>
  <si>
    <t>Size Premium</t>
  </si>
  <si>
    <t>Instructions:</t>
  </si>
  <si>
    <t>Contact:</t>
  </si>
  <si>
    <t>Phone:</t>
  </si>
  <si>
    <t>Currency</t>
  </si>
  <si>
    <t>Magnitude</t>
  </si>
  <si>
    <t>Email:</t>
  </si>
  <si>
    <t>Currency Conversion Method</t>
  </si>
  <si>
    <t>Currency Name</t>
  </si>
  <si>
    <t>ISO Code</t>
  </si>
  <si>
    <t>Symbol</t>
  </si>
  <si>
    <t>Mag.</t>
  </si>
  <si>
    <t>U.S. Dollar</t>
  </si>
  <si>
    <t>USD</t>
  </si>
  <si>
    <t>$</t>
  </si>
  <si>
    <t>000</t>
  </si>
  <si>
    <t>Euro</t>
  </si>
  <si>
    <t>EUR</t>
  </si>
  <si>
    <t>€</t>
  </si>
  <si>
    <t>British Pound Sterling</t>
  </si>
  <si>
    <t>GBP</t>
  </si>
  <si>
    <t>£</t>
  </si>
  <si>
    <t>Japanese Yen</t>
  </si>
  <si>
    <t>JPY</t>
  </si>
  <si>
    <t>¥</t>
  </si>
  <si>
    <t>M</t>
  </si>
  <si>
    <t>AED</t>
  </si>
  <si>
    <t>Dhs.</t>
  </si>
  <si>
    <t>Afghan Afghani</t>
  </si>
  <si>
    <t>AFN</t>
  </si>
  <si>
    <t>Albanian Lek</t>
  </si>
  <si>
    <t>Argentine Peso</t>
  </si>
  <si>
    <t>ARS</t>
  </si>
  <si>
    <t>AR$</t>
  </si>
  <si>
    <t>Armenian Dram</t>
  </si>
  <si>
    <t>AMD</t>
  </si>
  <si>
    <t>dr</t>
  </si>
  <si>
    <t>Australian Dollar</t>
  </si>
  <si>
    <t>AUD</t>
  </si>
  <si>
    <t>AU$</t>
  </si>
  <si>
    <t>Azerbaijani Manat</t>
  </si>
  <si>
    <t>AZN</t>
  </si>
  <si>
    <t>m</t>
  </si>
  <si>
    <t>Bahamian Dollar</t>
  </si>
  <si>
    <t>BSD</t>
  </si>
  <si>
    <t>B$</t>
  </si>
  <si>
    <t>Bahraini Dinar</t>
  </si>
  <si>
    <t>BHD</t>
  </si>
  <si>
    <t>BD</t>
  </si>
  <si>
    <t>Bangladeshi Taka</t>
  </si>
  <si>
    <t>BDT</t>
  </si>
  <si>
    <t>Bt.</t>
  </si>
  <si>
    <t>Belarusian Ruble</t>
  </si>
  <si>
    <t>BYN</t>
  </si>
  <si>
    <t>Br</t>
  </si>
  <si>
    <t>Bosnian Convertible Marks</t>
  </si>
  <si>
    <t>BAM</t>
  </si>
  <si>
    <t>KM</t>
  </si>
  <si>
    <t>Brazilian Real</t>
  </si>
  <si>
    <t>BRL</t>
  </si>
  <si>
    <t>R$</t>
  </si>
  <si>
    <t>Bulgarian Lev</t>
  </si>
  <si>
    <t>BGN</t>
  </si>
  <si>
    <t>Cambodian Riel</t>
  </si>
  <si>
    <t>KHR</t>
  </si>
  <si>
    <t>៛</t>
  </si>
  <si>
    <t>Canadian Dollar</t>
  </si>
  <si>
    <t>CAD</t>
  </si>
  <si>
    <t>C$</t>
  </si>
  <si>
    <t>Chilean Peso</t>
  </si>
  <si>
    <t>CLP</t>
  </si>
  <si>
    <t>CL$</t>
  </si>
  <si>
    <t>Chinese Yuan Renminbi</t>
  </si>
  <si>
    <t>CNY</t>
  </si>
  <si>
    <t>CN¥</t>
  </si>
  <si>
    <t>Colombian Peso</t>
  </si>
  <si>
    <t>COP</t>
  </si>
  <si>
    <t>Col$</t>
  </si>
  <si>
    <t>Costa Rican Colon</t>
  </si>
  <si>
    <t>CRC</t>
  </si>
  <si>
    <t>¢</t>
  </si>
  <si>
    <t>Croatian Kuna</t>
  </si>
  <si>
    <t>HRK</t>
  </si>
  <si>
    <t>kn</t>
  </si>
  <si>
    <t>Czech Koruna</t>
  </si>
  <si>
    <t>CZK</t>
  </si>
  <si>
    <t>Kc</t>
  </si>
  <si>
    <t>Danish Krone</t>
  </si>
  <si>
    <t>DKK</t>
  </si>
  <si>
    <t>Dkr</t>
  </si>
  <si>
    <t>Dominican Peso</t>
  </si>
  <si>
    <t>DOP</t>
  </si>
  <si>
    <t>RD$</t>
  </si>
  <si>
    <t>Egyptian Pound</t>
  </si>
  <si>
    <t>EGP</t>
  </si>
  <si>
    <t>£E.</t>
  </si>
  <si>
    <t>Georgian Lari</t>
  </si>
  <si>
    <t>GEL</t>
  </si>
  <si>
    <t>ლ</t>
  </si>
  <si>
    <t>Guatemalan Quetzal</t>
  </si>
  <si>
    <t>GTQ</t>
  </si>
  <si>
    <t>Q.</t>
  </si>
  <si>
    <t>Honduran Lempira</t>
  </si>
  <si>
    <t>HNL</t>
  </si>
  <si>
    <t>L.</t>
  </si>
  <si>
    <t>Hong Kong Dollar</t>
  </si>
  <si>
    <t>HKD</t>
  </si>
  <si>
    <t>HK$</t>
  </si>
  <si>
    <t>Hungarian Forint</t>
  </si>
  <si>
    <t>HUF</t>
  </si>
  <si>
    <t>Ft.</t>
  </si>
  <si>
    <t>Icelandic Krona</t>
  </si>
  <si>
    <t>ISK</t>
  </si>
  <si>
    <t>kr</t>
  </si>
  <si>
    <t>Indian Rupee</t>
  </si>
  <si>
    <t>INR</t>
  </si>
  <si>
    <t>Rs.</t>
  </si>
  <si>
    <t>Indonesian Rupiah</t>
  </si>
  <si>
    <t>IDR</t>
  </si>
  <si>
    <t>Rp.</t>
  </si>
  <si>
    <t>Jordanian Dinar</t>
  </si>
  <si>
    <t>JOD</t>
  </si>
  <si>
    <t>JD</t>
  </si>
  <si>
    <t>Kazakhstan Tenge</t>
  </si>
  <si>
    <t>KZT</t>
  </si>
  <si>
    <t>Kenyan Shilling</t>
  </si>
  <si>
    <t>KES</t>
  </si>
  <si>
    <t>Kshs.</t>
  </si>
  <si>
    <t>Kuwaiti Dinar</t>
  </si>
  <si>
    <t>KWD</t>
  </si>
  <si>
    <t>KD</t>
  </si>
  <si>
    <t>Kyrgyzstani Som</t>
  </si>
  <si>
    <t>KGS</t>
  </si>
  <si>
    <t>лв</t>
  </si>
  <si>
    <t>Macedonian Denar</t>
  </si>
  <si>
    <t>MKD</t>
  </si>
  <si>
    <t>Malaysian Ringgit</t>
  </si>
  <si>
    <t>MYR</t>
  </si>
  <si>
    <t>RM</t>
  </si>
  <si>
    <t>Mexican Peso</t>
  </si>
  <si>
    <t>MXN</t>
  </si>
  <si>
    <t>Mex$</t>
  </si>
  <si>
    <t>Moldovan Leu</t>
  </si>
  <si>
    <t>MDL</t>
  </si>
  <si>
    <t>Mongolian Tugrik</t>
  </si>
  <si>
    <t>MNT</t>
  </si>
  <si>
    <t>₮</t>
  </si>
  <si>
    <t>Moroccan Dirham</t>
  </si>
  <si>
    <t>MAD</t>
  </si>
  <si>
    <t>د.م.</t>
  </si>
  <si>
    <t>New Israeli Shekel</t>
  </si>
  <si>
    <t>ILS</t>
  </si>
  <si>
    <t>₪</t>
  </si>
  <si>
    <t>New Taiwan Dollar</t>
  </si>
  <si>
    <t>TWD</t>
  </si>
  <si>
    <t>NT$</t>
  </si>
  <si>
    <t>New Zealand Dollar</t>
  </si>
  <si>
    <t>NZD</t>
  </si>
  <si>
    <t>NZ$</t>
  </si>
  <si>
    <t>Norwegian Krone</t>
  </si>
  <si>
    <t>NOK</t>
  </si>
  <si>
    <t>NKr</t>
  </si>
  <si>
    <t>Omani Rial</t>
  </si>
  <si>
    <t>OMR</t>
  </si>
  <si>
    <t>RO</t>
  </si>
  <si>
    <t>Pakistani Rupee</t>
  </si>
  <si>
    <t>PKR</t>
  </si>
  <si>
    <t>Rs</t>
  </si>
  <si>
    <t>Panamanian Balboa</t>
  </si>
  <si>
    <t>PAB</t>
  </si>
  <si>
    <t>B</t>
  </si>
  <si>
    <t>Peruvian Sol</t>
  </si>
  <si>
    <t>PEN</t>
  </si>
  <si>
    <t>S/.</t>
  </si>
  <si>
    <t>Philippine Peso</t>
  </si>
  <si>
    <t>PHP</t>
  </si>
  <si>
    <t>Polish Zloty</t>
  </si>
  <si>
    <t>PLN</t>
  </si>
  <si>
    <t>zl</t>
  </si>
  <si>
    <t>Qatari Rial</t>
  </si>
  <si>
    <t>QAR</t>
  </si>
  <si>
    <t>ر.ق</t>
  </si>
  <si>
    <t>Romanian Leu</t>
  </si>
  <si>
    <t>RON</t>
  </si>
  <si>
    <t>L</t>
  </si>
  <si>
    <t>Russian Ruble</t>
  </si>
  <si>
    <t>RUB</t>
  </si>
  <si>
    <t>Samoan Tala</t>
  </si>
  <si>
    <t>WST</t>
  </si>
  <si>
    <t>WS$</t>
  </si>
  <si>
    <t>Saudi Riyal</t>
  </si>
  <si>
    <t>SAR</t>
  </si>
  <si>
    <t>SR</t>
  </si>
  <si>
    <t>Serbian Dinar</t>
  </si>
  <si>
    <t>RSD</t>
  </si>
  <si>
    <t>Singapore Dollar</t>
  </si>
  <si>
    <t>SGD</t>
  </si>
  <si>
    <t>S$</t>
  </si>
  <si>
    <t>South African Rand</t>
  </si>
  <si>
    <t>ZAR</t>
  </si>
  <si>
    <t>R</t>
  </si>
  <si>
    <t>South Korean Won</t>
  </si>
  <si>
    <t>KRW</t>
  </si>
  <si>
    <t>₩</t>
  </si>
  <si>
    <t>Sri Lanka Rupee</t>
  </si>
  <si>
    <t>LKR</t>
  </si>
  <si>
    <t>₨</t>
  </si>
  <si>
    <t>Swedish Krona</t>
  </si>
  <si>
    <t>SEK</t>
  </si>
  <si>
    <t>Swiss Franc</t>
  </si>
  <si>
    <t>CHF</t>
  </si>
  <si>
    <t>SFr.</t>
  </si>
  <si>
    <t>Tajik Somoni</t>
  </si>
  <si>
    <t>TJS</t>
  </si>
  <si>
    <t>TJR</t>
  </si>
  <si>
    <t>Thai Baht</t>
  </si>
  <si>
    <t>THB</t>
  </si>
  <si>
    <t>฿</t>
  </si>
  <si>
    <t>Tunisian Dinar</t>
  </si>
  <si>
    <t>TND</t>
  </si>
  <si>
    <t>د.ت</t>
  </si>
  <si>
    <t>Turkish Lira</t>
  </si>
  <si>
    <t>TRY</t>
  </si>
  <si>
    <t>TL</t>
  </si>
  <si>
    <t>Turkmenistan Manat</t>
  </si>
  <si>
    <t>TMT</t>
  </si>
  <si>
    <t>Ukraine Hryvnia</t>
  </si>
  <si>
    <t>UAH</t>
  </si>
  <si>
    <t>Uzbekistani Som</t>
  </si>
  <si>
    <t>UZS</t>
  </si>
  <si>
    <t>Vietnam Dong</t>
  </si>
  <si>
    <t>VND</t>
  </si>
  <si>
    <t>₫</t>
  </si>
  <si>
    <t>units</t>
  </si>
  <si>
    <t>Actuals</t>
  </si>
  <si>
    <t/>
  </si>
  <si>
    <t>Thousands</t>
  </si>
  <si>
    <t>Millions</t>
  </si>
  <si>
    <t>Billions</t>
  </si>
  <si>
    <t>Trillions</t>
  </si>
  <si>
    <t>T</t>
  </si>
  <si>
    <t>Conv. Method</t>
  </si>
  <si>
    <t>Most recent spot rate</t>
  </si>
  <si>
    <t>MRSpot</t>
  </si>
  <si>
    <t xml:space="preserve">Financials Reported Currency Code </t>
  </si>
  <si>
    <t>Effective Tax Rate (%)</t>
  </si>
  <si>
    <t>Market Capitalization</t>
  </si>
  <si>
    <t xml:space="preserve">Institution Name </t>
  </si>
  <si>
    <t xml:space="preserve">Funding Type </t>
  </si>
  <si>
    <t>Dividend Rate (%)</t>
  </si>
  <si>
    <t>Trade Date (mm/dd/yyyy)</t>
  </si>
  <si>
    <t>MSCI AC World (USD)</t>
  </si>
  <si>
    <t>MSCI US IMI Financials</t>
  </si>
  <si>
    <t>Russell 1000</t>
  </si>
  <si>
    <t>Russell 2000</t>
  </si>
  <si>
    <t>Russell 3000</t>
  </si>
  <si>
    <t>S&amp;P 500 Financials</t>
  </si>
  <si>
    <t xml:space="preserve">Trading Symbol &amp; Exchange </t>
  </si>
  <si>
    <t>--END QUERY--</t>
  </si>
  <si>
    <t>Institution Name</t>
  </si>
  <si>
    <t xml:space="preserve">SNL Institution Key </t>
  </si>
  <si>
    <t>Notes:</t>
  </si>
  <si>
    <t>except the following parameters:</t>
  </si>
  <si>
    <t>Uae Dirham</t>
  </si>
  <si>
    <t>VES</t>
  </si>
  <si>
    <t>Bs. S</t>
  </si>
  <si>
    <t>BETA CALCULATION</t>
  </si>
  <si>
    <t>Name</t>
  </si>
  <si>
    <t>Tax Rate</t>
  </si>
  <si>
    <t>Average</t>
  </si>
  <si>
    <t>Average Unlevered Beta for Comps</t>
  </si>
  <si>
    <t>WACC SENSITIVITY ANALYSIS</t>
  </si>
  <si>
    <t>D/(D+P+E)</t>
  </si>
  <si>
    <t>Pre-Tax Cost of Debt</t>
  </si>
  <si>
    <t>E/(D+P+E)</t>
  </si>
  <si>
    <t>IQ_TOTAL_PREF_EQUITY</t>
  </si>
  <si>
    <t>SP_MARKETCAP</t>
  </si>
  <si>
    <t>IQ_EFFECT_TAX_RATE</t>
  </si>
  <si>
    <t>SP_TICKER_EXCHANGE</t>
  </si>
  <si>
    <t>SP_ENTITY_NAME</t>
  </si>
  <si>
    <t>SP_COMPANY_ID</t>
  </si>
  <si>
    <t>IQ_CURRENCY_FINANCIALS</t>
  </si>
  <si>
    <t>WACC_Debt</t>
  </si>
  <si>
    <t>IQ_TOTAL_DEBT</t>
  </si>
  <si>
    <t>Pre-Tax Cost of Debt Step</t>
  </si>
  <si>
    <t>D/(D+P+E) Step</t>
  </si>
  <si>
    <t>Cost of Equity Step</t>
  </si>
  <si>
    <t>E/(D+P+E) Step</t>
  </si>
  <si>
    <t>PAD: ON</t>
  </si>
  <si>
    <t xml:space="preserve"> </t>
  </si>
  <si>
    <t>Beta Selection</t>
  </si>
  <si>
    <t>1 = Bottom-Up Beta</t>
  </si>
  <si>
    <t>2 = Regression Beta</t>
  </si>
  <si>
    <t>(1) Unlevered Beta = Levered Beta / ( 1 + ((D/E) * (1 - T)) + P/E)</t>
  </si>
  <si>
    <t>(2) Levered Beta = Unlevered Beta * ( 1 + ((D/E) * (1 - T)) + P/E)</t>
  </si>
  <si>
    <t>MIStandard</t>
  </si>
  <si>
    <t>MIrecommended</t>
  </si>
  <si>
    <t>MI Recommended</t>
  </si>
  <si>
    <t>MSCI EAFE</t>
  </si>
  <si>
    <t>MSCI Europe</t>
  </si>
  <si>
    <t>MSCI World</t>
  </si>
  <si>
    <t>A) Risk-Free Rate of Return (Rf) – Pulls in 10y/5y US T-Note yield for most recent traded day.</t>
  </si>
  <si>
    <t>B) Average of last 5 issued bonds is based on most recent issuance.</t>
  </si>
  <si>
    <t>Index List</t>
  </si>
  <si>
    <t>S&amp;P 400 Mid Cap</t>
  </si>
  <si>
    <t>S&amp;P 600 Small Cap</t>
  </si>
  <si>
    <t>NASDAQ</t>
  </si>
  <si>
    <t>NYSE</t>
  </si>
  <si>
    <t>S&amp;P TSX Composite</t>
  </si>
  <si>
    <t>EURO STOXX</t>
  </si>
  <si>
    <t>STOXX Europe 600</t>
  </si>
  <si>
    <t>Amsterdam Exchange Index</t>
  </si>
  <si>
    <t>Athex Composite</t>
  </si>
  <si>
    <t>Austrian Traded Index</t>
  </si>
  <si>
    <t>BEL20</t>
  </si>
  <si>
    <t>CAC 40</t>
  </si>
  <si>
    <t>FTSE 100 (GBP)</t>
  </si>
  <si>
    <t>BELEX15</t>
  </si>
  <si>
    <t>Portuguese Stock Index-20</t>
  </si>
  <si>
    <t>OMX Riga All Share</t>
  </si>
  <si>
    <t>OMX Vilnius All Share</t>
  </si>
  <si>
    <t>PFTS Index</t>
  </si>
  <si>
    <t>Slovak Share Index</t>
  </si>
  <si>
    <t>Bucharest Exchange Trading</t>
  </si>
  <si>
    <t>Malta Stock Exchange Index</t>
  </si>
  <si>
    <t>CSI 300 Index</t>
  </si>
  <si>
    <t>Tokyo Price Index</t>
  </si>
  <si>
    <t>Hang Seng Index</t>
  </si>
  <si>
    <t>Hang Seng China Enterprises Index</t>
  </si>
  <si>
    <t>ASX100</t>
  </si>
  <si>
    <t>BSE India Sensex 30 Index</t>
  </si>
  <si>
    <t>Korea Composite Stock Price Index</t>
  </si>
  <si>
    <t>Taiwan Stock Exchange Index</t>
  </si>
  <si>
    <t>SET Index</t>
  </si>
  <si>
    <t>SET100</t>
  </si>
  <si>
    <t>SET50 Index</t>
  </si>
  <si>
    <t>Philippines Exchange Composite Index</t>
  </si>
  <si>
    <t>Sri Lanka CSE All Share</t>
  </si>
  <si>
    <t>Pakistan KSE 100</t>
  </si>
  <si>
    <t>Vietnam Hanoi HNX index</t>
  </si>
  <si>
    <t>IBEX 35</t>
  </si>
  <si>
    <t>ISEQ Overall</t>
  </si>
  <si>
    <t>Luxembourg LuxX</t>
  </si>
  <si>
    <t>FTSE MIB</t>
  </si>
  <si>
    <t>Nikkei 225</t>
  </si>
  <si>
    <t>NZX 50</t>
  </si>
  <si>
    <t>Oslo Stock Exchange OBX</t>
  </si>
  <si>
    <t>OMX Copenhagen 20</t>
  </si>
  <si>
    <t>OMX Helsinki 25</t>
  </si>
  <si>
    <t>OMX Stockholm 30</t>
  </si>
  <si>
    <t>S&amp;P ASX 200</t>
  </si>
  <si>
    <t>Straits Times Index</t>
  </si>
  <si>
    <t>Swiss Market Index</t>
  </si>
  <si>
    <t>Warsaw Stock Exchange WIG</t>
  </si>
  <si>
    <t>Budapest Stock Exchange Index</t>
  </si>
  <si>
    <t>SOFIX Index</t>
  </si>
  <si>
    <t>PX Index</t>
  </si>
  <si>
    <t>Utd Arab Emirates DFM Index</t>
  </si>
  <si>
    <t>SAT All Share Index</t>
  </si>
  <si>
    <t>Kuwait KSX 15</t>
  </si>
  <si>
    <t>Bahrain All Share</t>
  </si>
  <si>
    <t>Egypt EGX 30</t>
  </si>
  <si>
    <t>Qatar QE Index</t>
  </si>
  <si>
    <t>Bermuda Royal Gazette/BSX</t>
  </si>
  <si>
    <t>Malawi All Share Index</t>
  </si>
  <si>
    <t>Mauritius SEMDEX</t>
  </si>
  <si>
    <t>TTSE Composite Index</t>
  </si>
  <si>
    <t>Venezuela IBC General</t>
  </si>
  <si>
    <t>Zambia LUSE All Share</t>
  </si>
  <si>
    <t>NAMIBIA FTSE/JSE OVERALL</t>
  </si>
  <si>
    <t>Estonia OMXT</t>
  </si>
  <si>
    <t>Palestine General</t>
  </si>
  <si>
    <t>DSE Broad Index</t>
  </si>
  <si>
    <t>Uganda All Share Index</t>
  </si>
  <si>
    <t>IPSA</t>
  </si>
  <si>
    <t>INMEX</t>
  </si>
  <si>
    <t>FTSE/JSE Africa All Share</t>
  </si>
  <si>
    <t>Disclaimer:</t>
  </si>
  <si>
    <t>2) Current market capitalization data is used in the calculation of equity.</t>
  </si>
  <si>
    <t>Discounted Cash Flow Analysis</t>
  </si>
  <si>
    <t>PROJECTED CASH FLOWS</t>
  </si>
  <si>
    <t>Total Revenue</t>
  </si>
  <si>
    <t>Annual Growth</t>
  </si>
  <si>
    <t>Cost of Revenue</t>
  </si>
  <si>
    <t>Margin</t>
  </si>
  <si>
    <t>EBITDA</t>
  </si>
  <si>
    <t>Less: Depreciation and Amortization</t>
  </si>
  <si>
    <t>% of Capital Expenditure</t>
  </si>
  <si>
    <t>EBIT</t>
  </si>
  <si>
    <t>Less: Income Taxes</t>
  </si>
  <si>
    <t>Unlevered Net Income</t>
  </si>
  <si>
    <t>Plus: Depreciation and Amortization</t>
  </si>
  <si>
    <t>Less: Additions to Intangibles</t>
  </si>
  <si>
    <t>Less: Increase in Working Capital</t>
  </si>
  <si>
    <t>Unlevered Free Cash Flow</t>
  </si>
  <si>
    <t>PV of Yearly Cash Flows</t>
  </si>
  <si>
    <t>CAGR</t>
  </si>
  <si>
    <t>DCF Assumptions</t>
  </si>
  <si>
    <t>% of TEV</t>
  </si>
  <si>
    <t>% of MVE</t>
  </si>
  <si>
    <t>Weighted Average Cost of Capital</t>
  </si>
  <si>
    <t>Terminal EBITDA Multiple</t>
  </si>
  <si>
    <t>Less:</t>
  </si>
  <si>
    <t>Total Debt</t>
  </si>
  <si>
    <t>Preferred Stock</t>
  </si>
  <si>
    <t>Minority Interest</t>
  </si>
  <si>
    <t>Plus:</t>
  </si>
  <si>
    <t>Cash and Equivalents</t>
  </si>
  <si>
    <t>Implied Per Share Value</t>
  </si>
  <si>
    <t>Current Price</t>
  </si>
  <si>
    <t>Premium/(Discount) to Current Price</t>
  </si>
  <si>
    <t>(2) Implied Perpetual Growth Rate of FCF = [(Terminal EBITDA)*(Terminal EBITDA Multiple)*(WACC) - (Terminal Year FCF)] / [(Terminal EBITDA)*(Terminal EBITDA Multiple) + (Terminal Year FCF)]</t>
  </si>
  <si>
    <t>Change in Trad. Asset Securities</t>
  </si>
  <si>
    <t>Change in Acc. Receivable</t>
  </si>
  <si>
    <t>Change in Inventories</t>
  </si>
  <si>
    <t>Change in Acc. Payable</t>
  </si>
  <si>
    <t>Change in Unearned Rev.</t>
  </si>
  <si>
    <t>Change in Def. Taxes</t>
  </si>
  <si>
    <t>Change in Other Net Operating Assets</t>
  </si>
  <si>
    <t>Step</t>
  </si>
  <si>
    <t>Discount Factor:</t>
  </si>
  <si>
    <t>1 = As Reported on the Cash Flow</t>
  </si>
  <si>
    <t>2 = Calculated via WC Schedule</t>
  </si>
  <si>
    <t>Latest FYE</t>
  </si>
  <si>
    <t>Latest FQE</t>
  </si>
  <si>
    <t>Today</t>
  </si>
  <si>
    <t>Days Remaining in FY</t>
  </si>
  <si>
    <t>SENSITIVITY ANALYSIS</t>
  </si>
  <si>
    <t>Discounted</t>
  </si>
  <si>
    <t>Present Value of Terminal Value</t>
  </si>
  <si>
    <t>Present Value of Enterprise Value</t>
  </si>
  <si>
    <t>WACC Step</t>
  </si>
  <si>
    <t>CF</t>
  </si>
  <si>
    <t>EBITDA Exit Multiple</t>
  </si>
  <si>
    <t>Exit Multiple Step</t>
  </si>
  <si>
    <t>+</t>
  </si>
  <si>
    <t>=</t>
  </si>
  <si>
    <t>Equity Value per Share</t>
  </si>
  <si>
    <t>at</t>
  </si>
  <si>
    <t>Divided</t>
  </si>
  <si>
    <t>By</t>
  </si>
  <si>
    <t>-</t>
  </si>
  <si>
    <t>Implied Perpetual Growth Rate of FCF</t>
  </si>
  <si>
    <t>Premium/(Discount) to Current Price per Share</t>
  </si>
  <si>
    <t>=&gt;</t>
  </si>
  <si>
    <t>(1) Equals Total Debt plus Preferred Equity plus Minority Interest Less Cash and Equivalents.</t>
  </si>
  <si>
    <t>WORKING CAPITAL SCHEDULE</t>
  </si>
  <si>
    <t>Accounts Receivable</t>
  </si>
  <si>
    <t>Receivable Days</t>
  </si>
  <si>
    <t>Inventory</t>
  </si>
  <si>
    <t>Inventory Days</t>
  </si>
  <si>
    <t>Other Current Assets</t>
  </si>
  <si>
    <t>Total Non-Cash Current Assets</t>
  </si>
  <si>
    <t>Accounts Payable</t>
  </si>
  <si>
    <t>Payable Days</t>
  </si>
  <si>
    <t>Accrued Liabilities</t>
  </si>
  <si>
    <t>Other Current Liabilities</t>
  </si>
  <si>
    <t>(Increase) / Decrease in Working Capital</t>
  </si>
  <si>
    <t>January</t>
  </si>
  <si>
    <t>February</t>
  </si>
  <si>
    <t>March</t>
  </si>
  <si>
    <t>April</t>
  </si>
  <si>
    <t>May</t>
  </si>
  <si>
    <t>June</t>
  </si>
  <si>
    <t>July</t>
  </si>
  <si>
    <t>August</t>
  </si>
  <si>
    <t>September</t>
  </si>
  <si>
    <t>October</t>
  </si>
  <si>
    <t>November</t>
  </si>
  <si>
    <t>December</t>
  </si>
  <si>
    <t>Cash and Cash Equivalents</t>
  </si>
  <si>
    <t>SP_SHARES_OUT</t>
  </si>
  <si>
    <t>TEV</t>
  </si>
  <si>
    <t>IQ_EBITDA</t>
  </si>
  <si>
    <t>SP_PRICE_CLOSE</t>
  </si>
  <si>
    <t>Day Close Price</t>
  </si>
  <si>
    <t>IQ_TOTAL_CA</t>
  </si>
  <si>
    <t>IQ_CASH_ST_INVEST</t>
  </si>
  <si>
    <t>Total Current Assets</t>
  </si>
  <si>
    <t>Cash &amp; Short Term Investments</t>
  </si>
  <si>
    <t>IQ_TOTAL_CL</t>
  </si>
  <si>
    <t>Total Current Liabilities</t>
  </si>
  <si>
    <t>Short-term Borrowings</t>
  </si>
  <si>
    <t>Shares Outstanding (actual)</t>
  </si>
  <si>
    <t>Total Non-Debt Current Liabilities</t>
  </si>
  <si>
    <t>SP_COGS</t>
  </si>
  <si>
    <t>IQ_CAPEX</t>
  </si>
  <si>
    <t>IQ_SALE_INTAN_CF</t>
  </si>
  <si>
    <t>IQ_CHANGE_TRADING_ASSETS</t>
  </si>
  <si>
    <t>IQ_CHANGE_AR</t>
  </si>
  <si>
    <t>IQ_CHANGE_INVENTORY</t>
  </si>
  <si>
    <t>IQ_CHANGE_AP</t>
  </si>
  <si>
    <t>IQ_CHANGE_UNEARN_REV</t>
  </si>
  <si>
    <t>IQ_CHANGE_INC_TAX</t>
  </si>
  <si>
    <t>IQ_CHANGE_DEF_TAX</t>
  </si>
  <si>
    <t>IQ_CHANGE_OTHER_NET_OPER_ASSETS</t>
  </si>
  <si>
    <t>IQ_AP</t>
  </si>
  <si>
    <t>IQ_AE</t>
  </si>
  <si>
    <t>IQ_ST_DEBT</t>
  </si>
  <si>
    <t>IQ_CURRENT_PORT_DEBT</t>
  </si>
  <si>
    <t>IQ_MINORITY_INTEREST</t>
  </si>
  <si>
    <t>IQ_TOTAL_REV</t>
  </si>
  <si>
    <t>IQ_INVENTORY</t>
  </si>
  <si>
    <t>IQ_TOTAL_RECEIV</t>
  </si>
  <si>
    <t>SP_COMPANY_NAME_ABBR</t>
  </si>
  <si>
    <t>Company Name, Abbreviated</t>
  </si>
  <si>
    <t>Shares</t>
  </si>
  <si>
    <t>Date Today</t>
  </si>
  <si>
    <t>Date of Last Refresh</t>
  </si>
  <si>
    <t>IQ_PERIOD_END</t>
  </si>
  <si>
    <t>IQ_CASH_EQUIV</t>
  </si>
  <si>
    <t>Δ Working Cap. Reference:</t>
  </si>
  <si>
    <t>Format: mm/dd/yyyy</t>
  </si>
  <si>
    <t>Aug</t>
  </si>
  <si>
    <t>Dec</t>
  </si>
  <si>
    <t>Mar</t>
  </si>
  <si>
    <t>Jun</t>
  </si>
  <si>
    <t>No.</t>
  </si>
  <si>
    <t>Jan</t>
  </si>
  <si>
    <t>Feb</t>
  </si>
  <si>
    <t>Apr</t>
  </si>
  <si>
    <t>Jul</t>
  </si>
  <si>
    <t>Sep</t>
  </si>
  <si>
    <t>Oct</t>
  </si>
  <si>
    <t>Nov</t>
  </si>
  <si>
    <t>Odd Fiscal Period Logic</t>
  </si>
  <si>
    <t>{"clientContext":null,"conversionInformation":null,"enforceItemEntitlements":false,"extensionPropertiesJson":"{\"UserDefinedFormulas\":[],\"HideQueryFilter\":false}","functionRequests":[{"conversionInfo":null,"enableSourceTagging":false,"enforceItemEntitlements":false,"fields":null,"functionId":0,"groupBy":null,"groupByField":null,"ignoreCache":false,"keys":null,"operationType":22,"perspective":"275259","propDataUserContext":null,"query":{"baseCompany":null,"conversionInformation":{"keyCurrency":"USD","measurementStandard":0,"conversionMode":0,"magnitudeOverride":null,"keyForeignLanguage":null,"keyForeignLanguageSecondary":null,"dataLanguage":"en-US","culture":null,"requestCulture":null,"nullValue":"NA","headerCurrency":null,"dataSource":null},"countsQuery":false,"dateCreated":"2019-12-17T04:41:42.337-05:00","keyPerspective":"275259","name":"WACC_Debt","queryFilters":[{"filterGroupId":"8085","filterGroupIdReplace":"","caption":"Transaction Type","groupType":2,"optionType":1,"formOrder":10,"minimumVersion":"","maximumVersion":"","onlineServicesEnabled":false,"column":0,"columnFormOrder":10,"criteriaIdName":"","required":true,"dateDefaultType":"","criteriaItemList":[{"keyOptionId":"8086","caption":"All Transaction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8087","caption":"M&amp;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8088","caption":"Acquisition of Whole Company (incl. Majority Stake)","isDefault":true,"maskCriteriaOnly":false,"definition":"","keyProductQueryItem":"299101","comparisonOperation":0,"comparisonValue":"5","minimumVersion":"","maximumVersion":"","formOrder":0,"lowerBound":null,"enabled":true,"mask":"","largeMask":"","maskKey":"","keyItemMaskOfField":null,"keyOptionIdReplace":"","relatedOptionIds":[],"onlineServices":[],"childCriteriaItemList":[],"clientContextJson":""},{"keyOptionId":"8089","caption":"Acquisition of Minority Stake","isDefault":true,"maskCriteriaOnly":false,"definition":"","keyProductQueryItem":"299101","comparisonOperation":0,"comparisonValue":"6","minimumVersion":"","maximumVersion":"","formOrder":0,"lowerBound":null,"enabled":true,"mask":"","largeMask":"","maskKey":"","keyItemMaskOfField":null,"keyOptionIdReplace":"","relatedOptionIds":[],"onlineServices":[],"childCriteriaItemList":[],"clientContextJson":""},{"keyOptionId":"8090","caption":"Acquisition of Asset or Branch","isDefault":true,"maskCriteriaOnly":false,"definition":"","keyProductQueryItem":"299101","comparisonOperation":0,"comparisonValue":"7","minimumVersion":"","maximumVersion":"","formOrder":0,"lowerBound":null,"enabled":true,"mask":"","largeMask":"","maskKey":"","keyItemMaskOfField":null,"keyOptionIdReplace":"","relatedOptionIds":[],"onlineServices":[],"childCriteriaItemList":[],"clientContextJson":""},{"keyOptionId":"9742","caption":"Spinoff or Splitoff","isDefault":true,"maskCriteriaOnly":false,"definition":"","keyProductQueryItem":"299101","comparisonOperation":0,"comparisonValue":"21","minimumVersion":"","maximumVersion":"","formOrder":0,"lowerBound":null,"enabled":true,"mask":"","largeMask":"","maskKey":"","keyItemMaskOfField":null,"keyOptionIdReplace":"","relatedOptionIds":[],"onlineServices":[],"childCriteriaItemList":[],"clientContextJson":""}],"clientContextJson":""},{"keyOptionId":"8091","caption":"Equity Capital Marke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8092","caption":"Initial Public Offering","isDefault":true,"maskCriteriaOnly":false,"definition":"","keyProductQueryItem":"299101","comparisonOperation":0,"comparisonValue":"8","minimumVersion":"","maximumVersion":"","formOrder":0,"lowerBound":null,"enabled":true,"mask":"","largeMask":"","maskKey":"","keyItemMaskOfField":null,"keyOptionIdReplace":"","relatedOptionIds":[],"onlineServices":[],"childCriteriaItemList":[],"clientContextJson":""},{"keyOptionId":"8093","caption":"Follow-on","isDefault":true,"maskCriteriaOnly":false,"definition":"","keyProductQueryItem":"299101","comparisonOperation":0,"comparisonValue":"9","minimumVersion":"","maximumVersion":"","formOrder":0,"lowerBound":null,"enabled":true,"mask":"","largeMask":"","maskKey":"","keyItemMaskOfField":null,"keyOptionIdReplace":"","relatedOptionIds":[],"onlineServices":[],"childCriteriaItemList":[],"clientContextJson":""},{"keyOptionId":"8094","caption":"Convertible","isDefault":true,"maskCriteriaOnly":false,"definition":"","keyProductQueryItem":"299101","comparisonOperation":0,"comparisonValue":"10","minimumVersion":"","maximumVersion":"","formOrder":0,"lowerBound":null,"enabled":true,"mask":"","largeMask":"","maskKey":"","keyItemMaskOfField":null,"keyOptionIdReplace":"","relatedOptionIds":[],"onlineServices":[],"childCriteriaItemList":[],"clientContextJson":""}],"clientContextJson":""},{"keyOptionId":"8095","caption":"Debt Capital Marke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8096","caption":"Preferred Security","isDefault":true,"maskCriteriaOnly":false,"definition":"","keyProductQueryItem":"299101","comparisonOperation":0,"comparisonValue":"11","minimumVersion":"","maximumVersion":"","formOrder":0,"lowerBound":null,"enabled":true,"mask":"","largeMask":"","maskKey":"","keyItemMaskOfField":null,"keyOptionIdReplace":"","relatedOptionIds":[],"onlineServices":[],"childCriteriaItemList":[],"clientContextJson":""},{"keyOptionId":"8097","caption":"Non-convertible Debt","isDefault":true,"maskCriteriaOnly":false,"definition":"","keyProductQueryItem":"299101","comparisonOperation":0,"comparisonValue":"12","minimumVersion":"","maximumVersion":"","formOrder":0,"lowerBound":null,"enabled":true,"mask":"","largeMask":"","maskKey":"","keyItemMaskOfField":null,"keyOptionIdReplace":"","relatedOptionIds":[],"onlineServices":[],"childCriteriaItemList":[],"clientContextJson":""}],"clientContextJson":""},{"keyOptionId":"8098","caption":"Rounds of Fundin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9745","caption":"Early Stage","isDefault":false,"maskCriteriaOnly":true,"definition":"","keyProductQueryItem":"","comparisonOperation":n</t>
  </si>
  <si>
    <t>ull,"comparisonValue":"","minimumVersion":"","maximumVersion":"","formOrder":0,"lowerBound":null,"enabled":true,"mask":"","largeMask":"","maskKey":"","keyItemMaskOfField":null,"keyOptionIdReplace":"","relatedOptionIds":[],"onlineServices":[],"childCriteriaItemList":[{"keyOptionId":"9746","caption":"Angel","isDefault":false,"maskCriteriaOnly":false,"definition":"","keyProductQueryItem":"299101","comparisonOperation":0,"comparisonValue":"32","minimumVersion":"","maximumVersion":"","formOrder":0,"lowerBound":null,"enabled":true,"mask":"","largeMask":"","maskKey":"","keyItemMaskOfField":null,"keyOptionIdReplace":"","relatedOptionIds":[],"onlineServices":[],"childCriteriaItemList":[],"clientContextJson":""},{"keyOptionId":"9747","caption":"Pre-Seed","isDefault":false,"maskCriteriaOnly":false,"definition":"","keyProductQueryItem":"299101","comparisonOperation":0,"comparisonValue":"33","minimumVersion":"","maximumVersion":"","formOrder":0,"lowerBound":null,"enabled":true,"mask":"","largeMask":"","maskKey":"","keyItemMaskOfField":null,"keyOptionIdReplace":"","relatedOptionIds":[],"onlineServices":[],"childCriteriaItemList":[],"clientContextJson":""},{"keyOptionId":"9748","caption":"Seed","isDefault":false,"maskCriteriaOnly":false,"definition":"","keyProductQueryItem":"299101","comparisonOperation":0,"comparisonValue":"34","minimumVersion":"","maximumVersion":"","formOrder":0,"lowerBound":null,"enabled":true,"mask":"","largeMask":"","maskKey":"","keyItemMaskOfField":null,"keyOptionIdReplace":"","relatedOptionIds":[],"onlineServices":[],"childCriteriaItemList":[],"clientContextJson":""},{"keyOptionId":"9749","caption":"Crowdfunding","isDefault":false,"maskCriteriaOnly":false,"definition":"","keyProductQueryItem":"299101","comparisonOperation":0,"comparisonValue":"35","minimumVersion":"","maximumVersion":"","formOrder":0,"lowerBound":null,"enabled":true,"mask":"","largeMask":"","maskKey":"","keyItemMaskOfField":null,"keyOptionIdReplace":"","relatedOptionIds":[],"onlineServices":[],"childCriteriaItemList":[],"clientContextJson":""},{"keyOptionId":"9750","caption":"Accelerator","isDefault":false,"maskCriteriaOnly":false,"definition":"","keyProductQueryItem":"299101","comparisonOperation":0,"comparisonValue":"36","minimumVersion":"","maximumVersion":"","formOrder":0,"lowerBound":null,"enabled":true,"mask":"","largeMask":"","maskKey":"","keyItemMaskOfField":null,"keyOptionIdReplace":"","relatedOptionIds":[],"onlineServices":[],"childCriteriaItemList":[],"clientContextJson":""}],"clientContextJson":""},{"keyOptionId":"9751","caption":"Ventur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9752","caption":"Pre-Series A","isDefault":false,"maskCriteriaOnly":false,"definition":"","keyProductQueryItem":"299101","comparisonOperation":0,"comparisonValue":"37","minimumVersion":"","maximumVersion":"","formOrder":0,"lowerBound":null,"enabled":true,"mask":"","largeMask":"","maskKey":"","keyItemMaskOfField":null,"keyOptionIdReplace":"","relatedOptionIds":[],"onlineServices":[],"childCriteriaItemList":[],"clientContextJson":""},{"keyOptionId":"9753","caption":"Series A","isDefault":false,"maskCriteriaOnly":false,"definition":"","keyProductQueryItem":"299101","comparisonOperation":0,"comparisonValue":"38","minimumVersion":"","maximumVersion":"","formOrder":0,"lowerBound":null,"enabled":true,"mask":"","largeMask":"","maskKey":"","keyItemMaskOfField":null,"keyOptionIdReplace":"","relatedOptionIds":[],"onlineServices":[],"childCriteriaItemList":[],"clientContextJson":""},{"keyOptionId":"9754","caption":"Pre-Series B","isDefault":false,"maskCriteriaOnly":false,"definition":"","keyProductQueryItem":"299101","comparisonOperation":0,"comparisonValue":"39","minimumVersion":"","maximumVersion":"","formOrder":0,"lowerBound":null,"enabled":true,"mask":"","largeMask":"","maskKey":"","keyItemMaskOfField":null,"keyOptionIdReplace":"","relatedOptionIds":[],"onlineServices":[],"childCriteriaItemList":[],"clientContextJson":""},{"keyOptionId":"9755","caption":"Series B","isDefault":false,"maskCriteriaOnly":false,"definition":"","keyProductQueryItem":"299101","comparisonOperation":0,"comparisonValue":"40","minimumVersion":"","maximumVersion":"","formOrder":0,"lowerBound":null,"enabled":true,"mask":"","largeMask":"","maskKey":"","keyItemMaskOfField":null,"keyOptionIdReplace":"","relatedOptionIds":[],"onlineServices":[],"childCriteriaItemList":[],"clientContextJson":""},{"keyOptionId":"9756","caption":"Venture (Age of Company &lt; 5 Years)","isDefault":false,"maskCriteriaOnly":false,"definition":"","keyProductQueryItem":"299101","comparisonOperation":0,"comparisonValue":"41","minimumVersion":"","maximumVersion":"","formOrder":0,"lowerBound":null,"enabled":true,"mask":"","largeMask":"","maskKey":"","keyItemMaskOfField":null,"keyOptionIdReplace":"","relatedOptionIds":[],"onlineServices":[],"childCriteriaItemList":[],"clientContextJson":""}],"clientContextJson":""},{"keyOptionId":"9757","caption":"Growth","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9758","caption":"Series C","isDefault":false,"maskCriteriaOnly":false,"definition":"","keyProductQueryItem":"299101","comparisonOperation":0,"comparisonValue":"42","minimumVersion":"","maximumVersion":"","formOrder":0,"lowerBound":null,"enabled":true,"mask":"","largeMask":"","maskKey":"","keyItemMaskOfField":null,"keyOptionIdReplace":"","relatedOptionIds":[],"onlineServices":[],"childCriteriaItemList":[],"clientContextJson":""},{"keyOptionId":"9759","caption":"Series D","isDefault":false,"maskCriteriaOnly":false,"definition":"","keyProductQueryItem":"299101","comparisonOperation":0,"comparisonValue":"43","minimumVersion":"","maximumVersion":"","formOrder":0,"lowerBound":null,"enabled":true,"mask":"","largeMask":"","maskKey":"","keyItemMaskOfField":null,"keyOptionIdReplace":"","relatedOptionIds":[],"onlineServices":[],"childCriteriaItemList":[],"clientContextJson":""},{"keyOptionId":"9760","caption":"Series E","isDefault":false,"maskCriteriaOnly":false,"definition":"","keyProductQueryItem":"299101","comparisonOperation":0,"comparisonValue":"44","minimumVersion":"","maximumVersion":"","formOrder":0,"lowerBound":null,"enabled":true,"mask":"","largeMask":"","maskKey":"","keyItemMaskOfField":null,"keyOptionIdReplace":"","relatedOptionIds":[],"onlineServices":[],"childCriteriaItemList":[],"clientContextJson":""},{"keyOptionId":"9761","caption":"Growth (Age of Company 5-7 Years)","isDefault":false,"maskCriteriaOnly":false,"definition":"","keyProductQueryItem":"299101","comparisonOperation":0,"comparisonValue":"45","minimumVersion":"","maximumVersion":"","formOrder":0,"lowerBound":null,"enabled":true,"mask":"","largeMask":"","maskKey":"","keyItemMaskOfField":null,"keyOptionIdReplace":"","relatedOptionIds":[],"onlineServices":[],"childCriteriaItemList":[],"clientContextJson":""}],"clientContextJson":""},{"keyOptionId":"9762","caption":"Mature","isDefault":false,"maskCriteriaOnly":true,"definition":"","keyProductQueryItem":"","comparisonOperation":null,"comparisonValue":"","minimumVe</t>
  </si>
  <si>
    <t>rsion":"","maximumVersion":"","formOrder":0,"lowerBound":null,"enabled":true,"mask":"","largeMask":"","maskKey":"","keyItemMaskOfField":null,"keyOptionIdReplace":"","relatedOptionIds":[],"onlineServices":[],"childCriteriaItemList":[{"keyOptionId":"9763","caption":"Series F","isDefault":false,"maskCriteriaOnly":false,"definition":"","keyProductQueryItem":"299101","comparisonOperation":0,"comparisonValue":"46","minimumVersion":"","maximumVersion":"","formOrder":0,"lowerBound":null,"enabled":true,"mask":"","largeMask":"","maskKey":"","keyItemMaskOfField":null,"keyOptionIdReplace":"","relatedOptionIds":[],"onlineServices":[],"childCriteriaItemList":[],"clientContextJson":""},{"keyOptionId":"9764","caption":"Series G","isDefault":false,"maskCriteriaOnly":false,"definition":"","keyProductQueryItem":"299101","comparisonOperation":0,"comparisonValue":"47","minimumVersion":"","maximumVersion":"","formOrder":0,"lowerBound":null,"enabled":true,"mask":"","largeMask":"","maskKey":"","keyItemMaskOfField":null,"keyOptionIdReplace":"","relatedOptionIds":[],"onlineServices":[],"childCriteriaItemList":[],"clientContextJson":""},{"keyOptionId":"9765","caption":"Series H","isDefault":false,"maskCriteriaOnly":false,"definition":"","keyProductQueryItem":"299101","comparisonOperation":0,"comparisonValue":"48","minimumVersion":"","maximumVersion":"","formOrder":0,"lowerBound":null,"enabled":true,"mask":"","largeMask":"","maskKey":"","keyItemMaskOfField":null,"keyOptionIdReplace":"","relatedOptionIds":[],"onlineServices":[],"childCriteriaItemList":[],"clientContextJson":""},{"keyOptionId":"9766","caption":"Series I","isDefault":false,"maskCriteriaOnly":false,"definition":"","keyProductQueryItem":"299101","comparisonOperation":0,"comparisonValue":"49","minimumVersion":"","maximumVersion":"","formOrder":0,"lowerBound":null,"enabled":true,"mask":"","largeMask":"","maskKey":"","keyItemMaskOfField":null,"keyOptionIdReplace":"","relatedOptionIds":[],"onlineServices":[],"childCriteriaItemList":[],"clientContextJson":""},{"keyOptionId":"9767","caption":"Series J","isDefault":false,"maskCriteriaOnly":false,"definition":"","keyProductQueryItem":"299101","comparisonOperation":0,"comparisonValue":"50","minimumVersion":"","maximumVersion":"","formOrder":0,"lowerBound":null,"enabled":true,"mask":"","largeMask":"","maskKey":"","keyItemMaskOfField":null,"keyOptionIdReplace":"","relatedOptionIds":[],"onlineServices":[],"childCriteriaItemList":[],"clientContextJson":""},{"keyOptionId":"9768","caption":"Series K+","isDefault":false,"maskCriteriaOnly":false,"definition":"","keyProductQueryItem":"299101","comparisonOperation":0,"comparisonValue":"51","minimumVersion":"","maximumVersion":"","formOrder":0,"lowerBound":null,"enabled":true,"mask":"","largeMask":"","maskKey":"","keyItemMaskOfField":null,"keyOptionIdReplace":"","relatedOptionIds":[],"onlineServices":[],"childCriteriaItemList":[],"clientContextJson":""},{"keyOptionId":"9769","caption":"Mature (Age of Company &gt; 7 Years)","isDefault":false,"maskCriteriaOnly":false,"definition":"","keyProductQueryItem":"299101","comparisonOperation":0,"comparisonValue":"52","minimumVersion":"","maximumVersion":"","formOrder":0,"lowerBound":null,"enabled":true,"mask":"","largeMask":"","maskKey":"","keyItemMaskOfField":null,"keyOptionIdReplace":"","relatedOptionIds":[],"onlineServices":[],"childCriteriaItemList":[],"clientContextJson":""}],"clientContextJson":""},{"keyOptionId":"9770","caption":"Deb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9771","caption":"Non-Convertible Debt","isDefault":false,"maskCriteriaOnly":false,"definition":"","keyProductQueryItem":"299101","comparisonOperation":0,"comparisonValue":"53","minimumVersion":"","maximumVersion":"","formOrder":0,"lowerBound":null,"enabled":true,"mask":"","largeMask":"","maskKey":"","keyItemMaskOfField":null,"keyOptionIdReplace":"","relatedOptionIds":[],"onlineServices":[],"childCriteriaItemList":[],"clientContextJson":""},{"keyOptionId":"9772","caption":"Convertible Debt","isDefault":false,"maskCriteriaOnly":false,"definition":"","keyProductQueryItem":"299101","comparisonOperation":0,"comparisonValue":"54","minimumVersion":"","maximumVersion":"","formOrder":0,"lowerBound":null,"enabled":true,"mask":"","largeMask":"","maskKey":"","keyItemMaskOfField":null,"keyOptionIdReplace":"","relatedOptionIds":[],"onlineServices":[],"childCriteriaItemList":[],"clientContextJson":""},{"keyOptionId":"9773","caption":"Bridge","isDefault":false,"maskCriteriaOnly":false,"definition":"","keyProductQueryItem":"299101","comparisonOperation":0,"comparisonValue":"55","minimumVersion":"","maximumVersion":"","formOrder":0,"lowerBound":null,"enabled":true,"mask":"","largeMask":"","maskKey":"","keyItemMaskOfField":null,"keyOptionIdReplace":"","relatedOptionIds":[],"onlineServices":[],"childCriteriaItemList":[],"clientContextJson":""}],"clientContextJson":""}],"clientContextJson":""},{"keyOptionId":"8103","caption":"Shelf Registration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8104","caption":"Common Equity","isDefault":true,"maskCriteriaOnly":false,"definition":"","keyProductQueryItem":"299101","comparisonOperation":0,"comparisonValue":"17","minimumVersion":"","maximumVersion":"","formOrder":0,"lowerBound":null,"enabled":true,"mask":"","largeMask":"","maskKey":"","keyItemMaskOfField":null,"keyOptionIdReplace":"","relatedOptionIds":[],"onlineServices":[],"childCriteriaItemList":[],"clientContextJson":""},{"keyOptionId":"8105","caption":"Preferred Security","isDefault":true,"maskCriteriaOnly":false,"definition":"","keyProductQueryItem":"299101","comparisonOperation":0,"comparisonValue":"18","minimumVersion":"","maximumVersion":"","formOrder":0,"lowerBound":null,"enabled":true,"mask":"","largeMask":"","maskKey":"","keyItemMaskOfField":null,"keyOptionIdReplace":"","relatedOptionIds":[],"onlineServices":[],"childCriteriaItemList":[],"clientContextJson":""},{"keyOptionId":"8106","caption":"Convertible","isDefault":true,"maskCriteriaOnly":false,"definition":"","keyProductQueryItem":"299101","comparisonOperation":0,"comparisonValue":"19","minimumVersion":"","maximumVersion":"","formOrder":0,"lowerBound":null,"enabled":true,"mask":"","largeMask":"","maskKey":"","keyItemMaskOfField":null,"keyOptionIdReplace":"","relatedOptionIds":[],"onlineServices":[],"childCriteriaItemList":[],"clientContextJson":""},{"keyOptionId":"8107","caption":"Non-convertible Debt","isDefault":true,"maskCriteriaOnly":false,"definition":"","keyProductQueryItem":"299101","comparisonOperation":0,"comparisonValue":"20","minimumVersion":"","maximumVersion":"","formOrder":0,"lowerBound":null,"enabled":true,"mask":"","largeMask":"","maskKey":"","keyItemMaskOfField":null,"keyOptionIdReplace":"","relatedOptionIds":[],"onlineServices":[],"childCriteriaItemList":[],"clientContextJson":""}],"clientContextJson":""},{"keyOptionId":"9743","caption":"Buyback","isDefault":true,"maskCriteriaOnly":false,"definition":"","keyProductQueryItem":"299101","comparisonOperation":0,"comparisonValue</t>
  </si>
  <si>
    <t>":"22","minimumVersion":"","maximumVersion":"","formOrder":0,"lowerBound":null,"enabled":true,"mask":"","largeMask":"","maskKey":"","keyItemMaskOfField":null,"keyOptionIdReplace":"","relatedOptionIds":[],"onlineServices":[],"childCriteriaItemList":[],"clientContextJson":""}],"clientContextJson":""}]},{"filterGroupId":"8723","filterGroupIdReplace":"","caption":"Target/Issuer Primary Industry","groupType":2,"optionType":1,"formOrder":20,"minimumVersion":"","maximumVersion":"","onlineServicesEnabled":true,"column":0,"columnFormOrder":20,"criteriaIdName":"","required":true,"dateDefaultType":"","criteriaItemList":[{"keyOptionId":"8724","caption":"Al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8725","caption":"Financi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8726","caption":"Bankin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8727","caption":"Bank","isDefault":true,"maskCriteriaOnly":false,"definition":"","keyProductQueryItem":"305790","comparisonOperation":0,"comparisonValue":"3","minimumVersion":"","maximumVersion":"","formOrder":0,"lowerBound":null,"enabled":true,"mask":"","largeMask":"","maskKey":"","keyItemMaskOfField":null,"keyOptionIdReplace":"","relatedOptionIds":[],"onlineServices":[],"childCriteriaItemList":[],"clientContextJson":""},{"keyOptionId":"8728","caption":"Credit Unions and Mutuals","isDefault":true,"maskCriteriaOnly":false,"definition":"","keyProductQueryItem":"305790","comparisonOperation":0,"comparisonValue":"4","minimumVersion":"","maximumVersion":"","formOrder":0,"lowerBound":null,"enabled":true,"mask":"","largeMask":"","maskKey":"","keyItemMaskOfField":null,"keyOptionIdReplace":"","relatedOptionIds":[],"onlineServices":[],"childCriteriaItemList":[],"clientContextJson":""},{"keyOptionId":"8729","caption":"Development Bank","isDefault":true,"maskCriteriaOnly":false,"definition":"","keyProductQueryItem":"305790","comparisonOperation":0,"comparisonValue":"5","minimumVersion":"","maximumVersion":"","formOrder":0,"lowerBound":null,"enabled":true,"mask":"","largeMask":"","maskKey":"","keyItemMaskOfField":null,"keyOptionIdReplace":"","relatedOptionIds":[],"onlineServices":[],"childCriteriaItemList":[],"clientContextJson":""},{"keyOptionId":"8730","caption":"Central Banks","isDefault":true,"maskCriteriaOnly":false,"definition":"","keyProductQueryItem":"305790","comparisonOperation":0,"comparisonValue":"6","minimumVersion":"","maximumVersion":"","formOrder":0,"lowerBound":null,"enabled":true,"mask":"","largeMask":"","maskKey":"","keyItemMaskOfField":null,"keyOptionIdReplace":"","relatedOptionIds":[],"onlineServices":[],"childCriteriaItemList":[],"clientContextJson":""}],"clientContextJson":""},{"keyOptionId":"8731","caption":"Insuranc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8732","caption":"Insurance Underwriter","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8733","caption":"Multiline","isDefault":true,"maskCriteriaOnly":false,"definition":"","keyProductQueryItem":"305790","comparisonOperation":0,"comparisonValue":"9","minimumVersion":"","maximumVersion":"","formOrder":0,"lowerBound":null,"enabled":true,"mask":"","largeMask":"","maskKey":"","keyItemMaskOfField":null,"keyOptionIdReplace":"","relatedOptionIds":[],"onlineServices":[],"childCriteriaItemList":[],"clientContextJson":""},{"keyOptionId":"8734","caption":"Property and Casualty","isDefault":true,"maskCriteriaOnly":false,"definition":"","keyProductQueryItem":"305790","comparisonOperation":0,"comparisonValue":"10","minimumVersion":"","maximumVersion":"","formOrder":0,"lowerBound":null,"enabled":true,"mask":"","largeMask":"","maskKey":"","keyItemMaskOfField":null,"keyOptionIdReplace":"","relatedOptionIds":[],"onlineServices":[],"childCriteriaItemList":[],"clientContextJson":""},{"keyOptionId":"8735","caption":"Life and Health","isDefault":true,"maskCriteriaOnly":false,"definition":"","keyProductQueryItem":"305790","comparisonOperation":0,"comparisonValue":"11","minimumVersion":"","maximumVersion":"","formOrder":0,"lowerBound":null,"enabled":true,"mask":"","largeMask":"","maskKey":"","keyItemMaskOfField":null,"keyOptionIdReplace":"","relatedOptionIds":[],"onlineServices":[],"childCriteriaItemList":[],"clientContextJson":""},{"keyOptionId":"8736","caption":"Title","isDefault":true,"maskCriteriaOnly":false,"definition":"","keyProductQueryItem":"305790","comparisonOperation":0,"comparisonValue":"12","minimumVersion":"","maximumVersion":"","formOrder":0,"lowerBound":null,"enabled":true,"mask":"","largeMask":"","maskKey":"","keyItemMaskOfField":null,"keyOptionIdReplace":"","relatedOptionIds":[],"onlineServices":[],"childCriteriaItemList":[],"clientContextJson":""},{"keyOptionId":"8737","caption":"Mortgage Guaranty","isDefault":true,"maskCriteriaOnly":false,"definition":"","keyProductQueryItem":"305790","comparisonOperation":0,"comparisonValue":"13","minimumVersion":"","maximumVersion":"","formOrder":0,"lowerBound":null,"enabled":true,"mask":"","largeMask":"","maskKey":"","keyItemMaskOfField":null,"keyOptionIdReplace":"","relatedOptionIds":[],"onlineServices":[],"childCriteriaItemList":[],"clientContextJson":""},{"keyOptionId":"8738","caption":"Financial Guaranty","isDefault":true,"maskCriteriaOnly":false,"definition":"","keyProductQueryItem":"305790","comparisonOperation":0,"comparisonValue":"14","minimumVersion":"","maximumVersion":"","formOrder":0,"lowerBound":null,"enabled":true,"mask":"","largeMask":"","maskKey":"","keyItemMaskOfField":null,"keyOptionIdReplace":"","relatedOptionIds":[],"onlineServices":[],"childCriteriaItemList":[],"clientContextJson":""},{"keyOptionId":"8739","caption":"Managed Care","isDefault":true,"maskCriteriaOnly":false,"definition":"","keyProductQueryItem":"305790","comparisonOperation":0,"comparisonValue":"15","minimumVersion":"","maximumVersion":"","formOrder":0,"lowerBound":null,"enabled":true,"mask":"","largeMask":"","maskKey":"","keyItemMaskOfField":null,"keyOptionIdReplace":"","relatedOptionIds":[],"onlineServices":[],"childCriteriaItemList":</t>
  </si>
  <si>
    <t>[],"clientContextJson":""},{"keyOptionId":"8740","caption":"Reinsurance","isDefault":true,"maskCriteriaOnly":false,"definition":"","keyProductQueryItem":"305790","comparisonOperation":0,"comparisonValue":"16","minimumVersion":"","maximumVersion":"","formOrder":0,"lowerBound":null,"enabled":true,"mask":"","largeMask":"","maskKey":"","keyItemMaskOfField":null,"keyOptionIdReplace":"","relatedOptionIds":[],"onlineServices":[],"childCriteriaItemList":[],"clientContextJson":""}],"clientContextJson":""},{"keyOptionId":"8741","caption":"Insurance Broker","isDefault":true,"maskCriteriaOnly":false,"definition":"","keyProductQueryItem":"305790","comparisonOperation":0,"comparisonValue":"17","minimumVersion":"","maximumVersion":"","formOrder":0,"lowerBound":null,"enabled":true,"mask":"","largeMask":"","maskKey":"","keyItemMaskOfField":null,"keyOptionIdReplace":"","relatedOptionIds":[],"onlineServices":[],"childCriteriaItemList":[],"clientContextJson":""},{"keyOptionId":"8742","caption":"Lloyd's Syndicate","isDefault":true,"maskCriteriaOnly":false,"definition":"","keyProductQueryItem":"305790","comparisonOperation":0,"comparisonValue":"18","minimumVersion":"","maximumVersion":"","formOrder":0,"lowerBound":null,"enabled":true,"mask":"","largeMask":"","maskKey":"","keyItemMaskOfField":null,"keyOptionIdReplace":"","relatedOptionIds":[],"onlineServices":[],"childCriteriaItemList":[],"clientContextJson":""}],"clientContextJson":""},{"keyOptionId":"8743","caption":"Mortgage Brokers and Services","isDefault":true,"maskCriteriaOnly":false,"definition":"","keyProductQueryItem":"305790","comparisonOperation":0,"comparisonValue":"19","minimumVersion":"","maximumVersion":"","formOrder":0,"lowerBound":null,"enabled":true,"mask":"","largeMask":"","maskKey":"","keyItemMaskOfField":null,"keyOptionIdReplace":"","relatedOptionIds":[],"onlineServices":[],"childCriteriaItemList":[],"clientContextJson":""},{"keyOptionId":"8744","caption":"Specialty Financ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8745","caption":"Specialty Finance: Consumer Focused","isDefault":true,"maskCriteriaOnly":false,"definition":"","keyProductQueryItem":"305790","comparisonOperation":0,"comparisonValue":"21","minimumVersion":"","maximumVersion":"","formOrder":0,"lowerBound":null,"enabled":true,"mask":"","largeMask":"","maskKey":"","keyItemMaskOfField":null,"keyOptionIdReplace":"","relatedOptionIds":[],"onlineServices":[],"childCriteriaItemList":[],"clientContextJson":""},{"keyOptionId":"8746","caption":"Specialty Finance: Commercial Focused","isDefault":true,"maskCriteriaOnly":false,"definition":"","keyProductQueryItem":"305790","comparisonOperation":0,"comparisonValue":"22","minimumVersion":"","maximumVersion":"","formOrder":0,"lowerBound":null,"enabled":true,"mask":"","largeMask":"","maskKey":"","keyItemMaskOfField":null,"keyOptionIdReplace":"","relatedOptionIds":[],"onlineServices":[],"childCriteriaItemList":[],"clientContextJson":""}],"clientContextJson":""},{"keyOptionId":"8747","caption":"Investment and Business Development Companies","isDefault":true,"maskCriteriaOnly":false,"definition":"","keyProductQueryItem":"305790","comparisonOperation":0,"comparisonValue":"23","minimumVersion":"","maximumVersion":"","formOrder":0,"lowerBound":null,"enabled":true,"mask":"","largeMask":"","maskKey":"","keyItemMaskOfField":null,"keyOptionIdReplace":"","relatedOptionIds":[],"onlineServices":[],"childCriteriaItemList":[],"clientContextJson":""},{"keyOptionId":"8748","caption":"Mortgage REIT","isDefault":true,"maskCriteriaOnly":false,"definition":"","keyProductQueryItem":"305790","comparisonOperation":0,"comparisonValue":"26","minimumVersion":"","maximumVersion":"","formOrder":0,"lowerBound":null,"enabled":true,"mask":"","largeMask":"","maskKey":"","keyItemMaskOfField":null,"keyOptionIdReplace":"","relatedOptionIds":[],"onlineServices":[],"childCriteriaItemList":[],"clientContextJson":""},{"keyOptionId":"8749","caption":"Asset Management","isDefault":true,"maskCriteriaOnly":false,"definition":"","keyProductQueryItem":"305790","comparisonOperation":0,"comparisonValue":"27","minimumVersion":"","maximumVersion":"","formOrder":0,"lowerBound":null,"enabled":true,"mask":"","largeMask":"","maskKey":"","keyItemMaskOfField":null,"keyOptionIdReplace":"","relatedOptionIds":[],"onlineServices":[],"childCriteriaItemList":[],"clientContextJson":""},{"keyOptionId":"8750","caption":"Investment Banks, Brokers and Capital Markets","isDefault":true,"maskCriteriaOnly":false,"definition":"","keyProductQueryItem":"305790","comparisonOperation":0,"comparisonValue":"30","minimumVersion":"","maximumVersion":"","formOrder":0,"lowerBound":null,"enabled":true,"mask":"","largeMask":"","maskKey":"","keyItemMaskOfField":null,"keyOptionIdReplace":"","relatedOptionIds":[],"onlineServices":[],"childCriteriaItemList":[],"clientContextJson":""},{"keyOptionId":"8751","caption":"Financial Exchanges","isDefault":true,"maskCriteriaOnly":false,"definition":"","keyProductQueryItem":"305790","comparisonOperation":0,"comparisonValue":"34","minimumVersion":"","maximumVersion":"","formOrder":0,"lowerBound":null,"enabled":true,"mask":"","largeMask":"","maskKey":"","keyItemMaskOfField":null,"keyOptionIdReplace":"","relatedOptionIds":[],"onlineServices":[],"childCriteriaItemList":[],"clientContextJson":""},{"keyOptionId":"8752","caption":"Credit Rating and Reporting","isDefault":true,"maskCriteriaOnly":false,"definition":"","keyProductQueryItem":"305790","comparisonOperation":0,"comparisonValue":"35","minimumVersion":"","maximumVersion":"","formOrder":0,"lowerBound":null,"enabled":true,"mask":"","largeMask":"","maskKey":"","keyItemMaskOfField":null,"keyOptionIdReplace":"","relatedOptionIds":[],"onlineServices":[],"childCriteriaItemList":[],"clientContextJson":""},{"keyOptionId":"8753","caption":"Financial Technology","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8754","caption":"Banking Technology","isDefault":true,"maskCriteriaOnly":false,"definition":"","keyProductQueryItem":"305790","comparisonOperation":0,"comparisonValue":"37","minimumVersion":"","maximumVersion":"","formOrder":0,"lowerBound":null,"enabled":true,"mask":"","largeMask":"","maskKey":"","keyItemMaskOfField":null,"keyOptionIdReplace":"","relatedOptionIds":[],"onlineServices":[],"childCriteriaItemList":[],"clientContextJson":""},{"keyOptionId":"8755","caption":"Digital Lending","isDefault":true,"maskCriteriaOnly":false,"definition":"","keyProductQueryItem":"305790","comparisonOperation":0,"comparisonValue":"38","minimumVersion":"","maximumVersion":"","formOrder":0,"lowerBound":null,"enabled":true,"mask":"","largeMask":"","maskKey":"","keyItemMaskOfField":null,"keyOptionIdReplace":"","relatedOptionIds":[],"onlineServices":[],"childCriteriaItemList":[],"clientContextJson":""},{"keyOptionId":"8756","caption":"Financial Media and Data Solutions","isDefault":true,"maskCriteriaOnly":false,"definition":"","keyProductQueryItem":"305790","comparisonOperation":0,"comparisonValue":"39","minimumVersion":"","maximumVersion</t>
  </si>
  <si>
    <t>":"","formOrder":0,"lowerBound":null,"enabled":true,"mask":"","largeMask":"","maskKey":"","keyItemMaskOfField":null,"keyOptionIdReplace":"","relatedOptionIds":[],"onlineServices":[],"childCriteriaItemList":[],"clientContextJson":""},{"keyOptionId":"8757","caption":"Insurance Technology","isDefault":true,"maskCriteriaOnly":false,"definition":"","keyProductQueryItem":"305790","comparisonOperation":0,"comparisonValue":"40","minimumVersion":"","maximumVersion":"","formOrder":0,"lowerBound":null,"enabled":true,"mask":"","largeMask":"","maskKey":"","keyItemMaskOfField":null,"keyOptionIdReplace":"","relatedOptionIds":[],"onlineServices":[],"childCriteriaItemList":[],"clientContextJson":""},{"keyOptionId":"8758","caption":"Investment and Capital Markets Technology","isDefault":true,"maskCriteriaOnly":false,"definition":"","keyProductQueryItem":"305790","comparisonOperation":0,"comparisonValue":"41","minimumVersion":"","maximumVersion":"","formOrder":0,"lowerBound":null,"enabled":true,"mask":"","largeMask":"","maskKey":"","keyItemMaskOfField":null,"keyOptionIdReplace":"","relatedOptionIds":[],"onlineServices":[],"childCriteriaItemList":[],"clientContextJson":""}],"clientContextJson":""},{"keyOptionId":"8759","caption":"Paymen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8760","caption":"Payment Processors","isDefault":true,"maskCriteriaOnly":false,"definition":"","keyProductQueryItem":"305790","comparisonOperation":0,"comparisonValue":"43","minimumVersion":"","maximumVersion":"","formOrder":0,"lowerBound":null,"enabled":true,"mask":"","largeMask":"","maskKey":"","keyItemMaskOfField":null,"keyOptionIdReplace":"","relatedOptionIds":[],"onlineServices":[],"childCriteriaItemList":[],"clientContextJson":""},{"keyOptionId":"8761","caption":"Payment Service Providers and Gateways","isDefault":true,"maskCriteriaOnly":false,"definition":"","keyProductQueryItem":"305790","comparisonOperation":0,"comparisonValue":"44","minimumVersion":"","maximumVersion":"","formOrder":0,"lowerBound":null,"enabled":true,"mask":"","largeMask":"","maskKey":"","keyItemMaskOfField":null,"keyOptionIdReplace":"","relatedOptionIds":[],"onlineServices":[],"childCriteriaItemList":[],"clientContextJson":""},{"keyOptionId":"8762","caption":"Mobile Wallets","isDefault":true,"maskCriteriaOnly":false,"definition":"","keyProductQueryItem":"305790","comparisonOperation":0,"comparisonValue":"45","minimumVersion":"","maximumVersion":"","formOrder":0,"lowerBound":null,"enabled":true,"mask":"","largeMask":"","maskKey":"","keyItemMaskOfField":null,"keyOptionIdReplace":"","relatedOptionIds":[],"onlineServices":[],"childCriteriaItemList":[],"clientContextJson":""},{"keyOptionId":"8763","caption":"Payments Fraud Management","isDefault":true,"maskCriteriaOnly":false,"definition":"","keyProductQueryItem":"305790","comparisonOperation":0,"comparisonValue":"46","minimumVersion":"","maximumVersion":"","formOrder":0,"lowerBound":null,"enabled":true,"mask":"","largeMask":"","maskKey":"","keyItemMaskOfField":null,"keyOptionIdReplace":"","relatedOptionIds":[],"onlineServices":[],"childCriteriaItemList":[],"clientContextJson":""},{"keyOptionId":"8764","caption":"Money Transfer and Remittance","isDefault":true,"maskCriteriaOnly":false,"definition":"","keyProductQueryItem":"305790","comparisonOperation":0,"comparisonValue":"47","minimumVersion":"","maximumVersion":"","formOrder":0,"lowerBound":null,"enabled":true,"mask":"","largeMask":"","maskKey":"","keyItemMaskOfField":null,"keyOptionIdReplace":"","relatedOptionIds":[],"onlineServices":[],"childCriteriaItemList":[],"clientContextJson":""},{"keyOptionId":"8765","caption":"Payments Infrastructure","isDefault":true,"maskCriteriaOnly":false,"definition":"","keyProductQueryItem":"305790","comparisonOperation":0,"comparisonValue":"48","minimumVersion":"","maximumVersion":"","formOrder":0,"lowerBound":null,"enabled":true,"mask":"","largeMask":"","maskKey":"","keyItemMaskOfField":null,"keyOptionIdReplace":"","relatedOptionIds":[],"onlineServices":[],"childCriteriaItemList":[],"clientContextJson":""}],"clientContextJson":""},{"keyOptionId":"8766","caption":"Holding Companies, Patent Owners, and Trusts or Estates","isDefault":true,"maskCriteriaOnly":false,"definition":"","keyProductQueryItem":"305790","comparisonOperation":0,"comparisonValue":"49","minimumVersion":"","maximumVersion":"","formOrder":0,"lowerBound":null,"enabled":true,"mask":"","largeMask":"","maskKey":"","keyItemMaskOfField":null,"keyOptionIdReplace":"","relatedOptionIds":[],"onlineServices":[],"childCriteriaItemList":[],"clientContextJson":""}],"clientContextJson":""},{"keyOptionId":"8767","caption":"Real Estat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8768","caption":"Equity REI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8769","caption":"Diversified REIT","isDefault":true,"maskCriteriaOnly":false,"definition":"","keyProductQueryItem":"305790","comparisonOperation":0,"comparisonValue":"53","minimumVersion":"","maximumVersion":"","formOrder":0,"lowerBound":null,"enabled":true,"mask":"","largeMask":"","maskKey":"","keyItemMaskOfField":null,"keyOptionIdReplace":"","relatedOptionIds":[],"onlineServices":[],"childCriteriaItemList":[],"clientContextJson":""},{"keyOptionId":"8770","caption":"Healthcare REIT","isDefault":true,"maskCriteriaOnly":false,"definition":"","keyProductQueryItem":"305790","comparisonOperation":0,"comparisonValue":"54","minimumVersion":"","maximumVersion":"","formOrder":0,"lowerBound":null,"enabled":true,"mask":"","largeMask":"","maskKey":"","keyItemMaskOfField":null,"keyOptionIdReplace":"","relatedOptionIds":[],"onlineServices":[],"childCriteriaItemList":[],"clientContextJson":""},{"keyOptionId":"8771","caption":"Hotel REIT","isDefault":true,"maskCriteriaOnly":false,"definition":"","keyProductQueryItem":"305790","comparisonOperation":0,"comparisonValue":"55","minimumVersion":"","maximumVersion":"","formOrder":0,"lowerBound":null,"enabled":true,"mask":"","largeMask":"","maskKey":"","keyItemMaskOfField":null,"keyOptionIdReplace":"","relatedOptionIds":[],"onlineServices":[],"childCriteriaItemList":[],"clientContextJson":""},{"keyOptionId":"8772","caption":"Industrial REIT","isDefault":true,"maskCriteriaOnly":false,"definition":"","keyProductQueryItem":"305790","comparisonOperation":0,"comparisonValue":"56","minimumVersion":"","maximumVersion":"","formOrder":0,"lowerBound":null,"enabled":true,"mask":"","largeMask":"","maskKey":"","keyItemMaskOfField":null,"keyOptionIdReplace":"","relatedOptionIds":[],"onlineServices":[],"childCriteriaItemList":[],"clientContextJson":""},{"keyOptionId":"8773","caption":"Office REIT","isDefault":true,"maskCriteriaOnly":false,"definit</t>
  </si>
  <si>
    <t>ion":"","keyProductQueryItem":"305790","comparisonOperation":0,"comparisonValue":"57","minimumVersion":"","maximumVersion":"","formOrder":0,"lowerBound":null,"enabled":true,"mask":"","largeMask":"","maskKey":"","keyItemMaskOfField":null,"keyOptionIdReplace":"","relatedOptionIds":[],"onlineServices":[],"childCriteriaItemList":[],"clientContextJson":""},{"keyOptionId":"8774","caption":"Residential REIT","isDefault":true,"maskCriteriaOnly":false,"definition":"","keyProductQueryItem":"305790","comparisonOperation":0,"comparisonValue":"58","minimumVersion":"","maximumVersion":"","formOrder":0,"lowerBound":null,"enabled":true,"mask":"","largeMask":"","maskKey":"","keyItemMaskOfField":null,"keyOptionIdReplace":"","relatedOptionIds":[],"onlineServices":[],"childCriteriaItemList":[],"clientContextJson":""},{"keyOptionId":"8775","caption":"Retail REIT","isDefault":true,"maskCriteriaOnly":false,"definition":"","keyProductQueryItem":"305790","comparisonOperation":0,"comparisonValue":"59","minimumVersion":"","maximumVersion":"","formOrder":0,"lowerBound":null,"enabled":true,"mask":"","largeMask":"","maskKey":"","keyItemMaskOfField":null,"keyOptionIdReplace":"","relatedOptionIds":[],"onlineServices":[],"childCriteriaItemList":[],"clientContextJson":""},{"keyOptionId":"8776","caption":"Self-Storage REIT","isDefault":true,"maskCriteriaOnly":false,"definition":"","keyProductQueryItem":"305790","comparisonOperation":0,"comparisonValue":"60","minimumVersion":"","maximumVersion":"","formOrder":0,"lowerBound":null,"enabled":true,"mask":"","largeMask":"","maskKey":"","keyItemMaskOfField":null,"keyOptionIdReplace":"","relatedOptionIds":[],"onlineServices":[],"childCriteriaItemList":[],"clientContextJson":""},{"keyOptionId":"8777","caption":"Specialty REIT","isDefault":true,"maskCriteriaOnly":false,"definition":"","keyProductQueryItem":"305790","comparisonOperation":0,"comparisonValue":"61","minimumVersion":"","maximumVersion":"","formOrder":0,"lowerBound":null,"enabled":true,"mask":"","largeMask":"","maskKey":"","keyItemMaskOfField":null,"keyOptionIdReplace":"","relatedOptionIds":[],"onlineServices":[],"childCriteriaItemList":[],"clientContextJson":""}],"clientContextJson":""},{"keyOptionId":"8778","caption":"Real Estate Management and Developmen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8779","caption":"Diversified Real Estate Activities","isDefault":true,"maskCriteriaOnly":false,"definition":"","keyProductQueryItem":"305790","comparisonOperation":0,"comparisonValue":"63","minimumVersion":"","maximumVersion":"","formOrder":0,"lowerBound":null,"enabled":true,"mask":"","largeMask":"","maskKey":"","keyItemMaskOfField":null,"keyOptionIdReplace":"","relatedOptionIds":[],"onlineServices":[],"childCriteriaItemList":[],"clientContextJson":""},{"keyOptionId":"8780","caption":"Real Estate Operating and Management","isDefault":true,"maskCriteriaOnly":false,"definition":"","keyProductQueryItem":"305790","comparisonOperation":0,"comparisonValue":"64","minimumVersion":"","maximumVersion":"","formOrder":0,"lowerBound":null,"enabled":true,"mask":"","largeMask":"","maskKey":"","keyItemMaskOfField":null,"keyOptionIdReplace":"","relatedOptionIds":[],"onlineServices":[],"childCriteriaItemList":[],"clientContextJson":""},{"keyOptionId":"8781","caption":"Real Estate Development","isDefault":true,"maskCriteriaOnly":false,"definition":"","keyProductQueryItem":"305790","comparisonOperation":0,"comparisonValue":"65","minimumVersion":"","maximumVersion":"","formOrder":0,"lowerBound":null,"enabled":true,"mask":"","largeMask":"","maskKey":"","keyItemMaskOfField":null,"keyOptionIdReplace":"","relatedOptionIds":[],"onlineServices":[],"childCriteriaItemList":[],"clientContextJson":""},{"keyOptionId":"8782","caption":"Real Estate Services","isDefault":true,"maskCriteriaOnly":false,"definition":"","keyProductQueryItem":"305790","comparisonOperation":0,"comparisonValue":"66","minimumVersion":"","maximumVersion":"","formOrder":0,"lowerBound":null,"enabled":true,"mask":"","largeMask":"","maskKey":"","keyItemMaskOfField":null,"keyOptionIdReplace":"","relatedOptionIds":[],"onlineServices":[],"childCriteriaItemList":[],"clientContextJson":""}],"clientContextJson":""}],"clientContextJson":""},{"keyOptionId":"8783","caption":"Energy and Utiliti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8784","caption":"Oil, Gas and Coa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8785","caption":"Oil and Gas Drilling","isDefault":true,"maskCriteriaOnly":false,"definition":"","keyProductQueryItem":"305790","comparisonOperation":0,"comparisonValue":"69","minimumVersion":"","maximumVersion":"","formOrder":0,"lowerBound":null,"enabled":true,"mask":"","largeMask":"","maskKey":"","keyItemMaskOfField":null,"keyOptionIdReplace":"","relatedOptionIds":[],"onlineServices":[],"childCriteriaItemList":[],"clientContextJson":""},{"keyOptionId":"8786","caption":"Oil and Gas Equipment and Services","isDefault":true,"maskCriteriaOnly":false,"definition":"","keyProductQueryItem":"305790","comparisonOperation":0,"comparisonValue":"70","minimumVersion":"","maximumVersion":"","formOrder":0,"lowerBound":null,"enabled":true,"mask":"","largeMask":"","maskKey":"","keyItemMaskOfField":null,"keyOptionIdReplace":"","relatedOptionIds":[],"onlineServices":[],"childCriteriaItemList":[],"clientContextJson":""},{"keyOptionId":"8787","caption":"Integrated Oil and Gas","isDefault":true,"maskCriteriaOnly":false,"definition":"","keyProductQueryItem":"305790","comparisonOperation":0,"comparisonValue":"71","minimumVersion":"","maximumVersion":"","formOrder":0,"lowerBound":null,"enabled":true,"mask":"","largeMask":"","maskKey":"","keyItemMaskOfField":null,"keyOptionIdReplace":"","relatedOptionIds":[],"onlineServices":[],"childCriteriaItemList":[],"clientContextJson":""},{"keyOptionId":"8788","caption":"Oil and Gas Exploration and Production","isDefault":true,"maskCriteriaOnly":false,"definition":"","keyProductQueryItem":"305790","comparisonOperation":0,"comparisonValue":"72","minimumVersion":"","maximumVersion":"","formOrder":0,"lowerBound":null,"enabled":true,"mask":"","largeMask":"","maskKey":"","keyItemMaskOfField":null,"keyOptionIdReplace":"","relatedOptionIds":[],"onlineServices":[],"childCriteriaItemList":[],"clientContextJson":""},{"keyOptionId":"8789","caption":"Oil and Gas Refining and Marketing","isDefault":true,"maskCriteriaOnly":false,"definition":"","keyProductQueryItem":"305790","comparisonOperation":0,"comparisonValue":"73","minimumVersion":"","maximumVersion":"","formOrder":0,"lowerBound":null,"enabled":true,"mask":"","largeMask":"","maskKey":"","keyItemMaskOfField":null,"keyOptionIdReplace":"","relatedOptionIds":[],"</t>
  </si>
  <si>
    <t>onlineServices":[],"childCriteriaItemList":[],"clientContextJson":""},{"keyOptionId":"8790","caption":"Oil and Gas Storage and Transportation","isDefault":true,"maskCriteriaOnly":false,"definition":"","keyProductQueryItem":"305790","comparisonOperation":0,"comparisonValue":"74","minimumVersion":"","maximumVersion":"","formOrder":0,"lowerBound":null,"enabled":true,"mask":"","largeMask":"","maskKey":"","keyItemMaskOfField":null,"keyOptionIdReplace":"","relatedOptionIds":[],"onlineServices":[],"childCriteriaItemList":[],"clientContextJson":""},{"keyOptionId":"8791","caption":"Coal and Consumable Fuels","isDefault":true,"maskCriteriaOnly":false,"definition":"","keyProductQueryItem":"305790","comparisonOperation":0,"comparisonValue":"75","minimumVersion":"","maximumVersion":"","formOrder":0,"lowerBound":null,"enabled":true,"mask":"","largeMask":"","maskKey":"","keyItemMaskOfField":null,"keyOptionIdReplace":"","relatedOptionIds":[],"onlineServices":[],"childCriteriaItemList":[],"clientContextJson":""}],"clientContextJson":""},{"keyOptionId":"8792","caption":"Utiliti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8793","caption":"Electric Utilities","isDefault":true,"maskCriteriaOnly":false,"definition":"","keyProductQueryItem":"305790","comparisonOperation":0,"comparisonValue":"77","minimumVersion":"","maximumVersion":"","formOrder":0,"lowerBound":null,"enabled":true,"mask":"","largeMask":"","maskKey":"","keyItemMaskOfField":null,"keyOptionIdReplace":"","relatedOptionIds":[],"onlineServices":[],"childCriteriaItemList":[],"clientContextJson":""},{"keyOptionId":"8794","caption":"Gas Utilities","isDefault":true,"maskCriteriaOnly":false,"definition":"","keyProductQueryItem":"305790","comparisonOperation":0,"comparisonValue":"78","minimumVersion":"","maximumVersion":"","formOrder":0,"lowerBound":null,"enabled":true,"mask":"","largeMask":"","maskKey":"","keyItemMaskOfField":null,"keyOptionIdReplace":"","relatedOptionIds":[],"onlineServices":[],"childCriteriaItemList":[],"clientContextJson":""},{"keyOptionId":"8795","caption":"Multi-Utilities","isDefault":true,"maskCriteriaOnly":false,"definition":"","keyProductQueryItem":"305790","comparisonOperation":0,"comparisonValue":"79","minimumVersion":"","maximumVersion":"","formOrder":0,"lowerBound":null,"enabled":true,"mask":"","largeMask":"","maskKey":"","keyItemMaskOfField":null,"keyOptionIdReplace":"","relatedOptionIds":[],"onlineServices":[],"childCriteriaItemList":[],"clientContextJson":""},{"keyOptionId":"8796","caption":"Water Utilities","isDefault":true,"maskCriteriaOnly":false,"definition":"","keyProductQueryItem":"305790","comparisonOperation":0,"comparisonValue":"80","minimumVersion":"","maximumVersion":"","formOrder":0,"lowerBound":null,"enabled":true,"mask":"","largeMask":"","maskKey":"","keyItemMaskOfField":null,"keyOptionIdReplace":"","relatedOptionIds":[],"onlineServices":[],"childCriteriaItemList":[],"clientContextJson":""}],"clientContextJson":""},{"keyOptionId":"8797","caption":"Independent Power Producers and Energy Traders","isDefault":true,"maskCriteriaOnly":false,"definition":"","keyProductQueryItem":"305790","comparisonOperation":0,"comparisonValue":"81","minimumVersion":"","maximumVersion":"","formOrder":0,"lowerBound":null,"enabled":true,"mask":"","largeMask":"","maskKey":"","keyItemMaskOfField":null,"keyOptionIdReplace":"","relatedOptionIds":[],"onlineServices":[],"childCriteriaItemList":[],"clientContextJson":""},{"keyOptionId":"8798","caption":"Renewable Electricity","isDefault":true,"maskCriteriaOnly":false,"definition":"","keyProductQueryItem":"305790","comparisonOperation":0,"comparisonValue":"82","minimumVersion":"","maximumVersion":"","formOrder":0,"lowerBound":null,"enabled":true,"mask":"","largeMask":"","maskKey":"","keyItemMaskOfField":null,"keyOptionIdReplace":"","relatedOptionIds":[],"onlineServices":[],"childCriteriaItemList":[],"clientContextJson":""}],"clientContextJson":""},{"keyOptionId":"8799","caption":"Materi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8800","caption":"Chemic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8801","caption":"Commodity Chemicals","isDefault":true,"maskCriteriaOnly":false,"definition":"","keyProductQueryItem":"305790","comparisonOperation":0,"comparisonValue":"85","minimumVersion":"","maximumVersion":"","formOrder":0,"lowerBound":null,"enabled":true,"mask":"","largeMask":"","maskKey":"","keyItemMaskOfField":null,"keyOptionIdReplace":"","relatedOptionIds":[],"onlineServices":[],"childCriteriaItemList":[],"clientContextJson":""},{"keyOptionId":"8802","caption":"Diversified Chemicals","isDefault":true,"maskCriteriaOnly":false,"definition":"","keyProductQueryItem":"305790","comparisonOperation":0,"comparisonValue":"86","minimumVersion":"","maximumVersion":"","formOrder":0,"lowerBound":null,"enabled":true,"mask":"","largeMask":"","maskKey":"","keyItemMaskOfField":null,"keyOptionIdReplace":"","relatedOptionIds":[],"onlineServices":[],"childCriteriaItemList":[],"clientContextJson":""},{"keyOptionId":"8803","caption":"Fertilizers and Agricultural Chemicals","isDefault":true,"maskCriteriaOnly":false,"definition":"","keyProductQueryItem":"305790","comparisonOperation":0,"comparisonValue":"87","minimumVersion":"","maximumVersion":"","formOrder":0,"lowerBound":null,"enabled":true,"mask":"","largeMask":"","maskKey":"","keyItemMaskOfField":null,"keyOptionIdReplace":"","relatedOptionIds":[],"onlineServices":[],"childCriteriaItemList":[],"clientContextJson":""},{"keyOptionId":"8804","caption":"Specialty Chemicals","isDefault":true,"maskCriteriaOnly":false,"definition":"","keyProductQueryItem":"305790","comparisonOperation":0,"comparisonValue":"88","minimumVersion":"","maximumVersion":"","formOrder":0,"lowerBound":null,"enabled":true,"mask":"","largeMask":"","maskKey":"","keyItemMaskOfField":null,"keyOptionIdReplace":"","relatedOptionIds":[],"onlineServices":[],"childCriteriaItemList":[],"clientContextJson":""},{"keyOptionId":"8805","caption":"Industrial Gases","isDefault":true,"maskCriteriaOnly":false,"definition":"","keyProductQueryItem":"305790","comparisonOperation":0,"comparisonValue":"89","minimumVersion":"","maximumVersion":"","formOrder":0,"lowerBound":null,"enabled":true,"mask":"","largeMask":"","maskKey":"","keyItemMaskOfField":null,"keyOptionIdReplace":"","relatedOptionIds":[],"onlineServices":[],"childCriteriaItemList":[],"clientContextJson":""}],"clientContextJson":""},{"keyOptionId":"8806","caption":"Metals and Mining","isDefault":false,"maskCriteriaOnly":true,"definition":"","keyProductQueryItem":"","comparisonOperation":null,"comparisonValue":"","minimumVersion":"","maximumVersion":"","formOrder":0,"lowerBound":nu</t>
  </si>
  <si>
    <t>ll,"enabled":true,"mask":"","largeMask":"","maskKey":"","keyItemMaskOfField":null,"keyOptionIdReplace":"","relatedOptionIds":[],"onlineServices":[],"childCriteriaItemList":[{"keyOptionId":"8807","caption":"Diversified Metals and Mining","isDefault":true,"maskCriteriaOnly":false,"definition":"","keyProductQueryItem":"305790","comparisonOperation":0,"comparisonValue":"91","minimumVersion":"","maximumVersion":"","formOrder":0,"lowerBound":null,"enabled":true,"mask":"","largeMask":"","maskKey":"","keyItemMaskOfField":null,"keyOptionIdReplace":"","relatedOptionIds":[],"onlineServices":[],"childCriteriaItemList":[],"clientContextJson":""},{"keyOptionId":"8808","caption":"Platinum Group Metals and Gemstones","isDefault":true,"maskCriteriaOnly":false,"definition":"","keyProductQueryItem":"305790","comparisonOperation":0,"comparisonValue":"92","minimumVersion":"","maximumVersion":"","formOrder":0,"lowerBound":null,"enabled":true,"mask":"","largeMask":"","maskKey":"","keyItemMaskOfField":null,"keyOptionIdReplace":"","relatedOptionIds":[],"onlineServices":[],"childCriteriaItemList":[],"clientContextJson":""},{"keyOptionId":"8809","caption":"Gold","isDefault":true,"maskCriteriaOnly":false,"definition":"","keyProductQueryItem":"305790","comparisonOperation":0,"comparisonValue":"93","minimumVersion":"","maximumVersion":"","formOrder":0,"lowerBound":null,"enabled":true,"mask":"","largeMask":"","maskKey":"","keyItemMaskOfField":null,"keyOptionIdReplace":"","relatedOptionIds":[],"onlineServices":[],"childCriteriaItemList":[],"clientContextJson":""},{"keyOptionId":"8810","caption":"Silver","isDefault":true,"maskCriteriaOnly":false,"definition":"","keyProductQueryItem":"305790","comparisonOperation":0,"comparisonValue":"94","minimumVersion":"","maximumVersion":"","formOrder":0,"lowerBound":null,"enabled":true,"mask":"","largeMask":"","maskKey":"","keyItemMaskOfField":null,"keyOptionIdReplace":"","relatedOptionIds":[],"onlineServices":[],"childCriteriaItemList":[],"clientContextJson":""},{"keyOptionId":"8811","caption":"Aluminum","isDefault":true,"maskCriteriaOnly":false,"definition":"","keyProductQueryItem":"305790","comparisonOperation":0,"comparisonValue":"97","minimumVersion":"","maximumVersion":"","formOrder":0,"lowerBound":null,"enabled":true,"mask":"","largeMask":"","maskKey":"","keyItemMaskOfField":null,"keyOptionIdReplace":"","relatedOptionIds":[],"onlineServices":[],"childCriteriaItemList":[],"clientContextJson":""},{"keyOptionId":"8812","caption":"Copper","isDefault":true,"maskCriteriaOnly":false,"definition":"","keyProductQueryItem":"305790","comparisonOperation":0,"comparisonValue":"98","minimumVersion":"","maximumVersion":"","formOrder":0,"lowerBound":null,"enabled":true,"mask":"","largeMask":"","maskKey":"","keyItemMaskOfField":null,"keyOptionIdReplace":"","relatedOptionIds":[],"onlineServices":[],"childCriteriaItemList":[],"clientContextJson":""},{"keyOptionId":"8813","caption":"Steel","isDefault":true,"maskCriteriaOnly":false,"definition":"","keyProductQueryItem":"305790","comparisonOperation":0,"comparisonValue":"99","minimumVersion":"","maximumVersion":"","formOrder":0,"lowerBound":null,"enabled":true,"mask":"","largeMask":"","maskKey":"","keyItemMaskOfField":null,"keyOptionIdReplace":"","relatedOptionIds":[],"onlineServices":[],"childCriteriaItemList":[],"clientContextJson":""}],"clientContextJson":""},{"keyOptionId":"8814","caption":"Construction Materials","isDefault":true,"maskCriteriaOnly":false,"definition":"","keyProductQueryItem":"305790","comparisonOperation":0,"comparisonValue":"100","minimumVersion":"","maximumVersion":"","formOrder":0,"lowerBound":null,"enabled":true,"mask":"","largeMask":"","maskKey":"","keyItemMaskOfField":null,"keyOptionIdReplace":"","relatedOptionIds":[],"onlineServices":[],"childCriteriaItemList":[],"clientContextJson":""},{"keyOptionId":"8815","caption":"Containers and Packaging: Metal, Glass, and Plastic","isDefault":true,"maskCriteriaOnly":false,"definition":"","keyProductQueryItem":"305790","comparisonOperation":0,"comparisonValue":"101","minimumVersion":"","maximumVersion":"","formOrder":0,"lowerBound":null,"enabled":true,"mask":"","largeMask":"","maskKey":"","keyItemMaskOfField":null,"keyOptionIdReplace":"","relatedOptionIds":[],"onlineServices":[],"childCriteriaItemList":[],"clientContextJson":""},{"keyOptionId":"8816","caption":"Containers and Packaging: Paper","isDefault":true,"maskCriteriaOnly":false,"definition":"","keyProductQueryItem":"305790","comparisonOperation":0,"comparisonValue":"102","minimumVersion":"","maximumVersion":"","formOrder":0,"lowerBound":null,"enabled":true,"mask":"","largeMask":"","maskKey":"","keyItemMaskOfField":null,"keyOptionIdReplace":"","relatedOptionIds":[],"onlineServices":[],"childCriteriaItemList":[],"clientContextJson":""},{"keyOptionId":"8817","caption":"Forest Products","isDefault":true,"maskCriteriaOnly":false,"definition":"","keyProductQueryItem":"305790","comparisonOperation":0,"comparisonValue":"103","minimumVersion":"","maximumVersion":"","formOrder":0,"lowerBound":null,"enabled":true,"mask":"","largeMask":"","maskKey":"","keyItemMaskOfField":null,"keyOptionIdReplace":"","relatedOptionIds":[],"onlineServices":[],"childCriteriaItemList":[],"clientContextJson":""},{"keyOptionId":"8818","caption":"Paper Products","isDefault":true,"maskCriteriaOnly":false,"definition":"","keyProductQueryItem":"305790","comparisonOperation":0,"comparisonValue":"104","minimumVersion":"","maximumVersion":"","formOrder":0,"lowerBound":null,"enabled":true,"mask":"","largeMask":"","maskKey":"","keyItemMaskOfField":null,"keyOptionIdReplace":"","relatedOptionIds":[],"onlineServices":[],"childCriteriaItemList":[],"clientContextJson":""}],"clientContextJson":""},{"keyOptionId":"8819","caption":"Healthcar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8820","caption":"Healthcare Equipment","isDefault":true,"maskCriteriaOnly":false,"definition":"","keyProductQueryItem":"305790","comparisonOperation":0,"comparisonValue":"106","minimumVersion":"","maximumVersion":"","formOrder":0,"lowerBound":null,"enabled":true,"mask":"","largeMask":"","maskKey":"","keyItemMaskOfField":null,"keyOptionIdReplace":"","relatedOptionIds":[],"onlineServices":[],"childCriteriaItemList":[],"clientContextJson":""},{"keyOptionId":"8821","caption":"Healthcare Supplies","isDefault":true,"maskCriteriaOnly":false,"definition":"","keyProductQueryItem":"305790","comparisonOperation":0,"comparisonValue":"107","minimumVersion":"","maximumVersion":"","formOrder":0,"lowerBound":null,"enabled":true,"mask":"","largeMask":"","maskKey":"","keyItemMaskOfField":null,"keyOptionIdReplace":"","relatedOptionIds":[],"onlineServices":[],"childCriteriaItemList":[],"clientContextJson":""},{"keyOptionId":"8822","caption":"Healthcare Providers and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8823","caption":"Healthcare Distributors","isDefault":true,"maskCriteriaOnly":false,"definition":"","keyProductQueryItem":"305790","comparisonOperation":0,"comparisonVa</t>
  </si>
  <si>
    <t>lue":"109","minimumVersion":"","maximumVersion":"","formOrder":0,"lowerBound":null,"enabled":true,"mask":"","largeMask":"","maskKey":"","keyItemMaskOfField":null,"keyOptionIdReplace":"","relatedOptionIds":[],"onlineServices":[],"childCriteriaItemList":[],"clientContextJson":""},{"keyOptionId":"8824","caption":"Healthcare Services","isDefault":true,"maskCriteriaOnly":false,"definition":"","keyProductQueryItem":"305790","comparisonOperation":0,"comparisonValue":"110","minimumVersion":"","maximumVersion":"","formOrder":0,"lowerBound":null,"enabled":true,"mask":"","largeMask":"","maskKey":"","keyItemMaskOfField":null,"keyOptionIdReplace":"","relatedOptionIds":[],"onlineServices":[],"childCriteriaItemList":[],"clientContextJson":""},{"keyOptionId":"8825","caption":"Healthcare Facilities","isDefault":true,"maskCriteriaOnly":false,"definition":"","keyProductQueryItem":"305790","comparisonOperation":0,"comparisonValue":"111","minimumVersion":"","maximumVersion":"","formOrder":0,"lowerBound":null,"enabled":true,"mask":"","largeMask":"","maskKey":"","keyItemMaskOfField":null,"keyOptionIdReplace":"","relatedOptionIds":[],"onlineServices":[],"childCriteriaItemList":[],"clientContextJson":""},{"keyOptionId":"8826","caption":"Managed Healthcare","isDefault":true,"maskCriteriaOnly":false,"definition":"","keyProductQueryItem":"305790","comparisonOperation":0,"comparisonValue":"112","minimumVersion":"","maximumVersion":"","formOrder":0,"lowerBound":null,"enabled":true,"mask":"","largeMask":"","maskKey":"","keyItemMaskOfField":null,"keyOptionIdReplace":"","relatedOptionIds":[],"onlineServices":[],"childCriteriaItemList":[],"clientContextJson":""}],"clientContextJson":""},{"keyOptionId":"8827","caption":"Healthcare Technology","isDefault":true,"maskCriteriaOnly":false,"definition":"","keyProductQueryItem":"305790","comparisonOperation":0,"comparisonValue":"113","minimumVersion":"","maximumVersion":"","formOrder":0,"lowerBound":null,"enabled":true,"mask":"","largeMask":"","maskKey":"","keyItemMaskOfField":null,"keyOptionIdReplace":"","relatedOptionIds":[],"onlineServices":[],"childCriteriaItemList":[],"clientContextJson":""},{"keyOptionId":"8828","caption":"Pharmaceuticals, Biotechnology and Life Scien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8829","caption":"Biotechnology","isDefault":true,"maskCriteriaOnly":false,"definition":"","keyProductQueryItem":"305790","comparisonOperation":0,"comparisonValue":"115","minimumVersion":"","maximumVersion":"","formOrder":0,"lowerBound":null,"enabled":true,"mask":"","largeMask":"","maskKey":"","keyItemMaskOfField":null,"keyOptionIdReplace":"","relatedOptionIds":[],"onlineServices":[],"childCriteriaItemList":[],"clientContextJson":""},{"keyOptionId":"8830","caption":"Pharmaceuticals","isDefault":true,"maskCriteriaOnly":false,"definition":"","keyProductQueryItem":"305790","comparisonOperation":0,"comparisonValue":"116","minimumVersion":"","maximumVersion":"","formOrder":0,"lowerBound":null,"enabled":true,"mask":"","largeMask":"","maskKey":"","keyItemMaskOfField":null,"keyOptionIdReplace":"","relatedOptionIds":[],"onlineServices":[],"childCriteriaItemList":[],"clientContextJson":""},{"keyOptionId":"8831","caption":"Life Sciences Tools and Services","isDefault":true,"maskCriteriaOnly":false,"definition":"","keyProductQueryItem":"305790","comparisonOperation":0,"comparisonValue":"117","minimumVersion":"","maximumVersion":"","formOrder":0,"lowerBound":null,"enabled":true,"mask":"","largeMask":"","maskKey":"","keyItemMaskOfField":null,"keyOptionIdReplace":"","relatedOptionIds":[],"onlineServices":[],"childCriteriaItemList":[],"clientContextJson":""}],"clientContextJson":""}],"clientContextJson":""},{"keyOptionId":"8832","caption":"Industri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8833","caption":"Capital Good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8834","caption":"Aerospace and Defense","isDefault":true,"maskCriteriaOnly":false,"definition":"","keyProductQueryItem":"305790","comparisonOperation":0,"comparisonValue":"120","minimumVersion":"","maximumVersion":"","formOrder":0,"lowerBound":null,"enabled":true,"mask":"","largeMask":"","maskKey":"","keyItemMaskOfField":null,"keyOptionIdReplace":"","relatedOptionIds":[],"onlineServices":[],"childCriteriaItemList":[],"clientContextJson":""},{"keyOptionId":"8835","caption":"Building Products","isDefault":true,"maskCriteriaOnly":false,"definition":"","keyProductQueryItem":"305790","comparisonOperation":0,"comparisonValue":"121","minimumVersion":"","maximumVersion":"","formOrder":0,"lowerBound":null,"enabled":true,"mask":"","largeMask":"","maskKey":"","keyItemMaskOfField":null,"keyOptionIdReplace":"","relatedOptionIds":[],"onlineServices":[],"childCriteriaItemList":[],"clientContextJson":""},{"keyOptionId":"8836","caption":"Construction and Engineering","isDefault":true,"maskCriteriaOnly":false,"definition":"","keyProductQueryItem":"305790","comparisonOperation":0,"comparisonValue":"122","minimumVersion":"","maximumVersion":"","formOrder":0,"lowerBound":null,"enabled":true,"mask":"","largeMask":"","maskKey":"","keyItemMaskOfField":null,"keyOptionIdReplace":"","relatedOptionIds":[],"onlineServices":[],"childCriteriaItemList":[],"clientContextJson":""},{"keyOptionId":"8837","caption":"Electrical Components and Equipment: Light","isDefault":true,"maskCriteriaOnly":false,"definition":"","keyProductQueryItem":"305790","comparisonOperation":0,"comparisonValue":"123","minimumVersion":"","maximumVersion":"","formOrder":0,"lowerBound":null,"enabled":true,"mask":"","largeMask":"","maskKey":"","keyItemMaskOfField":null,"keyOptionIdReplace":"","relatedOptionIds":[],"onlineServices":[],"childCriteriaItemList":[],"clientContextJson":""},{"keyOptionId":"8838","caption":"Electrical Components and Equipment: Heavy","isDefault":true,"maskCriteriaOnly":false,"definition":"","keyProductQueryItem":"305790","comparisonOperation":0,"comparisonValue":"124","minimumVersion":"","maximumVersion":"","formOrder":0,"lowerBound":null,"enabled":true,"mask":"","largeMask":"","maskKey":"","keyItemMaskOfField":null,"keyOptionIdReplace":"","relatedOptionIds":[],"onlineServices":[],"childCriteriaItemList":[],"clientContextJson":""},{"keyOptionId":"8839","caption":"Industrial Conglomerates","isDefault":true,"maskCriteriaOnly":false,"definition":"","keyProductQueryItem":"305790","comparisonOperation":0,"comparisonValue":"125","minimumVersion":"","maximumVersion":"","formOrder":0,"lowerBound":null,"enabled":true,"mask":"","largeMask":"","maskKey":"","keyItemMaskOfField":null,"keyOptionIdReplace":"","relatedOptionIds":[],"onlineServices":[],"childCriteriaItemList":[],"clientContextJson":""},{</t>
  </si>
  <si>
    <t>"keyOptionId":"8840","caption":"Machinery: Construction and Heavy Trucks","isDefault":true,"maskCriteriaOnly":false,"definition":"","keyProductQueryItem":"305790","comparisonOperation":0,"comparisonValue":"126","minimumVersion":"","maximumVersion":"","formOrder":0,"lowerBound":null,"enabled":true,"mask":"","largeMask":"","maskKey":"","keyItemMaskOfField":null,"keyOptionIdReplace":"","relatedOptionIds":[],"onlineServices":[],"childCriteriaItemList":[],"clientContextJson":""},{"keyOptionId":"8841","caption":"Machinery: Agricultural and Farm","isDefault":true,"maskCriteriaOnly":false,"definition":"","keyProductQueryItem":"305790","comparisonOperation":0,"comparisonValue":"127","minimumVersion":"","maximumVersion":"","formOrder":0,"lowerBound":null,"enabled":true,"mask":"","largeMask":"","maskKey":"","keyItemMaskOfField":null,"keyOptionIdReplace":"","relatedOptionIds":[],"onlineServices":[],"childCriteriaItemList":[],"clientContextJson":""},{"keyOptionId":"8842","caption":"Machinery: Industrial","isDefault":true,"maskCriteriaOnly":false,"definition":"","keyProductQueryItem":"305790","comparisonOperation":0,"comparisonValue":"128","minimumVersion":"","maximumVersion":"","formOrder":0,"lowerBound":null,"enabled":true,"mask":"","largeMask":"","maskKey":"","keyItemMaskOfField":null,"keyOptionIdReplace":"","relatedOptionIds":[],"onlineServices":[],"childCriteriaItemList":[],"clientContextJson":""},{"keyOptionId":"8843","caption":"Trading Companies and Distributors","isDefault":true,"maskCriteriaOnly":false,"definition":"","keyProductQueryItem":"305790","comparisonOperation":0,"comparisonValue":"129","minimumVersion":"","maximumVersion":"","formOrder":0,"lowerBound":null,"enabled":true,"mask":"","largeMask":"","maskKey":"","keyItemMaskOfField":null,"keyOptionIdReplace":"","relatedOptionIds":[],"onlineServices":[],"childCriteriaItemList":[],"clientContextJson":""}],"clientContextJson":""},{"keyOptionId":"8844","caption":"Commercial and Professional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8845","caption":"Commercial Printing","isDefault":true,"maskCriteriaOnly":false,"definition":"","keyProductQueryItem":"305790","comparisonOperation":0,"comparisonValue":"131","minimumVersion":"","maximumVersion":"","formOrder":0,"lowerBound":null,"enabled":true,"mask":"","largeMask":"","maskKey":"","keyItemMaskOfField":null,"keyOptionIdReplace":"","relatedOptionIds":[],"onlineServices":[],"childCriteriaItemList":[],"clientContextJson":""},{"keyOptionId":"8846","caption":"Environmental and Facilities Services","isDefault":true,"maskCriteriaOnly":false,"definition":"","keyProductQueryItem":"305790","comparisonOperation":0,"comparisonValue":"132","minimumVersion":"","maximumVersion":"","formOrder":0,"lowerBound":null,"enabled":true,"mask":"","largeMask":"","maskKey":"","keyItemMaskOfField":null,"keyOptionIdReplace":"","relatedOptionIds":[],"onlineServices":[],"childCriteriaItemList":[],"clientContextJson":""},{"keyOptionId":"8847","caption":"Office Services and Supplies","isDefault":true,"maskCriteriaOnly":false,"definition":"","keyProductQueryItem":"305790","comparisonOperation":0,"comparisonValue":"133","minimumVersion":"","maximumVersion":"","formOrder":0,"lowerBound":null,"enabled":true,"mask":"","largeMask":"","maskKey":"","keyItemMaskOfField":null,"keyOptionIdReplace":"","relatedOptionIds":[],"onlineServices":[],"childCriteriaItemList":[],"clientContextJson":""},{"keyOptionId":"8848","caption":"Diversified Support Services","isDefault":true,"maskCriteriaOnly":false,"definition":"","keyProductQueryItem":"305790","comparisonOperation":0,"comparisonValue":"134","minimumVersion":"","maximumVersion":"","formOrder":0,"lowerBound":null,"enabled":true,"mask":"","largeMask":"","maskKey":"","keyItemMaskOfField":null,"keyOptionIdReplace":"","relatedOptionIds":[],"onlineServices":[],"childCriteriaItemList":[],"clientContextJson":""},{"keyOptionId":"8849","caption":"Security and Alarm Services","isDefault":true,"maskCriteriaOnly":false,"definition":"","keyProductQueryItem":"305790","comparisonOperation":0,"comparisonValue":"135","minimumVersion":"","maximumVersion":"","formOrder":0,"lowerBound":null,"enabled":true,"mask":"","largeMask":"","maskKey":"","keyItemMaskOfField":null,"keyOptionIdReplace":"","relatedOptionIds":[],"onlineServices":[],"childCriteriaItemList":[],"clientContextJson":""},{"keyOptionId":"8850","caption":"Human Resource and Employment Services","isDefault":true,"maskCriteriaOnly":false,"definition":"","keyProductQueryItem":"305790","comparisonOperation":0,"comparisonValue":"136","minimumVersion":"","maximumVersion":"","formOrder":0,"lowerBound":null,"enabled":true,"mask":"","largeMask":"","maskKey":"","keyItemMaskOfField":null,"keyOptionIdReplace":"","relatedOptionIds":[],"onlineServices":[],"childCriteriaItemList":[],"clientContextJson":""},{"keyOptionId":"8851","caption":"Research and Consulting Services","isDefault":true,"maskCriteriaOnly":false,"definition":"","keyProductQueryItem":"305790","comparisonOperation":0,"comparisonValue":"137","minimumVersion":"","maximumVersion":"","formOrder":0,"lowerBound":null,"enabled":true,"mask":"","largeMask":"","maskKey":"","keyItemMaskOfField":null,"keyOptionIdReplace":"","relatedOptionIds":[],"onlineServices":[],"childCriteriaItemList":[],"clientContextJson":""}],"clientContextJson":""},{"keyOptionId":"8852","caption":"Transporta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8853","caption":"Air Freight and Logistics","isDefault":true,"maskCriteriaOnly":false,"definition":"","keyProductQueryItem":"305790","comparisonOperation":0,"comparisonValue":"139","minimumVersion":"","maximumVersion":"","formOrder":0,"lowerBound":null,"enabled":true,"mask":"","largeMask":"","maskKey":"","keyItemMaskOfField":null,"keyOptionIdReplace":"","relatedOptionIds":[],"onlineServices":[],"childCriteriaItemList":[],"clientContextJson":""},{"keyOptionId":"8854","caption":"Airlines","isDefault":true,"maskCriteriaOnly":false,"definition":"","keyProductQueryItem":"305790","comparisonOperation":0,"comparisonValue":"140","minimumVersion":"","maximumVersion":"","formOrder":0,"lowerBound":null,"enabled":true,"mask":"","largeMask":"","maskKey":"","keyItemMaskOfField":null,"keyOptionIdReplace":"","relatedOptionIds":[],"onlineServices":[],"childCriteriaItemList":[],"clientContextJson":""},{"keyOptionId":"8855","caption":"Marine","isDefault":true,"maskCriteriaOnly":false,"definition":"","keyProductQueryItem":"305790","comparisonOperation":0,"comparisonValue":"141","minimumVersion":"","maximumVersion":"","formOrder":0,"lowerBound":null,"enabled":true,"mask":"","largeMask":"","maskKey":"","keyItemMaskOfField":null,"keyOptionIdReplace":"","relatedOptionIds":[],"onlineServices":[],"childCriteriaItemList":[],"clientContextJson":""},{"keyOptionId":"8856","caption":"Railroads","isDefault":true,"maskCriteriaOnly":false,"definition":"","keyProductQueryItem":"305790","comparisonOperation":0,"comparisonValue":"142","minimumVersion":"","maximumVersion":"","formOrder":0</t>
  </si>
  <si>
    <t>,"lowerBound":null,"enabled":true,"mask":"","largeMask":"","maskKey":"","keyItemMaskOfField":null,"keyOptionIdReplace":"","relatedOptionIds":[],"onlineServices":[],"childCriteriaItemList":[],"clientContextJson":""},{"keyOptionId":"8857","caption":"Trucking","isDefault":true,"maskCriteriaOnly":false,"definition":"","keyProductQueryItem":"305790","comparisonOperation":0,"comparisonValue":"143","minimumVersion":"","maximumVersion":"","formOrder":0,"lowerBound":null,"enabled":true,"mask":"","largeMask":"","maskKey":"","keyItemMaskOfField":null,"keyOptionIdReplace":"","relatedOptionIds":[],"onlineServices":[],"childCriteriaItemList":[],"clientContextJson":""},{"keyOptionId":"8858","caption":"Airport Services","isDefault":true,"maskCriteriaOnly":false,"definition":"","keyProductQueryItem":"305790","comparisonOperation":0,"comparisonValue":"144","minimumVersion":"","maximumVersion":"","formOrder":0,"lowerBound":null,"enabled":true,"mask":"","largeMask":"","maskKey":"","keyItemMaskOfField":null,"keyOptionIdReplace":"","relatedOptionIds":[],"onlineServices":[],"childCriteriaItemList":[],"clientContextJson":""},{"keyOptionId":"8859","caption":"Highways and Railtracks","isDefault":true,"maskCriteriaOnly":false,"definition":"","keyProductQueryItem":"305790","comparisonOperation":0,"comparisonValue":"145","minimumVersion":"","maximumVersion":"","formOrder":0,"lowerBound":null,"enabled":true,"mask":"","largeMask":"","maskKey":"","keyItemMaskOfField":null,"keyOptionIdReplace":"","relatedOptionIds":[],"onlineServices":[],"childCriteriaItemList":[],"clientContextJson":""},{"keyOptionId":"8860","caption":"Marine Ports and Services","isDefault":true,"maskCriteriaOnly":false,"definition":"","keyProductQueryItem":"305790","comparisonOperation":0,"comparisonValue":"146","minimumVersion":"","maximumVersion":"","formOrder":0,"lowerBound":null,"enabled":true,"mask":"","largeMask":"","maskKey":"","keyItemMaskOfField":null,"keyOptionIdReplace":"","relatedOptionIds":[],"onlineServices":[],"childCriteriaItemList":[],"clientContextJson":""}],"clientContextJson":""}],"clientContextJson":""},{"keyOptionId":"8861","caption":"Consumer","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8862","caption":"Retai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8863","caption":"Retailers: Food and Dru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8864","caption":"Drug Retail","isDefault":true,"maskCriteriaOnly":false,"definition":"","keyProductQueryItem":"305790","comparisonOperation":0,"comparisonValue":"150","minimumVersion":"","maximumVersion":"","formOrder":0,"lowerBound":null,"enabled":true,"mask":"","largeMask":"","maskKey":"","keyItemMaskOfField":null,"keyOptionIdReplace":"","relatedOptionIds":[],"onlineServices":[],"childCriteriaItemList":[],"clientContextJson":""},{"keyOptionId":"8865","caption":"Food Distributors","isDefault":true,"maskCriteriaOnly":false,"definition":"","keyProductQueryItem":"305790","comparisonOperation":0,"comparisonValue":"151","minimumVersion":"","maximumVersion":"","formOrder":0,"lowerBound":null,"enabled":true,"mask":"","largeMask":"","maskKey":"","keyItemMaskOfField":null,"keyOptionIdReplace":"","relatedOptionIds":[],"onlineServices":[],"childCriteriaItemList":[],"clientContextJson":""},{"keyOptionId":"8866","caption":"Food Retail","isDefault":true,"maskCriteriaOnly":false,"definition":"","keyProductQueryItem":"305790","comparisonOperation":0,"comparisonValue":"152","minimumVersion":"","maximumVersion":"","formOrder":0,"lowerBound":null,"enabled":true,"mask":"","largeMask":"","maskKey":"","keyItemMaskOfField":null,"keyOptionIdReplace":"","relatedOptionIds":[],"onlineServices":[],"childCriteriaItemList":[],"clientContextJson":""},{"keyOptionId":"8867","caption":"Hypermarkets and Supercenters","isDefault":true,"maskCriteriaOnly":false,"definition":"","keyProductQueryItem":"305790","comparisonOperation":0,"comparisonValue":"153","minimumVersion":"","maximumVersion":"","formOrder":0,"lowerBound":null,"enabled":true,"mask":"","largeMask":"","maskKey":"","keyItemMaskOfField":null,"keyOptionIdReplace":"","relatedOptionIds":[],"onlineServices":[],"childCriteriaItemList":[],"clientContextJson":""}],"clientContextJson":""},{"keyOptionId":"8868","caption":"Retailers: NonFood and NonDru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8869","caption":"Internet and Direct Marketing Retail","isDefault":true,"maskCriteriaOnly":false,"definition":"","keyProductQueryItem":"305790","comparisonOperation":0,"comparisonValue":"155","minimumVersion":"","maximumVersion":"","formOrder":0,"lowerBound":null,"enabled":true,"mask":"","largeMask":"","maskKey":"","keyItemMaskOfField":null,"keyOptionIdReplace":"","relatedOptionIds":[],"onlineServices":[],"childCriteriaItemList":[],"clientContextJson":""},{"keyOptionId":"8870","caption":"Department Stores","isDefault":true,"maskCriteriaOnly":false,"definition":"","keyProductQueryItem":"305790","comparisonOperation":0,"comparisonValue":"156","minimumVersion":"","maximumVersion":"","formOrder":0,"lowerBound":null,"enabled":true,"mask":"","largeMask":"","maskKey":"","keyItemMaskOfField":null,"keyOptionIdReplace":"","relatedOptionIds":[],"onlineServices":[],"childCriteriaItemList":[],"clientContextJson":""},{"keyOptionId":"8871","caption":"General Merchandise Stores","isDefault":true,"maskCriteriaOnly":false,"definition":"","keyProductQueryItem":"305790","comparisonOperation":0,"comparisonValue":"157","minimumVersion":"","maximumVersion":"","formOrder":0,"lowerBound":null,"enabled":true,"mask":"","largeMask":"","maskKey":"","keyItemMaskOfField":null,"keyOptionIdReplace":"","relatedOptionIds":[],"onlineServices":[],"childCriteriaItemList":[],"clientContextJson":""},{"keyOptionId":"8872","caption":"Apparel Retail","isDefault":true,"maskCriteriaOnly":false,"definition":"","keyProductQueryItem":"305790","comparisonOperation":0,"comparisonValue":"158","minimumVersion":"","maximumVersion":"","formOrder":0,"lowerBound":null,"enabled":true,"mask":"","largeMask":"","maskKey":"","keyItemMaskOfField":null,"keyOptionIdReplace":"","relatedOptionIds":[],"onlineServices":[],"childCriteriaItemList":[],"clientContextJson":""},{"keyOptionId":"8873","caption":"Computer and Electronics Retail","isDefault":true,"maskCriteriaOnly":false,"definition":"","keyProductQueryItem":"305790","comparisonOperation":0,"c</t>
  </si>
  <si>
    <t>omparisonValue":"159","minimumVersion":"","maximumVersion":"","formOrder":0,"lowerBound":null,"enabled":true,"mask":"","largeMask":"","maskKey":"","keyItemMaskOfField":null,"keyOptionIdReplace":"","relatedOptionIds":[],"onlineServices":[],"childCriteriaItemList":[],"clientContextJson":""},{"keyOptionId":"8874","caption":"Home Improvement Retail","isDefault":true,"maskCriteriaOnly":false,"definition":"","keyProductQueryItem":"305790","comparisonOperation":0,"comparisonValue":"160","minimumVersion":"","maximumVersion":"","formOrder":0,"lowerBound":null,"enabled":true,"mask":"","largeMask":"","maskKey":"","keyItemMaskOfField":null,"keyOptionIdReplace":"","relatedOptionIds":[],"onlineServices":[],"childCriteriaItemList":[],"clientContextJson":""},{"keyOptionId":"8875","caption":"Specialty Stores","isDefault":true,"maskCriteriaOnly":false,"definition":"","keyProductQueryItem":"305790","comparisonOperation":0,"comparisonValue":"161","minimumVersion":"","maximumVersion":"","formOrder":0,"lowerBound":null,"enabled":true,"mask":"","largeMask":"","maskKey":"","keyItemMaskOfField":null,"keyOptionIdReplace":"","relatedOptionIds":[],"onlineServices":[],"childCriteriaItemList":[],"clientContextJson":""},{"keyOptionId":"8876","caption":"Automotive Retail","isDefault":true,"maskCriteriaOnly":false,"definition":"","keyProductQueryItem":"305790","comparisonOperation":0,"comparisonValue":"162","minimumVersion":"","maximumVersion":"","formOrder":0,"lowerBound":null,"enabled":true,"mask":"","largeMask":"","maskKey":"","keyItemMaskOfField":null,"keyOptionIdReplace":"","relatedOptionIds":[],"onlineServices":[],"childCriteriaItemList":[],"clientContextJson":""},{"keyOptionId":"8877","caption":"Homefurnishing Retail","isDefault":true,"maskCriteriaOnly":false,"definition":"","keyProductQueryItem":"305790","comparisonOperation":0,"comparisonValue":"163","minimumVersion":"","maximumVersion":"","formOrder":0,"lowerBound":null,"enabled":true,"mask":"","largeMask":"","maskKey":"","keyItemMaskOfField":null,"keyOptionIdReplace":"","relatedOptionIds":[],"onlineServices":[],"childCriteriaItemList":[],"clientContextJson":""},{"keyOptionId":"8878","caption":"Other Distributors","isDefault":true,"maskCriteriaOnly":false,"definition":"","keyProductQueryItem":"305790","comparisonOperation":0,"comparisonValue":"164","minimumVersion":"","maximumVersion":"","formOrder":0,"lowerBound":null,"enabled":true,"mask":"","largeMask":"","maskKey":"","keyItemMaskOfField":null,"keyOptionIdReplace":"","relatedOptionIds":[],"onlineServices":[],"childCriteriaItemList":[],"clientContextJson":""}],"clientContextJson":""}],"clientContextJson":""},{"keyOptionId":"8879","caption":"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8880","caption":"Beverage 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8881","caption":"Brewer: Beer and Malt Liquor","isDefault":true,"maskCriteriaOnly":false,"definition":"","keyProductQueryItem":"305790","comparisonOperation":0,"comparisonValue":"167","minimumVersion":"","maximumVersion":"","formOrder":0,"lowerBound":null,"enabled":true,"mask":"","largeMask":"","maskKey":"","keyItemMaskOfField":null,"keyOptionIdReplace":"","relatedOptionIds":[],"onlineServices":[],"childCriteriaItemList":[],"clientContextJson":""},{"keyOptionId":"8882","caption":"Distillers and Vintners","isDefault":true,"maskCriteriaOnly":false,"definition":"","keyProductQueryItem":"305790","comparisonOperation":0,"comparisonValue":"168","minimumVersion":"","maximumVersion":"","formOrder":0,"lowerBound":null,"enabled":true,"mask":"","largeMask":"","maskKey":"","keyItemMaskOfField":null,"keyOptionIdReplace":"","relatedOptionIds":[],"onlineServices":[],"childCriteriaItemList":[],"clientContextJson":""},{"keyOptionId":"8883","caption":"Soft Drinks","isDefault":true,"maskCriteriaOnly":false,"definition":"","keyProductQueryItem":"305790","comparisonOperation":0,"comparisonValue":"169","minimumVersion":"","maximumVersion":"","formOrder":0,"lowerBound":null,"enabled":true,"mask":"","largeMask":"","maskKey":"","keyItemMaskOfField":null,"keyOptionIdReplace":"","relatedOptionIds":[],"onlineServices":[],"childCriteriaItemList":[],"clientContextJson":""}],"clientContextJson":""},{"keyOptionId":"8884","caption":"Consumer Durables 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8885","caption":"Consumer Electronics Producers","isDefault":true,"maskCriteriaOnly":false,"definition":"","keyProductQueryItem":"305790","comparisonOperation":0,"comparisonValue":"171","minimumVersion":"","maximumVersion":"","formOrder":0,"lowerBound":null,"enabled":true,"mask":"","largeMask":"","maskKey":"","keyItemMaskOfField":null,"keyOptionIdReplace":"","relatedOptionIds":[],"onlineServices":[],"childCriteriaItemList":[],"clientContextJson":""},{"keyOptionId":"8886","caption":"Home Furnishings Producers","isDefault":true,"maskCriteriaOnly":false,"definition":"","keyProductQueryItem":"305790","comparisonOperation":0,"comparisonValue":"172","minimumVersion":"","maximumVersion":"","formOrder":0,"lowerBound":null,"enabled":true,"mask":"","largeMask":"","maskKey":"","keyItemMaskOfField":null,"keyOptionIdReplace":"","relatedOptionIds":[],"onlineServices":[],"childCriteriaItemList":[],"clientContextJson":""},{"keyOptionId":"8887","caption":"Homebuilding Producers","isDefault":true,"maskCriteriaOnly":false,"definition":"","keyProductQueryItem":"305790","comparisonOperation":0,"comparisonValue":"173","minimumVersion":"","maximumVersion":"","formOrder":0,"lowerBound":null,"enabled":true,"mask":"","largeMask":"","maskKey":"","keyItemMaskOfField":null,"keyOptionIdReplace":"","relatedOptionIds":[],"onlineServices":[],"childCriteriaItemList":[],"clientContextJson":""},{"keyOptionId":"8888","caption":"Household Appliances Producers","isDefault":true,"maskCriteriaOnly":false,"definition":"","keyProductQueryItem":"305790","comparisonOperation":0,"comparisonValue":"174","minimumVersion":"","maximumVersion":"","formOrder":0,"lowerBound":null,"enabled":true,"mask":"","largeMask":"","maskKey":"","keyItemMaskOfField":null,"keyOptionIdReplace":"","relatedOptionIds":[],"onlineServices":[],"childCriteriaItemList":[],"clientContextJson":""},{"keyOptionId":"8889","caption":"Housewares and Specialties Producers","isDefault":true,"maskCriteriaOnly":false,"definition":"","keyProductQueryItem":"305790","comparisonOperation":0,"comparisonValue":"175","minimumVersion":"","maximumVersion":"","formOrder":0,"lowerBound":null,"enabled":true,"mask":"","largeMask":"","maskKey":"","keyItemMaskOfField":null,"keyOptionIdReplace":"","relatedOptionIds":[],"onlineServices":[],"childCriteriaItemList":[],"clientContextJson":""},{"keyOptionId":"8890</t>
  </si>
  <si>
    <t>","caption":"Leisure Products Producers","isDefault":true,"maskCriteriaOnly":false,"definition":"","keyProductQueryItem":"305790","comparisonOperation":0,"comparisonValue":"176","minimumVersion":"","maximumVersion":"","formOrder":0,"lowerBound":null,"enabled":true,"mask":"","largeMask":"","maskKey":"","keyItemMaskOfField":null,"keyOptionIdReplace":"","relatedOptionIds":[],"onlineServices":[],"childCriteriaItemList":[],"clientContextJson":""}],"clientContextJson":""},{"keyOptionId":"8891","caption":"Apparel, Footwear and Textile 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8892","caption":"Apparel, Accessories and Luxury Goods","isDefault":true,"maskCriteriaOnly":false,"definition":"","keyProductQueryItem":"305790","comparisonOperation":0,"comparisonValue":"178","minimumVersion":"","maximumVersion":"","formOrder":0,"lowerBound":null,"enabled":true,"mask":"","largeMask":"","maskKey":"","keyItemMaskOfField":null,"keyOptionIdReplace":"","relatedOptionIds":[],"onlineServices":[],"childCriteriaItemList":[],"clientContextJson":""},{"keyOptionId":"8893","caption":"Footwear Producers","isDefault":true,"maskCriteriaOnly":false,"definition":"","keyProductQueryItem":"305790","comparisonOperation":0,"comparisonValue":"179","minimumVersion":"","maximumVersion":"","formOrder":0,"lowerBound":null,"enabled":true,"mask":"","largeMask":"","maskKey":"","keyItemMaskOfField":null,"keyOptionIdReplace":"","relatedOptionIds":[],"onlineServices":[],"childCriteriaItemList":[],"clientContextJson":""},{"keyOptionId":"8894","caption":"Textiles Producers","isDefault":true,"maskCriteriaOnly":false,"definition":"","keyProductQueryItem":"305790","comparisonOperation":0,"comparisonValue":"180","minimumVersion":"","maximumVersion":"","formOrder":0,"lowerBound":null,"enabled":true,"mask":"","largeMask":"","maskKey":"","keyItemMaskOfField":null,"keyOptionIdReplace":"","relatedOptionIds":[],"onlineServices":[],"childCriteriaItemList":[],"clientContextJson":""}],"clientContextJson":""},{"keyOptionId":"8895","caption":"Agricultural Products","isDefault":true,"maskCriteriaOnly":false,"definition":"","keyProductQueryItem":"305790","comparisonOperation":0,"comparisonValue":"181","minimumVersion":"","maximumVersion":"","formOrder":0,"lowerBound":null,"enabled":true,"mask":"","largeMask":"","maskKey":"","keyItemMaskOfField":null,"keyOptionIdReplace":"","relatedOptionIds":[],"onlineServices":[],"childCriteriaItemList":[],"clientContextJson":""},{"keyOptionId":"8898","caption":"Packaged Foods and Meats Producers","isDefault":true,"maskCriteriaOnly":false,"definition":"","keyProductQueryItem":"305790","comparisonOperation":0,"comparisonValue":"182","minimumVersion":"","maximumVersion":"","formOrder":0,"lowerBound":null,"enabled":true,"mask":"","largeMask":"","maskKey":"","keyItemMaskOfField":null,"keyOptionIdReplace":"","relatedOptionIds":[],"onlineServices":[],"childCriteriaItemList":[],"clientContextJson":""},{"keyOptionId":"8914","caption":"Tobacco Producers","isDefault":true,"maskCriteriaOnly":false,"definition":"","keyProductQueryItem":"305790","comparisonOperation":0,"comparisonValue":"183","minimumVersion":"","maximumVersion":"","formOrder":0,"lowerBound":null,"enabled":true,"mask":"","largeMask":"","maskKey":"","keyItemMaskOfField":null,"keyOptionIdReplace":"","relatedOptionIds":[],"onlineServices":[],"childCriteriaItemList":[],"clientContextJson":""},{"keyOptionId":"8915","caption":"Household Products Producers","isDefault":true,"maskCriteriaOnly":false,"definition":"","keyProductQueryItem":"305790","comparisonOperation":0,"comparisonValue":"184","minimumVersion":"","maximumVersion":"","formOrder":0,"lowerBound":null,"enabled":true,"mask":"","largeMask":"","maskKey":"","keyItemMaskOfField":null,"keyOptionIdReplace":"","relatedOptionIds":[],"onlineServices":[],"childCriteriaItemList":[],"clientContextJson":""},{"keyOptionId":"8916","caption":"Personal and Beauty Products: Producers","isDefault":true,"maskCriteriaOnly":false,"definition":"","keyProductQueryItem":"305790","comparisonOperation":0,"comparisonValue":"185","minimumVersion":"","maximumVersion":"","formOrder":0,"lowerBound":null,"enabled":true,"mask":"","largeMask":"","maskKey":"","keyItemMaskOfField":null,"keyOptionIdReplace":"","relatedOptionIds":[],"onlineServices":[],"childCriteriaItemList":[],"clientContextJson":""},{"keyOptionId":"8917","caption":"Automobiles and Componen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8918","caption":"Auto Parts and Equipment","isDefault":true,"maskCriteriaOnly":false,"definition":"","keyProductQueryItem":"305790","comparisonOperation":0,"comparisonValue":"187","minimumVersion":"","maximumVersion":"","formOrder":0,"lowerBound":null,"enabled":true,"mask":"","largeMask":"","maskKey":"","keyItemMaskOfField":null,"keyOptionIdReplace":"","relatedOptionIds":[],"onlineServices":[],"childCriteriaItemList":[],"clientContextJson":""},{"keyOptionId":"8919","caption":"Tires and Rubber","isDefault":true,"maskCriteriaOnly":false,"definition":"","keyProductQueryItem":"305790","comparisonOperation":0,"comparisonValue":"188","minimumVersion":"","maximumVersion":"","formOrder":0,"lowerBound":null,"enabled":true,"mask":"","largeMask":"","maskKey":"","keyItemMaskOfField":null,"keyOptionIdReplace":"","relatedOptionIds":[],"onlineServices":[],"childCriteriaItemList":[],"clientContextJson":""},{"keyOptionId":"8920","caption":"Automobile Manufacturers","isDefault":true,"maskCriteriaOnly":false,"definition":"","keyProductQueryItem":"305790","comparisonOperation":0,"comparisonValue":"189","minimumVersion":"","maximumVersion":"","formOrder":0,"lowerBound":null,"enabled":true,"mask":"","largeMask":"","maskKey":"","keyItemMaskOfField":null,"keyOptionIdReplace":"","relatedOptionIds":[],"onlineServices":[],"childCriteriaItemList":[],"clientContextJson":""},{"keyOptionId":"8921","caption":"Motorcycle Manufacturers","isDefault":true,"maskCriteriaOnly":false,"definition":"","keyProductQueryItem":"305790","comparisonOperation":0,"comparisonValue":"190","minimumVersion":"","maximumVersion":"","formOrder":0,"lowerBound":null,"enabled":true,"mask":"","largeMask":"","maskKey":"","keyItemMaskOfField":null,"keyOptionIdReplace":"","relatedOptionIds":[],"onlineServices":[],"childCriteriaItemList":[],"clientContextJson":""}],"clientContextJson":""}],"clientContextJson":""},{"keyOptionId":"8922","caption":"Hotels, Restaurants and Leisur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8923","caption":"Casinos and Gaming","isDefault":true,"maskCriteriaOnly":false,"definition":"","keyProductQueryItem":"305790","comparisonOperation":0,"comparisonValue":"192","minimumVersion":"","maximumVersion":"","formOrd</t>
  </si>
  <si>
    <t>er":0,"lowerBound":null,"enabled":true,"mask":"","largeMask":"","maskKey":"","keyItemMaskOfField":null,"keyOptionIdReplace":"","relatedOptionIds":[],"onlineServices":[],"childCriteriaItemList":[],"clientContextJson":""},{"keyOptionId":"8924","caption":"Hotels, Resorts and Cruise Lines","isDefault":true,"maskCriteriaOnly":false,"definition":"","keyProductQueryItem":"305790","comparisonOperation":0,"comparisonValue":"193","minimumVersion":"","maximumVersion":"","formOrder":0,"lowerBound":null,"enabled":true,"mask":"","largeMask":"","maskKey":"","keyItemMaskOfField":null,"keyOptionIdReplace":"","relatedOptionIds":[],"onlineServices":[],"childCriteriaItemList":[],"clientContextJson":""},{"keyOptionId":"8925","caption":"Leisure Facilities","isDefault":true,"maskCriteriaOnly":false,"definition":"","keyProductQueryItem":"305790","comparisonOperation":0,"comparisonValue":"194","minimumVersion":"","maximumVersion":"","formOrder":0,"lowerBound":null,"enabled":true,"mask":"","largeMask":"","maskKey":"","keyItemMaskOfField":null,"keyOptionIdReplace":"","relatedOptionIds":[],"onlineServices":[],"childCriteriaItemList":[],"clientContextJson":""},{"keyOptionId":"8926","caption":"Restaurants","isDefault":true,"maskCriteriaOnly":false,"definition":"","keyProductQueryItem":"305790","comparisonOperation":0,"comparisonValue":"195","minimumVersion":"","maximumVersion":"","formOrder":0,"lowerBound":null,"enabled":true,"mask":"","largeMask":"","maskKey":"","keyItemMaskOfField":null,"keyOptionIdReplace":"","relatedOptionIds":[],"onlineServices":[],"childCriteriaItemList":[],"clientContextJson":""}],"clientContextJson":""},{"keyOptionId":"8927","caption":"Education Services","isDefault":true,"maskCriteriaOnly":false,"definition":"","keyProductQueryItem":"305790","comparisonOperation":0,"comparisonValue":"196","minimumVersion":"","maximumVersion":"","formOrder":0,"lowerBound":null,"enabled":true,"mask":"","largeMask":"","maskKey":"","keyItemMaskOfField":null,"keyOptionIdReplace":"","relatedOptionIds":[],"onlineServices":[],"childCriteriaItemList":[],"clientContextJson":""},{"keyOptionId":"8928","caption":"Specialized Consumer Services","isDefault":true,"maskCriteriaOnly":false,"definition":"","keyProductQueryItem":"305790","comparisonOperation":0,"comparisonValue":"197","minimumVersion":"","maximumVersion":"","formOrder":0,"lowerBound":null,"enabled":true,"mask":"","largeMask":"","maskKey":"","keyItemMaskOfField":null,"keyOptionIdReplace":"","relatedOptionIds":[],"onlineServices":[],"childCriteriaItemList":[],"clientContextJson":""}],"clientContextJson":""},{"keyOptionId":"8929","caption":"Technology, Media and Telecommunication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8930","caption":"Information Technology","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8931","caption":"Software and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8932","caption":"Internet Software and Services","isDefault":true,"maskCriteriaOnly":false,"definition":"","keyProductQueryItem":"305790","comparisonOperation":0,"comparisonValue":"201","minimumVersion":"","maximumVersion":"","formOrder":0,"lowerBound":null,"enabled":true,"mask":"","largeMask":"","maskKey":"","keyItemMaskOfField":null,"keyOptionIdReplace":"","relatedOptionIds":[],"onlineServices":[],"childCriteriaItemList":[],"clientContextJson":""},{"keyOptionId":"8933","caption":"IT Consulting and Other Services","isDefault":true,"maskCriteriaOnly":false,"definition":"","keyProductQueryItem":"305790","comparisonOperation":0,"comparisonValue":"202","minimumVersion":"","maximumVersion":"","formOrder":0,"lowerBound":null,"enabled":true,"mask":"","largeMask":"","maskKey":"","keyItemMaskOfField":null,"keyOptionIdReplace":"","relatedOptionIds":[],"onlineServices":[],"childCriteriaItemList":[],"clientContextJson":""},{"keyOptionId":"8934","caption":"Data Processing and Outsourced Services","isDefault":true,"maskCriteriaOnly":false,"definition":"","keyProductQueryItem":"305790","comparisonOperation":0,"comparisonValue":"203","minimumVersion":"","maximumVersion":"","formOrder":0,"lowerBound":null,"enabled":true,"mask":"","largeMask":"","maskKey":"","keyItemMaskOfField":null,"keyOptionIdReplace":"","relatedOptionIds":[],"onlineServices":[],"childCriteriaItemList":[],"clientContextJson":""},{"keyOptionId":"8935","caption":"Application Software","isDefault":true,"maskCriteriaOnly":false,"definition":"","keyProductQueryItem":"305790","comparisonOperation":0,"comparisonValue":"204","minimumVersion":"","maximumVersion":"","formOrder":0,"lowerBound":null,"enabled":true,"mask":"","largeMask":"","maskKey":"","keyItemMaskOfField":null,"keyOptionIdReplace":"","relatedOptionIds":[],"onlineServices":[],"childCriteriaItemList":[],"clientContextJson":""},{"keyOptionId":"8936","caption":"Systems Software","isDefault":true,"maskCriteriaOnly":false,"definition":"","keyProductQueryItem":"305790","comparisonOperation":0,"comparisonValue":"205","minimumVersion":"","maximumVersion":"","formOrder":0,"lowerBound":null,"enabled":true,"mask":"","largeMask":"","maskKey":"","keyItemMaskOfField":null,"keyOptionIdReplace":"","relatedOptionIds":[],"onlineServices":[],"childCriteriaItemList":[],"clientContextJson":""},{"keyOptionId":"8937","caption":"Home Entertainment Software","isDefault":true,"maskCriteriaOnly":false,"definition":"","keyProductQueryItem":"305790","comparisonOperation":0,"comparisonValue":"206","minimumVersion":"","maximumVersion":"","formOrder":0,"lowerBound":null,"enabled":true,"mask":"","largeMask":"","maskKey":"","keyItemMaskOfField":null,"keyOptionIdReplace":"","relatedOptionIds":[],"onlineServices":[],"childCriteriaItemList":[],"clientContextJson":""}],"clientContextJson":""},{"keyOptionId":"8938","caption":"Technology Hardware and Equipmen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8939","caption":"Communications Equipment","isDefault":true,"maskCriteriaOnly":false,"definition":"","keyProductQueryItem":"305790","comparisonOperation":0,"comparisonValue":"208","minimumVersion":"","maximumVersion":"","formOrder":0,"lowerBound":null,"enabled":true,"mask":"","largeMask":"","maskKey":"","keyItemMaskOfField":null,"keyOptionIdReplace":"","relatedOptionIds":[],"onlineServices":[],"childCriteriaItemList":[],"clientContextJson":""},{"keyOptionId":"8940","caption":"Technology Hardware, Storage and</t>
  </si>
  <si>
    <t xml:space="preserve"> Peripherals","isDefault":true,"maskCriteriaOnly":false,"definition":"","keyProductQueryItem":"305790","comparisonOperation":0,"comparisonValue":"209","minimumVersion":"","maximumVersion":"","formOrder":0,"lowerBound":null,"enabled":true,"mask":"","largeMask":"","maskKey":"","keyItemMaskOfField":null,"keyOptionIdReplace":"","relatedOptionIds":[],"onlineServices":[],"childCriteriaItemList":[],"clientContextJson":""},{"keyOptionId":"8941","caption":"Electronic Equipment and Instruments","isDefault":true,"maskCriteriaOnly":false,"definition":"","keyProductQueryItem":"305790","comparisonOperation":0,"comparisonValue":"210","minimumVersion":"","maximumVersion":"","formOrder":0,"lowerBound":null,"enabled":true,"mask":"","largeMask":"","maskKey":"","keyItemMaskOfField":null,"keyOptionIdReplace":"","relatedOptionIds":[],"onlineServices":[],"childCriteriaItemList":[],"clientContextJson":""},{"keyOptionId":"8942","caption":"Electronic Components","isDefault":true,"maskCriteriaOnly":false,"definition":"","keyProductQueryItem":"305790","comparisonOperation":0,"comparisonValue":"211","minimumVersion":"","maximumVersion":"","formOrder":0,"lowerBound":null,"enabled":true,"mask":"","largeMask":"","maskKey":"","keyItemMaskOfField":null,"keyOptionIdReplace":"","relatedOptionIds":[],"onlineServices":[],"childCriteriaItemList":[],"clientContextJson":""},{"keyOptionId":"8943","caption":"Electronic Manufacturing Services","isDefault":true,"maskCriteriaOnly":false,"definition":"","keyProductQueryItem":"305790","comparisonOperation":0,"comparisonValue":"212","minimumVersion":"","maximumVersion":"","formOrder":0,"lowerBound":null,"enabled":true,"mask":"","largeMask":"","maskKey":"","keyItemMaskOfField":null,"keyOptionIdReplace":"","relatedOptionIds":[],"onlineServices":[],"childCriteriaItemList":[],"clientContextJson":""},{"keyOptionId":"8944","caption":"Technology Distributors","isDefault":true,"maskCriteriaOnly":false,"definition":"","keyProductQueryItem":"305790","comparisonOperation":0,"comparisonValue":"213","minimumVersion":"","maximumVersion":"","formOrder":0,"lowerBound":null,"enabled":true,"mask":"","largeMask":"","maskKey":"","keyItemMaskOfField":null,"keyOptionIdReplace":"","relatedOptionIds":[],"onlineServices":[],"childCriteriaItemList":[],"clientContextJson":""},{"keyOptionId":"8945","caption":"Semiconductor Equipment","isDefault":true,"maskCriteriaOnly":false,"definition":"","keyProductQueryItem":"305790","comparisonOperation":0,"comparisonValue":"214","minimumVersion":"","maximumVersion":"","formOrder":0,"lowerBound":null,"enabled":true,"mask":"","largeMask":"","maskKey":"","keyItemMaskOfField":null,"keyOptionIdReplace":"","relatedOptionIds":[],"onlineServices":[],"childCriteriaItemList":[],"clientContextJson":""},{"keyOptionId":"8946","caption":"Semiconductors","isDefault":true,"maskCriteriaOnly":false,"definition":"","keyProductQueryItem":"305790","comparisonOperation":0,"comparisonValue":"215","minimumVersion":"","maximumVersion":"","formOrder":0,"lowerBound":null,"enabled":true,"mask":"","largeMask":"","maskKey":"","keyItemMaskOfField":null,"keyOptionIdReplace":"","relatedOptionIds":[],"onlineServices":[],"childCriteriaItemList":[],"clientContextJson":""}],"clientContextJson":""}],"clientContextJson":""},{"keyOptionId":"8947","caption":"Medi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8948","caption":"Advertising","isDefault":true,"maskCriteriaOnly":false,"definition":"","keyProductQueryItem":"305790","comparisonOperation":0,"comparisonValue":"217","minimumVersion":"","maximumVersion":"","formOrder":0,"lowerBound":null,"enabled":true,"mask":"","largeMask":"","maskKey":"","keyItemMaskOfField":null,"keyOptionIdReplace":"","relatedOptionIds":[],"onlineServices":[],"childCriteriaItemList":[],"clientContextJson":""},{"keyOptionId":"8949","caption":"Broadcasting","isDefault":true,"maskCriteriaOnly":false,"definition":"","keyProductQueryItem":"305790","comparisonOperation":0,"comparisonValue":"218","minimumVersion":"","maximumVersion":"","formOrder":0,"lowerBound":null,"enabled":true,"mask":"","largeMask":"","maskKey":"","keyItemMaskOfField":null,"keyOptionIdReplace":"","relatedOptionIds":[],"onlineServices":[],"childCriteriaItemList":[],"clientContextJson":""},{"keyOptionId":"8950","caption":"Cable and Satellite","isDefault":true,"maskCriteriaOnly":false,"definition":"","keyProductQueryItem":"305790","comparisonOperation":0,"comparisonValue":"219","minimumVersion":"","maximumVersion":"","formOrder":0,"lowerBound":null,"enabled":true,"mask":"","largeMask":"","maskKey":"","keyItemMaskOfField":null,"keyOptionIdReplace":"","relatedOptionIds":[],"onlineServices":[],"childCriteriaItemList":[],"clientContextJson":""},{"keyOptionId":"8951","caption":"Movies and Entertainment","isDefault":true,"maskCriteriaOnly":false,"definition":"","keyProductQueryItem":"305790","comparisonOperation":0,"comparisonValue":"220","minimumVersion":"","maximumVersion":"","formOrder":0,"lowerBound":null,"enabled":true,"mask":"","largeMask":"","maskKey":"","keyItemMaskOfField":null,"keyOptionIdReplace":"","relatedOptionIds":[],"onlineServices":[],"childCriteriaItemList":[],"clientContextJson":""},{"keyOptionId":"8952","caption":"Publishing","isDefault":true,"maskCriteriaOnly":false,"definition":"","keyProductQueryItem":"305790","comparisonOperation":0,"comparisonValue":"221","minimumVersion":"","maximumVersion":"","formOrder":0,"lowerBound":null,"enabled":true,"mask":"","largeMask":"","maskKey":"","keyItemMaskOfField":null,"keyOptionIdReplace":"","relatedOptionIds":[],"onlineServices":[],"childCriteriaItemList":[],"clientContextJson":""}],"clientContextJson":""},{"keyOptionId":"8953","caption":"Telecommunication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8954","caption":"Alternative Carriers","isDefault":true,"maskCriteriaOnly":false,"definition":"","keyProductQueryItem":"305790","comparisonOperation":0,"comparisonValue":"223","minimumVersion":"","maximumVersion":"","formOrder":0,"lowerBound":null,"enabled":true,"mask":"","largeMask":"","maskKey":"","keyItemMaskOfField":null,"keyOptionIdReplace":"","relatedOptionIds":[],"onlineServices":[],"childCriteriaItemList":[],"clientContextJson":""},{"keyOptionId":"8955","caption":"Integrated Telecommunication Services","isDefault":true,"maskCriteriaOnly":false,"definition":"","keyProductQueryItem":"305790","comparisonOperation":0,"comparisonValue":"224","minimumVersion":"","maximumVersion":"","formOrder":0,"lowerBound":null,"enabled":true,"mask":"","largeMask":"","maskKey":"","keyItemMaskOfField":null,"keyOptionIdReplace":"","relatedOptionIds":[],"onlineServices":[],"childCriteriaItemList":[],"clientContextJson":""},{"keyOptionId":"8956","caption":"Wireless Telecommunication Services","isDefault":true,"maskCriteriaOnly":false,"definition":"","keyProductQueryItem":"305790","comparisonOperation":0,"comparisonValue":"225","minimumVersion":"","maximumVersion":"","formOrder":0,"lowerBound":null,"enabled":true,"mask":"","largeMask":"","maskKey":"","keyItem</t>
  </si>
  <si>
    <t>MaskOfField":null,"keyOptionIdReplace":"","relatedOptionIds":[],"onlineServices":[],"childCriteriaItemList":[],"clientContextJson":""}],"clientContextJson":""}],"clientContextJson":""}],"clientContextJson":""}]},{"filterGroupId":"8161","filterGroupIdReplace":"","caption":"Target/Issuer Geography","groupType":2,"optionType":1,"formOrder":30,"minimumVersion":"","maximumVersion":"","onlineServicesEnabled":false,"column":0,"columnFormOrder":30,"criteriaIdName":"","required":true,"dateDefaultType":"","criteriaItemList":[{"keyOptionId":"8162","caption":"All Geographi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8163","caption":"United States and Canad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8164","caption":"United Stat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8165","caption":"Mid Atlant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8166","caption":"Delaware","isDefault":true,"maskCriteriaOnly":false,"definition":"","keyProductQueryItem":"300051","comparisonOperation":0,"comparisonValue":"271","minimumVersion":"","maximumVersion":"","formOrder":0,"lowerBound":null,"enabled":true,"mask":"","largeMask":"","maskKey":"","keyItemMaskOfField":null,"keyOptionIdReplace":"","relatedOptionIds":[],"onlineServices":[],"childCriteriaItemList":[],"clientContextJson":""},{"keyOptionId":"8167","caption":"District of Columbia","isDefault":true,"maskCriteriaOnly":false,"definition":"","keyProductQueryItem":"300051","comparisonOperation":0,"comparisonValue":"270","minimumVersion":"","maximumVersion":"","formOrder":0,"lowerBound":null,"enabled":true,"mask":"","largeMask":"","maskKey":"","keyItemMaskOfField":null,"keyOptionIdReplace":"","relatedOptionIds":[],"onlineServices":[],"childCriteriaItemList":[],"clientContextJson":""},{"keyOptionId":"8168","caption":"Maryland","isDefault":true,"maskCriteriaOnly":false,"definition":"","keyProductQueryItem":"300051","comparisonOperation":0,"comparisonValue":"272","minimumVersion":"","maximumVersion":"","formOrder":0,"lowerBound":null,"enabled":true,"mask":"","largeMask":"","maskKey":"","keyItemMaskOfField":null,"keyOptionIdReplace":"","relatedOptionIds":[],"onlineServices":[],"childCriteriaItemList":[],"clientContextJson":""},{"keyOptionId":"8169","caption":"New Jersey","isDefault":true,"maskCriteriaOnly":false,"definition":"","keyProductQueryItem":"300051","comparisonOperation":0,"comparisonValue":"273","minimumVersion":"","maximumVersion":"","formOrder":0,"lowerBound":null,"enabled":true,"mask":"","largeMask":"","maskKey":"","keyItemMaskOfField":null,"keyOptionIdReplace":"","relatedOptionIds":[],"onlineServices":[],"childCriteriaItemList":[],"clientContextJson":""},{"keyOptionId":"8170","caption":"New York","isDefault":true,"maskCriteriaOnly":false,"definition":"","keyProductQueryItem":"300051","comparisonOperation":0,"comparisonValue":"274","minimumVersion":"","maximumVersion":"","formOrder":0,"lowerBound":null,"enabled":true,"mask":"","largeMask":"","maskKey":"","keyItemMaskOfField":null,"keyOptionIdReplace":"","relatedOptionIds":[],"onlineServices":[],"childCriteriaItemList":[],"clientContextJson":""},{"keyOptionId":"8171","caption":"Pennsylvania","isDefault":true,"maskCriteriaOnly":false,"definition":"","keyProductQueryItem":"300051","comparisonOperation":0,"comparisonValue":"275","minimumVersion":"","maximumVersion":"","formOrder":0,"lowerBound":null,"enabled":true,"mask":"","largeMask":"","maskKey":"","keyItemMaskOfField":null,"keyOptionIdReplace":"","relatedOptionIds":[],"onlineServices":[],"childCriteriaItemList":[],"clientContextJson":""},{"keyOptionId":"8172","caption":"Puerto Rico","isDefault":true,"maskCriteriaOnly":false,"definition":"","keyProductQueryItem":"300051","comparisonOperation":0,"comparisonValue":"276","minimumVersion":"","maximumVersion":"","formOrder":0,"lowerBound":null,"enabled":true,"mask":"","largeMask":"","maskKey":"","keyItemMaskOfField":null,"keyOptionIdReplace":"","relatedOptionIds":[],"onlineServices":[],"childCriteriaItemList":[],"clientContextJson":""}],"clientContextJson":""},{"keyOptionId":"8173","caption":"Midwe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8174","caption":"Illinois","isDefault":true,"maskCriteriaOnly":false,"definition":"","keyProductQueryItem":"300051","comparisonOperation":0,"comparisonValue":"278","minimumVersion":"","maximumVersion":"","formOrder":0,"lowerBound":null,"enabled":true,"mask":"","largeMask":"","maskKey":"","keyItemMaskOfField":null,"keyOptionIdReplace":"","relatedOptionIds":[],"onlineServices":[],"childCriteriaItemList":[],"clientContextJson":""},{"keyOptionId":"8175","caption":"Indiana","isDefault":true,"maskCriteriaOnly":false,"definition":"","keyProductQueryItem":"300051","comparisonOperation":0,"comparisonValue":"279","minimumVersion":"","maximumVersion":"","formOrder":0,"lowerBound":null,"enabled":true,"mask":"","largeMask":"","maskKey":"","keyItemMaskOfField":null,"keyOptionIdReplace":"","relatedOptionIds":[],"onlineServices":[],"childCriteriaItemList":[],"clientContextJson":""},{"keyOptionId":"8176","caption":"Iowa","isDefault":true,"maskCriteriaOnly":false,"definition":"","keyProductQueryItem":"300051","comparisonOperation":0,"comparisonValue":"277","minimumVersion":"","maximumVersion":"","formOrder":0,"lowerBound":null,"enabled":true,"mask":"","largeMask":"","maskKey":"","keyItemMaskOfField":null,"keyOptionIdReplace":"","relatedOptionIds":[],"onlineServices":[],"childCriteriaItemList":[],"clientContextJson":""},{"keyOptionId":"8177","caption":"Kansas","isDefault":true,"maskCriteriaOnly":false,"definition":"","keyProductQueryItem":"300051","comparisonOperation":0,"comparisonValue":"280","minimumVersion":"","maximumVersion":"","formOrder":0,"lowerBound":null,"enabled":true,"mask":"","largeMask":"","maskKey":"","keyItemMaskOfField":null,"keyOptionIdReplace":"","relatedOptionIds":[],"onlineServices":[],"childCriteriaItemList":[],"clientContextJson":""},{"keyOptionId":"8178","caption":"Kentucky","isDefault":true,"maskCriteriaOnly":false,</t>
  </si>
  <si>
    <t>"definition":"","keyProductQueryItem":"300051","comparisonOperation":0,"comparisonValue":"281","minimumVersion":"","maximumVersion":"","formOrder":0,"lowerBound":null,"enabled":true,"mask":"","largeMask":"","maskKey":"","keyItemMaskOfField":null,"keyOptionIdReplace":"","relatedOptionIds":[],"onlineServices":[],"childCriteriaItemList":[],"clientContextJson":""},{"keyOptionId":"8179","caption":"Michigan","isDefault":true,"maskCriteriaOnly":false,"definition":"","keyProductQueryItem":"300051","comparisonOperation":0,"comparisonValue":"282","minimumVersion":"","maximumVersion":"","formOrder":0,"lowerBound":null,"enabled":true,"mask":"","largeMask":"","maskKey":"","keyItemMaskOfField":null,"keyOptionIdReplace":"","relatedOptionIds":[],"onlineServices":[],"childCriteriaItemList":[],"clientContextJson":""},{"keyOptionId":"8180","caption":"Minnesota","isDefault":true,"maskCriteriaOnly":false,"definition":"","keyProductQueryItem":"300051","comparisonOperation":0,"comparisonValue":"283","minimumVersion":"","maximumVersion":"","formOrder":0,"lowerBound":null,"enabled":true,"mask":"","largeMask":"","maskKey":"","keyItemMaskOfField":null,"keyOptionIdReplace":"","relatedOptionIds":[],"onlineServices":[],"childCriteriaItemList":[],"clientContextJson":""},{"keyOptionId":"8181","caption":"Missouri","isDefault":true,"maskCriteriaOnly":false,"definition":"","keyProductQueryItem":"300051","comparisonOperation":0,"comparisonValue":"284","minimumVersion":"","maximumVersion":"","formOrder":0,"lowerBound":null,"enabled":true,"mask":"","largeMask":"","maskKey":"","keyItemMaskOfField":null,"keyOptionIdReplace":"","relatedOptionIds":[],"onlineServices":[],"childCriteriaItemList":[],"clientContextJson":""},{"keyOptionId":"8182","caption":"Nebraska","isDefault":true,"maskCriteriaOnly":false,"definition":"","keyProductQueryItem":"300051","comparisonOperation":0,"comparisonValue":"286","minimumVersion":"","maximumVersion":"","formOrder":0,"lowerBound":null,"enabled":true,"mask":"","largeMask":"","maskKey":"","keyItemMaskOfField":null,"keyOptionIdReplace":"","relatedOptionIds":[],"onlineServices":[],"childCriteriaItemList":[],"clientContextJson":""},{"keyOptionId":"8183","caption":"North Dakota","isDefault":true,"maskCriteriaOnly":false,"definition":"","keyProductQueryItem":"300051","comparisonOperation":0,"comparisonValue":"285","minimumVersion":"","maximumVersion":"","formOrder":0,"lowerBound":null,"enabled":true,"mask":"","largeMask":"","maskKey":"","keyItemMaskOfField":null,"keyOptionIdReplace":"","relatedOptionIds":[],"onlineServices":[],"childCriteriaItemList":[],"clientContextJson":""},{"keyOptionId":"8184","caption":"Ohio","isDefault":true,"maskCriteriaOnly":false,"definition":"","keyProductQueryItem":"300051","comparisonOperation":0,"comparisonValue":"287","minimumVersion":"","maximumVersion":"","formOrder":0,"lowerBound":null,"enabled":true,"mask":"","largeMask":"","maskKey":"","keyItemMaskOfField":null,"keyOptionIdReplace":"","relatedOptionIds":[],"onlineServices":[],"childCriteriaItemList":[],"clientContextJson":""},{"keyOptionId":"8185","caption":"South Dakota","isDefault":true,"maskCriteriaOnly":false,"definition":"","keyProductQueryItem":"300051","comparisonOperation":0,"comparisonValue":"288","minimumVersion":"","maximumVersion":"","formOrder":0,"lowerBound":null,"enabled":true,"mask":"","largeMask":"","maskKey":"","keyItemMaskOfField":null,"keyOptionIdReplace":"","relatedOptionIds":[],"onlineServices":[],"childCriteriaItemList":[],"clientContextJson":""},{"keyOptionId":"8186","caption":"Wisconsin","isDefault":true,"maskCriteriaOnly":false,"definition":"","keyProductQueryItem":"300051","comparisonOperation":0,"comparisonValue":"289","minimumVersion":"","maximumVersion":"","formOrder":0,"lowerBound":null,"enabled":true,"mask":"","largeMask":"","maskKey":"","keyItemMaskOfField":null,"keyOptionIdReplace":"","relatedOptionIds":[],"onlineServices":[],"childCriteriaItemList":[],"clientContextJson":""}],"clientContextJson":""},{"keyOptionId":"8187","caption":"Northea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8188","caption":"Connecticut","isDefault":true,"maskCriteriaOnly":false,"definition":"","keyProductQueryItem":"300051","comparisonOperation":0,"comparisonValue":"290","minimumVersion":"","maximumVersion":"","formOrder":0,"lowerBound":null,"enabled":true,"mask":"","largeMask":"","maskKey":"","keyItemMaskOfField":null,"keyOptionIdReplace":"","relatedOptionIds":[],"onlineServices":[],"childCriteriaItemList":[],"clientContextJson":""},{"keyOptionId":"8189","caption":"Maine","isDefault":true,"maskCriteriaOnly":false,"definition":"","keyProductQueryItem":"300051","comparisonOperation":0,"comparisonValue":"292","minimumVersion":"","maximumVersion":"","formOrder":0,"lowerBound":null,"enabled":true,"mask":"","largeMask":"","maskKey":"","keyItemMaskOfField":null,"keyOptionIdReplace":"","relatedOptionIds":[],"onlineServices":[],"childCriteriaItemList":[],"clientContextJson":""},{"keyOptionId":"8190","caption":"Massachusetts","isDefault":true,"maskCriteriaOnly":false,"definition":"","keyProductQueryItem":"300051","comparisonOperation":0,"comparisonValue":"291","minimumVersion":"","maximumVersion":"","formOrder":0,"lowerBound":null,"enabled":true,"mask":"","largeMask":"","maskKey":"","keyItemMaskOfField":null,"keyOptionIdReplace":"","relatedOptionIds":[],"onlineServices":[],"childCriteriaItemList":[],"clientContextJson":""},{"keyOptionId":"8191","caption":"New Hampshire","isDefault":true,"maskCriteriaOnly":false,"definition":"","keyProductQueryItem":"300051","comparisonOperation":0,"comparisonValue":"293","minimumVersion":"","maximumVersion":"","formOrder":0,"lowerBound":null,"enabled":true,"mask":"","largeMask":"","maskKey":"","keyItemMaskOfField":null,"keyOptionIdReplace":"","relatedOptionIds":[],"onlineServices":[],"childCriteriaItemList":[],"clientContextJson":""},{"keyOptionId":"8192","caption":"Rhode Island","isDefault":true,"maskCriteriaOnly":false,"definition":"","keyProductQueryItem":"300051","comparisonOperation":0,"comparisonValue":"294","minimumVersion":"","maximumVersion":"","formOrder":0,"lowerBound":null,"enabled":true,"mask":"","largeMask":"","maskKey":"","keyItemMaskOfField":null,"keyOptionIdReplace":"","relatedOptionIds":[],"onlineServices":[],"childCriteriaItemList":[],"clientContextJson":""},{"keyOptionId":"8193","caption":"Vermont","isDefault":true,"maskCriteriaOnly":false,"definition":"","keyProductQueryItem":"300051","comparisonOperation":0,"comparisonValue":"295","minimumVersion":"","maximumVersion":"","formOrder":0,"lowerBound":null,"enabled":true,"mask":"","largeMask":"","maskKey":"","keyItemMaskOfField":null,"keyOptionIdReplace":"","relatedOptionIds":[],"onlineServices":[],"childCriteriaItemList":[],"clientContextJson":""}],"clientContextJson":""},{"keyOptionId":"8194","caption":"Southea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8195","caption":"Alabama","isDefault":true,"maskCriteriaOnly":false,"definition":"","keyProductQueryItem":"300051","comparisonOper</t>
  </si>
  <si>
    <t>ation":0,"comparisonValue":"296","minimumVersion":"","maximumVersion":"","formOrder":0,"lowerBound":null,"enabled":true,"mask":"","largeMask":"","maskKey":"","keyItemMaskOfField":null,"keyOptionIdReplace":"","relatedOptionIds":[],"onlineServices":[],"childCriteriaItemList":[],"clientContextJson":""},{"keyOptionId":"8196","caption":"Arkansas","isDefault":true,"maskCriteriaOnly":false,"definition":"","keyProductQueryItem":"300051","comparisonOperation":0,"comparisonValue":"297","minimumVersion":"","maximumVersion":"","formOrder":0,"lowerBound":null,"enabled":true,"mask":"","largeMask":"","maskKey":"","keyItemMaskOfField":null,"keyOptionIdReplace":"","relatedOptionIds":[],"onlineServices":[],"childCriteriaItemList":[],"clientContextJson":""},{"keyOptionId":"8197","caption":"Florida","isDefault":true,"maskCriteriaOnly":false,"definition":"","keyProductQueryItem":"300051","comparisonOperation":0,"comparisonValue":"298","minimumVersion":"","maximumVersion":"","formOrder":0,"lowerBound":null,"enabled":true,"mask":"","largeMask":"","maskKey":"","keyItemMaskOfField":null,"keyOptionIdReplace":"","relatedOptionIds":[],"onlineServices":[],"childCriteriaItemList":[],"clientContextJson":""},{"keyOptionId":"8198","caption":"Georgia","isDefault":true,"maskCriteriaOnly":false,"definition":"","keyProductQueryItem":"300051","comparisonOperation":0,"comparisonValue":"299","minimumVersion":"","maximumVersion":"","formOrder":0,"lowerBound":null,"enabled":true,"mask":"","largeMask":"","maskKey":"","keyItemMaskOfField":null,"keyOptionIdReplace":"","relatedOptionIds":[],"onlineServices":[],"childCriteriaItemList":[],"clientContextJson":""},{"keyOptionId":"8199","caption":"Mississippi","isDefault":true,"maskCriteriaOnly":false,"definition":"","keyProductQueryItem":"300051","comparisonOperation":0,"comparisonValue":"300","minimumVersion":"","maximumVersion":"","formOrder":0,"lowerBound":null,"enabled":true,"mask":"","largeMask":"","maskKey":"","keyItemMaskOfField":null,"keyOptionIdReplace":"","relatedOptionIds":[],"onlineServices":[],"childCriteriaItemList":[],"clientContextJson":""},{"keyOptionId":"8200","caption":"North Carolina","isDefault":true,"maskCriteriaOnly":false,"definition":"","keyProductQueryItem":"300051","comparisonOperation":0,"comparisonValue":"301","minimumVersion":"","maximumVersion":"","formOrder":0,"lowerBound":null,"enabled":true,"mask":"","largeMask":"","maskKey":"","keyItemMaskOfField":null,"keyOptionIdReplace":"","relatedOptionIds":[],"onlineServices":[],"childCriteriaItemList":[],"clientContextJson":""},{"keyOptionId":"8201","caption":"South Carolina","isDefault":true,"maskCriteriaOnly":false,"definition":"","keyProductQueryItem":"300051","comparisonOperation":0,"comparisonValue":"302","minimumVersion":"","maximumVersion":"","formOrder":0,"lowerBound":null,"enabled":true,"mask":"","largeMask":"","maskKey":"","keyItemMaskOfField":null,"keyOptionIdReplace":"","relatedOptionIds":[],"onlineServices":[],"childCriteriaItemList":[],"clientContextJson":""},{"keyOptionId":"8202","caption":"Tennessee","isDefault":true,"maskCriteriaOnly":false,"definition":"","keyProductQueryItem":"300051","comparisonOperation":0,"comparisonValue":"303","minimumVersion":"","maximumVersion":"","formOrder":0,"lowerBound":null,"enabled":true,"mask":"","largeMask":"","maskKey":"","keyItemMaskOfField":null,"keyOptionIdReplace":"","relatedOptionIds":[],"onlineServices":[],"childCriteriaItemList":[],"clientContextJson":""},{"keyOptionId":"8203","caption":"Virgin Islands, U.S.","isDefault":true,"maskCriteriaOnly":false,"definition":"","keyProductQueryItem":"300051","comparisonOperation":0,"comparisonValue":"305","minimumVersion":"","maximumVersion":"","formOrder":0,"lowerBound":null,"enabled":true,"mask":"","largeMask":"","maskKey":"","keyItemMaskOfField":null,"keyOptionIdReplace":"","relatedOptionIds":[],"onlineServices":[],"childCriteriaItemList":[],"clientContextJson":""},{"keyOptionId":"8204","caption":"Virginia","isDefault":true,"maskCriteriaOnly":false,"definition":"","keyProductQueryItem":"300051","comparisonOperation":0,"comparisonValue":"304","minimumVersion":"","maximumVersion":"","formOrder":0,"lowerBound":null,"enabled":true,"mask":"","largeMask":"","maskKey":"","keyItemMaskOfField":null,"keyOptionIdReplace":"","relatedOptionIds":[],"onlineServices":[],"childCriteriaItemList":[],"clientContextJson":""},{"keyOptionId":"8205","caption":"West Virginia","isDefault":true,"maskCriteriaOnly":false,"definition":"","keyProductQueryItem":"300051","comparisonOperation":0,"comparisonValue":"306","minimumVersion":"","maximumVersion":"","formOrder":0,"lowerBound":null,"enabled":true,"mask":"","largeMask":"","maskKey":"","keyItemMaskOfField":null,"keyOptionIdReplace":"","relatedOptionIds":[],"onlineServices":[],"childCriteriaItemList":[],"clientContextJson":""}],"clientContextJson":""},{"keyOptionId":"8206","caption":"Southwe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8207","caption":"Colorado","isDefault":true,"maskCriteriaOnly":false,"definition":"","keyProductQueryItem":"300051","comparisonOperation":0,"comparisonValue":"307","minimumVersion":"","maximumVersion":"","formOrder":0,"lowerBound":null,"enabled":true,"mask":"","largeMask":"","maskKey":"","keyItemMaskOfField":null,"keyOptionIdReplace":"","relatedOptionIds":[],"onlineServices":[],"childCriteriaItemList":[],"clientContextJson":""},{"keyOptionId":"8208","caption":"Louisiana","isDefault":true,"maskCriteriaOnly":false,"definition":"","keyProductQueryItem":"300051","comparisonOperation":0,"comparisonValue":"308","minimumVersion":"","maximumVersion":"","formOrder":0,"lowerBound":null,"enabled":true,"mask":"","largeMask":"","maskKey":"","keyItemMaskOfField":null,"keyOptionIdReplace":"","relatedOptionIds":[],"onlineServices":[],"childCriteriaItemList":[],"clientContextJson":""},{"keyOptionId":"8209","caption":"New Mexico","isDefault":true,"maskCriteriaOnly":false,"definition":"","keyProductQueryItem":"300051","comparisonOperation":0,"comparisonValue":"309","minimumVersion":"","maximumVersion":"","formOrder":0,"lowerBound":null,"enabled":true,"mask":"","largeMask":"","maskKey":"","keyItemMaskOfField":null,"keyOptionIdReplace":"","relatedOptionIds":[],"onlineServices":[],"childCriteriaItemList":[],"clientContextJson":""},{"keyOptionId":"8210","caption":"Oklahoma","isDefault":true,"maskCriteriaOnly":false,"definition":"","keyProductQueryItem":"300051","comparisonOperation":0,"comparisonValue":"310","minimumVersion":"","maximumVersion":"","formOrder":0,"lowerBound":null,"enabled":true,"mask":"","largeMask":"","maskKey":"","keyItemMaskOfField":null,"keyOptionIdReplace":"","relatedOptionIds":[],"onlineServices":[],"childCriteriaItemList":[],"clientContextJson":""},{"keyOptionId":"8211","caption":"Texas","isDefault":true,"maskCriteriaOnly":false,"definition":"","keyProductQueryItem":"300051","comparisonOperation":0,"comparisonValue":"311","minimumVersion":"","maximumVersion":"","formOrder":0,"lowerBound":null,"enabled":true,"mask":"","largeMask":"","maskKey":"","keyItemMaskOfField":null,"keyOptionIdReplace":"","relatedOptionIds":[],"onlineServices":[],"childCriteriaItemList":[],"clientContextJson":""},{"keyOptionId":"8212","caption":"Utah","isDefault":true,"maskCriteriaOnly":false,"definition":"","keyProductQueryItem":"300051","comparisonOperation":0,"comparisonValue":"312","minimumVersio</t>
  </si>
  <si>
    <t>n":"","maximumVersion":"","formOrder":0,"lowerBound":null,"enabled":true,"mask":"","largeMask":"","maskKey":"","keyItemMaskOfField":null,"keyOptionIdReplace":"","relatedOptionIds":[],"onlineServices":[],"childCriteriaItemList":[],"clientContextJson":""}],"clientContextJson":""},{"keyOptionId":"8213","caption":"We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8214","caption":"Alaska","isDefault":true,"maskCriteriaOnly":false,"definition":"","keyProductQueryItem":"300051","comparisonOperation":0,"comparisonValue":"313","minimumVersion":"","maximumVersion":"","formOrder":0,"lowerBound":null,"enabled":true,"mask":"","largeMask":"","maskKey":"","keyItemMaskOfField":null,"keyOptionIdReplace":"","relatedOptionIds":[],"onlineServices":[],"childCriteriaItemList":[],"clientContextJson":""},{"keyOptionId":"8215","caption":"American Samoa","isDefault":true,"maskCriteriaOnly":false,"definition":"","keyProductQueryItem":"300051","comparisonOperation":0,"comparisonValue":"314","minimumVersion":"","maximumVersion":"","formOrder":0,"lowerBound":null,"enabled":true,"mask":"","largeMask":"","maskKey":"","keyItemMaskOfField":null,"keyOptionIdReplace":"","relatedOptionIds":[],"onlineServices":[],"childCriteriaItemList":[],"clientContextJson":""},{"keyOptionId":"8216","caption":"Arizona","isDefault":true,"maskCriteriaOnly":false,"definition":"","keyProductQueryItem":"300051","comparisonOperation":0,"comparisonValue":"315","minimumVersion":"","maximumVersion":"","formOrder":0,"lowerBound":null,"enabled":true,"mask":"","largeMask":"","maskKey":"","keyItemMaskOfField":null,"keyOptionIdReplace":"","relatedOptionIds":[],"onlineServices":[],"childCriteriaItemList":[],"clientContextJson":""},{"keyOptionId":"8217","caption":"California","isDefault":true,"maskCriteriaOnly":false,"definition":"","keyProductQueryItem":"300051","comparisonOperation":0,"comparisonValue":"316","minimumVersion":"","maximumVersion":"","formOrder":0,"lowerBound":null,"enabled":true,"mask":"","largeMask":"","maskKey":"","keyItemMaskOfField":null,"keyOptionIdReplace":"","relatedOptionIds":[],"onlineServices":[],"childCriteriaItemList":[],"clientContextJson":""},{"keyOptionId":"8218","caption":"Guam","isDefault":true,"maskCriteriaOnly":false,"definition":"","keyProductQueryItem":"300051","comparisonOperation":0,"comparisonValue":"318","minimumVersion":"","maximumVersion":"","formOrder":0,"lowerBound":null,"enabled":true,"mask":"","largeMask":"","maskKey":"","keyItemMaskOfField":null,"keyOptionIdReplace":"","relatedOptionIds":[],"onlineServices":[],"childCriteriaItemList":[],"clientContextJson":""},{"keyOptionId":"8219","caption":"Hawaii","isDefault":true,"maskCriteriaOnly":false,"definition":"","keyProductQueryItem":"300051","comparisonOperation":0,"comparisonValue":"319","minimumVersion":"","maximumVersion":"","formOrder":0,"lowerBound":null,"enabled":true,"mask":"","largeMask":"","maskKey":"","keyItemMaskOfField":null,"keyOptionIdReplace":"","relatedOptionIds":[],"onlineServices":[],"childCriteriaItemList":[],"clientContextJson":""},{"keyOptionId":"8220","caption":"Idaho","isDefault":true,"maskCriteriaOnly":false,"definition":"","keyProductQueryItem":"300051","comparisonOperation":0,"comparisonValue":"320","minimumVersion":"","maximumVersion":"","formOrder":0,"lowerBound":null,"enabled":true,"mask":"","largeMask":"","maskKey":"","keyItemMaskOfField":null,"keyOptionIdReplace":"","relatedOptionIds":[],"onlineServices":[],"childCriteriaItemList":[],"clientContextJson":""},{"keyOptionId":"8221","caption":"Montana","isDefault":true,"maskCriteriaOnly":false,"definition":"","keyProductQueryItem":"300051","comparisonOperation":0,"comparisonValue":"323","minimumVersion":"","maximumVersion":"","formOrder":0,"lowerBound":null,"enabled":true,"mask":"","largeMask":"","maskKey":"","keyItemMaskOfField":null,"keyOptionIdReplace":"","relatedOptionIds":[],"onlineServices":[],"childCriteriaItemList":[],"clientContextJson":""},{"keyOptionId":"8222","caption":"Nevada","isDefault":true,"maskCriteriaOnly":false,"definition":"","keyProductQueryItem":"300051","comparisonOperation":0,"comparisonValue":"324","minimumVersion":"","maximumVersion":"","formOrder":0,"lowerBound":null,"enabled":true,"mask":"","largeMask":"","maskKey":"","keyItemMaskOfField":null,"keyOptionIdReplace":"","relatedOptionIds":[],"onlineServices":[],"childCriteriaItemList":[],"clientContextJson":""},{"keyOptionId":"8223","caption":"Northern Mariana Islands","isDefault":true,"maskCriteriaOnly":false,"definition":"","keyProductQueryItem":"300051","comparisonOperation":0,"comparisonValue":"322","minimumVersion":"","maximumVersion":"","formOrder":0,"lowerBound":null,"enabled":true,"mask":"","largeMask":"","maskKey":"","keyItemMaskOfField":null,"keyOptionIdReplace":"","relatedOptionIds":[],"onlineServices":[],"childCriteriaItemList":[],"clientContextJson":""},{"keyOptionId":"8224","caption":"Oregon","isDefault":true,"maskCriteriaOnly":false,"definition":"","keyProductQueryItem":"300051","comparisonOperation":0,"comparisonValue":"325","minimumVersion":"","maximumVersion":"","formOrder":0,"lowerBound":null,"enabled":true,"mask":"","largeMask":"","maskKey":"","keyItemMaskOfField":null,"keyOptionIdReplace":"","relatedOptionIds":[],"onlineServices":[],"childCriteriaItemList":[],"clientContextJson":""},{"keyOptionId":"8225","caption":"United States Minor Outlying Islands","isDefault":true,"maskCriteriaOnly":false,"definition":"","keyProductQueryItem":"300051","comparisonOperation":0,"comparisonValue":"327","minimumVersion":"","maximumVersion":"","formOrder":0,"lowerBound":null,"enabled":true,"mask":"","largeMask":"","maskKey":"","keyItemMaskOfField":null,"keyOptionIdReplace":"","relatedOptionIds":[],"onlineServices":[],"childCriteriaItemList":[],"clientContextJson":""},{"keyOptionId":"8226","caption":"Washington","isDefault":true,"maskCriteriaOnly":false,"definition":"","keyProductQueryItem":"300051","comparisonOperation":0,"comparisonValue":"328","minimumVersion":"","maximumVersion":"","formOrder":0,"lowerBound":null,"enabled":true,"mask":"","largeMask":"","maskKey":"","keyItemMaskOfField":null,"keyOptionIdReplace":"","relatedOptionIds":[],"onlineServices":[],"childCriteriaItemList":[],"clientContextJson":""},{"keyOptionId":"8227","caption":"Wyoming","isDefault":true,"maskCriteriaOnly":false,"definition":"","keyProductQueryItem":"300051","comparisonOperation":0,"comparisonValue":"329","minimumVersion":"","maximumVersion":"","formOrder":0,"lowerBound":null,"enabled":true,"mask":"","largeMask":"","maskKey":"","keyItemMaskOfField":null,"keyOptionIdReplace":"","relatedOptionIds":[],"onlineServices":[],"childCriteriaItemList":[],"clientContextJson":""}],"clientContextJson":""},{"keyOptionId":"8957","caption":"Unknown","isDefault":true,"maskCriteriaOnly":false,"definition":"","keyProductQueryItem":"300051","comparisonOperation":0,"comparisonValue":"33","minimumVersion":"","maximumVersion":"","formOrder":0,"lowerBound":null,"enabled":true,"mask":"","largeMask":"","maskKey":"","keyItemMaskOfField":null,"keyOptionIdReplace":"","relatedOptionIds":[],"onlineServices":[],"childCriteriaItemList":[],"clientContextJson":""}],"clientContextJson":""},{"keyOptionId":"8228","caption":"Canada","isDefault":true,"maskCriteriaOnly":false,"definition":"","keyProductQueryItem":"300051","comparisonOperation":0,"comparisonValue":"38","minimumVers</t>
  </si>
  <si>
    <t>ion":"","maximumVersion":"","formOrder":0,"lowerBound":null,"enabled":true,"mask":"","largeMask":"","maskKey":"","keyItemMaskOfField":null,"keyOptionIdReplace":"","relatedOptionIds":[],"onlineServices":[],"childCriteriaItemList":[],"clientContextJson":""},{"keyOptionId":"8229","caption":"Bermuda","isDefault":true,"maskCriteriaOnly":false,"definition":"","keyProductQueryItem":"300051","comparisonOperation":0,"comparisonValue":"12","minimumVersion":"","maximumVersion":"","formOrder":0,"lowerBound":null,"enabled":true,"mask":"","largeMask":"","maskKey":"","keyItemMaskOfField":null,"keyOptionIdReplace":"","relatedOptionIds":[],"onlineServices":[],"childCriteriaItemList":[],"clientContextJson":""}],"clientContextJson":""},{"keyOptionId":"8230","caption":"Europ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8231","caption":"Developed Europ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8232","caption":"Andorra","isDefault":true,"maskCriteriaOnly":false,"definition":"","keyProductQueryItem":"300051","comparisonOperation":0,"comparisonValue":"170","minimumVersion":"","maximumVersion":"","formOrder":0,"lowerBound":null,"enabled":true,"mask":"","largeMask":"","maskKey":"","keyItemMaskOfField":null,"keyOptionIdReplace":"","relatedOptionIds":[],"onlineServices":[],"childCriteriaItemList":[],"clientContextJson":""},{"keyOptionId":"8233","caption":"Austria","isDefault":true,"maskCriteriaOnly":false,"definition":"","keyProductQueryItem":"300051","comparisonOperation":0,"comparisonValue":"206","minimumVersion":"","maximumVersion":"","formOrder":0,"lowerBound":null,"enabled":true,"mask":"","largeMask":"","maskKey":"","keyItemMaskOfField":null,"keyOptionIdReplace":"","relatedOptionIds":[],"onlineServices":[],"childCriteriaItemList":[],"clientContextJson":""},{"keyOptionId":"8234","caption":"Belgium","isDefault":true,"maskCriteriaOnly":false,"definition":"","keyProductQueryItem":"300051","comparisonOperation":0,"comparisonValue":"175","minimumVersion":"","maximumVersion":"","formOrder":0,"lowerBound":null,"enabled":true,"mask":"","largeMask":"","maskKey":"","keyItemMaskOfField":null,"keyOptionIdReplace":"","relatedOptionIds":[],"onlineServices":[],"childCriteriaItemList":[],"clientContextJson":""},{"keyOptionId":"8235","caption":"Cyprus","isDefault":true,"maskCriteriaOnly":false,"definition":"","keyProductQueryItem":"300051","comparisonOperation":0,"comparisonValue":"126","minimumVersion":"","maximumVersion":"","formOrder":0,"lowerBound":null,"enabled":true,"mask":"","largeMask":"","maskKey":"","keyItemMaskOfField":null,"keyOptionIdReplace":"","relatedOptionIds":[],"onlineServices":[],"childCriteriaItemList":[],"clientContextJson":""},{"keyOptionId":"8236","caption":"Czech Republic","isDefault":true,"maskCriteriaOnly":false,"definition":"","keyProductQueryItem":"300051","comparisonOperation":0,"comparisonValue":"207","minimumVersion":"","maximumVersion":"","formOrder":0,"lowerBound":null,"enabled":true,"mask":"","largeMask":"","maskKey":"","keyItemMaskOfField":null,"keyOptionIdReplace":"","relatedOptionIds":[],"onlineServices":[],"childCriteriaItemList":[],"clientContextJson":""},{"keyOptionId":"8237","caption":"Denmark","isDefault":true,"maskCriteriaOnly":false,"definition":"","keyProductQueryItem":"300051","comparisonOperation":0,"comparisonValue":"209","minimumVersion":"","maximumVersion":"","formOrder":0,"lowerBound":null,"enabled":true,"mask":"","largeMask":"","maskKey":"","keyItemMaskOfField":null,"keyOptionIdReplace":"","relatedOptionIds":[],"onlineServices":[],"childCriteriaItemList":[],"clientContextJson":""},{"keyOptionId":"8238","caption":"Finland","isDefault":true,"maskCriteriaOnly":false,"definition":"","keyProductQueryItem":"300051","comparisonOperation":0,"comparisonValue":"181","minimumVersion":"","maximumVersion":"","formOrder":0,"lowerBound":null,"enabled":true,"mask":"","largeMask":"","maskKey":"","keyItemMaskOfField":null,"keyOptionIdReplace":"","relatedOptionIds":[],"onlineServices":[],"childCriteriaItemList":[],"clientContextJson":""},{"keyOptionId":"8239","caption":"France","isDefault":true,"maskCriteriaOnly":false,"definition":"","keyProductQueryItem":"300051","comparisonOperation":0,"comparisonValue":"183","minimumVersion":"","maximumVersion":"","formOrder":0,"lowerBound":null,"enabled":true,"mask":"","largeMask":"","maskKey":"","keyItemMaskOfField":null,"keyOptionIdReplace":"","relatedOptionIds":[],"onlineServices":[],"childCriteriaItemList":[],"clientContextJson":""},{"keyOptionId":"8240","caption":"Germany","isDefault":true,"maskCriteriaOnly":false,"definition":"","keyProductQueryItem":"300051","comparisonOperation":0,"comparisonValue":"208","minimumVersion":"","maximumVersion":"","formOrder":0,"lowerBound":null,"enabled":true,"mask":"","largeMask":"","maskKey":"","keyItemMaskOfField":null,"keyOptionIdReplace":"","relatedOptionIds":[],"onlineServices":[],"childCriteriaItemList":[],"clientContextJson":""},{"keyOptionId":"8241","caption":"Gibraltar","isDefault":true,"maskCriteriaOnly":false,"definition":"","keyProductQueryItem":"300051","comparisonOperation":0,"comparisonValue":"185","minimumVersion":"","maximumVersion":"","formOrder":0,"lowerBound":null,"enabled":true,"mask":"","largeMask":"","maskKey":"","keyItemMaskOfField":null,"keyOptionIdReplace":"","relatedOptionIds":[],"onlineServices":[],"childCriteriaItemList":[],"clientContextJson":""},{"keyOptionId":"8242","caption":"Greece","isDefault":true,"maskCriteriaOnly":false,"definition":"","keyProductQueryItem":"300051","comparisonOperation":0,"comparisonValue":"186","minimumVersion":"","maximumVersion":"","formOrder":0,"lowerBound":null,"enabled":true,"mask":"","largeMask":"","maskKey":"","keyItemMaskOfField":null,"keyOptionIdReplace":"","relatedOptionIds":[],"onlineServices":[],"childCriteriaItemList":[],"clientContextJson":""},{"keyOptionId":"8243","caption":"Greenland","isDefault":true,"maskCriteriaOnly":false,"definition":"","keyProductQueryItem":"300051","comparisonOperation":0,"comparisonValue":"19","minimumVersion":"","maximumVersion":"","formOrder":0,"lowerBound":null,"enabled":true,"mask":"","largeMask":"","maskKey":"","keyItemMaskOfField":null,"keyOptionIdReplace":"","relatedOptionIds":[],"onlineServices":[],"childCriteriaItemList":[],"clientContextJson":""},{"keyOptionId":"8244","caption":"Iceland","isDefault":true,"maskCriteriaOnly":false,"definition":"","keyProductQueryItem":"300051","comparisonOperation":0,"comparisonValue":"189","minimumVersion":"","maximumVersion":"","formOrder":0,"lowerBound":null,"enabled":true,"mask":"","largeMask":"","maskKey":"","keyItemMaskOfField":null,"keyOptionIdReplace":"","relatedOptionIds":[],"onlineServices":[],"childCriteriaItemList":[],"clientContextJson":""},{"keyOptionId":"8245","caption":"Ireland","isDefault":true,"maskCriteriaOnly":false,"definition":"","keyProductQueryItem":"300051","comparisonOperation":0,"comparisonValue":"212","minimumVersion":"","maximumVersion":"","formOrder":0,"lowerBound":null,"enabled":true,"mask":"","largeMask":"","maskKey":</t>
  </si>
  <si>
    <t>"","keyItemMaskOfField":null,"keyOptionIdReplace":"","relatedOptionIds":[],"onlineServices":[],"childCriteriaItemList":[],"clientContextJson":""},{"keyOptionId":"8246","caption":"Italy","isDefault":true,"maskCriteriaOnly":false,"definition":"","keyProductQueryItem":"300051","comparisonOperation":0,"comparisonValue":"190","minimumVersion":"","maximumVersion":"","formOrder":0,"lowerBound":null,"enabled":true,"mask":"","largeMask":"","maskKey":"","keyItemMaskOfField":null,"keyOptionIdReplace":"","relatedOptionIds":[],"onlineServices":[],"childCriteriaItemList":[],"clientContextJson":""},{"keyOptionId":"8247","caption":"Liechtenstein","isDefault":true,"maskCriteriaOnly":false,"definition":"","keyProductQueryItem":"300051","comparisonOperation":0,"comparisonValue":"213","minimumVersion":"","maximumVersion":"","formOrder":0,"lowerBound":null,"enabled":true,"mask":"","largeMask":"","maskKey":"","keyItemMaskOfField":null,"keyOptionIdReplace":"","relatedOptionIds":[],"onlineServices":[],"childCriteriaItemList":[],"clientContextJson":""},{"keyOptionId":"8248","caption":"Luxembourg","isDefault":true,"maskCriteriaOnly":false,"definition":"","keyProductQueryItem":"300051","comparisonOperation":0,"comparisonValue":"214","minimumVersion":"","maximumVersion":"","formOrder":0,"lowerBound":null,"enabled":true,"mask":"","largeMask":"","maskKey":"","keyItemMaskOfField":null,"keyOptionIdReplace":"","relatedOptionIds":[],"onlineServices":[],"childCriteriaItemList":[],"clientContextJson":""},{"keyOptionId":"8249","caption":"Malta","isDefault":true,"maskCriteriaOnly":false,"definition":"","keyProductQueryItem":"300051","comparisonOperation":0,"comparisonValue":"195","minimumVersion":"","maximumVersion":"","formOrder":0,"lowerBound":null,"enabled":true,"mask":"","largeMask":"","maskKey":"","keyItemMaskOfField":null,"keyOptionIdReplace":"","relatedOptionIds":[],"onlineServices":[],"childCriteriaItemList":[],"clientContextJson":""},{"keyOptionId":"8250","caption":"Monaco","isDefault":true,"maskCriteriaOnly":false,"definition":"","keyProductQueryItem":"300051","comparisonOperation":0,"comparisonValue":"215","minimumVersion":"","maximumVersion":"","formOrder":0,"lowerBound":null,"enabled":true,"mask":"","largeMask":"","maskKey":"","keyItemMaskOfField":null,"keyOptionIdReplace":"","relatedOptionIds":[],"onlineServices":[],"childCriteriaItemList":[],"clientContextJson":""},{"keyOptionId":"8251","caption":"Netherlands","isDefault":true,"maskCriteriaOnly":false,"definition":"","keyProductQueryItem":"300051","comparisonOperation":0,"comparisonValue":"216","minimumVersion":"","maximumVersion":"","formOrder":0,"lowerBound":null,"enabled":true,"mask":"","largeMask":"","maskKey":"","keyItemMaskOfField":null,"keyOptionIdReplace":"","relatedOptionIds":[],"onlineServices":[],"childCriteriaItemList":[],"clientContextJson":""},{"keyOptionId":"8252","caption":"Norway","isDefault":true,"maskCriteriaOnly":false,"definition":"","keyProductQueryItem":"300051","comparisonOperation":0,"comparisonValue":"196","minimumVersion":"","maximumVersion":"","formOrder":0,"lowerBound":null,"enabled":true,"mask":"","largeMask":"","maskKey":"","keyItemMaskOfField":null,"keyOptionIdReplace":"","relatedOptionIds":[],"onlineServices":[],"childCriteriaItemList":[],"clientContextJson":""},{"keyOptionId":"8253","caption":"Portugal","isDefault":true,"maskCriteriaOnly":false,"definition":"","keyProductQueryItem":"300051","comparisonOperation":0,"comparisonValue":"218","minimumVersion":"","maximumVersion":"","formOrder":0,"lowerBound":null,"enabled":true,"mask":"","largeMask":"","maskKey":"","keyItemMaskOfField":null,"keyOptionIdReplace":"","relatedOptionIds":[],"onlineServices":[],"childCriteriaItemList":[],"clientContextJson":""},{"keyOptionId":"8254","caption":"San Marino","isDefault":true,"maskCriteriaOnly":false,"definition":"","keyProductQueryItem":"300051","comparisonOperation":0,"comparisonValue":"202","minimumVersion":"","maximumVersion":"","formOrder":0,"lowerBound":null,"enabled":true,"mask":"","largeMask":"","maskKey":"","keyItemMaskOfField":null,"keyOptionIdReplace":"","relatedOptionIds":[],"onlineServices":[],"childCriteriaItemList":[],"clientContextJson":""},{"keyOptionId":"8255","caption":"Slovakia","isDefault":true,"maskCriteriaOnly":false,"definition":"","keyProductQueryItem":"300051","comparisonOperation":0,"comparisonValue":"201","minimumVersion":"","maximumVersion":"","formOrder":0,"lowerBound":null,"enabled":true,"mask":"","largeMask":"","maskKey":"","keyItemMaskOfField":null,"keyOptionIdReplace":"","relatedOptionIds":[],"onlineServices":[],"childCriteriaItemList":[],"clientContextJson":""},{"keyOptionId":"8256","caption":"Slovenia","isDefault":true,"maskCriteriaOnly":false,"definition":"","keyProductQueryItem":"300051","comparisonOperation":0,"comparisonValue":"199","minimumVersion":"","maximumVersion":"","formOrder":0,"lowerBound":null,"enabled":true,"mask":"","largeMask":"","maskKey":"","keyItemMaskOfField":null,"keyOptionIdReplace":"","relatedOptionIds":[],"onlineServices":[],"childCriteriaItemList":[],"clientContextJson":""},{"keyOptionId":"8257","caption":"Spain","isDefault":true,"maskCriteriaOnly":false,"definition":"","keyProductQueryItem":"300051","comparisonOperation":0,"comparisonValue":"210","minimumVersion":"","maximumVersion":"","formOrder":0,"lowerBound":null,"enabled":true,"mask":"","largeMask":"","maskKey":"","keyItemMaskOfField":null,"keyOptionIdReplace":"","relatedOptionIds":[],"onlineServices":[],"childCriteriaItemList":[],"clientContextJson":""},{"keyOptionId":"8258","caption":"Sweden","isDefault":true,"maskCriteriaOnly":false,"definition":"","keyProductQueryItem":"300051","comparisonOperation":0,"comparisonValue":"219","minimumVersion":"","maximumVersion":"","formOrder":0,"lowerBound":null,"enabled":true,"mask":"","largeMask":"","maskKey":"","keyItemMaskOfField":null,"keyOptionIdReplace":"","relatedOptionIds":[],"onlineServices":[],"childCriteriaItemList":[],"clientContextJson":""},{"keyOptionId":"8259","caption":"Switzerland","isDefault":true,"maskCriteriaOnly":false,"definition":"","keyProductQueryItem":"300051","comparisonOperation":0,"comparisonValue":"178","minimumVersion":"","maximumVersion":"","formOrder":0,"lowerBound":null,"enabled":true,"mask":"","largeMask":"","maskKey":"","keyItemMaskOfField":null,"keyOptionIdReplace":"","relatedOptionIds":[],"onlineServices":[],"childCriteriaItemList":[],"clientContextJson":""},{"keyOptionId":"8260","caption":"United Kingdom","isDefault":true,"maskCriteriaOnly":false,"definition":"","keyProductQueryItem":"300051","comparisonOperation":0,"comparisonValue":"211","minimumVersion":"","maximumVersion":"","formOrder":0,"lowerBound":null,"enabled":true,"mask":"","largeMask":"","maskKey":"","keyItemMaskOfField":null,"keyOptionIdReplace":"","relatedOptionIds":[],"onlineServices":[],"childCriteriaItemList":[],"clientContextJson":""},{"keyOptionId":"8261","caption":"Vatican City","isDefault":true,"maskCriteriaOnly":false,"definition":"","keyProductQueryItem":"300051","comparisonOperation":0,"comparisonValue":"205","minimumVersion":"","maximumVersion":"","formOrder":0,"lowerBound":null,"enabled":true,"mask":"","largeMask":"","maskKey":"","keyItemMaskOfField":null,"keyOptionIdReplace":"","relatedOptionIds":[],"onlineServices":[],"childCriteriaItemList":[],"clientContextJson":""}],"clientContextJson":""},{"keyOptionId":"8262","caption":"Emerging Europe","isDefault":false,"maskCriteriaOnly":true,"definition":"","keyProductQueryItem":"","comparisonOperation":null,"comparisonValue":"","minimumVersion":"","maximumVersion":"","formOrder":0,"lowerBound":null,"enabled":true,"mask":"","largeMask":"","maskKey":"","keyItemMaskOfField":null,"ke</t>
  </si>
  <si>
    <t>yOptionIdReplace":"","relatedOptionIds":[],"onlineServices":[],"childCriteriaItemList":[{"keyOptionId":"8263","caption":"Åland Islands","isDefault":true,"maskCriteriaOnly":false,"definition":"","keyProductQueryItem":"300051","comparisonOperation":0,"comparisonValue":"172","minimumVersion":"","maximumVersion":"","formOrder":0,"lowerBound":null,"enabled":true,"mask":"","largeMask":"","maskKey":"","keyItemMaskOfField":null,"keyOptionIdReplace":"","relatedOptionIds":[],"onlineServices":[],"childCriteriaItemList":[],"clientContextJson":""},{"keyOptionId":"8264","caption":"Albania","isDefault":true,"maskCriteriaOnly":false,"definition":"","keyProductQueryItem":"300051","comparisonOperation":0,"comparisonValue":"171","minimumVersion":"","maximumVersion":"","formOrder":0,"lowerBound":null,"enabled":true,"mask":"","largeMask":"","maskKey":"","keyItemMaskOfField":null,"keyOptionIdReplace":"","relatedOptionIds":[],"onlineServices":[],"childCriteriaItemList":[],"clientContextJson":""},{"keyOptionId":"8265","caption":"Armenia","isDefault":true,"maskCriteriaOnly":false,"definition":"","keyProductQueryItem":"300051","comparisonOperation":0,"comparisonValue":"120","minimumVersion":"","maximumVersion":"","formOrder":0,"lowerBound":null,"enabled":true,"mask":"","largeMask":"","maskKey":"","keyItemMaskOfField":null,"keyOptionIdReplace":"","relatedOptionIds":[],"onlineServices":[],"childCriteriaItemList":[],"clientContextJson":""},{"keyOptionId":"8266","caption":"Azerbaijan","isDefault":true,"maskCriteriaOnly":false,"definition":"","keyProductQueryItem":"300051","comparisonOperation":0,"comparisonValue":"173","minimumVersion":"","maximumVersion":"","formOrder":0,"lowerBound":null,"enabled":true,"mask":"","largeMask":"","maskKey":"","keyItemMaskOfField":null,"keyOptionIdReplace":"","relatedOptionIds":[],"onlineServices":[],"childCriteriaItemList":[],"clientContextJson":""},{"keyOptionId":"8267","caption":"Belarus","isDefault":true,"maskCriteriaOnly":false,"definition":"","keyProductQueryItem":"300051","comparisonOperation":0,"comparisonValue":"177","minimumVersion":"","maximumVersion":"","formOrder":0,"lowerBound":null,"enabled":true,"mask":"","largeMask":"","maskKey":"","keyItemMaskOfField":null,"keyOptionIdReplace":"","relatedOptionIds":[],"onlineServices":[],"childCriteriaItemList":[],"clientContextJson":""},{"keyOptionId":"8268","caption":"Bosnia &amp; Herzegovina","isDefault":true,"maskCriteriaOnly":false,"definition":"","keyProductQueryItem":"300051","comparisonOperation":0,"comparisonValue":"174","minimumVersion":"","maximumVersion":"","formOrder":0,"lowerBound":null,"enabled":true,"mask":"","largeMask":"","maskKey":"","keyItemMaskOfField":null,"keyOptionIdReplace":"","relatedOptionIds":[],"onlineServices":[],"childCriteriaItemList":[],"clientContextJson":""},{"keyOptionId":"8269","caption":"Bulgaria","isDefault":true,"maskCriteriaOnly":false,"definition":"","keyProductQueryItem":"300051","comparisonOperation":0,"comparisonValue":"176","minimumVersion":"","maximumVersion":"","formOrder":0,"lowerBound":null,"enabled":true,"mask":"","largeMask":"","maskKey":"","keyItemMaskOfField":null,"keyOptionIdReplace":"","relatedOptionIds":[],"onlineServices":[],"childCriteriaItemList":[],"clientContextJson":""},{"keyOptionId":"8270","caption":"Croatia","isDefault":true,"maskCriteriaOnly":false,"definition":"","keyProductQueryItem":"300051","comparisonOperation":0,"comparisonValue":"187","minimumVersion":"","maximumVersion":"","formOrder":0,"lowerBound":null,"enabled":true,"mask":"","largeMask":"","maskKey":"","keyItemMaskOfField":null,"keyOptionIdReplace":"","relatedOptionIds":[],"onlineServices":[],"childCriteriaItemList":[],"clientContextJson":""},{"keyOptionId":"8271","caption":"Estonia","isDefault":true,"maskCriteriaOnly":false,"definition":"","keyProductQueryItem":"300051","comparisonOperation":0,"comparisonValue":"180","minimumVersion":"","maximumVersion":"","formOrder":0,"lowerBound":null,"enabled":true,"mask":"","largeMask":"","maskKey":"","keyItemMaskOfField":null,"keyOptionIdReplace":"","relatedOptionIds":[],"onlineServices":[],"childCriteriaItemList":[],"clientContextJson":""},{"keyOptionId":"8272","caption":"Faroe Islands","isDefault":true,"maskCriteriaOnly":false,"definition":"","keyProductQueryItem":"300051","comparisonOperation":0,"comparisonValue":"182","minimumVersion":"","maximumVersion":"","formOrder":0,"lowerBound":null,"enabled":true,"mask":"","largeMask":"","maskKey":"","keyItemMaskOfField":null,"keyOptionIdReplace":"","relatedOptionIds":[],"onlineServices":[],"childCriteriaItemList":[],"clientContextJson":""},{"keyOptionId":"8273","caption":"Georgia","isDefault":true,"maskCriteriaOnly":false,"definition":"","keyProductQueryItem":"300051","comparisonOperation":0,"comparisonValue":"184","minimumVersion":"","maximumVersion":"","formOrder":0,"lowerBound":null,"enabled":true,"mask":"","largeMask":"","maskKey":"","keyItemMaskOfField":null,"keyOptionIdReplace":"","relatedOptionIds":[],"onlineServices":[],"childCriteriaItemList":[],"clientContextJson":""},{"keyOptionId":"8274","caption":"Hungary","isDefault":true,"maskCriteriaOnly":false,"definition":"","keyProductQueryItem":"300051","comparisonOperation":0,"comparisonValue":"188","minimumVersion":"","maximumVersion":"","formOrder":0,"lowerBound":null,"enabled":true,"mask":"","largeMask":"","maskKey":"","keyItemMaskOfField":null,"keyOptionIdReplace":"","relatedOptionIds":[],"onlineServices":[],"childCriteriaItemList":[],"clientContextJson":""},{"keyOptionId":"8275","caption":"Kazakhstan","isDefault":true,"maskCriteriaOnly":false,"definition":"","keyProductQueryItem":"300051","comparisonOperation":0,"comparisonValue":"138","minimumVersion":"","maximumVersion":"","formOrder":0,"lowerBound":null,"enabled":true,"mask":"","largeMask":"","maskKey":"","keyItemMaskOfField":null,"keyOptionIdReplace":"","relatedOptionIds":[],"onlineServices":[],"childCriteriaItemList":[],"clientContextJson":""},{"keyOptionId":"8276","caption":"Kyrgyzstan","isDefault":true,"maskCriteriaOnly":false,"definition":"","keyProductQueryItem":"300051","comparisonOperation":0,"comparisonValue":"134","minimumVersion":"","maximumVersion":"","formOrder":0,"lowerBound":null,"enabled":true,"mask":"","largeMask":"","maskKey":"","keyItemMaskOfField":null,"keyOptionIdReplace":"","relatedOptionIds":[],"onlineServices":[],"childCriteriaItemList":[],"clientContextJson":""},{"keyOptionId":"8277","caption":"Latvia","isDefault":true,"maskCriteriaOnly":false,"definition":"","keyProductQueryItem":"300051","comparisonOperation":0,"comparisonValue":"192","minimumVersion":"","maximumVersion":"","formOrder":0,"lowerBound":null,"enabled":true,"mask":"","largeMask":"","maskKey":"","keyItemMaskOfField":null,"keyOptionIdReplace":"","relatedOptionIds":[],"onlineServices":[],"childCriteriaItemList":[],"clientContextJson":""},{"keyOptionId":"8278","caption":"Lithuania","isDefault":true,"maskCriteriaOnly":false,"definition":"","keyProductQueryItem":"300051","comparisonOperation":0,"comparisonValue":"191","minimumVersion":"","maximumVersion":"","formOrder":0,"lowerBound":null,"enabled":true,"mask":"","largeMask":"","maskKey":"","keyItemMaskOfField":null,"keyOptionIdReplace":"","relatedOptionIds":[],"onlineServices":[],"childCriteriaItemList":[],"clientContextJson":""},{"keyOptionId":"8280","caption":"Moldova","isDefault":true,"maskCriteriaOnly":false,"definition":"","keyProductQueryItem":"300051","comparisonOperation":0,"comparisonValue":"193","minimumVersion":"","maximumVersion":"","formOrder":0,"lowerBound":null,"enabled":true,"mask":"","largeMask":"","maskKey":"","keyItemMaskOfField":null,"keyOptionIdReplace":"","relatedOptionIds":[],"onlineServices":[],"childCriter</t>
  </si>
  <si>
    <t>iaItemList":[],"clientContextJson":""},{"keyOptionId":"8281","caption":"Montenegro","isDefault":true,"maskCriteriaOnly":false,"definition":"","keyProductQueryItem":"300051","comparisonOperation":0,"comparisonValue":"997","minimumVersion":"","maximumVersion":"","formOrder":0,"lowerBound":null,"enabled":true,"mask":"","largeMask":"","maskKey":"","keyItemMaskOfField":null,"keyOptionIdReplace":"","relatedOptionIds":[],"onlineServices":[],"childCriteriaItemList":[],"clientContextJson":""},{"keyOptionId":"8279","caption":"North Macedonia","isDefault":true,"maskCriteriaOnly":false,"definition":"","keyProductQueryItem":"300051","comparisonOperation":0,"comparisonValue":"194","minimumVersion":"","maximumVersion":"","formOrder":0,"lowerBound":null,"enabled":true,"mask":"","largeMask":"","maskKey":"","keyItemMaskOfField":null,"keyOptionIdReplace":"","relatedOptionIds":[],"onlineServices":[],"childCriteriaItemList":[],"clientContextJson":""},{"keyOptionId":"8282","caption":"Poland","isDefault":true,"maskCriteriaOnly":false,"definition":"","keyProductQueryItem":"300051","comparisonOperation":0,"comparisonValue":"217","minimumVersion":"","maximumVersion":"","formOrder":0,"lowerBound":null,"enabled":true,"mask":"","largeMask":"","maskKey":"","keyItemMaskOfField":null,"keyOptionIdReplace":"","relatedOptionIds":[],"onlineServices":[],"childCriteriaItemList":[],"clientContextJson":""},{"keyOptionId":"8283","caption":"Romania","isDefault":true,"maskCriteriaOnly":false,"definition":"","keyProductQueryItem":"300051","comparisonOperation":0,"comparisonValue":"197","minimumVersion":"","maximumVersion":"","formOrder":0,"lowerBound":null,"enabled":true,"mask":"","largeMask":"","maskKey":"","keyItemMaskOfField":null,"keyOptionIdReplace":"","relatedOptionIds":[],"onlineServices":[],"childCriteriaItemList":[],"clientContextJson":""},{"keyOptionId":"8284","caption":"Russia","isDefault":true,"maskCriteriaOnly":false,"definition":"","keyProductQueryItem":"300051","comparisonOperation":0,"comparisonValue":"198","minimumVersion":"","maximumVersion":"","formOrder":0,"lowerBound":null,"enabled":true,"mask":"","largeMask":"","maskKey":"","keyItemMaskOfField":null,"keyOptionIdReplace":"","relatedOptionIds":[],"onlineServices":[],"childCriteriaItemList":[],"clientContextJson":""},{"keyOptionId":"8285","caption":"Serbia","isDefault":true,"maskCriteriaOnly":false,"definition":"","keyProductQueryItem":"300051","comparisonOperation":0,"comparisonValue":"179","minimumVersion":"","maximumVersion":"","formOrder":0,"lowerBound":null,"enabled":true,"mask":"","largeMask":"","maskKey":"","keyItemMaskOfField":null,"keyOptionIdReplace":"","relatedOptionIds":[],"onlineServices":[],"childCriteriaItemList":[],"clientContextJson":""},{"keyOptionId":"8286","caption":"Svalbard","isDefault":true,"maskCriteriaOnly":false,"definition":"","keyProductQueryItem":"300051","comparisonOperation":0,"comparisonValue":"200","minimumVersion":"","maximumVersion":"","formOrder":0,"lowerBound":null,"enabled":true,"mask":"","largeMask":"","maskKey":"","keyItemMaskOfField":null,"keyOptionIdReplace":"","relatedOptionIds":[],"onlineServices":[],"childCriteriaItemList":[],"clientContextJson":""},{"keyOptionId":"8287","caption":"Tajikistan","isDefault":true,"maskCriteriaOnly":false,"definition":"","keyProductQueryItem":"300051","comparisonOperation":0,"comparisonValue":"155","minimumVersion":"","maximumVersion":"","formOrder":0,"lowerBound":null,"enabled":true,"mask":"","largeMask":"","maskKey":"","keyItemMaskOfField":null,"keyOptionIdReplace":"","relatedOptionIds":[],"onlineServices":[],"childCriteriaItemList":[],"clientContextJson":""},{"keyOptionId":"8288","caption":"Turkey","isDefault":true,"maskCriteriaOnly":false,"definition":"","keyProductQueryItem":"300051","comparisonOperation":0,"comparisonValue":"203","minimumVersion":"","maximumVersion":"","formOrder":0,"lowerBound":null,"enabled":true,"mask":"","largeMask":"","maskKey":"","keyItemMaskOfField":null,"keyOptionIdReplace":"","relatedOptionIds":[],"onlineServices":[],"childCriteriaItemList":[],"clientContextJson":""},{"keyOptionId":"8289","caption":"Turkmenistan","isDefault":true,"maskCriteriaOnly":false,"definition":"","keyProductQueryItem":"300051","comparisonOperation":0,"comparisonValue":"156","minimumVersion":"","maximumVersion":"","formOrder":0,"lowerBound":null,"enabled":true,"mask":"","largeMask":"","maskKey":"","keyItemMaskOfField":null,"keyOptionIdReplace":"","relatedOptionIds":[],"onlineServices":[],"childCriteriaItemList":[],"clientContextJson":""},{"keyOptionId":"8290","caption":"Ukraine","isDefault":true,"maskCriteriaOnly":false,"definition":"","keyProductQueryItem":"300051","comparisonOperation":0,"comparisonValue":"204","minimumVersion":"","maximumVersion":"","formOrder":0,"lowerBound":null,"enabled":true,"mask":"","largeMask":"","maskKey":"","keyItemMaskOfField":null,"keyOptionIdReplace":"","relatedOptionIds":[],"onlineServices":[],"childCriteriaItemList":[],"clientContextJson":""},{"keyOptionId":"8291","caption":"Uzbekistan","isDefault":true,"maskCriteriaOnly":false,"definition":"","keyProductQueryItem":"300051","comparisonOperation":0,"comparisonValue":"158","minimumVersion":"","maximumVersion":"","formOrder":0,"lowerBound":null,"enabled":true,"mask":"","largeMask":"","maskKey":"","keyItemMaskOfField":null,"keyOptionIdReplace":"","relatedOptionIds":[],"onlineServices":[],"childCriteriaItemList":[],"clientContextJson":""}],"clientContextJson":""}],"clientContextJson":""},{"keyOptionId":"8292","caption":"Asia-Pacif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8293","caption":"Developed Asia-Pacif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8294","caption":"Australia","isDefault":true,"maskCriteriaOnly":false,"definition":"","keyProductQueryItem":"300051","comparisonOperation":0,"comparisonValue":"239","minimumVersion":"","maximumVersion":"","formOrder":0,"lowerBound":null,"enabled":true,"mask":"","largeMask":"","maskKey":"","keyItemMaskOfField":null,"keyOptionIdReplace":"","relatedOptionIds":[],"onlineServices":[],"childCriteriaItemList":[],"clientContextJson":""},{"keyOptionId":"8295","caption":"Hong Kong","isDefault":true,"maskCriteriaOnly":false,"definition":"","keyProductQueryItem":"300051","comparisonOperation":0,"comparisonValue":"127","minimumVersion":"","maximumVersion":"","formOrder":0,"lowerBound":null,"enabled":true,"mask":"","largeMask":"","maskKey":"","keyItemMaskOfField":null,"keyOptionIdReplace":"","relatedOptionIds":[],"onlineServices":[],"childCriteriaItemList":[],"clientContextJson":""},{"keyOptionId":"8296","caption":"Japan","isDefault":true,"maskCriteriaOnly":false,"definition":"","keyProductQueryItem":"300051","comparisonOperation":0,"comparisonValue":"133","minimumVersion":"","maximumVersion":"","formOrder":0,"lowerBound":null,"enabled":true,"mask":"","largeMask":"","maskKey":"","keyItemMaskOfField":null,"keyOptionIdReplace":"","relatedOptionIds":[],"onlineServices":[],"childCriteriaItemList":[],"clientContextJson":""},{"keyOptionId":"829</t>
  </si>
  <si>
    <t>7","caption":"New Zealand","isDefault":true,"maskCriteriaOnly":false,"definition":"","keyProductQueryItem":"300051","comparisonOperation":0,"comparisonValue":"228","minimumVersion":"","maximumVersion":"","formOrder":0,"lowerBound":null,"enabled":true,"mask":"","largeMask":"","maskKey":"","keyItemMaskOfField":null,"keyOptionIdReplace":"","relatedOptionIds":[],"onlineServices":[],"childCriteriaItemList":[],"clientContextJson":""},{"keyOptionId":"8298","caption":"Singapore","isDefault":true,"maskCriteriaOnly":false,"definition":"","keyProductQueryItem":"300051","comparisonOperation":0,"comparisonValue":"152","minimumVersion":"","maximumVersion":"","formOrder":0,"lowerBound":null,"enabled":true,"mask":"","largeMask":"","maskKey":"","keyItemMaskOfField":null,"keyOptionIdReplace":"","relatedOptionIds":[],"onlineServices":[],"childCriteriaItemList":[],"clientContextJson":""},{"keyOptionId":"8299","caption":"South Korea","isDefault":true,"maskCriteriaOnly":false,"definition":"","keyProductQueryItem":"300051","comparisonOperation":0,"comparisonValue":"136","minimumVersion":"","maximumVersion":"","formOrder":0,"lowerBound":null,"enabled":true,"mask":"","largeMask":"","maskKey":"","keyItemMaskOfField":null,"keyOptionIdReplace":"","relatedOptionIds":[],"onlineServices":[],"childCriteriaItemList":[],"clientContextJson":""},{"keyOptionId":"8300","caption":"Taiwan","isDefault":true,"maskCriteriaOnly":false,"definition":"","keyProductQueryItem":"300051","comparisonOperation":0,"comparisonValue":"169","minimumVersion":"","maximumVersion":"","formOrder":0,"lowerBound":null,"enabled":true,"mask":"","largeMask":"","maskKey":"","keyItemMaskOfField":null,"keyOptionIdReplace":"","relatedOptionIds":[],"onlineServices":[],"childCriteriaItemList":[],"clientContextJson":""}],"clientContextJson":""},{"keyOptionId":"8301","caption":"Emerging Asia-Pacif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8302","caption":"Afghanistan","isDefault":true,"maskCriteriaOnly":false,"definition":"","keyProductQueryItem":"300051","comparisonOperation":0,"comparisonValue":"161","minimumVersion":"","maximumVersion":"","formOrder":0,"lowerBound":null,"enabled":true,"mask":"","largeMask":"","maskKey":"","keyItemMaskOfField":null,"keyOptionIdReplace":"","relatedOptionIds":[],"onlineServices":[],"childCriteriaItemList":[],"clientContextJson":""},{"keyOptionId":"8303","caption":"Bangladesh","isDefault":true,"maskCriteriaOnly":false,"definition":"","keyProductQueryItem":"300051","comparisonOperation":0,"comparisonValue":"121","minimumVersion":"","maximumVersion":"","formOrder":0,"lowerBound":null,"enabled":true,"mask":"","largeMask":"","maskKey":"","keyItemMaskOfField":null,"keyOptionIdReplace":"","relatedOptionIds":[],"onlineServices":[],"childCriteriaItemList":[],"clientContextJson":""},{"keyOptionId":"8304","caption":"Bhutan","isDefault":true,"maskCriteriaOnly":false,"definition":"","keyProductQueryItem":"300051","comparisonOperation":0,"comparisonValue":"123","minimumVersion":"","maximumVersion":"","formOrder":0,"lowerBound":null,"enabled":true,"mask":"","largeMask":"","maskKey":"","keyItemMaskOfField":null,"keyOptionIdReplace":"","relatedOptionIds":[],"onlineServices":[],"childCriteriaItemList":[],"clientContextJson":""},{"keyOptionId":"8305","caption":"Brunei","isDefault":true,"maskCriteriaOnly":false,"definition":"","keyProductQueryItem":"300051","comparisonOperation":0,"comparisonValue":"122","minimumVersion":"","maximumVersion":"","formOrder":0,"lowerBound":null,"enabled":true,"mask":"","largeMask":"","maskKey":"","keyItemMaskOfField":null,"keyOptionIdReplace":"","relatedOptionIds":[],"onlineServices":[],"childCriteriaItemList":[],"clientContextJson":""},{"keyOptionId":"8306","caption":"Cambodia","isDefault":true,"maskCriteriaOnly":false,"definition":"","keyProductQueryItem":"300051","comparisonOperation":0,"comparisonValue":"135","minimumVersion":"","maximumVersion":"","formOrder":0,"lowerBound":null,"enabled":true,"mask":"","largeMask":"","maskKey":"","keyItemMaskOfField":null,"keyOptionIdReplace":"","relatedOptionIds":[],"onlineServices":[],"childCriteriaItemList":[],"clientContextJson":""},{"keyOptionId":"8307","caption":"China","isDefault":true,"maskCriteriaOnly":false,"definition":"","keyProductQueryItem":"300051","comparisonOperation":0,"comparisonValue":"163","minimumVersion":"","maximumVersion":"","formOrder":0,"lowerBound":null,"enabled":true,"mask":"","largeMask":"","maskKey":"","keyItemMaskOfField":null,"keyOptionIdReplace":"","relatedOptionIds":[],"onlineServices":[],"childCriteriaItemList":[],"clientContextJson":""},{"keyOptionId":"8308","caption":"Cook Islands","isDefault":true,"maskCriteriaOnly":false,"definition":"","keyProductQueryItem":"300051","comparisonOperation":0,"comparisonValue":"220","minimumVersion":"","maximumVersion":"","formOrder":0,"lowerBound":null,"enabled":true,"mask":"","largeMask":"","maskKey":"","keyItemMaskOfField":null,"keyOptionIdReplace":"","relatedOptionIds":[],"onlineServices":[],"childCriteriaItemList":[],"clientContextJson":""},{"keyOptionId":"8309","caption":"Fiji","isDefault":true,"maskCriteriaOnly":false,"definition":"","keyProductQueryItem":"300051","comparisonOperation":0,"comparisonValue":"221","minimumVersion":"","maximumVersion":"","formOrder":0,"lowerBound":null,"enabled":true,"mask":"","largeMask":"","maskKey":"","keyItemMaskOfField":null,"keyOptionIdReplace":"","relatedOptionIds":[],"onlineServices":[],"childCriteriaItemList":[],"clientContextJson":""},{"keyOptionId":"8310","caption":"French Polynesia","isDefault":true,"maskCriteriaOnly":false,"definition":"","keyProductQueryItem":"300051","comparisonOperation":0,"comparisonValue":"229","minimumVersion":"","maximumVersion":"","formOrder":0,"lowerBound":null,"enabled":true,"mask":"","largeMask":"","maskKey":"","keyItemMaskOfField":null,"keyOptionIdReplace":"","relatedOptionIds":[],"onlineServices":[],"childCriteriaItemList":[],"clientContextJson":""},{"keyOptionId":"8311","caption":"India","isDefault":true,"maskCriteriaOnly":false,"definition":"","keyProductQueryItem":"300051","comparisonOperation":0,"comparisonValue":"128","minimumVersion":"","maximumVersion":"","formOrder":0,"lowerBound":null,"enabled":true,"mask":"","largeMask":"","maskKey":"","keyItemMaskOfField":null,"keyOptionIdReplace":"","relatedOptionIds":[],"onlineServices":[],"childCriteriaItemList":[],"clientContextJson":""},{"keyOptionId":"8312","caption":"Indonesia","isDefault":true,"maskCriteriaOnly":false,"definition":"","keyProductQueryItem":"300051","comparisonOperation":0,"comparisonValue":"164","minimumVersion":"","maximumVersion":"","formOrder":0,"lowerBound":null,"enabled":true,"mask":"","largeMask":"","maskKey":"","keyItemMaskOfField":null,"keyOptionIdReplace":"","relatedOptionIds":[],"onlineServices":[],"childCriteriaItemList":[],"clientContextJson":""},{"keyOptionId":"8313","caption":"Kiribati","isDefault":true,"maskCriteriaOnly":false,"definition":"","keyProductQueryItem":"300051","comparisonOperation":0,"comparisonValue":"222","minimumVersion":"","maximumVersion":"","formOrder":0,"lowerBound":null,"enabled":true,"mask":"","largeMask":"","maskKey":"","keyItemMaskOfField":null,"keyOptionIdReplace":"","relatedOptionIds":[],"onlineServices":[],"childCriteriaItemList":[],"clientContextJson":""},{"keyOptionId":"8314","caption":"Laos","isDefault":true,"maskCriteriaOnl</t>
  </si>
  <si>
    <t>y":false,"definition":"","keyProductQueryItem":"300051","comparisonOperation":0,"comparisonValue":"139","minimumVersion":"","maximumVersion":"","formOrder":0,"lowerBound":null,"enabled":true,"mask":"","largeMask":"","maskKey":"","keyItemMaskOfField":null,"keyOptionIdReplace":"","relatedOptionIds":[],"onlineServices":[],"childCriteriaItemList":[],"clientContextJson":""},{"keyOptionId":"8315","caption":"Macau","isDefault":true,"maskCriteriaOnly":false,"definition":"","keyProductQueryItem":"300051","comparisonOperation":0,"comparisonValue":"144","minimumVersion":"","maximumVersion":"","formOrder":0,"lowerBound":null,"enabled":true,"mask":"","largeMask":"","maskKey":"","keyItemMaskOfField":null,"keyOptionIdReplace":"","relatedOptionIds":[],"onlineServices":[],"childCriteriaItemList":[],"clientContextJson":""},{"keyOptionId":"8316","caption":"Malaysia","isDefault":true,"maskCriteriaOnly":false,"definition":"","keyProductQueryItem":"300051","comparisonOperation":0,"comparisonValue":"146","minimumVersion":"","maximumVersion":"","formOrder":0,"lowerBound":null,"enabled":true,"mask":"","largeMask":"","maskKey":"","keyItemMaskOfField":null,"keyOptionIdReplace":"","relatedOptionIds":[],"onlineServices":[],"childCriteriaItemList":[],"clientContextJson":""},{"keyOptionId":"8317","caption":"Maldives","isDefault":true,"maskCriteriaOnly":false,"definition":"","keyProductQueryItem":"300051","comparisonOperation":0,"comparisonValue":"145","minimumVersion":"","maximumVersion":"","formOrder":0,"lowerBound":null,"enabled":true,"mask":"","largeMask":"","maskKey":"","keyItemMaskOfField":null,"keyOptionIdReplace":"","relatedOptionIds":[],"onlineServices":[],"childCriteriaItemList":[],"clientContextJson":""},{"keyOptionId":"8318","caption":"Marshall Islands","isDefault":true,"maskCriteriaOnly":false,"definition":"","keyProductQueryItem":"300051","comparisonOperation":0,"comparisonValue":"240","minimumVersion":"","maximumVersion":"","formOrder":0,"lowerBound":null,"enabled":true,"mask":"","largeMask":"","maskKey":"","keyItemMaskOfField":null,"keyOptionIdReplace":"","relatedOptionIds":[],"onlineServices":[],"childCriteriaItemList":[],"clientContextJson":""},{"keyOptionId":"8319","caption":"Mongolia","isDefault":true,"maskCriteriaOnly":false,"definition":"","keyProductQueryItem":"300051","comparisonOperation":0,"comparisonValue":"143","minimumVersion":"","maximumVersion":"","formOrder":0,"lowerBound":null,"enabled":true,"mask":"","largeMask":"","maskKey":"","keyItemMaskOfField":null,"keyOptionIdReplace":"","relatedOptionIds":[],"onlineServices":[],"childCriteriaItemList":[],"clientContextJson":""},{"keyOptionId":"8320","caption":"Myanmar","isDefault":true,"maskCriteriaOnly":false,"definition":"","keyProductQueryItem":"300051","comparisonOperation":0,"comparisonValue":"142","minimumVersion":"","maximumVersion":"","formOrder":0,"lowerBound":null,"enabled":true,"mask":"","largeMask":"","maskKey":"","keyItemMaskOfField":null,"keyOptionIdReplace":"","relatedOptionIds":[],"onlineServices":[],"childCriteriaItemList":[],"clientContextJson":""},{"keyOptionId":"8321","caption":"Nauru","isDefault":true,"maskCriteriaOnly":false,"definition":"","keyProductQueryItem":"300051","comparisonOperation":0,"comparisonValue":"226","minimumVersion":"","maximumVersion":"","formOrder":0,"lowerBound":null,"enabled":true,"mask":"","largeMask":"","maskKey":"","keyItemMaskOfField":null,"keyOptionIdReplace":"","relatedOptionIds":[],"onlineServices":[],"childCriteriaItemList":[],"clientContextJson":""},{"keyOptionId":"8322","caption":"Nepal","isDefault":true,"maskCriteriaOnly":false,"definition":"","keyProductQueryItem":"300051","comparisonOperation":0,"comparisonValue":"147","minimumVersion":"","maximumVersion":"","formOrder":0,"lowerBound":null,"enabled":true,"mask":"","largeMask":"","maskKey":"","keyItemMaskOfField":null,"keyOptionIdReplace":"","relatedOptionIds":[],"onlineServices":[],"childCriteriaItemList":[],"clientContextJson":""},{"keyOptionId":"8323","caption":"New Caledonia","isDefault":true,"maskCriteriaOnly":false,"definition":"","keyProductQueryItem":"300051","comparisonOperation":0,"comparisonValue":"224","minimumVersion":"","maximumVersion":"","formOrder":0,"lowerBound":null,"enabled":true,"mask":"","largeMask":"","maskKey":"","keyItemMaskOfField":null,"keyOptionIdReplace":"","relatedOptionIds":[],"onlineServices":[],"childCriteriaItemList":[],"clientContextJson":""},{"keyOptionId":"8324","caption":"Niue","isDefault":true,"maskCriteriaOnly":false,"definition":"","keyProductQueryItem":"300051","comparisonOperation":0,"comparisonValue":"227","minimumVersion":"","maximumVersion":"","formOrder":0,"lowerBound":null,"enabled":true,"mask":"","largeMask":"","maskKey":"","keyItemMaskOfField":null,"keyOptionIdReplace":"","relatedOptionIds":[],"onlineServices":[],"childCriteriaItemList":[],"clientContextJson":""},{"keyOptionId":"8325","caption":"North Korea","isDefault":true,"maskCriteriaOnly":false,"definition":"","keyProductQueryItem":"300051","comparisonOperation":0,"comparisonValue":"166","minimumVersion":"","maximumVersion":"","formOrder":0,"lowerBound":null,"enabled":true,"mask":"","largeMask":"","maskKey":"","keyItemMaskOfField":null,"keyOptionIdReplace":"","relatedOptionIds":[],"onlineServices":[],"childCriteriaItemList":[],"clientContextJson":""},{"keyOptionId":"8326","caption":"Northern Mariana","isDefault":true,"maskCriteriaOnly":false,"definition":"","keyProductQueryItem":"300051","comparisonOperation":0,"comparisonValue":"223","minimumVersion":"","maximumVersion":"","formOrder":0,"lowerBound":null,"enabled":true,"mask":"","largeMask":"","maskKey":"","keyItemMaskOfField":null,"keyOptionIdReplace":"","relatedOptionIds":[],"onlineServices":[],"childCriteriaItemList":[],"clientContextJson":""},{"keyOptionId":"8327","caption":"Pakistan","isDefault":true,"maskCriteriaOnly":false,"definition":"","keyProductQueryItem":"300051","comparisonOperation":0,"comparisonValue":"149","minimumVersion":"","maximumVersion":"","formOrder":0,"lowerBound":null,"enabled":true,"mask":"","largeMask":"","maskKey":"","keyItemMaskOfField":null,"keyOptionIdReplace":"","relatedOptionIds":[],"onlineServices":[],"childCriteriaItemList":[],"clientContextJson":""},{"keyOptionId":"8328","caption":"Palau","isDefault":true,"maskCriteriaOnly":false,"definition":"","keyProductQueryItem":"300051","comparisonOperation":0,"comparisonValue":"232","minimumVersion":"","maximumVersion":"","formOrder":0,"lowerBound":null,"enabled":true,"mask":"","largeMask":"","maskKey":"","keyItemMaskOfField":null,"keyOptionIdReplace":"","relatedOptionIds":[],"onlineServices":[],"childCriteriaItemList":[],"clientContextJson":""},{"keyOptionId":"8329","caption":"Papua New Guinea","isDefault":true,"maskCriteriaOnly":false,"definition":"","keyProductQueryItem":"300051","comparisonOperation":0,"comparisonValue":"230","minimumVersion":"","maximumVersion":"","formOrder":0,"lowerBound":null,"enabled":true,"mask":"","largeMask":"","maskKey":"","keyItemMaskOfField":null,"keyOptionIdReplace":"","relatedOptionIds":[],"onlineServices":[],"childCriteriaItemList":[],"clientContextJson":""},{"keyOptionId":"8330","caption":"Philippines","isDefault":true,"maskCriteriaOnly":false,"definition":"","keyProductQueryItem":"300051","comparisonOperation":0,"comparisonValue":"167","minimumVersion":"","maximumVersion":"","formOrder":0,"lowerBound":null,"enabled":true,"mask":"","largeMask":"","maskKey":"","keyItemMaskOfField":null,"keyOptionIdReplace":"","relatedOptionIds":[],"onlineServices":[],"childCriteriaItemList":[],"clientContextJson":""},{"keyOptionId":"8331","caption":"Samoa","isDefault":true,"maskCriteriaOnly":false,"definition":"","keyProductQueryItem":"30005</t>
  </si>
  <si>
    <t>1","comparisonOperation":0,"comparisonValue":"241","minimumVersion":"","maximumVersion":"","formOrder":0,"lowerBound":null,"enabled":true,"mask":"","largeMask":"","maskKey":"","keyItemMaskOfField":null,"keyOptionIdReplace":"","relatedOptionIds":[],"onlineServices":[],"childCriteriaItemList":[],"clientContextJson":""},{"keyOptionId":"8332","caption":"Solomon Islands","isDefault":true,"maskCriteriaOnly":false,"definition":"","keyProductQueryItem":"300051","comparisonOperation":0,"comparisonValue":"233","minimumVersion":"","maximumVersion":"","formOrder":0,"lowerBound":null,"enabled":true,"mask":"","largeMask":"","maskKey":"","keyItemMaskOfField":null,"keyOptionIdReplace":"","relatedOptionIds":[],"onlineServices":[],"childCriteriaItemList":[],"clientContextJson":""},{"keyOptionId":"8333","caption":"Sri Lanka","isDefault":true,"maskCriteriaOnly":false,"definition":"","keyProductQueryItem":"300051","comparisonOperation":0,"comparisonValue":"141","minimumVersion":"","maximumVersion":"","formOrder":0,"lowerBound":null,"enabled":true,"mask":"","largeMask":"","maskKey":"","keyItemMaskOfField":null,"keyOptionIdReplace":"","relatedOptionIds":[],"onlineServices":[],"childCriteriaItemList":[],"clientContextJson":""},{"keyOptionId":"8334","caption":"Thailand","isDefault":true,"maskCriteriaOnly":false,"definition":"","keyProductQueryItem":"300051","comparisonOperation":0,"comparisonValue":"154","minimumVersion":"","maximumVersion":"","formOrder":0,"lowerBound":null,"enabled":true,"mask":"","largeMask":"","maskKey":"","keyItemMaskOfField":null,"keyOptionIdReplace":"","relatedOptionIds":[],"onlineServices":[],"childCriteriaItemList":[],"clientContextJson":""},{"keyOptionId":"8335","caption":"Timor-Leste","isDefault":true,"maskCriteriaOnly":false,"definition":"","keyProductQueryItem":"300051","comparisonOperation":0,"comparisonValue":"157","minimumVersion":"","maximumVersion":"","formOrder":0,"lowerBound":null,"enabled":true,"mask":"","largeMask":"","maskKey":"","keyItemMaskOfField":null,"keyOptionIdReplace":"","relatedOptionIds":[],"onlineServices":[],"childCriteriaItemList":[],"clientContextJson":""},{"keyOptionId":"8336","caption":"Tokelau","isDefault":true,"maskCriteriaOnly":false,"definition":"","keyProductQueryItem":"300051","comparisonOperation":0,"comparisonValue":"234","minimumVersion":"","maximumVersion":"","formOrder":0,"lowerBound":null,"enabled":true,"mask":"","largeMask":"","maskKey":"","keyItemMaskOfField":null,"keyOptionIdReplace":"","relatedOptionIds":[],"onlineServices":[],"childCriteriaItemList":[],"clientContextJson":""},{"keyOptionId":"8337","caption":"Tonga","isDefault":true,"maskCriteriaOnly":false,"definition":"","keyProductQueryItem":"300051","comparisonOperation":0,"comparisonValue":"235","minimumVersion":"","maximumVersion":"","formOrder":0,"lowerBound":null,"enabled":true,"mask":"","largeMask":"","maskKey":"","keyItemMaskOfField":null,"keyOptionIdReplace":"","relatedOptionIds":[],"onlineServices":[],"childCriteriaItemList":[],"clientContextJson":""},{"keyOptionId":"8338","caption":"Tuvalu","isDefault":true,"maskCriteriaOnly":false,"definition":"","keyProductQueryItem":"300051","comparisonOperation":0,"comparisonValue":"236","minimumVersion":"","maximumVersion":"","formOrder":0,"lowerBound":null,"enabled":true,"mask":"","largeMask":"","maskKey":"","keyItemMaskOfField":null,"keyOptionIdReplace":"","relatedOptionIds":[],"onlineServices":[],"childCriteriaItemList":[],"clientContextJson":""},{"keyOptionId":"8339","caption":"Vanuatu","isDefault":true,"maskCriteriaOnly":false,"definition":"","keyProductQueryItem":"300051","comparisonOperation":0,"comparisonValue":"237","minimumVersion":"","maximumVersion":"","formOrder":0,"lowerBound":null,"enabled":true,"mask":"","largeMask":"","maskKey":"","keyItemMaskOfField":null,"keyOptionIdReplace":"","relatedOptionIds":[],"onlineServices":[],"childCriteriaItemList":[],"clientContextJson":""},{"keyOptionId":"8340","caption":"Vietnam","isDefault":true,"maskCriteriaOnly":false,"definition":"","keyProductQueryItem":"300051","comparisonOperation":0,"comparisonValue":"159","minimumVersion":"","maximumVersion":"","formOrder":0,"lowerBound":null,"enabled":true,"mask":"","largeMask":"","maskKey":"","keyItemMaskOfField":null,"keyOptionIdReplace":"","relatedOptionIds":[],"onlineServices":[],"childCriteriaItemList":[],"clientContextJson":""},{"keyOptionId":"8341","caption":"Wallis &amp; Futuna","isDefault":true,"maskCriteriaOnly":false,"definition":"","keyProductQueryItem":"300051","comparisonOperation":0,"comparisonValue":"238","minimumVersion":"","maximumVersion":"","formOrder":0,"lowerBound":null,"enabled":true,"mask":"","largeMask":"","maskKey":"","keyItemMaskOfField":null,"keyOptionIdReplace":"","relatedOptionIds":[],"onlineServices":[],"childCriteriaItemList":[],"clientContextJson":""}],"clientContextJson":""}],"clientContextJson":""},{"keyOptionId":"8342","caption":"Middle Ea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8343","caption":"Bahrain","isDefault":true,"maskCriteriaOnly":false,"definition":"","keyProductQueryItem":"300051","comparisonOperation":0,"comparisonValue":"162","minimumVersion":"","maximumVersion":"","formOrder":0,"lowerBound":null,"enabled":true,"mask":"","largeMask":"","maskKey":"","keyItemMaskOfField":null,"keyOptionIdReplace":"","relatedOptionIds":[],"onlineServices":[],"childCriteriaItemList":[],"clientContextJson":""},{"keyOptionId":"8344","caption":"Egypt","isDefault":true,"maskCriteriaOnly":false,"definition":"","keyProductQueryItem":"300051","comparisonOperation":0,"comparisonValue":"74","minimumVersion":"","maximumVersion":"","formOrder":0,"lowerBound":null,"enabled":true,"mask":"","largeMask":"","maskKey":"","keyItemMaskOfField":null,"keyOptionIdReplace":"","relatedOptionIds":[],"onlineServices":[],"childCriteriaItemList":[],"clientContextJson":""},{"keyOptionId":"8345","caption":"Iran","isDefault":true,"maskCriteriaOnly":false,"definition":"","keyProductQueryItem":"300051","comparisonOperation":0,"comparisonValue":"131","minimumVersion":"","maximumVersion":"","formOrder":0,"lowerBound":null,"enabled":true,"mask":"","largeMask":"","maskKey":"","keyItemMaskOfField":null,"keyOptionIdReplace":"","relatedOptionIds":[],"onlineServices":[],"childCriteriaItemList":[],"clientContextJson":""},{"keyOptionId":"8346","caption":"Iraq","isDefault":true,"maskCriteriaOnly":false,"definition":"","keyProductQueryItem":"300051","comparisonOperation":0,"comparisonValue":"130","minimumVersion":"","maximumVersion":"","formOrder":0,"lowerBound":null,"enabled":true,"mask":"","largeMask":"","maskKey":"","keyItemMaskOfField":null,"keyOptionIdReplace":"","relatedOptionIds":[],"onlineServices":[],"childCriteriaItemList":[],"clientContextJson":""},{"keyOptionId":"8347","caption":"Israel","isDefault":true,"maskCriteriaOnly":false,"definition":"","keyProductQueryItem":"300051","comparisonOperation":0,"comparisonValue":"165","minimumVersion":"","maximumVersion":"","formOrder":0,"lowerBound":null,"enabled":true,"mask":"","largeMask":"","maskKey":"","keyItemMaskOfField":null,"keyOptionIdReplace":"","relatedOptionIds":[],"onlineServices":[],"childCriteriaItemList":[],"clientContextJson":""},{"keyOptionId":"8348","caption":"Jordan","isDefault":true,"maskCriteriaOnly":false,"definition":"","keyProductQueryItem":"300051","comparisonOperation":0,"comparisonValue":"132","mi</t>
  </si>
  <si>
    <t>nimumVersion":"","maximumVersion":"","formOrder":0,"lowerBound":null,"enabled":true,"mask":"","largeMask":"","maskKey":"","keyItemMaskOfField":null,"keyOptionIdReplace":"","relatedOptionIds":[],"onlineServices":[],"childCriteriaItemList":[],"clientContextJson":""},{"keyOptionId":"8349","caption":"Kuwait","isDefault":true,"maskCriteriaOnly":false,"definition":"","keyProductQueryItem":"300051","comparisonOperation":0,"comparisonValue":"137","minimumVersion":"","maximumVersion":"","formOrder":0,"lowerBound":null,"enabled":true,"mask":"","largeMask":"","maskKey":"","keyItemMaskOfField":null,"keyOptionIdReplace":"","relatedOptionIds":[],"onlineServices":[],"childCriteriaItemList":[],"clientContextJson":""},{"keyOptionId":"8350","caption":"Lebanon","isDefault":true,"maskCriteriaOnly":false,"definition":"","keyProductQueryItem":"300051","comparisonOperation":0,"comparisonValue":"140","minimumVersion":"","maximumVersion":"","formOrder":0,"lowerBound":null,"enabled":true,"mask":"","largeMask":"","maskKey":"","keyItemMaskOfField":null,"keyOptionIdReplace":"","relatedOptionIds":[],"onlineServices":[],"childCriteriaItemList":[],"clientContextJson":""},{"keyOptionId":"8351","caption":"Oman","isDefault":true,"maskCriteriaOnly":false,"definition":"","keyProductQueryItem":"300051","comparisonOperation":0,"comparisonValue":"148","minimumVersion":"","maximumVersion":"","formOrder":0,"lowerBound":null,"enabled":true,"mask":"","largeMask":"","maskKey":"","keyItemMaskOfField":null,"keyOptionIdReplace":"","relatedOptionIds":[],"onlineServices":[],"childCriteriaItemList":[],"clientContextJson":""},{"keyOptionId":"8352","caption":"Palestine","isDefault":true,"maskCriteriaOnly":false,"definition":"","keyProductQueryItem":"300051","comparisonOperation":0,"comparisonValue":"150","minimumVersion":"","maximumVersion":"","formOrder":0,"lowerBound":null,"enabled":true,"mask":"","largeMask":"","maskKey":"","keyItemMaskOfField":null,"keyOptionIdReplace":"","relatedOptionIds":[],"onlineServices":[],"childCriteriaItemList":[],"clientContextJson":""},{"keyOptionId":"8353","caption":"Qatar","isDefault":true,"maskCriteriaOnly":false,"definition":"","keyProductQueryItem":"300051","comparisonOperation":0,"comparisonValue":"151","minimumVersion":"","maximumVersion":"","formOrder":0,"lowerBound":null,"enabled":true,"mask":"","largeMask":"","maskKey":"","keyItemMaskOfField":null,"keyOptionIdReplace":"","relatedOptionIds":[],"onlineServices":[],"childCriteriaItemList":[],"clientContextJson":""},{"keyOptionId":"8354","caption":"Saudi Arabia","isDefault":true,"maskCriteriaOnly":false,"definition":"","keyProductQueryItem":"300051","comparisonOperation":0,"comparisonValue":"168","minimumVersion":"","maximumVersion":"","formOrder":0,"lowerBound":null,"enabled":true,"mask":"","largeMask":"","maskKey":"","keyItemMaskOfField":null,"keyOptionIdReplace":"","relatedOptionIds":[],"onlineServices":[],"childCriteriaItemList":[],"clientContextJson":""},{"keyOptionId":"8355","caption":"Syria","isDefault":true,"maskCriteriaOnly":false,"definition":"","keyProductQueryItem":"300051","comparisonOperation":0,"comparisonValue":"153","minimumVersion":"","maximumVersion":"","formOrder":0,"lowerBound":null,"enabled":true,"mask":"","largeMask":"","maskKey":"","keyItemMaskOfField":null,"keyOptionIdReplace":"","relatedOptionIds":[],"onlineServices":[],"childCriteriaItemList":[],"clientContextJson":""},{"keyOptionId":"8356","caption":"United Arab Emirates","isDefault":true,"maskCriteriaOnly":false,"definition":"","keyProductQueryItem":"300051","comparisonOperation":0,"comparisonValue":"119","minimumVersion":"","maximumVersion":"","formOrder":0,"lowerBound":null,"enabled":true,"mask":"","largeMask":"","maskKey":"","keyItemMaskOfField":null,"keyOptionIdReplace":"","relatedOptionIds":[],"onlineServices":[],"childCriteriaItemList":[],"clientContextJson":""},{"keyOptionId":"8357","caption":"Yemen","isDefault":true,"maskCriteriaOnly":false,"definition":"","keyProductQueryItem":"300051","comparisonOperation":0,"comparisonValue":"160","minimumVersion":"","maximumVersion":"","formOrder":0,"lowerBound":null,"enabled":true,"mask":"","largeMask":"","maskKey":"","keyItemMaskOfField":null,"keyOptionIdReplace":"","relatedOptionIds":[],"onlineServices":[],"childCriteriaItemList":[],"clientContextJson":""}],"clientContextJson":""},{"keyOptionId":"8358","caption":"Latin America and Caribbea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8359","caption":"Anguilla","isDefault":true,"maskCriteriaOnly":false,"definition":"","keyProductQueryItem":"300051","comparisonOperation":0,"comparisonValue":"9","minimumVersion":"","maximumVersion":"","formOrder":0,"lowerBound":null,"enabled":true,"mask":"","largeMask":"","maskKey":"","keyItemMaskOfField":null,"keyOptionIdReplace":"","relatedOptionIds":[],"onlineServices":[],"childCriteriaItemList":[],"clientContextJson":""},{"keyOptionId":"8360","caption":"Antigua and Barbuda","isDefault":true,"maskCriteriaOnly":false,"definition":"","keyProductQueryItem":"300051","comparisonOperation":0,"comparisonValue":"8","minimumVersion":"","maximumVersion":"","formOrder":0,"lowerBound":null,"enabled":true,"mask":"","largeMask":"","maskKey":"","keyItemMaskOfField":null,"keyOptionIdReplace":"","relatedOptionIds":[],"onlineServices":[],"childCriteriaItemList":[],"clientContextJson":""},{"keyOptionId":"8361","caption":"Argentina","isDefault":true,"maskCriteriaOnly":false,"definition":"","keyProductQueryItem":"300051","comparisonOperation":0,"comparisonValue":"52","minimumVersion":"","maximumVersion":"","formOrder":0,"lowerBound":null,"enabled":true,"mask":"","largeMask":"","maskKey":"","keyItemMaskOfField":null,"keyOptionIdReplace":"","relatedOptionIds":[],"onlineServices":[],"childCriteriaItemList":[],"clientContextJson":""},{"keyOptionId":"8362","caption":"Aruba","isDefault":true,"maskCriteriaOnly":false,"definition":"","keyProductQueryItem":"300051","comparisonOperation":0,"comparisonValue":"10","minimumVersion":"","maximumVersion":"","formOrder":0,"lowerBound":null,"enabled":true,"mask":"","largeMask":"","maskKey":"","keyItemMaskOfField":null,"keyOptionIdReplace":"","relatedOptionIds":[],"onlineServices":[],"childCriteriaItemList":[],"clientContextJson":""},{"keyOptionId":"8363","caption":"Bahamas","isDefault":true,"maskCriteriaOnly":false,"definition":"","keyProductQueryItem":"300051","comparisonOperation":0,"comparisonValue":"37","minimumVersion":"","maximumVersion":"","formOrder":0,"lowerBound":null,"enabled":true,"mask":"","largeMask":"","maskKey":"","keyItemMaskOfField":null,"keyOptionIdReplace":"","relatedOptionIds":[],"onlineServices":[],"childCriteriaItemList":[],"clientContextJson":""},{"keyOptionId":"8364","caption":"Barbados","isDefault":true,"maskCriteriaOnly":false,"definition":"","keyProductQueryItem":"300051","comparisonOperation":0,"comparisonValue":"11","minimumVersion":"","maximumVersion":"","formOrder":0,"lowerBound":null,"enabled":true,"mask":"","largeMask":"","maskKey":"","keyItemMaskOfField":null,"keyOptionIdReplace":"","relatedOptionIds":[],"onlineServices":[],"childCriteriaItemList":[],"clientContextJson":""},{"keyOptionId":"8365","caption":"Belize","isDefault":true,"maskCriteriaOnly":false,"definition":"","keyProductQueryItem":"300051","comparisonOperation":0,"comparisonValue":"13","minimumVersion":"","maximumVersion":"","formOrder":0,"lowerB</t>
  </si>
  <si>
    <t>ound":null,"enabled":true,"mask":"","largeMask":"","maskKey":"","keyItemMaskOfField":null,"keyOptionIdReplace":"","relatedOptionIds":[],"onlineServices":[],"childCriteriaItemList":[],"clientContextJson":""},{"keyOptionId":"8366","caption":"Bolivia","isDefault":true,"maskCriteriaOnly":false,"definition":"","keyProductQueryItem":"300051","comparisonOperation":0,"comparisonValue":"43","minimumVersion":"","maximumVersion":"","formOrder":0,"lowerBound":null,"enabled":true,"mask":"","largeMask":"","maskKey":"","keyItemMaskOfField":null,"keyOptionIdReplace":"","relatedOptionIds":[],"onlineServices":[],"childCriteriaItemList":[],"clientContextJson":""},{"keyOptionId":"8367","caption":"Bonaire","isDefault":true,"maskCriteriaOnly":false,"definition":"","keyProductQueryItem":"300051","comparisonOperation":0,"comparisonValue":"1119","minimumVersion":"","maximumVersion":"","formOrder":0,"lowerBound":null,"enabled":true,"mask":"","largeMask":"","maskKey":"","keyItemMaskOfField":null,"keyOptionIdReplace":"","relatedOptionIds":[],"onlineServices":[],"childCriteriaItemList":[],"clientContextJson":""},{"keyOptionId":"8368","caption":"Brazil","isDefault":true,"maskCriteriaOnly":false,"definition":"","keyProductQueryItem":"300051","comparisonOperation":0,"comparisonValue":"53","minimumVersion":"","maximumVersion":"","formOrder":0,"lowerBound":null,"enabled":true,"mask":"","largeMask":"","maskKey":"","keyItemMaskOfField":null,"keyOptionIdReplace":"","relatedOptionIds":[],"onlineServices":[],"childCriteriaItemList":[],"clientContextJson":""},{"keyOptionId":"8369","caption":"BVI","isDefault":true,"maskCriteriaOnly":false,"definition":"","keyProductQueryItem":"300051","comparisonOperation":0,"comparisonValue":"35","minimumVersion":"","maximumVersion":"","formOrder":0,"lowerBound":null,"enabled":true,"mask":"","largeMask":"","maskKey":"","keyItemMaskOfField":null,"keyOptionIdReplace":"","relatedOptionIds":[],"onlineServices":[],"childCriteriaItemList":[],"clientContextJson":""},{"keyOptionId":"8370","caption":"Cayman Islands","isDefault":true,"maskCriteriaOnly":false,"definition":"","keyProductQueryItem":"300051","comparisonOperation":0,"comparisonValue":"41","minimumVersion":"","maximumVersion":"","formOrder":0,"lowerBound":null,"enabled":true,"mask":"","largeMask":"","maskKey":"","keyItemMaskOfField":null,"keyOptionIdReplace":"","relatedOptionIds":[],"onlineServices":[],"childCriteriaItemList":[],"clientContextJson":""},{"keyOptionId":"8371","caption":"Chile","isDefault":true,"maskCriteriaOnly":false,"definition":"","keyProductQueryItem":"300051","comparisonOperation":0,"comparisonValue":"54","minimumVersion":"","maximumVersion":"","formOrder":0,"lowerBound":null,"enabled":true,"mask":"","largeMask":"","maskKey":"","keyItemMaskOfField":null,"keyOptionIdReplace":"","relatedOptionIds":[],"onlineServices":[],"childCriteriaItemList":[],"clientContextJson":""},{"keyOptionId":"8372","caption":"Cocos Islands","isDefault":true,"maskCriteriaOnly":false,"definition":"","keyProductQueryItem":"300051","comparisonOperation":0,"comparisonValue":"124","minimumVersion":"","maximumVersion":"","formOrder":0,"lowerBound":null,"enabled":true,"mask":"","largeMask":"","maskKey":"","keyItemMaskOfField":null,"keyOptionIdReplace":"","relatedOptionIds":[],"onlineServices":[],"childCriteriaItemList":[],"clientContextJson":""},{"keyOptionId":"8373","caption":"Colombia","isDefault":true,"maskCriteriaOnly":false,"definition":"","keyProductQueryItem":"300051","comparisonOperation":0,"comparisonValue":"44","minimumVersion":"","maximumVersion":"","formOrder":0,"lowerBound":null,"enabled":true,"mask":"","largeMask":"","maskKey":"","keyItemMaskOfField":null,"keyOptionIdReplace":"","relatedOptionIds":[],"onlineServices":[],"childCriteriaItemList":[],"clientContextJson":""},{"keyOptionId":"8374","caption":"Costa Rica","isDefault":true,"maskCriteriaOnly":false,"definition":"","keyProductQueryItem":"300051","comparisonOperation":0,"comparisonValue":"14","minimumVersion":"","maximumVersion":"","formOrder":0,"lowerBound":null,"enabled":true,"mask":"","largeMask":"","maskKey":"","keyItemMaskOfField":null,"keyOptionIdReplace":"","relatedOptionIds":[],"onlineServices":[],"childCriteriaItemList":[],"clientContextJson":""},{"keyOptionId":"8375","caption":"Cuba","isDefault":true,"maskCriteriaOnly":false,"definition":"","keyProductQueryItem":"300051","comparisonOperation":0,"comparisonValue":"15","minimumVersion":"","maximumVersion":"","formOrder":0,"lowerBound":null,"enabled":true,"mask":"","largeMask":"","maskKey":"","keyItemMaskOfField":null,"keyOptionIdReplace":"","relatedOptionIds":[],"onlineServices":[],"childCriteriaItemList":[],"clientContextJson":""},{"keyOptionId":"8376","caption":"Curaçao","isDefault":true,"maskCriteriaOnly":false,"definition":"","keyProductQueryItem":"300051","comparisonOperation":0,"comparisonValue":"1118","minimumVersion":"","maximumVersion":"","formOrder":0,"lowerBound":null,"enabled":true,"mask":"","largeMask":"","maskKey":"","keyItemMaskOfField":null,"keyOptionIdReplace":"","relatedOptionIds":[],"onlineServices":[],"childCriteriaItemList":[],"clientContextJson":""},{"keyOptionId":"8377","caption":"Dominica","isDefault":true,"maskCriteriaOnly":false,"definition":"","keyProductQueryItem":"300051","comparisonOperation":0,"comparisonValue":"16","minimumVersion":"","maximumVersion":"","formOrder":0,"lowerBound":null,"enabled":true,"mask":"","largeMask":"","maskKey":"","keyItemMaskOfField":null,"keyOptionIdReplace":"","relatedOptionIds":[],"onlineServices":[],"childCriteriaItemList":[],"clientContextJson":""},{"keyOptionId":"8378","caption":"Dominican Republic","isDefault":true,"maskCriteriaOnly":false,"definition":"","keyProductQueryItem":"300051","comparisonOperation":0,"comparisonValue":"17","minimumVersion":"","maximumVersion":"","formOrder":0,"lowerBound":null,"enabled":true,"mask":"","largeMask":"","maskKey":"","keyItemMaskOfField":null,"keyOptionIdReplace":"","relatedOptionIds":[],"onlineServices":[],"childCriteriaItemList":[],"clientContextJson":""},{"keyOptionId":"8379","caption":"Ecuador","isDefault":true,"maskCriteriaOnly":false,"definition":"","keyProductQueryItem":"300051","comparisonOperation":0,"comparisonValue":"55","minimumVersion":"","maximumVersion":"","formOrder":0,"lowerBound":null,"enabled":true,"mask":"","largeMask":"","maskKey":"","keyItemMaskOfField":null,"keyOptionIdReplace":"","relatedOptionIds":[],"onlineServices":[],"childCriteriaItemList":[],"clientContextJson":""},{"keyOptionId":"8380","caption":"El Salvador","isDefault":true,"maskCriteriaOnly":false,"definition":"","keyProductQueryItem":"300051","comparisonOperation":0,"comparisonValue":"42","minimumVersion":"","maximumVersion":"","formOrder":0,"lowerBound":null,"enabled":true,"mask":"","largeMask":"","maskKey":"","keyItemMaskOfField":null,"keyOptionIdReplace":"","relatedOptionIds":[],"onlineServices":[],"childCriteriaItemList":[],"clientContextJson":""},{"keyOptionId":"8381","caption":"Falkland Islands","isDefault":true,"maskCriteriaOnly":false,"definition":"","keyProductQueryItem":"300051","comparisonOperation":0,"comparisonValue":"45","minimumVersion":"","maximumVersion":"","formOrder":0,"lowerBound":null,"enabled":true,"mask":"","largeMask":"","maskKey":"","keyItemMaskOfField":null,"keyOptionIdReplace":"","relatedOptionIds":[],"onlineServices":[],"childCriteriaItemList":[],"clientContextJson":""},{"keyOptionId":"8382","caption":"French Guiana","isDefault":true,"maskCriteriaOnly":false,"definition":"","keyProductQueryItem":"300051","comparisonOperation":0,"comparisonValue":"46","minimumVersion":"","maximumVersion":"","formOrder":0,"lowerBound":null,"enabled":true,"mask":"","largeMask":"","maskKey</t>
  </si>
  <si>
    <t>":"","keyItemMaskOfField":null,"keyOptionIdReplace":"","relatedOptionIds":[],"onlineServices":[],"childCriteriaItemList":[],"clientContextJson":""},{"keyOptionId":"8383","caption":"Grenada","isDefault":true,"maskCriteriaOnly":false,"definition":"","keyProductQueryItem":"300051","comparisonOperation":0,"comparisonValue":"18","minimumVersion":"","maximumVersion":"","formOrder":0,"lowerBound":null,"enabled":true,"mask":"","largeMask":"","maskKey":"","keyItemMaskOfField":null,"keyOptionIdReplace":"","relatedOptionIds":[],"onlineServices":[],"childCriteriaItemList":[],"clientContextJson":""},{"keyOptionId":"8384","caption":"Guadeloupe","isDefault":true,"maskCriteriaOnly":false,"definition":"","keyProductQueryItem":"300051","comparisonOperation":0,"comparisonValue":"20","minimumVersion":"","maximumVersion":"","formOrder":0,"lowerBound":null,"enabled":true,"mask":"","largeMask":"","maskKey":"","keyItemMaskOfField":null,"keyOptionIdReplace":"","relatedOptionIds":[],"onlineServices":[],"childCriteriaItemList":[],"clientContextJson":""},{"keyOptionId":"8385","caption":"Guatemala","isDefault":true,"maskCriteriaOnly":false,"definition":"","keyProductQueryItem":"300051","comparisonOperation":0,"comparisonValue":"39","minimumVersion":"","maximumVersion":"","formOrder":0,"lowerBound":null,"enabled":true,"mask":"","largeMask":"","maskKey":"","keyItemMaskOfField":null,"keyOptionIdReplace":"","relatedOptionIds":[],"onlineServices":[],"childCriteriaItemList":[],"clientContextJson":""},{"keyOptionId":"8386","caption":"Guyana","isDefault":true,"maskCriteriaOnly":false,"definition":"","keyProductQueryItem":"300051","comparisonOperation":0,"comparisonValue":"47","minimumVersion":"","maximumVersion":"","formOrder":0,"lowerBound":null,"enabled":true,"mask":"","largeMask":"","maskKey":"","keyItemMaskOfField":null,"keyOptionIdReplace":"","relatedOptionIds":[],"onlineServices":[],"childCriteriaItemList":[],"clientContextJson":""},{"keyOptionId":"8387","caption":"Haiti","isDefault":true,"maskCriteriaOnly":false,"definition":"","keyProductQueryItem":"300051","comparisonOperation":0,"comparisonValue":"22","minimumVersion":"","maximumVersion":"","formOrder":0,"lowerBound":null,"enabled":true,"mask":"","largeMask":"","maskKey":"","keyItemMaskOfField":null,"keyOptionIdReplace":"","relatedOptionIds":[],"onlineServices":[],"childCriteriaItemList":[],"clientContextJson":""},{"keyOptionId":"8388","caption":"Honduras","isDefault":true,"maskCriteriaOnly":false,"definition":"","keyProductQueryItem":"300051","comparisonOperation":0,"comparisonValue":"21","minimumVersion":"","maximumVersion":"","formOrder":0,"lowerBound":null,"enabled":true,"mask":"","largeMask":"","maskKey":"","keyItemMaskOfField":null,"keyOptionIdReplace":"","relatedOptionIds":[],"onlineServices":[],"childCriteriaItemList":[],"clientContextJson":""},{"keyOptionId":"8389","caption":"Jamaica","isDefault":true,"maskCriteriaOnly":false,"definition":"","keyProductQueryItem":"300051","comparisonOperation":0,"comparisonValue":"23","minimumVersion":"","maximumVersion":"","formOrder":0,"lowerBound":null,"enabled":true,"mask":"","largeMask":"","maskKey":"","keyItemMaskOfField":null,"keyOptionIdReplace":"","relatedOptionIds":[],"onlineServices":[],"childCriteriaItemList":[],"clientContextJson":""},{"keyOptionId":"8390","caption":"Martinique","isDefault":true,"maskCriteriaOnly":false,"definition":"","keyProductQueryItem":"300051","comparisonOperation":0,"comparisonValue":"25","minimumVersion":"","maximumVersion":"","formOrder":0,"lowerBound":null,"enabled":true,"mask":"","largeMask":"","maskKey":"","keyItemMaskOfField":null,"keyOptionIdReplace":"","relatedOptionIds":[],"onlineServices":[],"childCriteriaItemList":[],"clientContextJson":""},{"keyOptionId":"8391","caption":"Mexico","isDefault":true,"maskCriteriaOnly":false,"definition":"","keyProductQueryItem":"300051","comparisonOperation":0,"comparisonValue":"27","minimumVersion":"","maximumVersion":"","formOrder":0,"lowerBound":null,"enabled":true,"mask":"","largeMask":"","maskKey":"","keyItemMaskOfField":null,"keyOptionIdReplace":"","relatedOptionIds":[],"onlineServices":[],"childCriteriaItemList":[],"clientContextJson":""},{"keyOptionId":"8392","caption":"Montserrat","isDefault":true,"maskCriteriaOnly":false,"definition":"","keyProductQueryItem":"300051","comparisonOperation":0,"comparisonValue":"26","minimumVersion":"","maximumVersion":"","formOrder":0,"lowerBound":null,"enabled":true,"mask":"","largeMask":"","maskKey":"","keyItemMaskOfField":null,"keyOptionIdReplace":"","relatedOptionIds":[],"onlineServices":[],"childCriteriaItemList":[],"clientContextJson":""},{"keyOptionId":"8393","caption":"Nicaragua","isDefault":true,"maskCriteriaOnly":false,"definition":"","keyProductQueryItem":"300051","comparisonOperation":0,"comparisonValue":"28","minimumVersion":"","maximumVersion":"","formOrder":0,"lowerBound":null,"enabled":true,"mask":"","largeMask":"","maskKey":"","keyItemMaskOfField":null,"keyOptionIdReplace":"","relatedOptionIds":[],"onlineServices":[],"childCriteriaItemList":[],"clientContextJson":""},{"keyOptionId":"8394","caption":"Panama","isDefault":true,"maskCriteriaOnly":false,"definition":"","keyProductQueryItem":"300051","comparisonOperation":0,"comparisonValue":"29","minimumVersion":"","maximumVersion":"","formOrder":0,"lowerBound":null,"enabled":true,"mask":"","largeMask":"","maskKey":"","keyItemMaskOfField":null,"keyOptionIdReplace":"","relatedOptionIds":[],"onlineServices":[],"childCriteriaItemList":[],"clientContextJson":""},{"keyOptionId":"8395","caption":"Paraguay","isDefault":true,"maskCriteriaOnly":false,"definition":"","keyProductQueryItem":"300051","comparisonOperation":0,"comparisonValue":"49","minimumVersion":"","maximumVersion":"","formOrder":0,"lowerBound":null,"enabled":true,"mask":"","largeMask":"","maskKey":"","keyItemMaskOfField":null,"keyOptionIdReplace":"","relatedOptionIds":[],"onlineServices":[],"childCriteriaItemList":[],"clientContextJson":""},{"keyOptionId":"8396","caption":"Peru","isDefault":true,"maskCriteriaOnly":false,"definition":"","keyProductQueryItem":"300051","comparisonOperation":0,"comparisonValue":"48","minimumVersion":"","maximumVersion":"","formOrder":0,"lowerBound":null,"enabled":true,"mask":"","largeMask":"","maskKey":"","keyItemMaskOfField":null,"keyOptionIdReplace":"","relatedOptionIds":[],"onlineServices":[],"childCriteriaItemList":[],"clientContextJson":""},{"keyOptionId":"8397","caption":"Saint Lucia","isDefault":true,"maskCriteriaOnly":false,"definition":"","keyProductQueryItem":"300051","comparisonOperation":0,"comparisonValue":"24","minimumVersion":"","maximumVersion":"","formOrder":0,"lowerBound":null,"enabled":true,"mask":"","largeMask":"","maskKey":"","keyItemMaskOfField":null,"keyOptionIdReplace":"","relatedOptionIds":[],"onlineServices":[],"childCriteriaItemList":[],"clientContextJson":""},{"keyOptionId":"8398","caption":"Saint Vincent","isDefault":true,"maskCriteriaOnly":false,"definition":"","keyProductQueryItem":"300051","comparisonOperation":0,"comparisonValue":"34","minimumVersion":"","maximumVersion":"","formOrder":0,"lowerBound":null,"enabled":true,"mask":"","largeMask":"","maskKey":"","keyItemMaskOfField":null,"keyOptionIdReplace":"","relatedOptionIds":[],"onlineServices":[],"childCriteriaItemList":[],"clientContextJson":""},{"keyOptionId":"8399","caption":"Sint Maarten","isDefault":true,"maskCriteriaOnly":false,"definition":"","keyProductQueryItem":"300051","comparisonOperation":0,"comparisonValue":"1117","minimumVersion":"","maximumVersion":"","formOrder":0,"lowerBound":null,"enabled":true,"mask":"","largeMask":"","maskKey":"","keyItemMaskOfField":null,"keyOptionIdReplace":"","relatedOptionIds":[],"</t>
  </si>
  <si>
    <t>onlineServices":[],"childCriteriaItemList":[],"clientContextJson":""},{"keyOptionId":"8400","caption":"South Georgia","isDefault":true,"maskCriteriaOnly":false,"definition":"","keyProductQueryItem":"300051","comparisonOperation":0,"comparisonValue":"59","minimumVersion":"","maximumVersion":"","formOrder":0,"lowerBound":null,"enabled":true,"mask":"","largeMask":"","maskKey":"","keyItemMaskOfField":null,"keyOptionIdReplace":"","relatedOptionIds":[],"onlineServices":[],"childCriteriaItemList":[],"clientContextJson":""},{"keyOptionId":"8401","caption":"St. Kitts and Nevis","isDefault":true,"maskCriteriaOnly":false,"definition":"","keyProductQueryItem":"300051","comparisonOperation":0,"comparisonValue":"40","minimumVersion":"","maximumVersion":"","formOrder":0,"lowerBound":null,"enabled":true,"mask":"","largeMask":"","maskKey":"","keyItemMaskOfField":null,"keyOptionIdReplace":"","relatedOptionIds":[],"onlineServices":[],"childCriteriaItemList":[],"clientContextJson":""},{"keyOptionId":"8402","caption":"St. Pierre, Miquelon","isDefault":true,"maskCriteriaOnly":false,"definition":"","keyProductQueryItem":"300051","comparisonOperation":0,"comparisonValue":"30","minimumVersion":"","maximumVersion":"","formOrder":0,"lowerBound":null,"enabled":true,"mask":"","largeMask":"","maskKey":"","keyItemMaskOfField":null,"keyOptionIdReplace":"","relatedOptionIds":[],"onlineServices":[],"childCriteriaItemList":[],"clientContextJson":""},{"keyOptionId":"8403","caption":"Suriname","isDefault":true,"maskCriteriaOnly":false,"definition":"","keyProductQueryItem":"300051","comparisonOperation":0,"comparisonValue":"50","minimumVersion":"","maximumVersion":"","formOrder":0,"lowerBound":null,"enabled":true,"mask":"","largeMask":"","maskKey":"","keyItemMaskOfField":null,"keyOptionIdReplace":"","relatedOptionIds":[],"onlineServices":[],"childCriteriaItemList":[],"clientContextJson":""},{"keyOptionId":"8404","caption":"Trinidad and Tobago","isDefault":true,"maskCriteriaOnly":false,"definition":"","keyProductQueryItem":"300051","comparisonOperation":0,"comparisonValue":"32","minimumVersion":"","maximumVersion":"","formOrder":0,"lowerBound":null,"enabled":true,"mask":"","largeMask":"","maskKey":"","keyItemMaskOfField":null,"keyOptionIdReplace":"","relatedOptionIds":[],"onlineServices":[],"childCriteriaItemList":[],"clientContextJson":""},{"keyOptionId":"8405","caption":"Turks &amp; Caicos","isDefault":true,"maskCriteriaOnly":false,"definition":"","keyProductQueryItem":"300051","comparisonOperation":0,"comparisonValue":"31","minimumVersion":"","maximumVersion":"","formOrder":0,"lowerBound":null,"enabled":true,"mask":"","largeMask":"","maskKey":"","keyItemMaskOfField":null,"keyOptionIdReplace":"","relatedOptionIds":[],"onlineServices":[],"childCriteriaItemList":[],"clientContextJson":""},{"keyOptionId":"8406","caption":"Uruguay","isDefault":true,"maskCriteriaOnly":false,"definition":"","keyProductQueryItem":"300051","comparisonOperation":0,"comparisonValue":"51","minimumVersion":"","maximumVersion":"","formOrder":0,"lowerBound":null,"enabled":true,"mask":"","largeMask":"","maskKey":"","keyItemMaskOfField":null,"keyOptionIdReplace":"","relatedOptionIds":[],"onlineServices":[],"childCriteriaItemList":[],"clientContextJson":""},{"keyOptionId":"8407","caption":"Venezuela","isDefault":true,"maskCriteriaOnly":false,"definition":"","keyProductQueryItem":"300051","comparisonOperation":0,"comparisonValue":"56","minimumVersion":"","maximumVersion":"","formOrder":0,"lowerBound":null,"enabled":true,"mask":"","largeMask":"","maskKey":"","keyItemMaskOfField":null,"keyOptionIdReplace":"","relatedOptionIds":[],"onlineServices":[],"childCriteriaItemList":[],"clientContextJson":""}],"clientContextJson":""},{"keyOptionId":"8408","caption":"Afric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8409","caption":"Algeria","isDefault":true,"maskCriteriaOnly":false,"definition":"","keyProductQueryItem":"300051","comparisonOperation":0,"comparisonValue":"73","minimumVersion":"","maximumVersion":"","formOrder":0,"lowerBound":null,"enabled":true,"mask":"","largeMask":"","maskKey":"","keyItemMaskOfField":null,"keyOptionIdReplace":"","relatedOptionIds":[],"onlineServices":[],"childCriteriaItemList":[],"clientContextJson":""},{"keyOptionId":"8410","caption":"Angola","isDefault":true,"maskCriteriaOnly":false,"definition":"","keyProductQueryItem":"300051","comparisonOperation":0,"comparisonValue":"62","minimumVersion":"","maximumVersion":"","formOrder":0,"lowerBound":null,"enabled":true,"mask":"","largeMask":"","maskKey":"","keyItemMaskOfField":null,"keyOptionIdReplace":"","relatedOptionIds":[],"onlineServices":[],"childCriteriaItemList":[],"clientContextJson":""},{"keyOptionId":"8411","caption":"Benin","isDefault":true,"maskCriteriaOnly":false,"definition":"","keyProductQueryItem":"300051","comparisonOperation":0,"comparisonValue":"65","minimumVersion":"","maximumVersion":"","formOrder":0,"lowerBound":null,"enabled":true,"mask":"","largeMask":"","maskKey":"","keyItemMaskOfField":null,"keyOptionIdReplace":"","relatedOptionIds":[],"onlineServices":[],"childCriteriaItemList":[],"clientContextJson":""},{"keyOptionId":"8412","caption":"Botswana","isDefault":true,"maskCriteriaOnly":false,"definition":"","keyProductQueryItem":"300051","comparisonOperation":0,"comparisonValue":"66","minimumVersion":"","maximumVersion":"","formOrder":0,"lowerBound":null,"enabled":true,"mask":"","largeMask":"","maskKey":"","keyItemMaskOfField":null,"keyOptionIdReplace":"","relatedOptionIds":[],"onlineServices":[],"childCriteriaItemList":[],"clientContextJson":""},{"keyOptionId":"8413","caption":"Bouvet Island","isDefault":true,"maskCriteriaOnly":false,"definition":"","keyProductQueryItem":"300051","comparisonOperation":0,"comparisonValue":"58","minimumVersion":"","maximumVersion":"","formOrder":0,"lowerBound":null,"enabled":true,"mask":"","largeMask":"","maskKey":"","keyItemMaskOfField":null,"keyOptionIdReplace":"","relatedOptionIds":[],"onlineServices":[],"childCriteriaItemList":[],"clientContextJson":""},{"keyOptionId":"8414","caption":"Burkina Faso","isDefault":true,"maskCriteriaOnly":false,"definition":"","keyProductQueryItem":"300051","comparisonOperation":0,"comparisonValue":"63","minimumVersion":"","maximumVersion":"","formOrder":0,"lowerBound":null,"enabled":true,"mask":"","largeMask":"","maskKey":"","keyItemMaskOfField":null,"keyOptionIdReplace":"","relatedOptionIds":[],"onlineServices":[],"childCriteriaItemList":[],"clientContextJson":""},{"keyOptionId":"8415","caption":"Burundi","isDefault":true,"maskCriteriaOnly":false,"definition":"","keyProductQueryItem":"300051","comparisonOperation":0,"comparisonValue":"64","minimumVersion":"","maximumVersion":"","formOrder":0,"lowerBound":null,"enabled":true,"mask":"","largeMask":"","maskKey":"","keyItemMaskOfField":null,"keyOptionIdReplace":"","relatedOptionIds":[],"onlineServices":[],"childCriteriaItemList":[],"clientContextJson":""},{"keyOptionId":"8416","caption":"Cameroon","isDefault":true,"maskCriteriaOnly":false,"definition":"","keyProductQueryItem":"300051","comparisonOperation":0,"comparisonValue":"70","minimumVersion":"","maximumVersion":"","formOrder":0,"lowerBound":null,"enabled":true,"mask":"","largeMask":"","maskKey":"","keyItemMaskOfField":null,"keyOptionIdReplace":"","relatedOptionIds":[],"onlineServices":[],"childCriteriaItemList":[],</t>
  </si>
  <si>
    <t>"clientContextJson":""},{"keyOptionId":"8417","caption":"Cape Verde","isDefault":true,"maskCriteriaOnly":false,"definition":"","keyProductQueryItem":"300051","comparisonOperation":0,"comparisonValue":"71","minimumVersion":"","maximumVersion":"","formOrder":0,"lowerBound":null,"enabled":true,"mask":"","largeMask":"","maskKey":"","keyItemMaskOfField":null,"keyOptionIdReplace":"","relatedOptionIds":[],"onlineServices":[],"childCriteriaItemList":[],"clientContextJson":""},{"keyOptionId":"8418","caption":"Central African Rep.","isDefault":true,"maskCriteriaOnly":false,"definition":"","keyProductQueryItem":"300051","comparisonOperation":0,"comparisonValue":"67","minimumVersion":"","maximumVersion":"","formOrder":0,"lowerBound":null,"enabled":true,"mask":"","largeMask":"","maskKey":"","keyItemMaskOfField":null,"keyOptionIdReplace":"","relatedOptionIds":[],"onlineServices":[],"childCriteriaItemList":[],"clientContextJson":""},{"keyOptionId":"8419","caption":"Chad","isDefault":true,"maskCriteriaOnly":false,"definition":"","keyProductQueryItem":"300051","comparisonOperation":0,"comparisonValue":"108","minimumVersion":"","maximumVersion":"","formOrder":0,"lowerBound":null,"enabled":true,"mask":"","largeMask":"","maskKey":"","keyItemMaskOfField":null,"keyOptionIdReplace":"","relatedOptionIds":[],"onlineServices":[],"childCriteriaItemList":[],"clientContextJson":""},{"keyOptionId":"8420","caption":"Comoros","isDefault":true,"maskCriteriaOnly":false,"definition":"","keyProductQueryItem":"300051","comparisonOperation":0,"comparisonValue":"117","minimumVersion":"","maximumVersion":"","formOrder":0,"lowerBound":null,"enabled":true,"mask":"","largeMask":"","maskKey":"","keyItemMaskOfField":null,"keyOptionIdReplace":"","relatedOptionIds":[],"onlineServices":[],"childCriteriaItemList":[],"clientContextJson":""},{"keyOptionId":"8421","caption":"Cote d'Ivoire","isDefault":true,"maskCriteriaOnly":false,"definition":"","keyProductQueryItem":"300051","comparisonOperation":0,"comparisonValue":"69","minimumVersion":"","maximumVersion":"","formOrder":0,"lowerBound":null,"enabled":true,"mask":"","largeMask":"","maskKey":"","keyItemMaskOfField":null,"keyOptionIdReplace":"","relatedOptionIds":[],"onlineServices":[],"childCriteriaItemList":[],"clientContextJson":""},{"keyOptionId":"8422","caption":"Dem. Rep. Congo","isDefault":true,"maskCriteriaOnly":false,"definition":"","keyProductQueryItem":"300051","comparisonOperation":0,"comparisonValue":"115","minimumVersion":"","maximumVersion":"","formOrder":0,"lowerBound":null,"enabled":true,"mask":"","largeMask":"","maskKey":"","keyItemMaskOfField":null,"keyOptionIdReplace":"","relatedOptionIds":[],"onlineServices":[],"childCriteriaItemList":[],"clientContextJson":""},{"keyOptionId":"8423","caption":"Djibouti","isDefault":true,"maskCriteriaOnly":false,"definition":"","keyProductQueryItem":"300051","comparisonOperation":0,"comparisonValue":"72","minimumVersion":"","maximumVersion":"","formOrder":0,"lowerBound":null,"enabled":true,"mask":"","largeMask":"","maskKey":"","keyItemMaskOfField":null,"keyOptionIdReplace":"","relatedOptionIds":[],"onlineServices":[],"childCriteriaItemList":[],"clientContextJson":""},{"keyOptionId":"8424","caption":"Equatorial Guinea","isDefault":true,"maskCriteriaOnly":false,"definition":"","keyProductQueryItem":"300051","comparisonOperation":0,"comparisonValue":"82","minimumVersion":"","maximumVersion":"","formOrder":0,"lowerBound":null,"enabled":true,"mask":"","largeMask":"","maskKey":"","keyItemMaskOfField":null,"keyOptionIdReplace":"","relatedOptionIds":[],"onlineServices":[],"childCriteriaItemList":[],"clientContextJson":""},{"keyOptionId":"8425","caption":"Eritrea","isDefault":true,"maskCriteriaOnly":false,"definition":"","keyProductQueryItem":"300051","comparisonOperation":0,"comparisonValue":"76","minimumVersion":"","maximumVersion":"","formOrder":0,"lowerBound":null,"enabled":true,"mask":"","largeMask":"","maskKey":"","keyItemMaskOfField":null,"keyOptionIdReplace":"","relatedOptionIds":[],"onlineServices":[],"childCriteriaItemList":[],"clientContextJson":""},{"keyOptionId":"8458","caption":"Eswatini","isDefault":true,"maskCriteriaOnly":false,"definition":"","keyProductQueryItem":"300051","comparisonOperation":0,"comparisonValue":"107","minimumVersion":"","maximumVersion":"","formOrder":0,"lowerBound":null,"enabled":true,"mask":"","largeMask":"","maskKey":"","keyItemMaskOfField":null,"keyOptionIdReplace":"","relatedOptionIds":[],"onlineServices":[],"childCriteriaItemList":[],"clientContextJson":""},{"keyOptionId":"8426","caption":"Ethiopia","isDefault":true,"maskCriteriaOnly":false,"definition":"","keyProductQueryItem":"300051","comparisonOperation":0,"comparisonValue":"77","minimumVersion":"","maximumVersion":"","formOrder":0,"lowerBound":null,"enabled":true,"mask":"","largeMask":"","maskKey":"","keyItemMaskOfField":null,"keyOptionIdReplace":"","relatedOptionIds":[],"onlineServices":[],"childCriteriaItemList":[],"clientContextJson":""},{"keyOptionId":"8427","caption":"Gabon","isDefault":true,"maskCriteriaOnly":false,"definition":"","keyProductQueryItem":"300051","comparisonOperation":0,"comparisonValue":"78","minimumVersion":"","maximumVersion":"","formOrder":0,"lowerBound":null,"enabled":true,"mask":"","largeMask":"","maskKey":"","keyItemMaskOfField":null,"keyOptionIdReplace":"","relatedOptionIds":[],"onlineServices":[],"childCriteriaItemList":[],"clientContextJson":""},{"keyOptionId":"8428","caption":"Gambia","isDefault":true,"maskCriteriaOnly":false,"definition":"","keyProductQueryItem":"300051","comparisonOperation":0,"comparisonValue":"80","minimumVersion":"","maximumVersion":"","formOrder":0,"lowerBound":null,"enabled":true,"mask":"","largeMask":"","maskKey":"","keyItemMaskOfField":null,"keyOptionIdReplace":"","relatedOptionIds":[],"onlineServices":[],"childCriteriaItemList":[],"clientContextJson":""},{"keyOptionId":"8429","caption":"Ghana","isDefault":true,"maskCriteriaOnly":false,"definition":"","keyProductQueryItem":"300051","comparisonOperation":0,"comparisonValue":"79","minimumVersion":"","maximumVersion":"","formOrder":0,"lowerBound":null,"enabled":true,"mask":"","largeMask":"","maskKey":"","keyItemMaskOfField":null,"keyOptionIdReplace":"","relatedOptionIds":[],"onlineServices":[],"childCriteriaItemList":[],"clientContextJson":""},{"keyOptionId":"8430","caption":"Guinea","isDefault":true,"maskCriteriaOnly":false,"definition":"","keyProductQueryItem":"300051","comparisonOperation":0,"comparisonValue":"81","minimumVersion":"","maximumVersion":"","formOrder":0,"lowerBound":null,"enabled":true,"mask":"","largeMask":"","maskKey":"","keyItemMaskOfField":null,"keyOptionIdReplace":"","relatedOptionIds":[],"onlineServices":[],"childCriteriaItemList":[],"clientContextJson":""},{"keyOptionId":"8431","caption":"Guinea-Bissau","isDefault":true,"maskCriteriaOnly":false,"definition":"","keyProductQueryItem":"300051","comparisonOperation":0,"comparisonValue":"83","minimumVersion":"","maximumVersion":"","formOrder":0,"lowerBound":null,"enabled":true,"mask":"","largeMask":"","maskKey":"","keyItemMaskOfField":null,"keyOptionIdReplace":"","relatedOptionIds":[],"onlineServices":[],"childCriteriaItemList":[],"clientContextJson":""},{"keyOptionId":"8432","caption":"Kenya","isDefault":true,"maskCriteriaOnly":false,"definition":"","keyProductQueryItem":"300051","comparisonOperation":0,"comparisonValue":"84","minimumVersion":"","maximumVersion":"","formOrder":0,"lowerBound":null,"enabled":true,"mask":"","largeMask":"","maskKey":"","keyItemMaskOfField":null,"keyOptionIdReplace":"","relatedOptionIds":[],"onlineServices":[],"childCriteriaItemList":[],"clientContextJson":""},{"keyOptionId":"8433","caption":"Les</t>
  </si>
  <si>
    <t>otho","isDefault":true,"maskCriteriaOnly":false,"definition":"","keyProductQueryItem":"300051","comparisonOperation":0,"comparisonValue":"86","minimumVersion":"","maximumVersion":"","formOrder":0,"lowerBound":null,"enabled":true,"mask":"","largeMask":"","maskKey":"","keyItemMaskOfField":null,"keyOptionIdReplace":"","relatedOptionIds":[],"onlineServices":[],"childCriteriaItemList":[],"clientContextJson":""},{"keyOptionId":"8434","caption":"Liberia","isDefault":true,"maskCriteriaOnly":false,"definition":"","keyProductQueryItem":"300051","comparisonOperation":0,"comparisonValue":"85","minimumVersion":"","maximumVersion":"","formOrder":0,"lowerBound":null,"enabled":true,"mask":"","largeMask":"","maskKey":"","keyItemMaskOfField":null,"keyOptionIdReplace":"","relatedOptionIds":[],"onlineServices":[],"childCriteriaItemList":[],"clientContextJson":""},{"keyOptionId":"8435","caption":"Libya","isDefault":true,"maskCriteriaOnly":false,"definition":"","keyProductQueryItem":"300051","comparisonOperation":0,"comparisonValue":"87","minimumVersion":"","maximumVersion":"","formOrder":0,"lowerBound":null,"enabled":true,"mask":"","largeMask":"","maskKey":"","keyItemMaskOfField":null,"keyOptionIdReplace":"","relatedOptionIds":[],"onlineServices":[],"childCriteriaItemList":[],"clientContextJson":""},{"keyOptionId":"8436","caption":"Madagascar","isDefault":true,"maskCriteriaOnly":false,"definition":"","keyProductQueryItem":"300051","comparisonOperation":0,"comparisonValue":"89","minimumVersion":"","maximumVersion":"","formOrder":0,"lowerBound":null,"enabled":true,"mask":"","largeMask":"","maskKey":"","keyItemMaskOfField":null,"keyOptionIdReplace":"","relatedOptionIds":[],"onlineServices":[],"childCriteriaItemList":[],"clientContextJson":""},{"keyOptionId":"8437","caption":"Malawi","isDefault":true,"maskCriteriaOnly":false,"definition":"","keyProductQueryItem":"300051","comparisonOperation":0,"comparisonValue":"93","minimumVersion":"","maximumVersion":"","formOrder":0,"lowerBound":null,"enabled":true,"mask":"","largeMask":"","maskKey":"","keyItemMaskOfField":null,"keyOptionIdReplace":"","relatedOptionIds":[],"onlineServices":[],"childCriteriaItemList":[],"clientContextJson":""},{"keyOptionId":"8438","caption":"Mali","isDefault":true,"maskCriteriaOnly":false,"definition":"","keyProductQueryItem":"300051","comparisonOperation":0,"comparisonValue":"90","minimumVersion":"","maximumVersion":"","formOrder":0,"lowerBound":null,"enabled":true,"mask":"","largeMask":"","maskKey":"","keyItemMaskOfField":null,"keyOptionIdReplace":"","relatedOptionIds":[],"onlineServices":[],"childCriteriaItemList":[],"clientContextJson":""},{"keyOptionId":"8439","caption":"Mauritania","isDefault":true,"maskCriteriaOnly":false,"definition":"","keyProductQueryItem":"300051","comparisonOperation":0,"comparisonValue":"91","minimumVersion":"","maximumVersion":"","formOrder":0,"lowerBound":null,"enabled":true,"mask":"","largeMask":"","maskKey":"","keyItemMaskOfField":null,"keyOptionIdReplace":"","relatedOptionIds":[],"onlineServices":[],"childCriteriaItemList":[],"clientContextJson":""},{"keyOptionId":"8440","caption":"Mauritius","isDefault":true,"maskCriteriaOnly":false,"definition":"","keyProductQueryItem":"300051","comparisonOperation":0,"comparisonValue":"92","minimumVersion":"","maximumVersion":"","formOrder":0,"lowerBound":null,"enabled":true,"mask":"","largeMask":"","maskKey":"","keyItemMaskOfField":null,"keyOptionIdReplace":"","relatedOptionIds":[],"onlineServices":[],"childCriteriaItemList":[],"clientContextJson":""},{"keyOptionId":"8441","caption":"Mayotte","isDefault":true,"maskCriteriaOnly":false,"definition":"","keyProductQueryItem":"300051","comparisonOperation":0,"comparisonValue":"113","minimumVersion":"","maximumVersion":"","formOrder":0,"lowerBound":null,"enabled":true,"mask":"","largeMask":"","maskKey":"","keyItemMaskOfField":null,"keyOptionIdReplace":"","relatedOptionIds":[],"onlineServices":[],"childCriteriaItemList":[],"clientContextJson":""},{"keyOptionId":"8442","caption":"Morocco","isDefault":true,"maskCriteriaOnly":false,"definition":"","keyProductQueryItem":"300051","comparisonOperation":0,"comparisonValue":"88","minimumVersion":"","maximumVersion":"","formOrder":0,"lowerBound":null,"enabled":true,"mask":"","largeMask":"","maskKey":"","keyItemMaskOfField":null,"keyOptionIdReplace":"","relatedOptionIds":[],"onlineServices":[],"childCriteriaItemList":[],"clientContextJson":""},{"keyOptionId":"8443","caption":"Mozambique","isDefault":true,"maskCriteriaOnly":false,"definition":"","keyProductQueryItem":"300051","comparisonOperation":0,"comparisonValue":"94","minimumVersion":"","maximumVersion":"","formOrder":0,"lowerBound":null,"enabled":true,"mask":"","largeMask":"","maskKey":"","keyItemMaskOfField":null,"keyOptionIdReplace":"","relatedOptionIds":[],"onlineServices":[],"childCriteriaItemList":[],"clientContextJson":""},{"keyOptionId":"8444","caption":"Namibia","isDefault":true,"maskCriteriaOnly":false,"definition":"","keyProductQueryItem":"300051","comparisonOperation":0,"comparisonValue":"95","minimumVersion":"","maximumVersion":"","formOrder":0,"lowerBound":null,"enabled":true,"mask":"","largeMask":"","maskKey":"","keyItemMaskOfField":null,"keyOptionIdReplace":"","relatedOptionIds":[],"onlineServices":[],"childCriteriaItemList":[],"clientContextJson":""},{"keyOptionId":"8445","caption":"Niger","isDefault":true,"maskCriteriaOnly":false,"definition":"","keyProductQueryItem":"300051","comparisonOperation":0,"comparisonValue":"96","minimumVersion":"","maximumVersion":"","formOrder":0,"lowerBound":null,"enabled":true,"mask":"","largeMask":"","maskKey":"","keyItemMaskOfField":null,"keyOptionIdReplace":"","relatedOptionIds":[],"onlineServices":[],"childCriteriaItemList":[],"clientContextJson":""},{"keyOptionId":"8446","caption":"Nigeria","isDefault":true,"maskCriteriaOnly":false,"definition":"","keyProductQueryItem":"300051","comparisonOperation":0,"comparisonValue":"97","minimumVersion":"","maximumVersion":"","formOrder":0,"lowerBound":null,"enabled":true,"mask":"","largeMask":"","maskKey":"","keyItemMaskOfField":null,"keyOptionIdReplace":"","relatedOptionIds":[],"onlineServices":[],"childCriteriaItemList":[],"clientContextJson":""},{"keyOptionId":"8447","caption":"Rep. Of the Congo","isDefault":true,"maskCriteriaOnly":false,"definition":"","keyProductQueryItem":"300051","comparisonOperation":0,"comparisonValue":"68","minimumVersion":"","maximumVersion":"","formOrder":0,"lowerBound":null,"enabled":true,"mask":"","largeMask":"","maskKey":"","keyItemMaskOfField":null,"keyOptionIdReplace":"","relatedOptionIds":[],"onlineServices":[],"childCriteriaItemList":[],"clientContextJson":""},{"keyOptionId":"8448","caption":"Reunion","isDefault":true,"maskCriteriaOnly":false,"definition":"","keyProductQueryItem":"300051","comparisonOperation":0,"comparisonValue":"98","minimumVersion":"","maximumVersion":"","formOrder":0,"lowerBound":null,"enabled":true,"mask":"","largeMask":"","maskKey":"","keyItemMaskOfField":null,"keyOptionIdReplace":"","relatedOptionIds":[],"onlineServices":[],"childCriteriaItemList":[],"clientContextJson":""},{"keyOptionId":"8449","caption":"Rwanda","isDefault":true,"maskCriteriaOnly":false,"definition":"","keyProductQueryItem":"300051","comparisonOperation":0,"comparisonValue":"99","minimumVersion":"","maximumVersion":"","formOrder":0,"lowerBound":null,"enabled":true,"mask":"","largeMask":"","maskKey":"","keyItemMaskOfField":null,"keyOptionIdReplace":"","relatedOptionIds":[],"onlineServices":[],"childCriteriaItemList":[],"clientContextJson":""},{"keyOptionId":"8450","caption":"Saint Helena","isDefault":true,"maskCriteriaOnly":false,"definition":"","keyProductQueryItem</t>
  </si>
  <si>
    <t>":"300051","comparisonOperation":0,"comparisonValue":"102","minimumVersion":"","maximumVersion":"","formOrder":0,"lowerBound":null,"enabled":true,"mask":"","largeMask":"","maskKey":"","keyItemMaskOfField":null,"keyOptionIdReplace":"","relatedOptionIds":[],"onlineServices":[],"childCriteriaItemList":[],"clientContextJson":""},{"keyOptionId":"8451","caption":"Sao Tome &amp; Principe","isDefault":true,"maskCriteriaOnly":false,"definition":"","keyProductQueryItem":"300051","comparisonOperation":0,"comparisonValue":"106","minimumVersion":"","maximumVersion":"","formOrder":0,"lowerBound":null,"enabled":true,"mask":"","largeMask":"","maskKey":"","keyItemMaskOfField":null,"keyOptionIdReplace":"","relatedOptionIds":[],"onlineServices":[],"childCriteriaItemList":[],"clientContextJson":""},{"keyOptionId":"8452","caption":"Senegal","isDefault":true,"maskCriteriaOnly":false,"definition":"","keyProductQueryItem":"300051","comparisonOperation":0,"comparisonValue":"104","minimumVersion":"","maximumVersion":"","formOrder":0,"lowerBound":null,"enabled":true,"mask":"","largeMask":"","maskKey":"","keyItemMaskOfField":null,"keyOptionIdReplace":"","relatedOptionIds":[],"onlineServices":[],"childCriteriaItemList":[],"clientContextJson":""},{"keyOptionId":"8453","caption":"Seychelles","isDefault":true,"maskCriteriaOnly":false,"definition":"","keyProductQueryItem":"300051","comparisonOperation":0,"comparisonValue":"100","minimumVersion":"","maximumVersion":"","formOrder":0,"lowerBound":null,"enabled":true,"mask":"","largeMask":"","maskKey":"","keyItemMaskOfField":null,"keyOptionIdReplace":"","relatedOptionIds":[],"onlineServices":[],"childCriteriaItemList":[],"clientContextJson":""},{"keyOptionId":"8454","caption":"Sierra Leone","isDefault":true,"maskCriteriaOnly":false,"definition":"","keyProductQueryItem":"300051","comparisonOperation":0,"comparisonValue":"103","minimumVersion":"","maximumVersion":"","formOrder":0,"lowerBound":null,"enabled":true,"mask":"","largeMask":"","maskKey":"","keyItemMaskOfField":null,"keyOptionIdReplace":"","relatedOptionIds":[],"onlineServices":[],"childCriteriaItemList":[],"clientContextJson":""},{"keyOptionId":"8455","caption":"Somalia","isDefault":true,"maskCriteriaOnly":false,"definition":"","keyProductQueryItem":"300051","comparisonOperation":0,"comparisonValue":"105","minimumVersion":"","maximumVersion":"","formOrder":0,"lowerBound":null,"enabled":true,"mask":"","largeMask":"","maskKey":"","keyItemMaskOfField":null,"keyOptionIdReplace":"","relatedOptionIds":[],"onlineServices":[],"childCriteriaItemList":[],"clientContextJson":""},{"keyOptionId":"8456","caption":"South Africa","isDefault":true,"maskCriteriaOnly":false,"definition":"","keyProductQueryItem":"300051","comparisonOperation":0,"comparisonValue":"118","minimumVersion":"","maximumVersion":"","formOrder":0,"lowerBound":null,"enabled":true,"mask":"","largeMask":"","maskKey":"","keyItemMaskOfField":null,"keyOptionIdReplace":"","relatedOptionIds":[],"onlineServices":[],"childCriteriaItemList":[],"clientContextJson":""},{"keyOptionId":"8457","caption":"Sudan","isDefault":true,"maskCriteriaOnly":false,"definition":"","keyProductQueryItem":"300051","comparisonOperation":0,"comparisonValue":"101","minimumVersion":"","maximumVersion":"","formOrder":0,"lowerBound":null,"enabled":true,"mask":"","largeMask":"","maskKey":"","keyItemMaskOfField":null,"keyOptionIdReplace":"","relatedOptionIds":[],"onlineServices":[],"childCriteriaItemList":[],"clientContextJson":""},{"keyOptionId":"8459","caption":"Tanzania","isDefault":true,"maskCriteriaOnly":false,"definition":"","keyProductQueryItem":"300051","comparisonOperation":0,"comparisonValue":"111","minimumVersion":"","maximumVersion":"","formOrder":0,"lowerBound":null,"enabled":true,"mask":"","largeMask":"","maskKey":"","keyItemMaskOfField":null,"keyOptionIdReplace":"","relatedOptionIds":[],"onlineServices":[],"childCriteriaItemList":[],"clientContextJson":""},{"keyOptionId":"8460","caption":"Togo","isDefault":true,"maskCriteriaOnly":false,"definition":"","keyProductQueryItem":"300051","comparisonOperation":0,"comparisonValue":"109","minimumVersion":"","maximumVersion":"","formOrder":0,"lowerBound":null,"enabled":true,"mask":"","largeMask":"","maskKey":"","keyItemMaskOfField":null,"keyOptionIdReplace":"","relatedOptionIds":[],"onlineServices":[],"childCriteriaItemList":[],"clientContextJson":""},{"keyOptionId":"8461","caption":"Tunisia","isDefault":true,"maskCriteriaOnly":false,"definition":"","keyProductQueryItem":"300051","comparisonOperation":0,"comparisonValue":"110","minimumVersion":"","maximumVersion":"","formOrder":0,"lowerBound":null,"enabled":true,"mask":"","largeMask":"","maskKey":"","keyItemMaskOfField":null,"keyOptionIdReplace":"","relatedOptionIds":[],"onlineServices":[],"childCriteriaItemList":[],"clientContextJson":""},{"keyOptionId":"8462","caption":"Uganda","isDefault":true,"maskCriteriaOnly":false,"definition":"","keyProductQueryItem":"300051","comparisonOperation":0,"comparisonValue":"112","minimumVersion":"","maximumVersion":"","formOrder":0,"lowerBound":null,"enabled":true,"mask":"","largeMask":"","maskKey":"","keyItemMaskOfField":null,"keyOptionIdReplace":"","relatedOptionIds":[],"onlineServices":[],"childCriteriaItemList":[],"clientContextJson":""},{"keyOptionId":"8463","caption":"Western Sahara","isDefault":true,"maskCriteriaOnly":false,"definition":"","keyProductQueryItem":"300051","comparisonOperation":0,"comparisonValue":"75","minimumVersion":"","maximumVersion":"","formOrder":0,"lowerBound":null,"enabled":true,"mask":"","largeMask":"","maskKey":"","keyItemMaskOfField":null,"keyOptionIdReplace":"","relatedOptionIds":[],"onlineServices":[],"childCriteriaItemList":[],"clientContextJson":""},{"keyOptionId":"8464","caption":"Zambia","isDefault":true,"maskCriteriaOnly":false,"definition":"","keyProductQueryItem":"300051","comparisonOperation":0,"comparisonValue":"114","minimumVersion":"","maximumVersion":"","formOrder":0,"lowerBound":null,"enabled":true,"mask":"","largeMask":"","maskKey":"","keyItemMaskOfField":null,"keyOptionIdReplace":"","relatedOptionIds":[],"onlineServices":[],"childCriteriaItemList":[],"clientContextJson":""},{"keyOptionId":"8465","caption":"Zimbabwe","isDefault":true,"maskCriteriaOnly":false,"definition":"","keyProductQueryItem":"300051","comparisonOperation":0,"comparisonValue":"116","minimumVersion":"","maximumVersion":"","formOrder":0,"lowerBound":null,"enabled":true,"mask":"","largeMask":"","maskKey":"","keyItemMaskOfField":null,"keyOptionIdReplace":"","relatedOptionIds":[],"onlineServices":[],"childCriteriaItemList":[],"clientContextJson":""}],"clientContextJson":""}],"clientContextJson":""}]},{"filterGroupId":"8469","filterGroupIdReplace":"","caption":"Transaction Status","groupType":2,"optionType":1,"formOrder":50,"minimumVersion":"","maximumVersion":"","onlineServicesEnabled":false,"column":0,"columnFormOrder":50,"criteriaIdName":"","required":true,"dateDefaultType":"","criteriaItemList":[{"keyOptionId":"8470","caption":"Announced","isDefault":true,"maskCriteriaOnly":false,"definition":"","keyProductQueryItem":"299103","comparisonOperation":0,"comparisonValue":"0","minimumVersion":"","maximumVersion":"","formOrder":0,"lowerBound":null,"enabled":true,"mask":"","largeMask":"","maskKey":"","keyItemMaskOfField":null,"keyOptionIdReplace":"","relatedOptionIds":[],"onlineServices":[],"childCriteriaItemList":[],"clientContextJson":""},{"keyOptionId":"8471","caption":"Completed","isDefault":true,"maskCriteriaOnly":false,"definition":"","keyProductQueryItem":"299103","comparisonOperation":0,"comparisonValue":"1","minimumVersion":"","maximumVersion":"","formOrder":0,"lowerBound":null,"enabled":true,"mas</t>
  </si>
  <si>
    <t>k":"","largeMask":"","maskKey":"","keyItemMaskOfField":null,"keyOptionIdReplace":"","relatedOptionIds":[],"onlineServices":[],"childCriteriaItemList":[],"clientContextJson":""},{"keyOptionId":"8472","caption":"Terminated/Withdrawn","isDefault":false,"maskCriteriaOnly":false,"definition":"","keyProductQueryItem":"299103","comparisonOperation":0,"comparisonValue":"2","minimumVersion":"","maximumVersion":"","formOrder":0,"lowerBound":null,"enabled":true,"mask":"","largeMask":"","maskKey":"","keyItemMaskOfField":null,"keyOptionIdReplace":"","relatedOptionIds":[],"onlineServices":[],"childCriteriaItemList":[],"clientContextJson":""}]},{"filterGroupId":"9696","filterGroupIdReplace":"","caption":"Transaction Feature","groupType":2,"optionType":1,"formOrder":70,"minimumVersion":"","maximumVersion":"","onlineServicesEnabled":false,"column":0,"columnFormOrder":70,"criteriaIdName":"","required":false,"dateDefaultType":"","criteriaItemList":[{"keyOptionId":"9735","caption":"Al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9697","caption":"M&amp;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9698","caption":"Asset Acquisition","isDefault":false,"maskCriteriaOnly":false,"definition":"","keyProductQueryItem":"311833","comparisonOperation":0,"comparisonValue":"0","minimumVersion":"","maximumVersion":"","formOrder":0,"lowerBound":null,"enabled":true,"mask":"","largeMask":"","maskKey":"","keyItemMaskOfField":null,"keyOptionIdReplace":"","relatedOptionIds":[],"onlineServices":[],"childCriteriaItemList":[],"clientContextJson":""},{"keyOptionId":"9699","caption":"Bankruptcy Sale","isDefault":false,"maskCriteriaOnly":false,"definition":"","keyProductQueryItem":"311833","comparisonOperation":0,"comparisonValue":"3","minimumVersion":"","maximumVersion":"","formOrder":0,"lowerBound":null,"enabled":true,"mask":"","largeMask":"","maskKey":"","keyItemMaskOfField":null,"keyOptionIdReplace":"","relatedOptionIds":[],"onlineServices":[],"childCriteriaItemList":[],"clientContextJson":""},{"keyOptionId":"9700","caption":"Government Assisted Deal","isDefault":false,"maskCriteriaOnly":false,"definition":"","keyProductQueryItem":"311833","comparisonOperation":0,"comparisonValue":"4","minimumVersion":"","maximumVersion":"","formOrder":0,"lowerBound":null,"enabled":true,"mask":"","largeMask":"","maskKey":"","keyItemMaskOfField":null,"keyOptionIdReplace":"","relatedOptionIds":[],"onlineServices":[],"childCriteriaItemList":[],"clientContextJson":""},{"keyOptionId":"9701","caption":"Thrift Merger Conversion","isDefault":false,"maskCriteriaOnly":false,"definition":"","keyProductQueryItem":"311833","comparisonOperation":0,"comparisonValue":"5","minimumVersion":"","maximumVersion":"","formOrder":0,"lowerBound":null,"enabled":true,"mask":"","largeMask":"","maskKey":"","keyItemMaskOfField":null,"keyOptionIdReplace":"","relatedOptionIds":[],"onlineServices":[],"childCriteriaItemList":[],"clientContextJson":""},{"keyOptionId":"9702","caption":"Merger of Equals","isDefault":false,"maskCriteriaOnly":false,"definition":"","keyProductQueryItem":"311833","comparisonOperation":0,"comparisonValue":"6","minimumVersion":"","maximumVersion":"","formOrder":0,"lowerBound":null,"enabled":true,"mask":"","largeMask":"","maskKey":"","keyItemMaskOfField":null,"keyOptionIdReplace":"","relatedOptionIds":[],"onlineServices":[],"childCriteriaItemList":[],"clientContextJson":""},{"keyOptionId":"9703","caption":"Merger of Mutuals","isDefault":false,"maskCriteriaOnly":false,"definition":"","keyProductQueryItem":"311833","comparisonOperation":0,"comparisonValue":"7","minimumVersion":"","maximumVersion":"","formOrder":0,"lowerBound":null,"enabled":true,"mask":"","largeMask":"","maskKey":"","keyItemMaskOfField":null,"keyOptionIdReplace":"","relatedOptionIds":[],"onlineServices":[],"childCriteriaItemList":[],"clientContextJson":""},{"keyOptionId":"9704","caption":"Reverse Merger","isDefault":false,"maskCriteriaOnly":false,"definition":"","keyProductQueryItem":"311833","comparisonOperation":0,"comparisonValue":"10","minimumVersion":"","maximumVersion":"","formOrder":0,"lowerBound":null,"enabled":true,"mask":"","largeMask":"","maskKey":"","keyItemMaskOfField":null,"keyOptionIdReplace":"","relatedOptionIds":[],"onlineServices":[],"childCriteriaItemList":[],"clientContextJson":""},{"keyOptionId":"9705","caption":"Tender Offer","isDefault":false,"maskCriteriaOnly":false,"definition":"","keyProductQueryItem":"311833","comparisonOperation":0,"comparisonValue":"11","minimumVersion":"","maximumVersion":"","formOrder":0,"lowerBound":null,"enabled":true,"mask":"","largeMask":"","maskKey":"","keyItemMaskOfField":null,"keyOptionIdReplace":"","relatedOptionIds":[],"onlineServices":[],"childCriteriaItemList":[],"clientContextJson":""},{"keyOptionId":"9706","caption":"Reverse Morris Trust","isDefault":false,"maskCriteriaOnly":false,"definition":"","keyProductQueryItem":"311833","comparisonOperation":0,"comparisonValue":"29","minimumVersion":"","maximumVersion":"","formOrder":0,"lowerBound":null,"enabled":true,"mask":"","largeMask":"","maskKey":"","keyItemMaskOfField":null,"keyOptionIdReplace":"","relatedOptionIds":[],"onlineServices":[],"childCriteriaItemList":[],"clientContextJson":""},{"keyOptionId":"9707","caption":"Branch Acquisition","isDefault":false,"maskCriteriaOnly":false,"definition":"","keyProductQueryItem":"311833","comparisonOperation":0,"comparisonValue":"45","minimumVersion":"","maximumVersion":"","formOrder":0,"lowerBound":null,"enabled":true,"mask":"","largeMask":"","maskKey":"","keyItemMaskOfField":null,"keyOptionIdReplace":"","relatedOptionIds":[],"onlineServices":[],"childCriteriaItemList":[],"clientContextJson":""},{"keyOptionId":"9708","caption":"Property Acquisition","isDefault":false,"maskCriteriaOnly":false,"definition":"","keyProductQueryItem":"311833","comparisonOperation":0,"comparisonValue":"46","minimumVersion":"","maximumVersion":"","formOrder":0,"lowerBound":null,"enabled":true,"mask":"","largeMask":"","maskKey":"","keyItemMaskOfField":null,"keyOptionIdReplace":"","relatedOptionIds":[],"onlineServices":[],"childCriteriaItemList":[],"clientContextJson":""},{"keyOptionId":"9709","caption":"Franchise Acquisition","isDefault":false,"maskCriteriaOnly":false,"definition":"","keyProductQueryItem":"311833","comparisonOperation":0,"comparisonValue":"47","minimumVersion":"","maximumVersion":"","formOrder":0,"lowerBound":null,"enabled":true,"mask":"","largeMask":"","maskKey":"","keyItemMaskOfField":null,"keyOptionIdReplace":"","relatedOptionIds":[],"onlineServices":[],"childCriteriaItemList":[],"clientContextJson":""},{"keyOptionId":"9710","caption":"Going Private Transaction","isDefault":false,"maskCriteriaOnly":false,"definition":"","keyProductQueryItem":"311833","comparisonOperation":0,"comparisonValue":"57","minimumVersion":"","maximumVersion":"","formOrder":0,"lowerBound":null,"enabled":true,"mask":"","largeMask":"","maskKey":"","keyItemMaskOfField":null,"keyOptionIdReplace":"","relatedOptionIds":[],"onlineServices":[],"childCriter</t>
  </si>
  <si>
    <t>iaItemList":[],"clientContextJson":""},{"keyOptionId":"9711","caption":"Leveraged Buyout (LBO)","isDefault":false,"maskCriteriaOnly":false,"definition":"","keyProductQueryItem":"311833","comparisonOperation":0,"comparisonValue":"71","minimumVersion":"","maximumVersion":"","formOrder":0,"lowerBound":null,"enabled":true,"mask":"","largeMask":"","maskKey":"","keyItemMaskOfField":null,"keyOptionIdReplace":"","relatedOptionIds":[],"onlineServices":[],"childCriteriaItemList":[],"clientContextJson":""},{"keyOptionId":"9712","caption":"Management Buyout (MBO)","isDefault":false,"maskCriteriaOnly":false,"definition":"","keyProductQueryItem":"311833","comparisonOperation":0,"comparisonValue":"74","minimumVersion":"","maximumVersion":"","formOrder":0,"lowerBound":null,"enabled":true,"mask":"","largeMask":"","maskKey":"","keyItemMaskOfField":null,"keyOptionIdReplace":"","relatedOptionIds":[],"onlineServices":[],"childCriteriaItemList":[],"clientContextJson":""}],"clientContextJson":""},{"keyOptionId":"9713","caption":"Offering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9714","caption":"New Market Listing","isDefault":true,"maskCriteriaOnly":false,"definition":"","keyProductQueryItem":"311834","comparisonOperation":0,"comparisonValue":"90","minimumVersion":"","maximumVersion":"","formOrder":0,"lowerBound":null,"enabled":true,"mask":"","largeMask":"","maskKey":"","keyItemMaskOfField":null,"keyOptionIdReplace":"","relatedOptionIds":[],"onlineServices":[],"childCriteriaItemList":[],"clientContextJson":""},{"keyOptionId":"9715","caption":"At the Market Offering","isDefault":true,"maskCriteriaOnly":false,"definition":"","keyProductQueryItem":"311834","comparisonOperation":0,"comparisonValue":"91","minimumVersion":"","maximumVersion":"","formOrder":0,"lowerBound":null,"enabled":true,"mask":"","largeMask":"","maskKey":"","keyItemMaskOfField":null,"keyOptionIdReplace":"","relatedOptionIds":[],"onlineServices":[],"childCriteriaItemList":[],"clientContextJson":""},{"keyOptionId":"9716","caption":"Best Efforts Basis","isDefault":true,"maskCriteriaOnly":false,"definition":"","keyProductQueryItem":"311834","comparisonOperation":0,"comparisonValue":"92","minimumVersion":"","maximumVersion":"","formOrder":0,"lowerBound":null,"enabled":true,"mask":"","largeMask":"","maskKey":"","keyItemMaskOfField":null,"keyOptionIdReplace":"","relatedOptionIds":[],"onlineServices":[],"childCriteriaItemList":[],"clientContextJson":""},{"keyOptionId":"9717","caption":"Carve Out","isDefault":true,"maskCriteriaOnly":false,"definition":"","keyProductQueryItem":"311834","comparisonOperation":0,"comparisonValue":"97","minimumVersion":"","maximumVersion":"","formOrder":0,"lowerBound":null,"enabled":true,"mask":"","largeMask":"","maskKey":"","keyItemMaskOfField":null,"keyOptionIdReplace":"","relatedOptionIds":[],"onlineServices":[],"childCriteriaItemList":[],"clientContextJson":""},{"keyOptionId":"9718","caption":"Mutual Conversion","isDefault":true,"maskCriteriaOnly":false,"definition":"","keyProductQueryItem":"311834","comparisonOperation":0,"comparisonValue":"98","minimumVersion":"","maximumVersion":"","formOrder":0,"lowerBound":null,"enabled":true,"mask":"","largeMask":"","maskKey":"","keyItemMaskOfField":null,"keyOptionIdReplace":"","relatedOptionIds":[],"onlineServices":[],"childCriteriaItemList":[],"clientContextJson":""},{"keyOptionId":"9719","caption":"Sponsor Backed Offering","isDefault":tru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9720","caption":"Direct Listing","isDefault":true,"maskCriteriaOnly":false,"definition":"","keyProductQueryItem":"311834","comparisonOperation":0,"comparisonValue":"101","minimumVersion":"","maximumVersion":"","formOrder":0,"lowerBound":null,"enabled":true,"mask":"","largeMask":"","maskKey":"","keyItemMaskOfField":null,"keyOptionIdReplace":"","relatedOptionIds":[],"onlineServices":[],"childCriteriaItemList":[],"clientContextJson":""},{"keyOptionId":"9721","caption":"Exchange Offer","isDefault":true,"maskCriteriaOnly":false,"definition":"","keyProductQueryItem":"311834","comparisonOperation":0,"comparisonValue":"104","minimumVersion":"","maximumVersion":"","formOrder":0,"lowerBound":null,"enabled":true,"mask":"","largeMask":"","maskKey":"","keyItemMaskOfField":null,"keyOptionIdReplace":"","relatedOptionIds":[],"onlineServices":[],"childCriteriaItemList":[],"clientContextJson":""},{"keyOptionId":"9722","caption":"Registered Direct Offering","isDefault":true,"maskCriteriaOnly":false,"definition":"","keyProductQueryItem":"311834","comparisonOperation":0,"comparisonValue":"105","minimumVersion":"","maximumVersion":"","formOrder":0,"lowerBound":null,"enabled":true,"mask":"","largeMask":"","maskKey":"","keyItemMaskOfField":null,"keyOptionIdReplace":"","relatedOptionIds":[],"onlineServices":[],"childCriteriaItemList":[],"clientContextJson":""},{"keyOptionId":"9723","caption":"Regulation S","isDefault":true,"maskCriteriaOnly":false,"definition":"","keyProductQueryItem":"311834","comparisonOperation":0,"comparisonValue":"106","minimumVersion":"","maximumVersion":"","formOrder":0,"lowerBound":null,"enabled":true,"mask":"","largeMask":"","maskKey":"","keyItemMaskOfField":null,"keyOptionIdReplace":"","relatedOptionIds":[],"onlineServices":[],"childCriteriaItemList":[],"clientContextJson":""},{"keyOptionId":"9724","caption":"Rights Offering","isDefault":true,"maskCriteriaOnly":false,"definition":"","keyProductQueryItem":"311834","comparisonOperation":0,"comparisonValue":"108","minimumVersion":"","maximumVersion":"","formOrder":0,"lowerBound":null,"enabled":true,"mask":"","largeMask":"","maskKey":"","keyItemMaskOfField":null,"keyOptionIdReplace":"","relatedOptionIds":[],"onlineServices":[],"childCriteriaItemList":[],"clientContextJson":""},{"keyOptionId":"9725","caption":"Rule 144A","isDefault":true,"maskCriteriaOnly":false,"definition":"","keyProductQueryItem":"311834","comparisonOperation":0,"comparisonValue":"109","minimumVersion":"","maximumVersion":"","formOrder":0,"lowerBound":null,"enabled":true,"mask":"","largeMask":"","maskKey":"","keyItemMaskOfField":null,"keyOptionIdReplace":"","relatedOptionIds":[],"onlineServices":[],"childCriteriaItemList":[],"clientContextJson":""},{"keyOptionId":"9726","caption":"Incubation","isDefault":true,"maskCriteriaOnly":false,"definition":"","keyProductQueryItem":"311834","comparisonOperation":0,"comparisonValue":"127","minimumVersion":"","maximumVersion":"","formOrder":0,"lowerBound":null,"enabled":true,"mask":"","largeMask":"","maskKey":"","keyItemMaskOfField":null,"keyOptionIdReplace":"","relatedOptionIds":[],"onlineServices":[],"childCriteriaItemList":[],"clientContextJson":""},{"keyOptionId":"9727","caption":"Bought Deal","isDefault":true,"maskCriteriaOnly":false,"definition":"","keyProductQueryItem":"311834","comparisonOperation":0,"comparisonValue":"143","minimumVersion":"","maximumVersion":"","formOrder":0,"lowerBound":null,"enabled":true,"mask":"","largeMask":"","maskKey":"","keyItemMaskOfField":null,"keyOptionIdReplace":"</t>
  </si>
  <si>
    <t>erator":0,"mathValue":null,"operator":22,"queryItemId":"00000000-0000-0000-0000-000000000000","relativeOperation":false,"listKey":null,"sortOrder":null,"sortStyle":null,"supressSelect":false,"value":"","valueField":null}]},{"groupName":"WhiteAndBlackListCriteria","queryLines":[]}],"saveQueryType":0,"standardDeviationQuery":false,"version":null},"reports":null,"showProductMagnitude":false,"skip":0,"sortBy":null,"sortDesc":false,"sourceTimeZoneIDItemKey":null,"timeoutOverride":0,"top":0,"useNewOnPremDomain":false}],"saveQueryType":0,"sourceTimeZoneIDItemKey":null}</t>
  </si>
  <si>
    <t>CapitalOffering_By_Comp</t>
  </si>
  <si>
    <t>{"conversionInformation":null,"clientContext":null,"functionRequests":[{"functionId":0,"perspective":"10","keys":null,"fields":null,"reports":null,"query":{"name":"CapitalOffering_By_Comp","queryLineGroups":[{"groupName":"QueryLines","queryLines":[{"supressSelect":false,"displayText":null,"queryItemId":"00000000-0000-0000-0000-000000000000","field":{"fieldKey":"221557","secondaryKeys":[],"displayName":null,"displayUnits":null,"displayType":null,"originalRequestField":null},"connector":0,"operator":0,"beginGroup":true,"endGroup":false,"value":"Bank of New York Mellon Corporation","invariantValue":null,"valueField":null,"mathOperator":0,"mathValue":null,"sortStyle":null,"sortOrder":null,"functionName":null,"relativeOperation":false},{"supressSelect":false,"displayText":null,"queryItemId":"00000000-0000-0000-0000-000000000000","field":{"fieldKey":"240523","secondaryKeys":[],"displayName":null,"displayUnits":null,"displayType":null,"originalRequestField":null},"connector":1,"operator":0,"beginGroup":false,"endGroup":false,"value":"Bank of New York Mellon Corporation","invariantValue":null,"valueField":null,"mathOperator":0,"mathValue":null,"sortStyle":null,"sortOrder":null,"functionName":null,"relativeOperation":false},{"supressSelect":false,"displayText":null,"queryItemId":"00000000-0000-0000-0000-000000000000","field":{"fieldKey":"240530","secondaryKeys":[],"displayName":null,"displayUnits":null,"displayType":null,"originalRequestField":null},"connector":1,"operator":0,"beginGroup":false,"endGroup":true,"value":"Bank of New York Mellon Corporation","invariantValue":null,"valueField":null,"mathOperator":0,"mathValue":null,"sortStyle":null,"sortOrder":null,"functionName":null,"relativeOperation":false},{"supressSelect":false,"displayText":null,"queryItemId":"00000000-0000-0000-0000-000000000000","field":{"fieldKey":"221653","secondaryKeys":[],"displayName":null,"displayUnits":null,"displayType":null,"originalRequestField":null},"connector":0,"operator":7,"beginGroup":false,"endGroup":false,"value":"'0'","invariantValue":null,"valueField":null,"mathOperator":0,"mathValue":null,"sortStyle":null,"sortOrder":null,"functionName":null,"relativeOperation":false},{"supressSelect":false,"displayText":null,"queryItemId":"00000000-0000-0000-0000-000000000000","field":{"fieldKey":"221631","secondaryKeys":[],"displayName":null,"displayUnits":null,"displayType":null,"originalRequestField":null},"connector":0,"operator":24,"beginGroup":false,"endGroup":false,"value":"10","invariantValue":null,"valueField":null,"mathOperator":0,"mathValue":null,"sortStyle":null,"sortOrder":null,"functionName":null,"relativeOperation":false}]},{"groupName":"WhiteAndBlackListCriteria","queryLines":[]}],"keyPerspective":"10","dateCreated":"2017-12-07T01:06:20.717-05:00","version":null,"queryFilters":[{"filterGroupId":"1487","filterGroupIdReplace":"","caption":"Issue Types","groupType":1,"optionType":1,"formOrder":1,"minimumVersion":"","maximumVersion":"","onlineServicesEnabled":false,"column":0,"columnFormOrder":10,"criteriaIdName":"","required":true,"dateDefaultType":"","criteriaItemList":[{"keyOptionId":"1488","caption":"Common Stock","isDefault":false,"maskCriteriaOnly":false,"definition":"","keyProductQueryItem":"226301","comparisonOperation":0,"comparisonValue":"1","minimumVersion":"","maximumVersion":"","formOrder":0,"lowerBound":null,"enabled":true,"mask":"2","maskKey":"226301","keyItemMaskOfField":null,"keyOptionIdReplace":"","relatedOptionIds":[],"onlineServices":[],"childCriteriaItemList":[],"clientContextJson":""},{"keyOptionId":"1489","caption":"Preferred Stock","isDefault":false,"maskCriteriaOnly":false,"definition":"","keyProductQueryItem":"226301","comparisonOperation":0,"comparisonValue":"2","minimumVersion":"","maximumVersion":"","formOrder":0,"lowerBound":null,"enabled":true,"mask":"4","maskKey":"226301","keyItemMaskOfField":null,"keyOptionIdReplace":"","relatedOptionIds":[],"onlineServices":[],"childCriteriaItemList":[],"clientContextJson":""},{"keyOptionId":"1490","caption":"Senior Debt","isDefault":true,"maskCriteriaOnly":false,"definition":"","keyProductQueryItem":"226301","comparisonOperation":0,"comparisonValue":"3","minimumVersion":"","maximumVersion":"","formOrder":0,"lowerBound":null,"enabled":true,"mask":"8","maskKey":"226301","keyItemMaskOfField":null,"keyOptionIdReplace":"","relatedOptionIds":[],"onlineServices":[],"childCriteriaItemList":[],"clientContextJson":""},{"keyOptionId":"1491","caption":"Subordinated Debt","isDefault":true,"maskCriteriaOnly":false,"definition":"","keyProductQueryItem":"226301","comparisonOperation":0,"comparisonValue":"4","minimumVersion":"","maximumVersion":"","formOrder":0,"lowerBound":null,"enabled":true,"mask":"16","maskKey":"226301","keyItemMaskOfField":null,"keyOptionIdReplace":"","relatedOptionIds":[],"onlineServices":[],"childCriteriaItemList":[],"clientContextJson":""},{"keyOptionId":"1492","caption":"Senior Subordinated Debt","isDefault":true,"maskCriteriaOnly":false,"definition":"","keyProductQueryItem":"226301","comparisonOperation":0,"comparisonValue":"15","minimumVersion":"","maximumVersion":"","formOrder":0,"lowerBound":null,"enabled":true,"mask":"32768","maskKey":"226301","keyItemMaskOfField":null,"keyOptionIdReplace":"","relatedOptionIds":[],"onlineServices":[],"childCriteriaItemList":[],"clientContextJson":""},{"keyOptionId":"1493","caption":"Junior Subordinated Debt","isDefault":true,"maskCriteriaOnly":false,"definition":"","keyProductQueryItem":"226301","comparisonOperation":0,"comparisonValue":"14","minimumVersion":"","maximumVersion":"","formOrder":0,"lowerBound":null,"enabled":true,"mask":"16384","maskKey":"226301","keyItemMaskOfField":null,"keyOptionIdReplace":"","relatedOptionIds":[],"onlineServices":[],"childCriteriaItemList":[],"clientContextJson":""},{"keyOptionId":"1494","caption":"Trust Preferred","isDefault":true,"maskCriteriaOnly":false,"definition":"","keyProductQueryItem":"226301","comparisonOperation":0,"comparisonValue":"6","minimumVersion":"","maximumVersion":"","formOrder":0,"lowerBound":null,"enabled":true,"mask":"64","maskKey":"226301","keyItemMaskOfField":null,"keyOptionIdReplace":"","relatedOptionIds":[],"onlineServices":[],"childCriteriaItemList":[],"clientContextJson":""},{"keyOptionId":"1495","caption":"Subsidiary Pfd Partnership","isDefault":false,"maskCriteriaOnly":false,"definition":"","keyProductQueryItem":"226301","comparisonOperation":0,"comparisonValue":"10","minimumVersion":"","maximumVersion":"","formOrder":0,"lowerBound":null,"enabled":true,"mask":"1024","maskKey":"226301","keyItemMaskOfField":null,"keyOptionIdReplace":"","relatedOptionIds":[],"onlineServices":[],"childCriteriaItemList":[],"clientContextJson":""},{"keyOptionId":"3122","caption":"Operating Partnership Units","isDefault":false,"maskCriteriaOnly":false,"definition":"","keyProductQueryItem":"226301","comparisonOperation":0,"comparisonValue":"5","minimumVersion":"","maximumVersion":"","formOrder":0,"lowerBound":null,"enabled":true,"mask":"32","maskKey":"226301","keyItemMaskOfField":null,"keyOptionIdReplace":"","relatedOptionIds":[],"onlineServices":[],"childCriteriaItemList":[],"clientContextJson":""},{"keyOptionId":"3123","caption":"Depositary Receipt","isDefault":false,"maskCriteriaOnly":false,"definition":"","keyProductQueryItem":"226301","comparisonOperation":0,"comparisonValue":"16","minimumVersion":"","maximumVersion":"","formOrder":0,"lowerBound":null,"enabled":true,"mask":"65536","maskKey":"226301","keyItemMaskOfField":null,"keyOptionIdReplace":"","relatedOptionIds":[],"onlineServices":[],"childCriteriaItemList":[],"clientContextJson":""},{"keyOptionId":"3124","caption":"GIC-backed Note","isDefault":true,"maskCriteriaOnly":false,"definition":</t>
  </si>
  <si>
    <t>"","keyProductQueryItem":"226301","comparisonOperation":0,"comparisonValue":"11","minimumVersion":"","maximumVersion":"","formOrder":0,"lowerBound":null,"enabled":true,"mask":"2048","maskKey":"226301","keyItemMaskOfField":null,"keyOptionIdReplace":"","relatedOptionIds":[],"onlineServices":[],"childCriteriaItemList":[],"clientContextJson":""}]},{"filterGroupId":"1559","filterGroupIdReplace":"","caption":"Industry","groupType":2,"optionType":1,"formOrder":2,"minimumVersion":"","maximumVersion":"","onlineServicesEnabled":false,"column":1,"columnFormOrder":20,"criteriaIdName":"","required":true,"dateDefaultType":"","criteriaItemList":[{"keyOptionId":"1560","caption":"All Industrie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1561","caption":"Banking","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1562","caption":"Bank","isDefault":true,"maskCriteriaOnly":false,"definition":"","keyProductQueryItem":"226303","comparisonOperation":0,"comparisonValue":"1","minimumVersion":"","maximumVersion":"","formOrder":0,"lowerBound":null,"enabled":true,"mask":"","maskKey":"","keyItemMaskOfField":null,"keyOptionIdReplace":"","relatedOptionIds":[],"onlineServices":[],"childCriteriaItemList":[],"clientContextJson":""},{"keyOptionId":"1563","caption":"Savings Bank/Thrift/Mutual","isDefault":true,"maskCriteriaOnly":false,"definition":"","keyProductQueryItem":"226303","comparisonOperation":0,"comparisonValue":"2","minimumVersion":"","maximumVersion":"","formOrder":0,"lowerBound":null,"enabled":true,"mask":"","maskKey":"","keyItemMaskOfField":null,"keyOptionIdReplace":"","relatedOptionIds":[],"onlineServices":[],"childCriteriaItemList":[],"clientContextJson":""},{"keyOptionId":"1564","caption":"FHLB","isDefault":true,"maskCriteriaOnly":false,"definition":"","keyProductQueryItem":"226303","comparisonOperation":0,"comparisonValue":"13","minimumVersion":"","maximumVersion":"","formOrder":0,"lowerBound":null,"enabled":true,"mask":"","maskKey":"","keyItemMaskOfField":null,"keyOptionIdReplace":"","relatedOptionIds":[],"onlineServices":[],"childCriteriaItemList":[],"clientContextJson":""}],"clientContextJson":""},{"keyOptionId":"1565","caption":"Insurance","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1566","caption":"Insurance Underwriter","isDefault":true,"maskCriteriaOnly":false,"definition":"","keyProductQueryItem":"226303","comparisonOperation":0,"comparisonValue":"8","minimumVersion":"","maximumVersion":"","formOrder":0,"lowerBound":null,"enabled":true,"mask":"","maskKey":"","keyItemMaskOfField":null,"keyOptionIdReplace":"","relatedOptionIds":[],"onlineServices":[],"childCriteriaItemList":[],"clientContextJson":""},{"keyOptionId":"1567","caption":"Insurance Broker","isDefault":true,"maskCriteriaOnly":false,"definition":"","keyProductQueryItem":"226303","comparisonOperation":0,"comparisonValue":"9","minimumVersion":"","maximumVersion":"","formOrder":0,"lowerBound":null,"enabled":true,"mask":"","maskKey":"","keyItemMaskOfField":null,"keyOptionIdReplace":"","relatedOptionIds":[],"onlineServices":[],"childCriteriaItemList":[],"clientContextJson":""}],"clientContextJson":""},{"keyOptionId":"1568","caption":"Securities &amp; Investment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1569","caption":"Asset Manager","isDefault":true,"maskCriteriaOnly":false,"definition":"","keyProductQueryItem":"226303","comparisonOperation":0,"comparisonValue":"4","minimumVersion":"","maximumVersion":"","formOrder":0,"lowerBound":null,"enabled":true,"mask":"","maskKey":"","keyItemMaskOfField":null,"keyOptionIdReplace":"","relatedOptionIds":[],"onlineServices":[],"childCriteriaItemList":[],"clientContextJson":""},{"keyOptionId":"1570","caption":"Broker-Dealer","isDefault":true,"maskCriteriaOnly":false,"definition":"","keyProductQueryItem":"226303","comparisonOperation":0,"comparisonValue":"5","minimumVersion":"","maximumVersion":"","formOrder":0,"lowerBound":null,"enabled":true,"mask":"","maskKey":"","keyItemMaskOfField":null,"keyOptionIdReplace":"","relatedOptionIds":[],"onlineServices":[],"childCriteriaItemList":[],"clientContextJson":""}],"clientContextJson":""},{"keyOptionId":"1571","caption":"Specialty Finance","isDefault":false,"maskCriteriaOnly":true,"definition":"","keyProductQueryItem":"","comparisonOperation":null,"comparisonValue":"","minimumVersion":"","maximumVersion":"","formOrder":0,"lowerBound":null,"enabled":true,"mask":"","maskKey":"","keyItemMaskOfField":null,"keyOptionIdReplace":"","relatedOptionIds":[],"onlineServices":[],"childCriteriaItemList":[{"keyOptionId":"1572","caption":"Specialty Lender","isDefault":true,"maskCriteriaOnly":false,"definition":"","keyProductQueryItem":"226303","comparisonOperation":0,"comparisonValue":"3","minimumVersion":"","maximumVersion":"","formOrder":0,"lowerBound":null,"enabled":true,"mask":"","maskKey":"","keyItemMaskOfField":null,"keyOptionIdReplace":"","relatedOptionIds":[],"onlineServices":[],"childCriteriaItemList":[],"clientContextJson":""},{"keyOptionId":"1573","caption":"Investment Company","isDefault":true,"maskCriteriaOnly":false,"definition":"","keyProductQueryItem":"226303","comparisonOperation":0,"comparisonValue":"7","minimumVersion":"","maximumVersion":"","formOrder":0,"lowerBound":null,"enabled":true,"mask":"","maskKey":"","keyItemMaskOfField":null,"keyOptionIdReplace":"","relatedOptionIds":[],"onlineServices":[],"childCriteriaItemList":[],"clientContextJson":""}],"clientContextJson":""},{"keyOptionId":"1574","caption":"Financial Technology","isDefault":true,"maskCriteriaOnly":false,"definition":"","keyProductQueryItem":"226303","comparisonOperation":0,"comparisonValue":"15","minimumVersion":"","maximumVersion":"","formOrder":0,"lowerBound":null,"enabled":true,"mask":"","maskKey":"","keyItemMaskOfField":null,"keyOptionIdReplace":"","relatedOptionIds":[],"onlineServices":[],"childCriteriaItemList":[],"clientContextJson":""},{"keyOptionId":"1575","caption":"Real Estate","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1587","caption":"REIT &amp; Property Company","isDefault":true,"maskCriteriaOnly":false,"definition":"","keyPr</t>
  </si>
  <si>
    <t>oductQueryItem":"226303","comparisonOperation":0,"comparisonValue":"6","minimumVersion":"","maximumVersion":"","formOrder":0,"lowerBound":null,"enabled":true,"mask":"","maskKey":"","keyItemMaskOfField":null,"keyOptionIdReplace":"","relatedOptionIds":[],"onlineServices":[],"childCriteriaItemList":[],"clientContextJson":""},{"keyOptionId":"1588","caption":"Homebuilder","isDefault":true,"maskCriteriaOnly":false,"definition":"","keyProductQueryItem":"226303","comparisonOperation":0,"comparisonValue":"16","minimumVersion":"","maximumVersion":"","formOrder":0,"lowerBound":null,"enabled":true,"mask":"","maskKey":"","keyItemMaskOfField":null,"keyOptionIdReplace":"","relatedOptionIds":[],"onlineServices":[],"childCriteriaItemList":[],"clientContextJson":""},{"keyOptionId":"1589","caption":"Gaming","isDefault":true,"maskCriteriaOnly":false,"definition":"","keyProductQueryItem":"226303","comparisonOperation":0,"comparisonValue":"19","minimumVersion":"","maximumVersion":"","formOrder":0,"lowerBound":null,"enabled":true,"mask":"","maskKey":"","keyItemMaskOfField":null,"keyOptionIdReplace":"","relatedOptionIds":[],"onlineServices":[],"childCriteriaItemList":[],"clientContextJson":""}],"clientContextJson":""},{"keyOptionId":"1576","caption":"Energy","isDefault":false,"maskCriteriaOnly":true,"definition":"","keyProductQueryItem":"","comparisonOperation":null,"comparisonValue":"","minimumVersion":"","maximumVersion":"","formOrder":0,"lowerBound":null,"enabled":true,"mask":"","maskKey":"","keyItemMaskOfField":null,"keyOptionIdReplace":"","relatedOptionIds":[],"onlineServices":[],"childCriteriaItemList":[{"keyOptionId":"1577","caption":"Power","isDefault":true,"maskCriteriaOnly":false,"definition":"","keyProductQueryItem":"226303","comparisonOperation":0,"comparisonValue":"10","minimumVersion":"","maximumVersion":"","formOrder":0,"lowerBound":null,"enabled":true,"mask":"","maskKey":"","keyItemMaskOfField":null,"keyOptionIdReplace":"","relatedOptionIds":[],"onlineServices":[],"childCriteriaItemList":[],"clientContextJson":""},{"keyOptionId":"1578","caption":"Coal","isDefault":true,"maskCriteriaOnly":false,"definition":"","keyProductQueryItem":"226303","comparisonOperation":0,"comparisonValue":"17","minimumVersion":"","maximumVersion":"","formOrder":0,"lowerBound":null,"enabled":true,"mask":"","maskKey":"","keyItemMaskOfField":null,"keyOptionIdReplace":"","relatedOptionIds":[],"onlineServices":[],"childCriteriaItemList":[],"clientContextJson":""},{"keyOptionId":"1579","caption":"Natural Ga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1580","caption":"Gas Utility","isDefault":true,"maskCriteriaOnly":false,"definition":"","keyProductQueryItem":"226303","comparisonOperation":0,"comparisonValue":"18","minimumVersion":"","maximumVersion":"","formOrder":0,"lowerBound":null,"enabled":true,"mask":"","maskKey":"","keyItemMaskOfField":null,"keyOptionIdReplace":"","relatedOptionIds":[],"onlineServices":[],"childCriteriaItemList":[],"clientContextJson":""},{"keyOptionId":"1581","caption":"Midstream","isDefault":true,"maskCriteriaOnly":false,"definition":"","keyProductQueryItem":"226303","comparisonOperation":0,"comparisonValue":"23","minimumVersion":"","maximumVersion":"","formOrder":0,"lowerBound":null,"enabled":true,"mask":"","maskKey":"","keyItemMaskOfField":null,"keyOptionIdReplace":"","relatedOptionIds":[],"onlineServices":[],"childCriteriaItemList":[],"clientContextJson":""}],"clientContextJson":""}],"clientContextJson":""},{"keyOptionId":"1582","caption":"Media &amp; Communication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1583","caption":"Media","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1584","caption":"Media &amp; Entertainment","isDefault":true,"maskCriteriaOnly":false,"definition":"","keyProductQueryItem":"226303","comparisonOperation":0,"comparisonValue":"20","minimumVersion":"","maximumVersion":"","formOrder":0,"lowerBound":null,"enabled":true,"mask":"","maskKey":"","keyItemMaskOfField":null,"keyOptionIdReplace":"","relatedOptionIds":[],"onlineServices":[],"childCriteriaItemList":[],"clientContextJson":""},{"keyOptionId":"1585","caption":"New Media","isDefault":true,"maskCriteriaOnly":false,"definition":"","keyProductQueryItem":"226303","comparisonOperation":0,"comparisonValue":"21","minimumVersion":"","maximumVersion":"","formOrder":0,"lowerBound":null,"enabled":true,"mask":"","maskKey":"","keyItemMaskOfField":null,"keyOptionIdReplace":"","relatedOptionIds":[],"onlineServices":[],"childCriteriaItemList":[],"clientContextJson":""}],"clientContextJson":""},{"keyOptionId":"1586","caption":"Communications","isDefault":true,"maskCriteriaOnly":false,"definition":"","keyProductQueryItem":"226303","comparisonOperation":0,"comparisonValue":"14","minimumVersion":"","maximumVersion":"","formOrder":0,"lowerBound":null,"enabled":true,"mask":"","maskKey":"","keyItemMaskOfField":null,"keyOptionIdReplace":"","relatedOptionIds":[],"onlineServices":[],"childCriteriaItemList":[],"clientContextJson":""}],"clientContextJson":""},{"keyOptionId":"4741","caption":"Metals &amp; Mining","isDefault":true,"maskCriteriaOnly":false,"definition":"","keyProductQueryItem":"226303","comparisonOperation":0,"comparisonValue":"22","minimumVersion":"","maximumVersion":"","formOrder":0,"lowerBound":null,"enabled":true,"mask":"","maskKey":"","keyItemMaskOfField":null,"keyOptionIdReplace":"","relatedOptionIds":[],"onlineServices":[],"childCriteriaItemList":[{"keyOptionId":"4742","caption":"Diversified Commodities","isDefault":true,"maskCriteriaOnly":false,"definition":"","keyProductQueryItem":"226161","comparisonOperation":0,"comparisonValue":"24","minimumVersion":"","maximumVersion":"","formOrder":0,"lowerBound":null,"enabled":true,"mask":"","maskKey":"","keyItemMaskOfField":null,"keyOptionIdReplace":"","relatedOptionIds":[],"onlineServices":[],"childCriteriaItemList":[],"clientContextJson":""},{"keyOptionId":"4743","caption":"Precious Metals","isDefault":true,"maskCriteriaOnly":false,"definition":"","keyProductQueryItem":"226161","comparisonOperation":0,"comparisonValue":"25","minimumVersion":"","maximumVersion":"","formOrder":0,"lowerBound":null,"enabled":true,"mask":"","maskKey":"","keyItemMaskOfField":null,"keyOptionIdReplace":"","relatedOptionIds":[],"onlineServices":[],"childCriteriaItemList":[],"clientContextJson":""},{"keyOptionId":"4744","caption":"Base Metals","isDefault":true,"maskCriteriaOnly":false,"definition":"","keyProductQueryItem":"226161","comparisonOperation":0,"comparisonValue":"26","minimumVersion":"","maximumVersion":"","formOrder":0,"lowerBound":null,"enabled":true,"mask":"","maskKey":"","keyItemMaskOfField":null,"keyOptionIdReplace":"","relatedOptionIds":[],"onlineServices":[],"childCriteriaItemList":[],"cl</t>
  </si>
  <si>
    <t>ientContextJson":""},{"keyOptionId":"4745","caption":"Bulk Commodities","isDefault":true,"maskCriteriaOnly":false,"definition":"","keyProductQueryItem":"226161","comparisonOperation":0,"comparisonValue":"27","minimumVersion":"","maximumVersion":"","formOrder":0,"lowerBound":null,"enabled":true,"mask":"","maskKey":"","keyItemMaskOfField":null,"keyOptionIdReplace":"","relatedOptionIds":[],"onlineServices":[],"childCriteriaItemList":[],"clientContextJson":""},{"keyOptionId":"4746","caption":"Specialty Commodities","isDefault":true,"maskCriteriaOnly":false,"definition":"","keyProductQueryItem":"226161","comparisonOperation":0,"comparisonValue":"28","minimumVersion":"","maximumVersion":"","formOrder":0,"lowerBound":null,"enabled":true,"mask":"","maskKey":"","keyItemMaskOfField":null,"keyOptionIdReplace":"","relatedOptionIds":[],"onlineServices":[],"childCriteriaItemList":[],"clientContextJson":""}],"clientContextJson":""}],"clientContextJson":""}]},{"filterGroupId":"1241","filterGroupIdReplace":"","caption":"Location","groupType":2,"optionType":1,"formOrder":4,"minimumVersion":"","maximumVersion":"","onlineServicesEnabled":false,"column":1,"columnFormOrder":10,"criteriaIdName":"","required":true,"dateDefaultType":"","criteriaItemList":[{"keyOptionId":"1242","caption":"All Geographies","isDefault":false,"maskCriteriaOnly":true,"definition":"","keyProductQueryItem":"","comparisonOperation":null,"comparisonValue":"","minimumVersion":"","maximumVersion":"","formOrder":0,"lowerBound":null,"enabled":true,"mask":"","maskKey":"","keyItemMaskOfField":null,"keyOptionIdReplace":"","relatedOptionIds":[],"onlineServices":[],"childCriteriaItemList":[{"keyOptionId":"1243","caption":"United States and Canada","isDefault":false,"maskCriteriaOnly":true,"definition":"","keyProductQueryItem":"","comparisonOperation":null,"comparisonValue":"","minimumVersion":"","maximumVersion":"","formOrder":0,"lowerBound":null,"enabled":true,"mask":"","maskKey":"","keyItemMaskOfField":null,"keyOptionIdReplace":"","relatedOptionIds":[],"onlineServices":[],"childCriteriaItemList":[{"keyOptionId":"1244","caption":"United States","isDefault":false,"maskCriteriaOnly":true,"definition":"","keyProductQueryItem":"","comparisonOperation":null,"comparisonValue":"","minimumVersion":"","maximumVersion":"","formOrder":0,"lowerBound":null,"enabled":true,"mask":"","maskKey":"","keyItemMaskOfField":null,"keyOptionIdReplace":"","relatedOptionIds":[],"onlineServices":[],"childCriteriaItemList":[{"keyOptionId":"1496","caption":"Mid Atlant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1502","caption":"Delaware","isDefault":true,"maskCriteriaOnly":false,"definition":"","keyProductQueryItem":"227199","comparisonOperation":0,"comparisonValue":"271","minimumVersion":"","maximumVersion":"","formOrder":0,"lowerBound":null,"enabled":true,"mask":"","maskKey":"","keyItemMaskOfField":null,"keyOptionIdReplace":"","relatedOptionIds":[],"onlineServices":[],"childCriteriaItemList":[],"clientContextJson":""},{"keyOptionId":"1503","caption":"District of Columbia","isDefault":true,"maskCriteriaOnly":false,"definition":"","keyProductQueryItem":"227199","comparisonOperation":0,"comparisonValue":"270","minimumVersion":"","maximumVersion":"","formOrder":0,"lowerBound":null,"enabled":true,"mask":"","maskKey":"","keyItemMaskOfField":null,"keyOptionIdReplace":"","relatedOptionIds":[],"onlineServices":[],"childCriteriaItemList":[],"clientContextJson":""},{"keyOptionId":"1504","caption":"Maryland","isDefault":true,"maskCriteriaOnly":false,"definition":"","keyProductQueryItem":"227199","comparisonOperation":0,"comparisonValue":"272","minimumVersion":"","maximumVersion":"","formOrder":0,"lowerBound":null,"enabled":true,"mask":"","maskKey":"","keyItemMaskOfField":null,"keyOptionIdReplace":"","relatedOptionIds":[],"onlineServices":[],"childCriteriaItemList":[],"clientContextJson":""},{"keyOptionId":"1505","caption":"New Jersey","isDefault":true,"maskCriteriaOnly":false,"definition":"","keyProductQueryItem":"227199","comparisonOperation":0,"comparisonValue":"273","minimumVersion":"","maximumVersion":"","formOrder":0,"lowerBound":null,"enabled":true,"mask":"","maskKey":"","keyItemMaskOfField":null,"keyOptionIdReplace":"","relatedOptionIds":[],"onlineServices":[],"childCriteriaItemList":[],"clientContextJson":""},{"keyOptionId":"1506","caption":"New York","isDefault":true,"maskCriteriaOnly":false,"definition":"","keyProductQueryItem":"227199","comparisonOperation":0,"comparisonValue":"274","minimumVersion":"","maximumVersion":"","formOrder":0,"lowerBound":null,"enabled":true,"mask":"","maskKey":"","keyItemMaskOfField":null,"keyOptionIdReplace":"","relatedOptionIds":[],"onlineServices":[],"childCriteriaItemList":[],"clientContextJson":""},{"keyOptionId":"1507","caption":"Pennsylvania","isDefault":true,"maskCriteriaOnly":false,"definition":"","keyProductQueryItem":"227199","comparisonOperation":0,"comparisonValue":"275","minimumVersion":"","maximumVersion":"","formOrder":0,"lowerBound":null,"enabled":true,"mask":"","maskKey":"","keyItemMaskOfField":null,"keyOptionIdReplace":"","relatedOptionIds":[],"onlineServices":[],"childCriteriaItemList":[],"clientContextJson":""},{"keyOptionId":"1508","caption":"Puerto Rico","isDefault":true,"maskCriteriaOnly":false,"definition":"","keyProductQueryItem":"227199","comparisonOperation":0,"comparisonValue":"276","minimumVersion":"","maximumVersion":"","formOrder":0,"lowerBound":null,"enabled":true,"mask":"","maskKey":"","keyItemMaskOfField":null,"keyOptionIdReplace":"","relatedOptionIds":[],"onlineServices":[],"childCriteriaItemList":[],"clientContextJson":""}],"clientContextJson":""},{"keyOptionId":"1497","caption":"Midwe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1509","caption":"Illinois","isDefault":true,"maskCriteriaOnly":false,"definition":"","keyProductQueryItem":"227199","comparisonOperation":0,"comparisonValue":"278","minimumVersion":"","maximumVersion":"","formOrder":0,"lowerBound":null,"enabled":true,"mask":"","maskKey":"","keyItemMaskOfField":null,"keyOptionIdReplace":"","relatedOptionIds":[],"onlineServices":[],"childCriteriaItemList":[],"clientContextJson":""},{"keyOptionId":"1510","caption":"Indiana","isDefault":true,"maskCriteriaOnly":false,"definition":"","keyProductQueryItem":"227199","comparisonOperation":0,"comparisonValue":"279","minimumVersion":"","maximumVersion":"","formOrder":0,"lowerBound":null,"enabled":true,"mask":"","maskKey":"","keyItemMaskOfField":null,"keyOptionIdReplace":"","relatedOptionIds":[],"onlineServices":[],"childCriteriaItemList":[],"clientContextJson":""},{"keyOptionId":"1511","caption":"Iowa","isDefault":true,"maskCriteriaOnly":false,"definition":"","keyProductQueryItem":"227199","comparisonOperation":0,"comparisonValue":"277","minimumVersion":"","maximumVersion":"","formOrder":0,"lowerBound":null,"enabled":true,"mask":"","maskKey":"","keyItemMaskOfField":null,"keyOptionIdReplace":"","relatedOptionIds":[],"onlineServices":[],"childCriteriaItemList":[],"clientContextJson":""},{"keyOptionId":"1512","cap</t>
  </si>
  <si>
    <t>tion":"Kansas","isDefault":true,"maskCriteriaOnly":false,"definition":"","keyProductQueryItem":"227199","comparisonOperation":0,"comparisonValue":"280","minimumVersion":"","maximumVersion":"","formOrder":0,"lowerBound":null,"enabled":true,"mask":"","maskKey":"","keyItemMaskOfField":null,"keyOptionIdReplace":"","relatedOptionIds":[],"onlineServices":[],"childCriteriaItemList":[],"clientContextJson":""},{"keyOptionId":"1513","caption":"Kentucky","isDefault":true,"maskCriteriaOnly":false,"definition":"","keyProductQueryItem":"227199","comparisonOperation":0,"comparisonValue":"281","minimumVersion":"","maximumVersion":"","formOrder":0,"lowerBound":null,"enabled":true,"mask":"","maskKey":"","keyItemMaskOfField":null,"keyOptionIdReplace":"","relatedOptionIds":[],"onlineServices":[],"childCriteriaItemList":[],"clientContextJson":""},{"keyOptionId":"1514","caption":"Michigan","isDefault":true,"maskCriteriaOnly":false,"definition":"","keyProductQueryItem":"227199","comparisonOperation":0,"comparisonValue":"282","minimumVersion":"","maximumVersion":"","formOrder":0,"lowerBound":null,"enabled":true,"mask":"","maskKey":"","keyItemMaskOfField":null,"keyOptionIdReplace":"","relatedOptionIds":[],"onlineServices":[],"childCriteriaItemList":[],"clientContextJson":""},{"keyOptionId":"1515","caption":"Minnesota","isDefault":true,"maskCriteriaOnly":false,"definition":"","keyProductQueryItem":"227199","comparisonOperation":0,"comparisonValue":"283","minimumVersion":"","maximumVersion":"","formOrder":0,"lowerBound":null,"enabled":true,"mask":"","maskKey":"","keyItemMaskOfField":null,"keyOptionIdReplace":"","relatedOptionIds":[],"onlineServices":[],"childCriteriaItemList":[],"clientContextJson":""},{"keyOptionId":"1516","caption":"Missouri","isDefault":true,"maskCriteriaOnly":false,"definition":"","keyProductQueryItem":"227199","comparisonOperation":0,"comparisonValue":"284","minimumVersion":"","maximumVersion":"","formOrder":0,"lowerBound":null,"enabled":true,"mask":"","maskKey":"","keyItemMaskOfField":null,"keyOptionIdReplace":"","relatedOptionIds":[],"onlineServices":[],"childCriteriaItemList":[],"clientContextJson":""},{"keyOptionId":"1517","caption":"Nebraska","isDefault":true,"maskCriteriaOnly":false,"definition":"","keyProductQueryItem":"227199","comparisonOperation":0,"comparisonValue":"286","minimumVersion":"","maximumVersion":"","formOrder":0,"lowerBound":null,"enabled":true,"mask":"","maskKey":"","keyItemMaskOfField":null,"keyOptionIdReplace":"","relatedOptionIds":[],"onlineServices":[],"childCriteriaItemList":[],"clientContextJson":""},{"keyOptionId":"1518","caption":"North Dakota","isDefault":true,"maskCriteriaOnly":false,"definition":"","keyProductQueryItem":"227199","comparisonOperation":0,"comparisonValue":"285","minimumVersion":"","maximumVersion":"","formOrder":0,"lowerBound":null,"enabled":true,"mask":"","maskKey":"","keyItemMaskOfField":null,"keyOptionIdReplace":"","relatedOptionIds":[],"onlineServices":[],"childCriteriaItemList":[],"clientContextJson":""},{"keyOptionId":"1519","caption":"Ohio","isDefault":true,"maskCriteriaOnly":false,"definition":"","keyProductQueryItem":"227199","comparisonOperation":0,"comparisonValue":"287","minimumVersion":"","maximumVersion":"","formOrder":0,"lowerBound":null,"enabled":true,"mask":"","maskKey":"","keyItemMaskOfField":null,"keyOptionIdReplace":"","relatedOptionIds":[],"onlineServices":[],"childCriteriaItemList":[],"clientContextJson":""},{"keyOptionId":"1520","caption":"South Dakota","isDefault":true,"maskCriteriaOnly":false,"definition":"","keyProductQueryItem":"227199","comparisonOperation":0,"comparisonValue":"288","minimumVersion":"","maximumVersion":"","formOrder":0,"lowerBound":null,"enabled":true,"mask":"","maskKey":"","keyItemMaskOfField":null,"keyOptionIdReplace":"","relatedOptionIds":[],"onlineServices":[],"childCriteriaItemList":[],"clientContextJson":""},{"keyOptionId":"1521","caption":"Wisconsin","isDefault":true,"maskCriteriaOnly":false,"definition":"","keyProductQueryItem":"227199","comparisonOperation":0,"comparisonValue":"289","minimumVersion":"","maximumVersion":"","formOrder":0,"lowerBound":null,"enabled":true,"mask":"","maskKey":"","keyItemMaskOfField":null,"keyOptionIdReplace":"","relatedOptionIds":[],"onlineServices":[],"childCriteriaItemList":[],"clientContextJson":""}],"clientContextJson":""},{"keyOptionId":"1498","caption":"Northea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1522","caption":"Connecticut","isDefault":true,"maskCriteriaOnly":false,"definition":"","keyProductQueryItem":"227199","comparisonOperation":0,"comparisonValue":"290","minimumVersion":"","maximumVersion":"","formOrder":0,"lowerBound":null,"enabled":true,"mask":"","maskKey":"","keyItemMaskOfField":null,"keyOptionIdReplace":"","relatedOptionIds":[],"onlineServices":[],"childCriteriaItemList":[],"clientContextJson":""},{"keyOptionId":"1523","caption":"Maine","isDefault":true,"maskCriteriaOnly":false,"definition":"","keyProductQueryItem":"227199","comparisonOperation":0,"comparisonValue":"292","minimumVersion":"","maximumVersion":"","formOrder":0,"lowerBound":null,"enabled":true,"mask":"","maskKey":"","keyItemMaskOfField":null,"keyOptionIdReplace":"","relatedOptionIds":[],"onlineServices":[],"childCriteriaItemList":[],"clientContextJson":""},{"keyOptionId":"1524","caption":"Massachusetts","isDefault":true,"maskCriteriaOnly":false,"definition":"","keyProductQueryItem":"227199","comparisonOperation":0,"comparisonValue":"291","minimumVersion":"","maximumVersion":"","formOrder":0,"lowerBound":null,"enabled":true,"mask":"","maskKey":"","keyItemMaskOfField":null,"keyOptionIdReplace":"","relatedOptionIds":[],"onlineServices":[],"childCriteriaItemList":[],"clientContextJson":""},{"keyOptionId":"1525","caption":"New Hampshire","isDefault":true,"maskCriteriaOnly":false,"definition":"","keyProductQueryItem":"227199","comparisonOperation":0,"comparisonValue":"293","minimumVersion":"","maximumVersion":"","formOrder":0,"lowerBound":null,"enabled":true,"mask":"","maskKey":"","keyItemMaskOfField":null,"keyOptionIdReplace":"","relatedOptionIds":[],"onlineServices":[],"childCriteriaItemList":[],"clientContextJson":""},{"keyOptionId":"1526","caption":"Rhode Island","isDefault":true,"maskCriteriaOnly":false,"definition":"","keyProductQueryItem":"227199","comparisonOperation":0,"comparisonValue":"294","minimumVersion":"","maximumVersion":"","formOrder":0,"lowerBound":null,"enabled":true,"mask":"","maskKey":"","keyItemMaskOfField":null,"keyOptionIdReplace":"","relatedOptionIds":[],"onlineServices":[],"childCriteriaItemList":[],"clientContextJson":""},{"keyOptionId":"1527","caption":"Vermont","isDefault":true,"maskCriteriaOnly":false,"definition":"","keyProductQueryItem":"227199","comparisonOperation":0,"comparisonValue":"295","minimumVersion":"","maximumVersion":"","formOrder":0,"lowerBound":null,"enabled":true,"mask":"","maskKey":"","keyItemMaskOfField":null,"keyOptionIdReplace":"","relatedOptionIds":[],"onlineServices":[],"childCriteriaItemList":[],"clientContextJson":""}],"clientContextJson":""},{"keyOptionId":"1499","caption":"Southeast","isDefault":false,"maskCriteriaOnly":true,"definition":"","keyProductQueryItem":"","comparisonOperation":null,"comparisonValue":"","minimumVersion":"","maximumVersion":"","formOrder":0,"lowerBound":null,"enabled":true,"mask":"","maskKey":"","keyItemMaskOfField":null,"k</t>
  </si>
  <si>
    <t>eyOptionIdReplace":"","relatedOptionIds":[],"onlineServices":[],"childCriteriaItemList":[{"keyOptionId":"1528","caption":"Alabama","isDefault":true,"maskCriteriaOnly":false,"definition":"","keyProductQueryItem":"227199","comparisonOperation":0,"comparisonValue":"296","minimumVersion":"","maximumVersion":"","formOrder":0,"lowerBound":null,"enabled":true,"mask":"","maskKey":"","keyItemMaskOfField":null,"keyOptionIdReplace":"","relatedOptionIds":[],"onlineServices":[],"childCriteriaItemList":[],"clientContextJson":""},{"keyOptionId":"1529","caption":"Arkansas","isDefault":true,"maskCriteriaOnly":false,"definition":"","keyProductQueryItem":"227199","comparisonOperation":0,"comparisonValue":"297","minimumVersion":"","maximumVersion":"","formOrder":0,"lowerBound":null,"enabled":true,"mask":"","maskKey":"","keyItemMaskOfField":null,"keyOptionIdReplace":"","relatedOptionIds":[],"onlineServices":[],"childCriteriaItemList":[],"clientContextJson":""},{"keyOptionId":"1530","caption":"Florida","isDefault":true,"maskCriteriaOnly":false,"definition":"","keyProductQueryItem":"227199","comparisonOperation":0,"comparisonValue":"298","minimumVersion":"","maximumVersion":"","formOrder":0,"lowerBound":null,"enabled":true,"mask":"","maskKey":"","keyItemMaskOfField":null,"keyOptionIdReplace":"","relatedOptionIds":[],"onlineServices":[],"childCriteriaItemList":[],"clientContextJson":""},{"keyOptionId":"1531","caption":"Georgia","isDefault":true,"maskCriteriaOnly":false,"definition":"","keyProductQueryItem":"227199","comparisonOperation":0,"comparisonValue":"299","minimumVersion":"","maximumVersion":"","formOrder":0,"lowerBound":null,"enabled":true,"mask":"","maskKey":"","keyItemMaskOfField":null,"keyOptionIdReplace":"","relatedOptionIds":[],"onlineServices":[],"childCriteriaItemList":[],"clientContextJson":""},{"keyOptionId":"1532","caption":"Mississippi","isDefault":true,"maskCriteriaOnly":false,"definition":"","keyProductQueryItem":"227199","comparisonOperation":0,"comparisonValue":"300","minimumVersion":"","maximumVersion":"","formOrder":0,"lowerBound":null,"enabled":true,"mask":"","maskKey":"","keyItemMaskOfField":null,"keyOptionIdReplace":"","relatedOptionIds":[],"onlineServices":[],"childCriteriaItemList":[],"clientContextJson":""},{"keyOptionId":"1533","caption":"North Carolina","isDefault":true,"maskCriteriaOnly":false,"definition":"","keyProductQueryItem":"227199","comparisonOperation":0,"comparisonValue":"301","minimumVersion":"","maximumVersion":"","formOrder":0,"lowerBound":null,"enabled":true,"mask":"","maskKey":"","keyItemMaskOfField":null,"keyOptionIdReplace":"","relatedOptionIds":[],"onlineServices":[],"childCriteriaItemList":[],"clientContextJson":""},{"keyOptionId":"1534","caption":"South Carolina","isDefault":true,"maskCriteriaOnly":false,"definition":"","keyProductQueryItem":"227199","comparisonOperation":0,"comparisonValue":"302","minimumVersion":"","maximumVersion":"","formOrder":0,"lowerBound":null,"enabled":true,"mask":"","maskKey":"","keyItemMaskOfField":null,"keyOptionIdReplace":"","relatedOptionIds":[],"onlineServices":[],"childCriteriaItemList":[],"clientContextJson":""},{"keyOptionId":"1535","caption":"Tennessee","isDefault":true,"maskCriteriaOnly":false,"definition":"","keyProductQueryItem":"227199","comparisonOperation":0,"comparisonValue":"303","minimumVersion":"","maximumVersion":"","formOrder":0,"lowerBound":null,"enabled":true,"mask":"","maskKey":"","keyItemMaskOfField":null,"keyOptionIdReplace":"","relatedOptionIds":[],"onlineServices":[],"childCriteriaItemList":[],"clientContextJson":""},{"keyOptionId":"1536","caption":"Virgin Islands, U.S.","isDefault":true,"maskCriteriaOnly":false,"definition":"","keyProductQueryItem":"227199","comparisonOperation":0,"comparisonValue":"305","minimumVersion":"","maximumVersion":"","formOrder":0,"lowerBound":null,"enabled":true,"mask":"","maskKey":"","keyItemMaskOfField":null,"keyOptionIdReplace":"","relatedOptionIds":[],"onlineServices":[],"childCriteriaItemList":[],"clientContextJson":""},{"keyOptionId":"1537","caption":"Virginia","isDefault":true,"maskCriteriaOnly":false,"definition":"","keyProductQueryItem":"227199","comparisonOperation":0,"comparisonValue":"304","minimumVersion":"","maximumVersion":"","formOrder":0,"lowerBound":null,"enabled":true,"mask":"","maskKey":"","keyItemMaskOfField":null,"keyOptionIdReplace":"","relatedOptionIds":[],"onlineServices":[],"childCriteriaItemList":[],"clientContextJson":""},{"keyOptionId":"1538","caption":"West Virginia","isDefault":true,"maskCriteriaOnly":false,"definition":"","keyProductQueryItem":"227199","comparisonOperation":0,"comparisonValue":"306","minimumVersion":"","maximumVersion":"","formOrder":0,"lowerBound":null,"enabled":true,"mask":"","maskKey":"","keyItemMaskOfField":null,"keyOptionIdReplace":"","relatedOptionIds":[],"onlineServices":[],"childCriteriaItemList":[],"clientContextJson":""}],"clientContextJson":""},{"keyOptionId":"1500","caption":"Southwe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1539","caption":"Colorado","isDefault":true,"maskCriteriaOnly":false,"definition":"","keyProductQueryItem":"227199","comparisonOperation":0,"comparisonValue":"307","minimumVersion":"","maximumVersion":"","formOrder":0,"lowerBound":null,"enabled":true,"mask":"","maskKey":"","keyItemMaskOfField":null,"keyOptionIdReplace":"","relatedOptionIds":[],"onlineServices":[],"childCriteriaItemList":[],"clientContextJson":""},{"keyOptionId":"1540","caption":"Louisiana","isDefault":true,"maskCriteriaOnly":false,"definition":"","keyProductQueryItem":"227199","comparisonOperation":0,"comparisonValue":"308","minimumVersion":"","maximumVersion":"","formOrder":0,"lowerBound":null,"enabled":true,"mask":"","maskKey":"","keyItemMaskOfField":null,"keyOptionIdReplace":"","relatedOptionIds":[],"onlineServices":[],"childCriteriaItemList":[],"clientContextJson":""},{"keyOptionId":"1541","caption":"New Mexico","isDefault":true,"maskCriteriaOnly":false,"definition":"","keyProductQueryItem":"227199","comparisonOperation":0,"comparisonValue":"309","minimumVersion":"","maximumVersion":"","formOrder":0,"lowerBound":null,"enabled":true,"mask":"","maskKey":"","keyItemMaskOfField":null,"keyOptionIdReplace":"","relatedOptionIds":[],"onlineServices":[],"childCriteriaItemList":[],"clientContextJson":""},{"keyOptionId":"1542","caption":"Oklahoma","isDefault":true,"maskCriteriaOnly":false,"definition":"","keyProductQueryItem":"227199","comparisonOperation":0,"comparisonValue":"310","minimumVersion":"","maximumVersion":"","formOrder":0,"lowerBound":null,"enabled":true,"mask":"","maskKey":"","keyItemMaskOfField":null,"keyOptionIdReplace":"","relatedOptionIds":[],"onlineServices":[],"childCriteriaItemList":[],"clientContextJson":""},{"keyOptionId":"1543","caption":"Texas","isDefault":true,"maskCriteriaOnly":false,"definition":"","keyProductQueryItem":"227199","comparisonOperation":0,"comparisonValue":"311","minimumVersion":"","maximumVersion":"","formOrder":0,"lowerBound":null,"enabled":true,"mask":"","maskKey":"","keyItemMaskOfField":null,"keyOptionIdReplace":"","relatedOptionIds":[],"onlineServices":[],"childCriteriaItemList":[],"clientContextJson":""},{"keyOptionId":"1544","caption":"Utah","isDefault":true,"maskCriteriaOnly":false,"definition":"","keyProductQueryItem":"227199","comparisonOperation":0,"comparisonValue":"312","minimumVersion":"","maximumVersio</t>
  </si>
  <si>
    <t>n":"","formOrder":0,"lowerBound":null,"enabled":true,"mask":"","maskKey":"","keyItemMaskOfField":null,"keyOptionIdReplace":"","relatedOptionIds":[],"onlineServices":[],"childCriteriaItemList":[],"clientContextJson":""}],"clientContextJson":""},{"keyOptionId":"1501","caption":"We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1545","caption":"Alaska","isDefault":true,"maskCriteriaOnly":false,"definition":"","keyProductQueryItem":"227199","comparisonOperation":0,"comparisonValue":"313","minimumVersion":"","maximumVersion":"","formOrder":0,"lowerBound":null,"enabled":true,"mask":"","maskKey":"","keyItemMaskOfField":null,"keyOptionIdReplace":"","relatedOptionIds":[],"onlineServices":[],"childCriteriaItemList":[],"clientContextJson":""},{"keyOptionId":"1546","caption":"American Samoa","isDefault":true,"maskCriteriaOnly":false,"definition":"","keyProductQueryItem":"227199","comparisonOperation":0,"comparisonValue":"314","minimumVersion":"","maximumVersion":"","formOrder":0,"lowerBound":null,"enabled":true,"mask":"","maskKey":"","keyItemMaskOfField":null,"keyOptionIdReplace":"","relatedOptionIds":[],"onlineServices":[],"childCriteriaItemList":[],"clientContextJson":""},{"keyOptionId":"1547","caption":"Arizona","isDefault":true,"maskCriteriaOnly":false,"definition":"","keyProductQueryItem":"227199","comparisonOperation":0,"comparisonValue":"315","minimumVersion":"","maximumVersion":"","formOrder":0,"lowerBound":null,"enabled":true,"mask":"","maskKey":"","keyItemMaskOfField":null,"keyOptionIdReplace":"","relatedOptionIds":[],"onlineServices":[],"childCriteriaItemList":[],"clientContextJson":""},{"keyOptionId":"1548","caption":"California","isDefault":true,"maskCriteriaOnly":false,"definition":"","keyProductQueryItem":"227199","comparisonOperation":0,"comparisonValue":"316","minimumVersion":"","maximumVersion":"","formOrder":0,"lowerBound":null,"enabled":true,"mask":"","maskKey":"","keyItemMaskOfField":null,"keyOptionIdReplace":"","relatedOptionIds":[],"onlineServices":[],"childCriteriaItemList":[],"clientContextJson":""},{"keyOptionId":"1549","caption":"Guam","isDefault":true,"maskCriteriaOnly":false,"definition":"","keyProductQueryItem":"227199","comparisonOperation":0,"comparisonValue":"318","minimumVersion":"","maximumVersion":"","formOrder":0,"lowerBound":null,"enabled":true,"mask":"","maskKey":"","keyItemMaskOfField":null,"keyOptionIdReplace":"","relatedOptionIds":[],"onlineServices":[],"childCriteriaItemList":[],"clientContextJson":""},{"keyOptionId":"1550","caption":"Hawaii","isDefault":true,"maskCriteriaOnly":false,"definition":"","keyProductQueryItem":"227199","comparisonOperation":0,"comparisonValue":"319","minimumVersion":"","maximumVersion":"","formOrder":0,"lowerBound":null,"enabled":true,"mask":"","maskKey":"","keyItemMaskOfField":null,"keyOptionIdReplace":"","relatedOptionIds":[],"onlineServices":[],"childCriteriaItemList":[],"clientContextJson":""},{"keyOptionId":"1551","caption":"Idaho","isDefault":true,"maskCriteriaOnly":false,"definition":"","keyProductQueryItem":"227199","comparisonOperation":0,"comparisonValue":"320","minimumVersion":"","maximumVersion":"","formOrder":0,"lowerBound":null,"enabled":true,"mask":"","maskKey":"","keyItemMaskOfField":null,"keyOptionIdReplace":"","relatedOptionIds":[],"onlineServices":[],"childCriteriaItemList":[],"clientContextJson":""},{"keyOptionId":"1552","caption":"Montana","isDefault":true,"maskCriteriaOnly":false,"definition":"","keyProductQueryItem":"227199","comparisonOperation":0,"comparisonValue":"323","minimumVersion":"","maximumVersion":"","formOrder":0,"lowerBound":null,"enabled":true,"mask":"","maskKey":"","keyItemMaskOfField":null,"keyOptionIdReplace":"","relatedOptionIds":[],"onlineServices":[],"childCriteriaItemList":[],"clientContextJson":""},{"keyOptionId":"1553","caption":"Nevada","isDefault":true,"maskCriteriaOnly":false,"definition":"","keyProductQueryItem":"227199","comparisonOperation":0,"comparisonValue":"324","minimumVersion":"","maximumVersion":"","formOrder":0,"lowerBound":null,"enabled":true,"mask":"","maskKey":"","keyItemMaskOfField":null,"keyOptionIdReplace":"","relatedOptionIds":[],"onlineServices":[],"childCriteriaItemList":[],"clientContextJson":""},{"keyOptionId":"1554","caption":"Northern Mariana Islands","isDefault":true,"maskCriteriaOnly":false,"definition":"","keyProductQueryItem":"227199","comparisonOperation":0,"comparisonValue":"322","minimumVersion":"","maximumVersion":"","formOrder":0,"lowerBound":null,"enabled":true,"mask":"","maskKey":"","keyItemMaskOfField":null,"keyOptionIdReplace":"","relatedOptionIds":[],"onlineServices":[],"childCriteriaItemList":[],"clientContextJson":""},{"keyOptionId":"1555","caption":"Oregon","isDefault":true,"maskCriteriaOnly":false,"definition":"","keyProductQueryItem":"227199","comparisonOperation":0,"comparisonValue":"325","minimumVersion":"","maximumVersion":"","formOrder":0,"lowerBound":null,"enabled":true,"mask":"","maskKey":"","keyItemMaskOfField":null,"keyOptionIdReplace":"","relatedOptionIds":[],"onlineServices":[],"childCriteriaItemList":[],"clientContextJson":""},{"keyOptionId":"1556","caption":"United States Minor Outlying Islands","isDefault":true,"maskCriteriaOnly":false,"definition":"","keyProductQueryItem":"227199","comparisonOperation":0,"comparisonValue":"327","minimumVersion":"","maximumVersion":"","formOrder":0,"lowerBound":null,"enabled":true,"mask":"","maskKey":"","keyItemMaskOfField":null,"keyOptionIdReplace":"","relatedOptionIds":[],"onlineServices":[],"childCriteriaItemList":[],"clientContextJson":""},{"keyOptionId":"1557","caption":"Washington","isDefault":true,"maskCriteriaOnly":false,"definition":"","keyProductQueryItem":"227199","comparisonOperation":0,"comparisonValue":"328","minimumVersion":"","maximumVersion":"","formOrder":0,"lowerBound":null,"enabled":true,"mask":"","maskKey":"","keyItemMaskOfField":null,"keyOptionIdReplace":"","relatedOptionIds":[],"onlineServices":[],"childCriteriaItemList":[],"clientContextJson":""},{"keyOptionId":"1558","caption":"Wyoming","isDefault":true,"maskCriteriaOnly":false,"definition":"","keyProductQueryItem":"227199","comparisonOperation":0,"comparisonValue":"329","minimumVersion":"","maximumVersion":"","formOrder":0,"lowerBound":null,"enabled":true,"mask":"","maskKey":"","keyItemMaskOfField":null,"keyOptionIdReplace":"","relatedOptionIds":[],"onlineServices":[],"childCriteriaItemList":[],"clientContextJson":""}],"clientContextJson":""}],"clientContextJson":""},{"keyOptionId":"1245","caption":"Canada","isDefault":true,"maskCriteriaOnly":false,"definition":"","keyProductQueryItem":"227199","comparisonOperation":0,"comparisonValue":"38","minimumVersion":"","maximumVersion":"","formOrder":0,"lowerBound":null,"enabled":true,"mask":"","maskKey":"","keyItemMaskOfField":null,"keyOptionIdReplace":"","relatedOptionIds":[],"onlineServices":[],"childCriteriaItemList":[],"clientContextJson":""},{"keyOptionId":"1246","caption":"Bermuda","isDefault":true,"maskCriteriaOnly":false,"definition":"","keyProductQueryItem":"227199","comparisonOperation":0,"comparisonValue":"12","minimumVersion":"","maximumVersion":"","formOrder":0,"lowerBound":null,"enabled":true,"mask":"","maskKey":"","keyItemMaskOfField":null,"keyOptionIdReplace":"","relatedOptionIds":[],"onlineServices":[],"childCriteriaItemList":[],"clientContextJson":""}],"clientContextJson":""},{"keyOpti</t>
  </si>
  <si>
    <t>onId":"1247","caption":"Europe","isDefault":false,"maskCriteriaOnly":true,"definition":"","keyProductQueryItem":"","comparisonOperation":null,"comparisonValue":"","minimumVersion":"","maximumVersion":"","formOrder":0,"lowerBound":null,"enabled":true,"mask":"","maskKey":"","keyItemMaskOfField":null,"keyOptionIdReplace":"","relatedOptionIds":[],"onlineServices":[],"childCriteriaItemList":[{"keyOptionId":"1248","caption":"Developed Europe","isDefault":false,"maskCriteriaOnly":true,"definition":"","keyProductQueryItem":"","comparisonOperation":null,"comparisonValue":"","minimumVersion":"","maximumVersion":"","formOrder":0,"lowerBound":null,"enabled":true,"mask":"","maskKey":"","keyItemMaskOfField":null,"keyOptionIdReplace":"","relatedOptionIds":[],"onlineServices":[],"childCriteriaItemList":[{"keyOptionId":"1265","caption":"Andorra","isDefault":true,"maskCriteriaOnly":false,"definition":"","keyProductQueryItem":"227199","comparisonOperation":0,"comparisonValue":"170","minimumVersion":"","maximumVersion":"","formOrder":0,"lowerBound":null,"enabled":true,"mask":"","maskKey":"","keyItemMaskOfField":null,"keyOptionIdReplace":"","relatedOptionIds":[],"onlineServices":[],"childCriteriaItemList":[],"clientContextJson":""},{"keyOptionId":"1268","caption":"Austria","isDefault":true,"maskCriteriaOnly":false,"definition":"","keyProductQueryItem":"227199","comparisonOperation":0,"comparisonValue":"206","minimumVersion":"","maximumVersion":"","formOrder":0,"lowerBound":null,"enabled":true,"mask":"","maskKey":"","keyItemMaskOfField":null,"keyOptionIdReplace":"","relatedOptionIds":[],"onlineServices":[],"childCriteriaItemList":[],"clientContextJson":""},{"keyOptionId":"1258","caption":"Belgium","isDefault":true,"maskCriteriaOnly":false,"definition":"","keyProductQueryItem":"227199","comparisonOperation":0,"comparisonValue":"175","minimumVersion":"","maximumVersion":"","formOrder":0,"lowerBound":null,"enabled":true,"mask":"","maskKey":"","keyItemMaskOfField":null,"keyOptionIdReplace":"","relatedOptionIds":[],"onlineServices":[],"childCriteriaItemList":[],"clientContextJson":""},{"keyOptionId":"1269","caption":"Cyprus","isDefault":true,"maskCriteriaOnly":false,"definition":"","keyProductQueryItem":"227199","comparisonOperation":0,"comparisonValue":"126","minimumVersion":"","maximumVersion":"","formOrder":0,"lowerBound":null,"enabled":true,"mask":"","maskKey":"","keyItemMaskOfField":null,"keyOptionIdReplace":"","relatedOptionIds":[],"onlineServices":[],"childCriteriaItemList":[],"clientContextJson":""},{"keyOptionId":"1249","caption":"Czech Republic","isDefault":true,"maskCriteriaOnly":false,"definition":"","keyProductQueryItem":"227199","comparisonOperation":0,"comparisonValue":"207","minimumVersion":"","maximumVersion":"","formOrder":0,"lowerBound":null,"enabled":true,"mask":"","maskKey":"","keyItemMaskOfField":null,"keyOptionIdReplace":"","relatedOptionIds":[],"onlineServices":[],"childCriteriaItemList":[],"clientContextJson":""},{"keyOptionId":"1259","caption":"Denmark","isDefault":true,"maskCriteriaOnly":false,"definition":"","keyProductQueryItem":"227199","comparisonOperation":0,"comparisonValue":"209","minimumVersion":"","maximumVersion":"","formOrder":0,"lowerBound":null,"enabled":true,"mask":"","maskKey":"","keyItemMaskOfField":null,"keyOptionIdReplace":"","relatedOptionIds":[],"onlineServices":[],"childCriteriaItemList":[],"clientContextJson":""},{"keyOptionId":"1270","caption":"Finland","isDefault":true,"maskCriteriaOnly":false,"definition":"","keyProductQueryItem":"227199","comparisonOperation":0,"comparisonValue":"181","minimumVersion":"","maximumVersion":"","formOrder":0,"lowerBound":null,"enabled":true,"mask":"","maskKey":"","keyItemMaskOfField":null,"keyOptionIdReplace":"","relatedOptionIds":[],"onlineServices":[],"childCriteriaItemList":[],"clientContextJson":""},{"keyOptionId":"1251","caption":"France","isDefault":true,"maskCriteriaOnly":false,"definition":"","keyProductQueryItem":"227199","comparisonOperation":0,"comparisonValue":"183","minimumVersion":"","maximumVersion":"","formOrder":0,"lowerBound":null,"enabled":true,"mask":"","maskKey":"","keyItemMaskOfField":null,"keyOptionIdReplace":"","relatedOptionIds":[],"onlineServices":[],"childCriteriaItemList":[],"clientContextJson":""},{"keyOptionId":"1250","caption":"Germany","isDefault":true,"maskCriteriaOnly":false,"definition":"","keyProductQueryItem":"227199","comparisonOperation":0,"comparisonValue":"208","minimumVersion":"","maximumVersion":"","formOrder":0,"lowerBound":null,"enabled":true,"mask":"","maskKey":"","keyItemMaskOfField":null,"keyOptionIdReplace":"","relatedOptionIds":[],"onlineServices":[],"childCriteriaItemList":[],"clientContextJson":""},{"keyOptionId":"1252","caption":"Gibraltar","isDefault":true,"maskCriteriaOnly":false,"definition":"","keyProductQueryItem":"227199","comparisonOperation":0,"comparisonValue":"185","minimumVersion":"","maximumVersion":"","formOrder":0,"lowerBound":null,"enabled":true,"mask":"","maskKey":"","keyItemMaskOfField":null,"keyOptionIdReplace":"","relatedOptionIds":[],"onlineServices":[],"childCriteriaItemList":[],"clientContextJson":""},{"keyOptionId":"1255","caption":"Greece","isDefault":true,"maskCriteriaOnly":false,"definition":"","keyProductQueryItem":"227199","comparisonOperation":0,"comparisonValue":"186","minimumVersion":"","maximumVersion":"","formOrder":0,"lowerBound":null,"enabled":true,"mask":"","maskKey":"","keyItemMaskOfField":null,"keyOptionIdReplace":"","relatedOptionIds":[],"onlineServices":[],"childCriteriaItemList":[],"clientContextJson":""},{"keyOptionId":"1254","caption":"Greenland","isDefault":true,"maskCriteriaOnly":false,"definition":"","keyProductQueryItem":"227199","comparisonOperation":0,"comparisonValue":"19","minimumVersion":"","maximumVersion":"","formOrder":0,"lowerBound":null,"enabled":true,"mask":"","maskKey":"","keyItemMaskOfField":null,"keyOptionIdReplace":"","relatedOptionIds":[],"onlineServices":[],"childCriteriaItemList":[],"clientContextJson":""},{"keyOptionId":"1271","caption":"Iceland","isDefault":true,"maskCriteriaOnly":false,"definition":"","keyProductQueryItem":"227199","comparisonOperation":0,"comparisonValue":"189","minimumVersion":"","maximumVersion":"","formOrder":0,"lowerBound":null,"enabled":true,"mask":"","maskKey":"","keyItemMaskOfField":null,"keyOptionIdReplace":"","relatedOptionIds":[],"onlineServices":[],"childCriteriaItemList":[],"clientContextJson":""},{"keyOptionId":"1256","caption":"Ireland","isDefault":true,"maskCriteriaOnly":false,"definition":"","keyProductQueryItem":"227199","comparisonOperation":0,"comparisonValue":"212","minimumVersion":"","maximumVersion":"","formOrder":0,"lowerBound":null,"enabled":true,"mask":"","maskKey":"","keyItemMaskOfField":null,"keyOptionIdReplace":"","relatedOptionIds":[],"onlineServices":[],"childCriteriaItemList":[],"clientContextJson":""},{"keyOptionId":"1257","caption":"Italy","isDefault":true,"maskCriteriaOnly":false,"definition":"","keyProductQueryItem":"227199","comparisonOperation":0,"comparisonValue":"190","minimumVersion":"","maximumVersion":"","formOrder":0,"lowerBound":null,"enabled":true,"mask":"","maskKey":"","keyItemMaskOfField":null,"keyOptionIdReplace":"","relatedOptionIds":[],"onlineServices":[],"childCriteriaItemList":[],"clientContextJson":""},{"keyOptionId":"1266","caption":"Liechtenstein","isDefault":true,"maskCriteriaOnly":false,"definition":"","keyProductQueryItem":"227199","comparisonOperation":0,"comparisonValue":"213","minimumVersion":"","maximumVersion":"","formOrder":0,"lowerBound":null,"enabled":true,"mask":"","maskKey":"","keyItemMaskOfField":null,"keyOptionIdReplace":"","relatedOptionIds":[],"onlineServices":[],"childCriteri</t>
  </si>
  <si>
    <t>aItemList":[],"clientContextJson":""},{"keyOptionId":"1253","caption":"Luxembourg","isDefault":true,"maskCriteriaOnly":false,"definition":"","keyProductQueryItem":"227199","comparisonOperation":0,"comparisonValue":"214","minimumVersion":"","maximumVersion":"","formOrder":0,"lowerBound":null,"enabled":true,"mask":"","maskKey":"","keyItemMaskOfField":null,"keyOptionIdReplace":"","relatedOptionIds":[],"onlineServices":[],"childCriteriaItemList":[],"clientContextJson":""},{"keyOptionId":"1272","caption":"Malta","isDefault":true,"maskCriteriaOnly":false,"definition":"","keyProductQueryItem":"227199","comparisonOperation":0,"comparisonValue":"195","minimumVersion":"","maximumVersion":"","formOrder":0,"lowerBound":null,"enabled":true,"mask":"","maskKey":"","keyItemMaskOfField":null,"keyOptionIdReplace":"","relatedOptionIds":[],"onlineServices":[],"childCriteriaItemList":[],"clientContextJson":""},{"keyOptionId":"1267","caption":"Monaco","isDefault":true,"maskCriteriaOnly":false,"definition":"","keyProductQueryItem":"227199","comparisonOperation":0,"comparisonValue":"215","minimumVersion":"","maximumVersion":"","formOrder":0,"lowerBound":null,"enabled":true,"mask":"","maskKey":"","keyItemMaskOfField":null,"keyOptionIdReplace":"","relatedOptionIds":[],"onlineServices":[],"childCriteriaItemList":[],"clientContextJson":""},{"keyOptionId":"1263","caption":"Netherlands","isDefault":true,"maskCriteriaOnly":false,"definition":"","keyProductQueryItem":"227199","comparisonOperation":0,"comparisonValue":"216","minimumVersion":"","maximumVersion":"","formOrder":0,"lowerBound":null,"enabled":true,"mask":"","maskKey":"","keyItemMaskOfField":null,"keyOptionIdReplace":"","relatedOptionIds":[],"onlineServices":[],"childCriteriaItemList":[],"clientContextJson":""},{"keyOptionId":"1260","caption":"Norway","isDefault":true,"maskCriteriaOnly":false,"definition":"","keyProductQueryItem":"227199","comparisonOperation":0,"comparisonValue":"196","minimumVersion":"","maximumVersion":"","formOrder":0,"lowerBound":null,"enabled":true,"mask":"","maskKey":"","keyItemMaskOfField":null,"keyOptionIdReplace":"","relatedOptionIds":[],"onlineServices":[],"childCriteriaItemList":[],"clientContextJson":""},{"keyOptionId":"1264","caption":"Portugal","isDefault":true,"maskCriteriaOnly":false,"definition":"","keyProductQueryItem":"227199","comparisonOperation":0,"comparisonValue":"218","minimumVersion":"","maximumVersion":"","formOrder":0,"lowerBound":null,"enabled":true,"mask":"","maskKey":"","keyItemMaskOfField":null,"keyOptionIdReplace":"","relatedOptionIds":[],"onlineServices":[],"childCriteriaItemList":[],"clientContextJson":""},{"keyOptionId":"1273","caption":"San Marino","isDefault":true,"maskCriteriaOnly":false,"definition":"","keyProductQueryItem":"227199","comparisonOperation":0,"comparisonValue":"202","minimumVersion":"","maximumVersion":"","formOrder":0,"lowerBound":null,"enabled":true,"mask":"","maskKey":"","keyItemMaskOfField":null,"keyOptionIdReplace":"","relatedOptionIds":[],"onlineServices":[],"childCriteriaItemList":[],"clientContextJson":""},{"keyOptionId":"1275","caption":"Slovakia","isDefault":true,"maskCriteriaOnly":false,"definition":"","keyProductQueryItem":"227199","comparisonOperation":0,"comparisonValue":"201","minimumVersion":"","maximumVersion":"","formOrder":0,"lowerBound":null,"enabled":true,"mask":"","maskKey":"","keyItemMaskOfField":null,"keyOptionIdReplace":"","relatedOptionIds":[],"onlineServices":[],"childCriteriaItemList":[],"clientContextJson":""},{"keyOptionId":"1274","caption":"Slovenia","isDefault":true,"maskCriteriaOnly":false,"definition":"","keyProductQueryItem":"227199","comparisonOperation":0,"comparisonValue":"199","minimumVersion":"","maximumVersion":"","formOrder":0,"lowerBound":null,"enabled":true,"mask":"","maskKey":"","keyItemMaskOfField":null,"keyOptionIdReplace":"","relatedOptionIds":[],"onlineServices":[],"childCriteriaItemList":[],"clientContextJson":""},{"keyOptionId":"1261","caption":"Spain","isDefault":true,"maskCriteriaOnly":false,"definition":"","keyProductQueryItem":"227199","comparisonOperation":0,"comparisonValue":"210","minimumVersion":"","maximumVersion":"","formOrder":0,"lowerBound":null,"enabled":true,"mask":"","maskKey":"","keyItemMaskOfField":null,"keyOptionIdReplace":"","relatedOptionIds":[],"onlineServices":[],"childCriteriaItemList":[],"clientContextJson":""},{"keyOptionId":"1262","caption":"Sweden","isDefault":true,"maskCriteriaOnly":false,"definition":"","keyProductQueryItem":"227199","comparisonOperation":0,"comparisonValue":"219","minimumVersion":"","maximumVersion":"","formOrder":0,"lowerBound":null,"enabled":true,"mask":"","maskKey":"","keyItemMaskOfField":null,"keyOptionIdReplace":"","relatedOptionIds":[],"onlineServices":[],"childCriteriaItemList":[],"clientContextJson":""},{"keyOptionId":"1277","caption":"Switzerland","isDefault":true,"maskCriteriaOnly":false,"definition":"","keyProductQueryItem":"227199","comparisonOperation":0,"comparisonValue":"178","minimumVersion":"","maximumVersion":"","formOrder":0,"lowerBound":null,"enabled":true,"mask":"","maskKey":"","keyItemMaskOfField":null,"keyOptionIdReplace":"","relatedOptionIds":[],"onlineServices":[],"childCriteriaItemList":[],"clientContextJson":""},{"keyOptionId":"1278","caption":"United Kingdom","isDefault":true,"maskCriteriaOnly":false,"definition":"","keyProductQueryItem":"227199","comparisonOperation":0,"comparisonValue":"211","minimumVersion":"","maximumVersion":"","formOrder":0,"lowerBound":null,"enabled":true,"mask":"","maskKey":"","keyItemMaskOfField":null,"keyOptionIdReplace":"","relatedOptionIds":[],"onlineServices":[],"childCriteriaItemList":[],"clientContextJson":""},{"keyOptionId":"1276","caption":"Vatican City","isDefault":true,"maskCriteriaOnly":false,"definition":"","keyProductQueryItem":"227199","comparisonOperation":0,"comparisonValue":"205","minimumVersion":"","maximumVersion":"","formOrder":0,"lowerBound":null,"enabled":true,"mask":"","maskKey":"","keyItemMaskOfField":null,"keyOptionIdReplace":"","relatedOptionIds":[],"onlineServices":[],"childCriteriaItemList":[],"clientContextJson":""}],"clientContextJson":""},{"keyOptionId":"1279","caption":"Emerging Europe","isDefault":false,"maskCriteriaOnly":true,"definition":"","keyProductQueryItem":"","comparisonOperation":null,"comparisonValue":"","minimumVersion":"","maximumVersion":"","formOrder":0,"lowerBound":null,"enabled":true,"mask":"","maskKey":"","keyItemMaskOfField":null,"keyOptionIdReplace":"","relatedOptionIds":[],"onlineServices":[],"childCriteriaItemList":[{"keyOptionId":"1280","caption":"Åland Islands","isDefault":true,"maskCriteriaOnly":false,"definition":"","keyProductQueryItem":"227199","comparisonOperation":0,"comparisonValue":"172","minimumVersion":"","maximumVersion":"","formOrder":0,"lowerBound":null,"enabled":true,"mask":"","maskKey":"","keyItemMaskOfField":null,"keyOptionIdReplace":"","relatedOptionIds":[],"onlineServices":[],"childCriteriaItemList":[],"clientContextJson":""},{"keyOptionId":"1286","caption":"Albania","isDefault":true,"maskCriteriaOnly":false,"definition":"","keyProductQueryItem":"227199","comparisonOperation":0,"comparisonValue":"171","minimumVersion":"","maximumVersion":"","formOrder":0,"lowerBound":null,"enabled":true,"mask":"","maskKey":"","keyItemMaskOfField":null,"keyOptionIdReplace":"","relatedOptionIds":[],"onlineServices":[],"childCriteriaItemList":[],"clientContextJson":""},{"keyOptionId":"1287","caption":"Armenia","isDefault":true,"maskCriteriaOnly":false,"definition":"","keyProductQueryItem":"227199","comparisonOperation":0,"comparisonValue":"120","minimumVersion":"","maximumVersion":"","formOrder":0,"lowerBound":null,"enabled":true,"mask":</t>
  </si>
  <si>
    <t>"","maskKey":"","keyItemMaskOfField":null,"keyOptionIdReplace":"","relatedOptionIds":[],"onlineServices":[],"childCriteriaItemList":[],"clientContextJson":""},{"keyOptionId":"1281","caption":"Azerbaijan","isDefault":true,"maskCriteriaOnly":false,"definition":"","keyProductQueryItem":"227199","comparisonOperation":0,"comparisonValue":"173","minimumVersion":"","maximumVersion":"","formOrder":0,"lowerBound":null,"enabled":true,"mask":"","maskKey":"","keyItemMaskOfField":null,"keyOptionIdReplace":"","relatedOptionIds":[],"onlineServices":[],"childCriteriaItemList":[],"clientContextJson":""},{"keyOptionId":"1288","caption":"Belarus","isDefault":true,"maskCriteriaOnly":false,"definition":"","keyProductQueryItem":"227199","comparisonOperation":0,"comparisonValue":"177","minimumVersion":"","maximumVersion":"","formOrder":0,"lowerBound":null,"enabled":true,"mask":"","maskKey":"","keyItemMaskOfField":null,"keyOptionIdReplace":"","relatedOptionIds":[],"onlineServices":[],"childCriteriaItemList":[],"clientContextJson":""},{"keyOptionId":"1282","caption":"Bosnia &amp; Herzegovina","isDefault":true,"maskCriteriaOnly":false,"definition":"","keyProductQueryItem":"227199","comparisonOperation":0,"comparisonValue":"174","minimumVersion":"","maximumVersion":"","formOrder":0,"lowerBound":null,"enabled":true,"mask":"","maskKey":"","keyItemMaskOfField":null,"keyOptionIdReplace":"","relatedOptionIds":[],"onlineServices":[],"childCriteriaItemList":[],"clientContextJson":""},{"keyOptionId":"1289","caption":"Bulgaria","isDefault":true,"maskCriteriaOnly":false,"definition":"","keyProductQueryItem":"227199","comparisonOperation":0,"comparisonValue":"176","minimumVersion":"","maximumVersion":"","formOrder":0,"lowerBound":null,"enabled":true,"mask":"","maskKey":"","keyItemMaskOfField":null,"keyOptionIdReplace":"","relatedOptionIds":[],"onlineServices":[],"childCriteriaItemList":[],"clientContextJson":""},{"keyOptionId":"1290","caption":"Croatia","isDefault":true,"maskCriteriaOnly":false,"definition":"","keyProductQueryItem":"227199","comparisonOperation":0,"comparisonValue":"187","minimumVersion":"","maximumVersion":"","formOrder":0,"lowerBound":null,"enabled":true,"mask":"","maskKey":"","keyItemMaskOfField":null,"keyOptionIdReplace":"","relatedOptionIds":[],"onlineServices":[],"childCriteriaItemList":[],"clientContextJson":""},{"keyOptionId":"1291","caption":"Estonia","isDefault":true,"maskCriteriaOnly":false,"definition":"","keyProductQueryItem":"227199","comparisonOperation":0,"comparisonValue":"180","minimumVersion":"","maximumVersion":"","formOrder":0,"lowerBound":null,"enabled":true,"mask":"","maskKey":"","keyItemMaskOfField":null,"keyOptionIdReplace":"","relatedOptionIds":[],"onlineServices":[],"childCriteriaItemList":[],"clientContextJson":""},{"keyOptionId":"1283","caption":"Faroe Islands","isDefault":true,"maskCriteriaOnly":false,"definition":"","keyProductQueryItem":"227199","comparisonOperation":0,"comparisonValue":"182","minimumVersion":"","maximumVersion":"","formOrder":0,"lowerBound":null,"enabled":true,"mask":"","maskKey":"","keyItemMaskOfField":null,"keyOptionIdReplace":"","relatedOptionIds":[],"onlineServices":[],"childCriteriaItemList":[],"clientContextJson":""},{"keyOptionId":"1285","caption":"Georgia","isDefault":true,"maskCriteriaOnly":false,"definition":"","keyProductQueryItem":"227199","comparisonOperation":0,"comparisonValue":"184","minimumVersion":"","maximumVersion":"","formOrder":0,"lowerBound":null,"enabled":true,"mask":"","maskKey":"","keyItemMaskOfField":null,"keyOptionIdReplace":"","relatedOptionIds":[],"onlineServices":[],"childCriteriaItemList":[],"clientContextJson":""},{"keyOptionId":"1292","caption":"Hungary","isDefault":true,"maskCriteriaOnly":false,"definition":"","keyProductQueryItem":"227199","comparisonOperation":0,"comparisonValue":"188","minimumVersion":"","maximumVersion":"","formOrder":0,"lowerBound":null,"enabled":true,"mask":"","maskKey":"","keyItemMaskOfField":null,"keyOptionIdReplace":"","relatedOptionIds":[],"onlineServices":[],"childCriteriaItemList":[],"clientContextJson":""},{"keyOptionId":"1341","caption":"Kazakhstan","isDefault":true,"maskCriteriaOnly":false,"definition":"","keyProductQueryItem":"227199","comparisonOperation":0,"comparisonValue":"138","minimumVersion":"","maximumVersion":"","formOrder":0,"lowerBound":null,"enabled":true,"mask":"","maskKey":"","keyItemMaskOfField":null,"keyOptionIdReplace":"","relatedOptionIds":[],"onlineServices":[],"childCriteriaItemList":[],"clientContextJson":""},{"keyOptionId":"1328","caption":"Kyrgyzstan","isDefault":true,"maskCriteriaOnly":false,"definition":"","keyProductQueryItem":"227199","comparisonOperation":0,"comparisonValue":"134","minimumVersion":"","maximumVersion":"","formOrder":0,"lowerBound":null,"enabled":true,"mask":"","maskKey":"","keyItemMaskOfField":null,"keyOptionIdReplace":"","relatedOptionIds":[],"onlineServices":[],"childCriteriaItemList":[],"clientContextJson":""},{"keyOptionId":"1293","caption":"Latvia","isDefault":true,"maskCriteriaOnly":false,"definition":"","keyProductQueryItem":"227199","comparisonOperation":0,"comparisonValue":"192","minimumVersion":"","maximumVersion":"","formOrder":0,"lowerBound":null,"enabled":true,"mask":"","maskKey":"","keyItemMaskOfField":null,"keyOptionIdReplace":"","relatedOptionIds":[],"onlineServices":[],"childCriteriaItemList":[],"clientContextJson":""},{"keyOptionId":"1294","caption":"Lithuania","isDefault":true,"maskCriteriaOnly":false,"definition":"","keyProductQueryItem":"227199","comparisonOperation":0,"comparisonValue":"191","minimumVersion":"","maximumVersion":"","formOrder":0,"lowerBound":null,"enabled":true,"mask":"","maskKey":"","keyItemMaskOfField":null,"keyOptionIdReplace":"","relatedOptionIds":[],"onlineServices":[],"childCriteriaItemList":[],"clientContextJson":""},{"keyOptionId":"1284","caption":"Macedonia","isDefault":true,"maskCriteriaOnly":false,"definition":"","keyProductQueryItem":"227199","comparisonOperation":0,"comparisonValue":"194","minimumVersion":"","maximumVersion":"","formOrder":0,"lowerBound":null,"enabled":true,"mask":"","maskKey":"","keyItemMaskOfField":null,"keyOptionIdReplace":"","relatedOptionIds":[],"onlineServices":[],"childCriteriaItemList":[],"clientContextJson":""},{"keyOptionId":"1295","caption":"Moldova","isDefault":true,"maskCriteriaOnly":false,"definition":"","keyProductQueryItem":"227199","comparisonOperation":0,"comparisonValue":"193","minimumVersion":"","maximumVersion":"","formOrder":0,"lowerBound":null,"enabled":true,"mask":"","maskKey":"","keyItemMaskOfField":null,"keyOptionIdReplace":"","relatedOptionIds":[],"onlineServices":[],"childCriteriaItemList":[],"clientContextJson":""},{"keyOptionId":"1952","caption":"Montenegro","isDefault":true,"maskCriteriaOnly":false,"definition":"","keyProductQueryItem":"227199","comparisonOperation":0,"comparisonValue":"997","minimumVersion":"","maximumVersion":"","formOrder":0,"lowerBound":null,"enabled":true,"mask":"","maskKey":"","keyItemMaskOfField":null,"keyOptionIdReplace":"","relatedOptionIds":[],"onlineServices":[],"childCriteriaItemList":[],"clientContextJson":""},{"keyOptionId":"1296","caption":"Poland","isDefault":true,"maskCriteriaOnly":false,"definition":"","keyProductQueryItem":"227199","comparisonOperation":0,"comparisonValue":"217","minimumVersion":"","maximumVersion":"","formOrder":0,"lowerBound":null,"enabled":true,"mask":"","maskKey":"","keyItemMaskOfField":null,"keyOptionIdReplace":"","relatedOptionIds":[],"onlineServices":[],"childCriteriaItemList":[],"clientContextJson":""},{"keyOptionId":"1298","caption":"Romania","isDefault":true,"maskCriteriaOnly":false,"definition":"","keyProductQueryItem":"227199","comparisonOpera</t>
  </si>
  <si>
    <t>tion":0,"comparisonValue":"197","minimumVersion":"","maximumVersion":"","formOrder":0,"lowerBound":null,"enabled":true,"mask":"","maskKey":"","keyItemMaskOfField":null,"keyOptionIdReplace":"","relatedOptionIds":[],"onlineServices":[],"childCriteriaItemList":[],"clientContextJson":""},{"keyOptionId":"1299","caption":"Russia","isDefault":true,"maskCriteriaOnly":false,"definition":"","keyProductQueryItem":"227199","comparisonOperation":0,"comparisonValue":"198","minimumVersion":"","maximumVersion":"","formOrder":0,"lowerBound":null,"enabled":true,"mask":"","maskKey":"","keyItemMaskOfField":null,"keyOptionIdReplace":"","relatedOptionIds":[],"onlineServices":[],"childCriteriaItemList":[],"clientContextJson":""},{"keyOptionId":"1300","caption":"Serbia","isDefault":true,"maskCriteriaOnly":false,"definition":"","keyProductQueryItem":"227199","comparisonOperation":0,"comparisonValue":"179","minimumVersion":"","maximumVersion":"","formOrder":0,"lowerBound":null,"enabled":true,"mask":"","maskKey":"","keyItemMaskOfField":null,"keyOptionIdReplace":"","relatedOptionIds":[],"onlineServices":[],"childCriteriaItemList":[],"clientContextJson":""},{"keyOptionId":"1301","caption":"Svalbard","isDefault":true,"maskCriteriaOnly":false,"definition":"","keyProductQueryItem":"227199","comparisonOperation":0,"comparisonValue":"200","minimumVersion":"","maximumVersion":"","formOrder":0,"lowerBound":null,"enabled":true,"mask":"","maskKey":"","keyItemMaskOfField":null,"keyOptionIdReplace":"","relatedOptionIds":[],"onlineServices":[],"childCriteriaItemList":[],"clientContextJson":""},{"keyOptionId":"1346","caption":"Tajikistan","isDefault":true,"maskCriteriaOnly":false,"definition":"","keyProductQueryItem":"227199","comparisonOperation":0,"comparisonValue":"155","minimumVersion":"","maximumVersion":"","formOrder":0,"lowerBound":null,"enabled":true,"mask":"","maskKey":"","keyItemMaskOfField":null,"keyOptionIdReplace":"","relatedOptionIds":[],"onlineServices":[],"childCriteriaItemList":[],"clientContextJson":""},{"keyOptionId":"1297","caption":"Turkey","isDefault":true,"maskCriteriaOnly":false,"definition":"","keyProductQueryItem":"227199","comparisonOperation":0,"comparisonValue":"203","minimumVersion":"","maximumVersion":"","formOrder":0,"lowerBound":null,"enabled":true,"mask":"","maskKey":"","keyItemMaskOfField":null,"keyOptionIdReplace":"","relatedOptionIds":[],"onlineServices":[],"childCriteriaItemList":[],"clientContextJson":""},{"keyOptionId":"1362","caption":"Turkmenistan","isDefault":true,"maskCriteriaOnly":false,"definition":"","keyProductQueryItem":"227199","comparisonOperation":0,"comparisonValue":"156","minimumVersion":"","maximumVersion":"","formOrder":0,"lowerBound":null,"enabled":true,"mask":"","maskKey":"","keyItemMaskOfField":null,"keyOptionIdReplace":"","relatedOptionIds":[],"onlineServices":[],"childCriteriaItemList":[],"clientContextJson":""},{"keyOptionId":"1302","caption":"Ukraine","isDefault":true,"maskCriteriaOnly":false,"definition":"","keyProductQueryItem":"227199","comparisonOperation":0,"comparisonValue":"204","minimumVersion":"","maximumVersion":"","formOrder":0,"lowerBound":null,"enabled":true,"mask":"","maskKey":"","keyItemMaskOfField":null,"keyOptionIdReplace":"","relatedOptionIds":[],"onlineServices":[],"childCriteriaItemList":[],"clientContextJson":""},{"keyOptionId":"1349","caption":"Uzbekistan","isDefault":true,"maskCriteriaOnly":false,"definition":"","keyProductQueryItem":"227199","comparisonOperation":0,"comparisonValue":"158","minimumVersion":"","maximumVersion":"","formOrder":0,"lowerBound":null,"enabled":true,"mask":"","maskKey":"","keyItemMaskOfField":null,"keyOptionIdReplace":"","relatedOptionIds":[],"onlineServices":[],"childCriteriaItemList":[],"clientContextJson":""}],"clientContextJson":""}],"clientContextJson":""},{"keyOptionId":"1303","caption":"Asia-Pacif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1304","caption":"Developed Asia-Pacif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1305","caption":"Australia","isDefault":true,"maskCriteriaOnly":false,"definition":"","keyProductQueryItem":"227199","comparisonOperation":0,"comparisonValue":"239","minimumVersion":"","maximumVersion":"","formOrder":0,"lowerBound":null,"enabled":true,"mask":"","maskKey":"","keyItemMaskOfField":null,"keyOptionIdReplace":"","relatedOptionIds":[],"onlineServices":[],"childCriteriaItemList":[],"clientContextJson":""},{"keyOptionId":"1306","caption":"Hong Kong","isDefault":true,"maskCriteriaOnly":false,"definition":"","keyProductQueryItem":"227199","comparisonOperation":0,"comparisonValue":"127","minimumVersion":"","maximumVersion":"","formOrder":0,"lowerBound":null,"enabled":true,"mask":"","maskKey":"","keyItemMaskOfField":null,"keyOptionIdReplace":"","relatedOptionIds":[],"onlineServices":[],"childCriteriaItemList":[],"clientContextJson":""},{"keyOptionId":"1307","caption":"Japan","isDefault":true,"maskCriteriaOnly":false,"definition":"","keyProductQueryItem":"227199","comparisonOperation":0,"comparisonValue":"133","minimumVersion":"","maximumVersion":"","formOrder":0,"lowerBound":null,"enabled":true,"mask":"","maskKey":"","keyItemMaskOfField":null,"keyOptionIdReplace":"","relatedOptionIds":[],"onlineServices":[],"childCriteriaItemList":[],"clientContextJson":""},{"keyOptionId":"1308","caption":"New Zealand","isDefault":true,"maskCriteriaOnly":false,"definition":"","keyProductQueryItem":"227199","comparisonOperation":0,"comparisonValue":"228","minimumVersion":"","maximumVersion":"","formOrder":0,"lowerBound":null,"enabled":true,"mask":"","maskKey":"","keyItemMaskOfField":null,"keyOptionIdReplace":"","relatedOptionIds":[],"onlineServices":[],"childCriteriaItemList":[],"clientContextJson":""},{"keyOptionId":"1310","caption":"Singapore","isDefault":true,"maskCriteriaOnly":false,"definition":"","keyProductQueryItem":"227199","comparisonOperation":0,"comparisonValue":"152","minimumVersion":"","maximumVersion":"","formOrder":0,"lowerBound":null,"enabled":true,"mask":"","maskKey":"","keyItemMaskOfField":null,"keyOptionIdReplace":"","relatedOptionIds":[],"onlineServices":[],"childCriteriaItemList":[],"clientContextJson":""},{"keyOptionId":"1309","caption":"South Korea","isDefault":true,"maskCriteriaOnly":false,"definition":"","keyProductQueryItem":"227199","comparisonOperation":0,"comparisonValue":"136","minimumVersion":"","maximumVersion":"","formOrder":0,"lowerBound":null,"enabled":true,"mask":"","maskKey":"","keyItemMaskOfField":null,"keyOptionIdReplace":"","relatedOptionIds":[],"onlineServices":[],"childCriteriaItemList":[],"clientContextJson":""},{"keyOptionId":"1311","caption":"Taiwan","isDefault":true,"maskCriteriaOnly":false,"definition":"","keyProductQueryItem":"227199","comparisonOperation":0,"comparisonValue":"169","minimumVersion":"","maximumVersion":"","formOrder":0,"lowerBound":null,"enabled":true,"mask":"","maskKey":"","keyItemMaskOfField":null,"keyOptionIdReplace":"","relatedOptionIds":[],"onlineServices":[],"childCriteriaItemList":[],"clientContextJson":""}],"clientContextJson":""},{"ke</t>
  </si>
  <si>
    <t>yOptionId":"1312","caption":"Emerging Asia-Pacif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1361","caption":"Afghanistan","isDefault":true,"maskCriteriaOnly":false,"definition":"","keyProductQueryItem":"227199","comparisonOperation":0,"comparisonValue":"161","minimumVersion":"","maximumVersion":"","formOrder":0,"lowerBound":null,"enabled":true,"mask":"","maskKey":"","keyItemMaskOfField":null,"keyOptionIdReplace":"","relatedOptionIds":[],"onlineServices":[],"childCriteriaItemList":[],"clientContextJson":""},{"keyOptionId":"1335","caption":"Bangladesh","isDefault":true,"maskCriteriaOnly":false,"definition":"","keyProductQueryItem":"227199","comparisonOperation":0,"comparisonValue":"121","minimumVersion":"","maximumVersion":"","formOrder":0,"lowerBound":null,"enabled":true,"mask":"","maskKey":"","keyItemMaskOfField":null,"keyOptionIdReplace":"","relatedOptionIds":[],"onlineServices":[],"childCriteriaItemList":[],"clientContextJson":""},{"keyOptionId":"1324","caption":"Bhutan","isDefault":true,"maskCriteriaOnly":false,"definition":"","keyProductQueryItem":"227199","comparisonOperation":0,"comparisonValue":"123","minimumVersion":"","maximumVersion":"","formOrder":0,"lowerBound":null,"enabled":true,"mask":"","maskKey":"","keyItemMaskOfField":null,"keyOptionIdReplace":"","relatedOptionIds":[],"onlineServices":[],"childCriteriaItemList":[],"clientContextJson":""},{"keyOptionId":"1333","caption":"Brunei","isDefault":true,"maskCriteriaOnly":false,"definition":"","keyProductQueryItem":"227199","comparisonOperation":0,"comparisonValue":"122","minimumVersion":"","maximumVersion":"","formOrder":0,"lowerBound":null,"enabled":true,"mask":"","maskKey":"","keyItemMaskOfField":null,"keyOptionIdReplace":"","relatedOptionIds":[],"onlineServices":[],"childCriteriaItemList":[],"clientContextJson":""},{"keyOptionId":"1325","caption":"Cambodia","isDefault":true,"maskCriteriaOnly":false,"definition":"","keyProductQueryItem":"227199","comparisonOperation":0,"comparisonValue":"135","minimumVersion":"","maximumVersion":"","formOrder":0,"lowerBound":null,"enabled":true,"mask":"","maskKey":"","keyItemMaskOfField":null,"keyOptionIdReplace":"","relatedOptionIds":[],"onlineServices":[],"childCriteriaItemList":[],"clientContextJson":""},{"keyOptionId":"1336","caption":"China","isDefault":true,"maskCriteriaOnly":false,"definition":"","keyProductQueryItem":"227199","comparisonOperation":0,"comparisonValue":"163","minimumVersion":"","maximumVersion":"","formOrder":0,"lowerBound":null,"enabled":true,"mask":"","maskKey":"","keyItemMaskOfField":null,"keyOptionIdReplace":"","relatedOptionIds":[],"onlineServices":[],"childCriteriaItemList":[],"clientContextJson":""},{"keyOptionId":"1316","caption":"Cook Islands","isDefault":true,"maskCriteriaOnly":false,"definition":"","keyProductQueryItem":"227199","comparisonOperation":0,"comparisonValue":"220","minimumVersion":"","maximumVersion":"","formOrder":0,"lowerBound":null,"enabled":true,"mask":"","maskKey":"","keyItemMaskOfField":null,"keyOptionIdReplace":"","relatedOptionIds":[],"onlineServices":[],"childCriteriaItemList":[],"clientContextJson":""},{"keyOptionId":"1338","caption":"Fiji","isDefault":true,"maskCriteriaOnly":false,"definition":"","keyProductQueryItem":"227199","comparisonOperation":0,"comparisonValue":"221","minimumVersion":"","maximumVersion":"","formOrder":0,"lowerBound":null,"enabled":true,"mask":"","maskKey":"","keyItemMaskOfField":null,"keyOptionIdReplace":"","relatedOptionIds":[],"onlineServices":[],"childCriteriaItemList":[],"clientContextJson":""},{"keyOptionId":"1354","caption":"French Polynesia","isDefault":true,"maskCriteriaOnly":false,"definition":"","keyProductQueryItem":"227199","comparisonOperation":0,"comparisonValue":"229","minimumVersion":"","maximumVersion":"","formOrder":0,"lowerBound":null,"enabled":true,"mask":"","maskKey":"","keyItemMaskOfField":null,"keyOptionIdReplace":"","relatedOptionIds":[],"onlineServices":[],"childCriteriaItemList":[],"clientContextJson":""},{"keyOptionId":"1339","caption":"India","isDefault":true,"maskCriteriaOnly":false,"definition":"","keyProductQueryItem":"227199","comparisonOperation":0,"comparisonValue":"128","minimumVersion":"","maximumVersion":"","formOrder":0,"lowerBound":null,"enabled":true,"mask":"","maskKey":"","keyItemMaskOfField":null,"keyOptionIdReplace":"","relatedOptionIds":[],"onlineServices":[],"childCriteriaItemList":[],"clientContextJson":""},{"keyOptionId":"1340","caption":"Indonesia","isDefault":true,"maskCriteriaOnly":false,"definition":"","keyProductQueryItem":"227199","comparisonOperation":0,"comparisonValue":"164","minimumVersion":"","maximumVersion":"","formOrder":0,"lowerBound":null,"enabled":true,"mask":"","maskKey":"","keyItemMaskOfField":null,"keyOptionIdReplace":"","relatedOptionIds":[],"onlineServices":[],"childCriteriaItemList":[],"clientContextJson":""},{"keyOptionId":"1342","caption":"Kiribati","isDefault":true,"maskCriteriaOnly":false,"definition":"","keyProductQueryItem":"227199","comparisonOperation":0,"comparisonValue":"222","minimumVersion":"","maximumVersion":"","formOrder":0,"lowerBound":null,"enabled":true,"mask":"","maskKey":"","keyItemMaskOfField":null,"keyOptionIdReplace":"","relatedOptionIds":[],"onlineServices":[],"childCriteriaItemList":[],"clientContextJson":""},{"keyOptionId":"1329","caption":"Laos","isDefault":true,"maskCriteriaOnly":false,"definition":"","keyProductQueryItem":"227199","comparisonOperation":0,"comparisonValue":"139","minimumVersion":"","maximumVersion":"","formOrder":0,"lowerBound":null,"enabled":true,"mask":"","maskKey":"","keyItemMaskOfField":null,"keyOptionIdReplace":"","relatedOptionIds":[],"onlineServices":[],"childCriteriaItemList":[],"clientContextJson":""},{"keyOptionId":"1330","caption":"Macau","isDefault":true,"maskCriteriaOnly":false,"definition":"","keyProductQueryItem":"227199","comparisonOperation":0,"comparisonValue":"144","minimumVersion":"","maximumVersion":"","formOrder":0,"lowerBound":null,"enabled":true,"mask":"","maskKey":"","keyItemMaskOfField":null,"keyOptionIdReplace":"","relatedOptionIds":[],"onlineServices":[],"childCriteriaItemList":[],"clientContextJson":""},{"keyOptionId":"1331","caption":"Malaysia","isDefault":true,"maskCriteriaOnly":false,"definition":"","keyProductQueryItem":"227199","comparisonOperation":0,"comparisonValue":"146","minimumVersion":"","maximumVersion":"","formOrder":0,"lowerBound":null,"enabled":true,"mask":"","maskKey":"","keyItemMaskOfField":null,"keyOptionIdReplace":"","relatedOptionIds":[],"onlineServices":[],"childCriteriaItemList":[],"clientContextJson":""},{"keyOptionId":"1343","caption":"Maldives","isDefault":true,"maskCriteriaOnly":false,"definition":"","keyProductQueryItem":"227199","comparisonOperation":0,"comparisonValue":"145","minimumVersion":"","maximumVersion":"","formOrder":0,"lowerBound":null,"enabled":true,"mask":"","maskKey":"","keyItemMaskOfField":null,"keyOptionIdReplace":"","relatedOptionIds":[],"onlineServices":[],"childCriteriaItemList":[],"clientContextJson":""},{"keyOptionId":"1347","caption":"Marshall Islands","isDefault":true,"maskCriteriaOnly":false,"definition":"","keyProductQueryItem":"227199","comparisonOperation":0,"comparisonValue":"240","minimumVersion":"","maximumVersion":"","formOrder":0,"lowerBound":null,"enabled":true,"mask":"","maskKey":"","keyItemMaskOfField":null,"keyOptionIdReplace":"","</t>
  </si>
  <si>
    <t>relatedOptionIds":[],"onlineServices":[],"childCriteriaItemList":[],"clientContextJson":""},{"keyOptionId":"1332","caption":"Mongolia","isDefault":true,"maskCriteriaOnly":false,"definition":"","keyProductQueryItem":"227199","comparisonOperation":0,"comparisonValue":"143","minimumVersion":"","maximumVersion":"","formOrder":0,"lowerBound":null,"enabled":true,"mask":"","maskKey":"","keyItemMaskOfField":null,"keyOptionIdReplace":"","relatedOptionIds":[],"onlineServices":[],"childCriteriaItemList":[],"clientContextJson":""},{"keyOptionId":"1364","caption":"Myanmar","isDefault":true,"maskCriteriaOnly":false,"definition":"","keyProductQueryItem":"227199","comparisonOperation":0,"comparisonValue":"142","minimumVersion":"","maximumVersion":"","formOrder":0,"lowerBound":null,"enabled":true,"mask":"","maskKey":"","keyItemMaskOfField":null,"keyOptionIdReplace":"","relatedOptionIds":[],"onlineServices":[],"childCriteriaItemList":[],"clientContextJson":""},{"keyOptionId":"1344","caption":"Nauru","isDefault":true,"maskCriteriaOnly":false,"definition":"","keyProductQueryItem":"227199","comparisonOperation":0,"comparisonValue":"226","minimumVersion":"","maximumVersion":"","formOrder":0,"lowerBound":null,"enabled":true,"mask":"","maskKey":"","keyItemMaskOfField":null,"keyOptionIdReplace":"","relatedOptionIds":[],"onlineServices":[],"childCriteriaItemList":[],"clientContextJson":""},{"keyOptionId":"1320","caption":"Nepal","isDefault":true,"maskCriteriaOnly":false,"definition":"","keyProductQueryItem":"227199","comparisonOperation":0,"comparisonValue":"147","minimumVersion":"","maximumVersion":"","formOrder":0,"lowerBound":null,"enabled":true,"mask":"","maskKey":"","keyItemMaskOfField":null,"keyOptionIdReplace":"","relatedOptionIds":[],"onlineServices":[],"childCriteriaItemList":[],"clientContextJson":""},{"keyOptionId":"1356","caption":"New Caledonia","isDefault":true,"maskCriteriaOnly":false,"definition":"","keyProductQueryItem":"227199","comparisonOperation":0,"comparisonValue":"224","minimumVersion":"","maximumVersion":"","formOrder":0,"lowerBound":null,"enabled":true,"mask":"","maskKey":"","keyItemMaskOfField":null,"keyOptionIdReplace":"","relatedOptionIds":[],"onlineServices":[],"childCriteriaItemList":[],"clientContextJson":""},{"keyOptionId":"1334","caption":"Niue","isDefault":true,"maskCriteriaOnly":false,"definition":"","keyProductQueryItem":"227199","comparisonOperation":0,"comparisonValue":"227","minimumVersion":"","maximumVersion":"","formOrder":0,"lowerBound":null,"enabled":true,"mask":"","maskKey":"","keyItemMaskOfField":null,"keyOptionIdReplace":"","relatedOptionIds":[],"onlineServices":[],"childCriteriaItemList":[],"clientContextJson":""},{"keyOptionId":"1317","caption":"North Korea","isDefault":true,"maskCriteriaOnly":false,"definition":"","keyProductQueryItem":"227199","comparisonOperation":0,"comparisonValue":"166","minimumVersion":"","maximumVersion":"","formOrder":0,"lowerBound":null,"enabled":true,"mask":"","maskKey":"","keyItemMaskOfField":null,"keyOptionIdReplace":"","relatedOptionIds":[],"onlineServices":[],"childCriteriaItemList":[],"clientContextJson":""},{"keyOptionId":"1315","caption":"Northern Mariana","isDefault":true,"maskCriteriaOnly":false,"definition":"","keyProductQueryItem":"227199","comparisonOperation":0,"comparisonValue":"223","minimumVersion":"","maximumVersion":"","formOrder":0,"lowerBound":null,"enabled":true,"mask":"","maskKey":"","keyItemMaskOfField":null,"keyOptionIdReplace":"","relatedOptionIds":[],"onlineServices":[],"childCriteriaItemList":[],"clientContextJson":""},{"keyOptionId":"1323","caption":"Pakistan","isDefault":true,"maskCriteriaOnly":false,"definition":"","keyProductQueryItem":"227199","comparisonOperation":0,"comparisonValue":"149","minimumVersion":"","maximumVersion":"","formOrder":0,"lowerBound":null,"enabled":true,"mask":"","maskKey":"","keyItemMaskOfField":null,"keyOptionIdReplace":"","relatedOptionIds":[],"onlineServices":[],"childCriteriaItemList":[],"clientContextJson":""},{"keyOptionId":"1345","caption":"Palau","isDefault":true,"maskCriteriaOnly":false,"definition":"","keyProductQueryItem":"227199","comparisonOperation":0,"comparisonValue":"232","minimumVersion":"","maximumVersion":"","formOrder":0,"lowerBound":null,"enabled":true,"mask":"","maskKey":"","keyItemMaskOfField":null,"keyOptionIdReplace":"","relatedOptionIds":[],"onlineServices":[],"childCriteriaItemList":[],"clientContextJson":""},{"keyOptionId":"1321","caption":"Papua New Guinea","isDefault":true,"maskCriteriaOnly":false,"definition":"","keyProductQueryItem":"227199","comparisonOperation":0,"comparisonValue":"230","minimumVersion":"","maximumVersion":"","formOrder":0,"lowerBound":null,"enabled":true,"mask":"","maskKey":"","keyItemMaskOfField":null,"keyOptionIdReplace":"","relatedOptionIds":[],"onlineServices":[],"childCriteriaItemList":[],"clientContextJson":""},{"keyOptionId":"1348","caption":"Philippines","isDefault":true,"maskCriteriaOnly":false,"definition":"","keyProductQueryItem":"227199","comparisonOperation":0,"comparisonValue":"167","minimumVersion":"","maximumVersion":"","formOrder":0,"lowerBound":null,"enabled":true,"mask":"","maskKey":"","keyItemMaskOfField":null,"keyOptionIdReplace":"","relatedOptionIds":[],"onlineServices":[],"childCriteriaItemList":[],"clientContextJson":""},{"keyOptionId":"1322","caption":"Samoa","isDefault":true,"maskCriteriaOnly":false,"definition":"","keyProductQueryItem":"227199","comparisonOperation":0,"comparisonValue":"241","minimumVersion":"","maximumVersion":"","formOrder":0,"lowerBound":null,"enabled":true,"mask":"","maskKey":"","keyItemMaskOfField":null,"keyOptionIdReplace":"","relatedOptionIds":[],"onlineServices":[],"childCriteriaItemList":[],"clientContextJson":""},{"keyOptionId":"1352","caption":"Solomon Islands","isDefault":true,"maskCriteriaOnly":false,"definition":"","keyProductQueryItem":"227199","comparisonOperation":0,"comparisonValue":"233","minimumVersion":"","maximumVersion":"","formOrder":0,"lowerBound":null,"enabled":true,"mask":"","maskKey":"","keyItemMaskOfField":null,"keyOptionIdReplace":"","relatedOptionIds":[],"onlineServices":[],"childCriteriaItemList":[],"clientContextJson":""},{"keyOptionId":"1319","caption":"Sri Lanka","isDefault":true,"maskCriteriaOnly":false,"definition":"","keyProductQueryItem":"227199","comparisonOperation":0,"comparisonValue":"141","minimumVersion":"","maximumVersion":"","formOrder":0,"lowerBound":null,"enabled":true,"mask":"","maskKey":"","keyItemMaskOfField":null,"keyOptionIdReplace":"","relatedOptionIds":[],"onlineServices":[],"childCriteriaItemList":[],"clientContextJson":""},{"keyOptionId":"1326","caption":"Thailand","isDefault":true,"maskCriteriaOnly":false,"definition":"","keyProductQueryItem":"227199","comparisonOperation":0,"comparisonValue":"154","minimumVersion":"","maximumVersion":"","formOrder":0,"lowerBound":null,"enabled":true,"mask":"","maskKey":"","keyItemMaskOfField":null,"keyOptionIdReplace":"","relatedOptionIds":[],"onlineServices":[],"childCriteriaItemList":[],"clientContextJson":""},{"keyOptionId":"1318","caption":"Timor-Leste","isDefault":true,"maskCriteriaOnly":false,"definition":"","keyProductQueryItem":"227199","comparisonOperation":0,"comparisonValue":"157","minimumVersion":"","maximumVersion":"","formOrder":0,"lowerBound":null,"enabled":true,"mask":"","maskKey":"","keyItemMaskOfField":null,"keyOptionIdReplace":"","relatedOptionIds":[],"onlineServices":[],"childCriteriaItemList":[],"clientContextJson":""},{"keyOptionId":"1360","caption":"Tokelau","isDefault":true,"maskCriteriaOnly":false,"definition":"","keyProductQueryItem":"227199","comparisonOperation":0,"comparisonValue":"234","minimumVersion":"","maximumVer</t>
  </si>
  <si>
    <t>sion":"","formOrder":0,"lowerBound":null,"enabled":true,"mask":"","maskKey":"","keyItemMaskOfField":null,"keyOptionIdReplace":"","relatedOptionIds":[],"onlineServices":[],"childCriteriaItemList":[],"clientContextJson":""},{"keyOptionId":"1327","caption":"Tonga","isDefault":true,"maskCriteriaOnly":false,"definition":"","keyProductQueryItem":"227199","comparisonOperation":0,"comparisonValue":"235","minimumVersion":"","maximumVersion":"","formOrder":0,"lowerBound":null,"enabled":true,"mask":"","maskKey":"","keyItemMaskOfField":null,"keyOptionIdReplace":"","relatedOptionIds":[],"onlineServices":[],"childCriteriaItemList":[],"clientContextJson":""},{"keyOptionId":"1363","caption":"Tuvalu","isDefault":true,"maskCriteriaOnly":false,"definition":"","keyProductQueryItem":"227199","comparisonOperation":0,"comparisonValue":"236","minimumVersion":"","maximumVersion":"","formOrder":0,"lowerBound":null,"enabled":true,"mask":"","maskKey":"","keyItemMaskOfField":null,"keyOptionIdReplace":"","relatedOptionIds":[],"onlineServices":[],"childCriteriaItemList":[],"clientContextJson":""},{"keyOptionId":"1350","caption":"Vanuatu","isDefault":true,"maskCriteriaOnly":false,"definition":"","keyProductQueryItem":"227199","comparisonOperation":0,"comparisonValue":"237","minimumVersion":"","maximumVersion":"","formOrder":0,"lowerBound":null,"enabled":true,"mask":"","maskKey":"","keyItemMaskOfField":null,"keyOptionIdReplace":"","relatedOptionIds":[],"onlineServices":[],"childCriteriaItemList":[],"clientContextJson":""},{"keyOptionId":"1351","caption":"Vietnam","isDefault":true,"maskCriteriaOnly":false,"definition":"","keyProductQueryItem":"227199","comparisonOperation":0,"comparisonValue":"159","minimumVersion":"","maximumVersion":"","formOrder":0,"lowerBound":null,"enabled":true,"mask":"","maskKey":"","keyItemMaskOfField":null,"keyOptionIdReplace":"","relatedOptionIds":[],"onlineServices":[],"childCriteriaItemList":[],"clientContextJson":""},{"keyOptionId":"1359","caption":"Wallis &amp; Futuna","isDefault":true,"maskCriteriaOnly":false,"definition":"","keyProductQueryItem":"227199","comparisonOperation":0,"comparisonValue":"238","minimumVersion":"","maximumVersion":"","formOrder":0,"lowerBound":null,"enabled":true,"mask":"","maskKey":"","keyItemMaskOfField":null,"keyOptionIdReplace":"","relatedOptionIds":[],"onlineServices":[],"childCriteriaItemList":[],"clientContextJson":""}],"clientContextJson":""}],"clientContextJson":""},{"keyOptionId":"1365","caption":"Middle Ea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1369","caption":"Bahrain","isDefault":true,"maskCriteriaOnly":false,"definition":"","keyProductQueryItem":"227199","comparisonOperation":0,"comparisonValue":"162","minimumVersion":"","maximumVersion":"","formOrder":0,"lowerBound":null,"enabled":true,"mask":"","maskKey":"","keyItemMaskOfField":null,"keyOptionIdReplace":"","relatedOptionIds":[],"onlineServices":[],"childCriteriaItemList":[],"clientContextJson":""},{"keyOptionId":"1366","caption":"Egypt","isDefault":true,"maskCriteriaOnly":false,"definition":"","keyProductQueryItem":"227199","comparisonOperation":0,"comparisonValue":"74","minimumVersion":"","maximumVersion":"","formOrder":0,"lowerBound":null,"enabled":true,"mask":"","maskKey":"","keyItemMaskOfField":null,"keyOptionIdReplace":"","relatedOptionIds":[],"onlineServices":[],"childCriteriaItemList":[],"clientContextJson":""},{"keyOptionId":"1368","caption":"Iran","isDefault":true,"maskCriteriaOnly":false,"definition":"","keyProductQueryItem":"227199","comparisonOperation":0,"comparisonValue":"131","minimumVersion":"","maximumVersion":"","formOrder":0,"lowerBound":null,"enabled":true,"mask":"","maskKey":"","keyItemMaskOfField":null,"keyOptionIdReplace":"","relatedOptionIds":[],"onlineServices":[],"childCriteriaItemList":[],"clientContextJson":""},{"keyOptionId":"1373","caption":"Iraq","isDefault":true,"maskCriteriaOnly":false,"definition":"","keyProductQueryItem":"227199","comparisonOperation":0,"comparisonValue":"130","minimumVersion":"","maximumVersion":"","formOrder":0,"lowerBound":null,"enabled":true,"mask":"","maskKey":"","keyItemMaskOfField":null,"keyOptionIdReplace":"","relatedOptionIds":[],"onlineServices":[],"childCriteriaItemList":[],"clientContextJson":""},{"keyOptionId":"1375","caption":"Israel","isDefault":true,"maskCriteriaOnly":false,"definition":"","keyProductQueryItem":"227199","comparisonOperation":0,"comparisonValue":"165","minimumVersion":"","maximumVersion":"","formOrder":0,"lowerBound":null,"enabled":true,"mask":"","maskKey":"","keyItemMaskOfField":null,"keyOptionIdReplace":"","relatedOptionIds":[],"onlineServices":[],"childCriteriaItemList":[],"clientContextJson":""},{"keyOptionId":"1367","caption":"Jordan","isDefault":true,"maskCriteriaOnly":false,"definition":"","keyProductQueryItem":"227199","comparisonOperation":0,"comparisonValue":"132","minimumVersion":"","maximumVersion":"","formOrder":0,"lowerBound":null,"enabled":true,"mask":"","maskKey":"","keyItemMaskOfField":null,"keyOptionIdReplace":"","relatedOptionIds":[],"onlineServices":[],"childCriteriaItemList":[],"clientContextJson":""},{"keyOptionId":"1376","caption":"Kuwait","isDefault":true,"maskCriteriaOnly":false,"definition":"","keyProductQueryItem":"227199","comparisonOperation":0,"comparisonValue":"137","minimumVersion":"","maximumVersion":"","formOrder":0,"lowerBound":null,"enabled":true,"mask":"","maskKey":"","keyItemMaskOfField":null,"keyOptionIdReplace":"","relatedOptionIds":[],"onlineServices":[],"childCriteriaItemList":[],"clientContextJson":""},{"keyOptionId":"1371","caption":"Lebanon","isDefault":true,"maskCriteriaOnly":false,"definition":"","keyProductQueryItem":"227199","comparisonOperation":0,"comparisonValue":"140","minimumVersion":"","maximumVersion":"","formOrder":0,"lowerBound":null,"enabled":true,"mask":"","maskKey":"","keyItemMaskOfField":null,"keyOptionIdReplace":"","relatedOptionIds":[],"onlineServices":[],"childCriteriaItemList":[],"clientContextJson":""},{"keyOptionId":"1378","caption":"Oman","isDefault":true,"maskCriteriaOnly":false,"definition":"","keyProductQueryItem":"227199","comparisonOperation":0,"comparisonValue":"148","minimumVersion":"","maximumVersion":"","formOrder":0,"lowerBound":null,"enabled":true,"mask":"","maskKey":"","keyItemMaskOfField":null,"keyOptionIdReplace":"","relatedOptionIds":[],"onlineServices":[],"childCriteriaItemList":[],"clientContextJson":""},{"keyOptionId":"1372","caption":"Palestine","isDefault":true,"maskCriteriaOnly":false,"definition":"","keyProductQueryItem":"227199","comparisonOperation":0,"comparisonValue":"150","minimumVersion":"","maximumVersion":"","formOrder":0,"lowerBound":null,"enabled":true,"mask":"","maskKey":"","keyItemMaskOfField":null,"keyOptionIdReplace":"","relatedOptionIds":[],"onlineServices":[],"childCriteriaItemList":[],"clientContextJson":""},{"keyOptionId":"1377","caption":"Qatar","isDefault":true,"maskCriteriaOnly":false,"definition":"","keyProductQueryItem":"227199","comparisonOperation":0,"comparisonValue":"151","minimumVersion":"","maximumVersion":"","formOrder":0,"lowerBound":null,"enabled":true,"mask":"","maskKey":"","keyItemMaskOfField":null,"keyOptionIdReplace":"","relatedOptionIds":[],"onlineServices":[],"childCriteriaItemList":[],"clientContextJson":""},{"keyOptionId":"1370","caption":"Saudi Arabia","isDefault":true,"maskCriteriaOnly":false,"definition":"","</t>
  </si>
  <si>
    <t>keyProductQueryItem":"227199","comparisonOperation":0,"comparisonValue":"168","minimumVersion":"","maximumVersion":"","formOrder":0,"lowerBound":null,"enabled":true,"mask":"","maskKey":"","keyItemMaskOfField":null,"keyOptionIdReplace":"","relatedOptionIds":[],"onlineServices":[],"childCriteriaItemList":[],"clientContextJson":""},{"keyOptionId":"1379","caption":"Syria","isDefault":true,"maskCriteriaOnly":false,"definition":"","keyProductQueryItem":"227199","comparisonOperation":0,"comparisonValue":"153","minimumVersion":"","maximumVersion":"","formOrder":0,"lowerBound":null,"enabled":true,"mask":"","maskKey":"","keyItemMaskOfField":null,"keyOptionIdReplace":"","relatedOptionIds":[],"onlineServices":[],"childCriteriaItemList":[],"clientContextJson":""},{"keyOptionId":"1380","caption":"United Arab Emirates","isDefault":true,"maskCriteriaOnly":false,"definition":"","keyProductQueryItem":"227199","comparisonOperation":0,"comparisonValue":"119","minimumVersion":"","maximumVersion":"","formOrder":0,"lowerBound":null,"enabled":true,"mask":"","maskKey":"","keyItemMaskOfField":null,"keyOptionIdReplace":"","relatedOptionIds":[],"onlineServices":[],"childCriteriaItemList":[],"clientContextJson":""},{"keyOptionId":"1374","caption":"Yemen","isDefault":true,"maskCriteriaOnly":false,"definition":"","keyProductQueryItem":"227199","comparisonOperation":0,"comparisonValue":"160","minimumVersion":"","maximumVersion":"","formOrder":0,"lowerBound":null,"enabled":true,"mask":"","maskKey":"","keyItemMaskOfField":null,"keyOptionIdReplace":"","relatedOptionIds":[],"onlineServices":[],"childCriteriaItemList":[],"clientContextJson":""}],"clientContextJson":""},{"keyOptionId":"1381","caption":"Latin America and Caribbean","isDefault":false,"maskCriteriaOnly":true,"definition":"","keyProductQueryItem":"","comparisonOperation":null,"comparisonValue":"","minimumVersion":"","maximumVersion":"","formOrder":0,"lowerBound":null,"enabled":true,"mask":"","maskKey":"","keyItemMaskOfField":null,"keyOptionIdReplace":"","relatedOptionIds":[],"onlineServices":[],"childCriteriaItemList":[{"keyOptionId":"1382","caption":"Anguilla","isDefault":true,"maskCriteriaOnly":false,"definition":"","keyProductQueryItem":"227199","comparisonOperation":0,"comparisonValue":"9","minimumVersion":"","maximumVersion":"","formOrder":0,"lowerBound":null,"enabled":true,"mask":"","maskKey":"","keyItemMaskOfField":null,"keyOptionIdReplace":"","relatedOptionIds":[],"onlineServices":[],"childCriteriaItemList":[],"clientContextJson":""},{"keyOptionId":"1383","caption":"Antigua and Barbuda","isDefault":true,"maskCriteriaOnly":false,"definition":"","keyProductQueryItem":"227199","comparisonOperation":0,"comparisonValue":"8","minimumVersion":"","maximumVersion":"","formOrder":0,"lowerBound":null,"enabled":true,"mask":"","maskKey":"","keyItemMaskOfField":null,"keyOptionIdReplace":"","relatedOptionIds":[],"onlineServices":[],"childCriteriaItemList":[],"clientContextJson":""},{"keyOptionId":"1384","caption":"Argentina","isDefault":true,"maskCriteriaOnly":false,"definition":"","keyProductQueryItem":"227199","comparisonOperation":0,"comparisonValue":"52","minimumVersion":"","maximumVersion":"","formOrder":0,"lowerBound":null,"enabled":true,"mask":"","maskKey":"","keyItemMaskOfField":null,"keyOptionIdReplace":"","relatedOptionIds":[],"onlineServices":[],"childCriteriaItemList":[],"clientContextJson":""},{"keyOptionId":"1385","caption":"Aruba","isDefault":true,"maskCriteriaOnly":false,"definition":"","keyProductQueryItem":"227199","comparisonOperation":0,"comparisonValue":"10","minimumVersion":"","maximumVersion":"","formOrder":0,"lowerBound":null,"enabled":true,"mask":"","maskKey":"","keyItemMaskOfField":null,"keyOptionIdReplace":"","relatedOptionIds":[],"onlineServices":[],"childCriteriaItemList":[],"clientContextJson":""},{"keyOptionId":"1392","caption":"Bahamas","isDefault":true,"maskCriteriaOnly":false,"definition":"","keyProductQueryItem":"227199","comparisonOperation":0,"comparisonValue":"37","minimumVersion":"","maximumVersion":"","formOrder":0,"lowerBound":null,"enabled":true,"mask":"","maskKey":"","keyItemMaskOfField":null,"keyOptionIdReplace":"","relatedOptionIds":[],"onlineServices":[],"childCriteriaItemList":[],"clientContextJson":""},{"keyOptionId":"1386","caption":"Barbados","isDefault":true,"maskCriteriaOnly":false,"definition":"","keyProductQueryItem":"227199","comparisonOperation":0,"comparisonValue":"11","minimumVersion":"","maximumVersion":"","formOrder":0,"lowerBound":null,"enabled":true,"mask":"","maskKey":"","keyItemMaskOfField":null,"keyOptionIdReplace":"","relatedOptionIds":[],"onlineServices":[],"childCriteriaItemList":[],"clientContextJson":""},{"keyOptionId":"1387","caption":"Belize","isDefault":true,"maskCriteriaOnly":false,"definition":"","keyProductQueryItem":"227199","comparisonOperation":0,"comparisonValue":"13","minimumVersion":"","maximumVersion":"","formOrder":0,"lowerBound":null,"enabled":true,"mask":"","maskKey":"","keyItemMaskOfField":null,"keyOptionIdReplace":"","relatedOptionIds":[],"onlineServices":[],"childCriteriaItemList":[],"clientContextJson":""},{"keyOptionId":"1406","caption":"Bolivia","isDefault":true,"maskCriteriaOnly":false,"definition":"","keyProductQueryItem":"227199","comparisonOperation":0,"comparisonValue":"43","minimumVersion":"","maximumVersion":"","formOrder":0,"lowerBound":null,"enabled":true,"mask":"","maskKey":"","keyItemMaskOfField":null,"keyOptionIdReplace":"","relatedOptionIds":[],"onlineServices":[],"childCriteriaItemList":[],"clientContextJson":""},{"keyOptionId":"3214","caption":"Bonaire","isDefault":true,"maskCriteriaOnly":false,"definition":"","keyProductQueryItem":"227199","comparisonOperation":0,"comparisonValue":"1119","minimumVersion":"","maximumVersion":"","formOrder":0,"lowerBound":null,"enabled":true,"mask":"","maskKey":"","keyItemMaskOfField":null,"keyOptionIdReplace":"","relatedOptionIds":[],"onlineServices":[],"childCriteriaItemList":[],"clientContextJson":""},{"keyOptionId":"1400","caption":"Brazil","isDefault":true,"maskCriteriaOnly":false,"definition":"","keyProductQueryItem":"227199","comparisonOperation":0,"comparisonValue":"53","minimumVersion":"","maximumVersion":"","formOrder":0,"lowerBound":null,"enabled":true,"mask":"","maskKey":"","keyItemMaskOfField":null,"keyOptionIdReplace":"","relatedOptionIds":[],"onlineServices":[],"childCriteriaItemList":[],"clientContextJson":""},{"keyOptionId":"1389","caption":"BVI","isDefault":true,"maskCriteriaOnly":false,"definition":"","keyProductQueryItem":"227199","comparisonOperation":0,"comparisonValue":"35","minimumVersion":"","maximumVersion":"","formOrder":0,"lowerBound":null,"enabled":true,"mask":"","maskKey":"","keyItemMaskOfField":null,"keyOptionIdReplace":"","relatedOptionIds":[],"onlineServices":[],"childCriteriaItemList":[],"clientContextJson":""},{"keyOptionId":"1390","caption":"Cayman Islands","isDefault":true,"maskCriteriaOnly":false,"definition":"","keyProductQueryItem":"227199","comparisonOperation":0,"comparisonValue":"41","minimumVersion":"","maximumVersion":"","formOrder":0,"lowerBound":null,"enabled":true,"mask":"","maskKey":"","keyItemMaskOfField":null,"keyOptionIdReplace":"","relatedOptionIds":[],"onlineServices":[],"childCriteriaItemList":[],"clientContextJson":""},{"keyOptionId":"1407","caption":"Chile","isDefault":true,"maskCriteriaOnly":false,"definition":"","keyProductQueryItem":"227199","comparisonOperation":0,"comparisonValue":"54","minimumVersion":"","maximumVersion":"","formOrder":0,"lowerBound":null,"enabled":true,"mask":"","maskKey":"","keyItemMaskOfField":null,"keyOptionIdReplace":"","relatedOptionIds":[],"onlineServices":[],"childCriteriaItemList":[],"clientCont</t>
  </si>
  <si>
    <t>extJson":""},{"keyOptionId":"1426","caption":"Cocos Islands","isDefault":true,"maskCriteriaOnly":false,"definition":"","keyProductQueryItem":"227199","comparisonOperation":0,"comparisonValue":"124","minimumVersion":"","maximumVersion":"","formOrder":0,"lowerBound":null,"enabled":true,"mask":"","maskKey":"","keyItemMaskOfField":null,"keyOptionIdReplace":"","relatedOptionIds":[],"onlineServices":[],"childCriteriaItemList":[],"clientContextJson":""},{"keyOptionId":"1408","caption":"Colombia","isDefault":true,"maskCriteriaOnly":false,"definition":"","keyProductQueryItem":"227199","comparisonOperation":0,"comparisonValue":"44","minimumVersion":"","maximumVersion":"","formOrder":0,"lowerBound":null,"enabled":true,"mask":"","maskKey":"","keyItemMaskOfField":null,"keyOptionIdReplace":"","relatedOptionIds":[],"onlineServices":[],"childCriteriaItemList":[],"clientContextJson":""},{"keyOptionId":"1409","caption":"Costa Rica","isDefault":true,"maskCriteriaOnly":false,"definition":"","keyProductQueryItem":"227199","comparisonOperation":0,"comparisonValue":"14","minimumVersion":"","maximumVersion":"","formOrder":0,"lowerBound":null,"enabled":true,"mask":"","maskKey":"","keyItemMaskOfField":null,"keyOptionIdReplace":"","relatedOptionIds":[],"onlineServices":[],"childCriteriaItemList":[],"clientContextJson":""},{"keyOptionId":"1410","caption":"Cuba","isDefault":true,"maskCriteriaOnly":false,"definition":"","keyProductQueryItem":"227199","comparisonOperation":0,"comparisonValue":"15","minimumVersion":"","maximumVersion":"","formOrder":0,"lowerBound":null,"enabled":true,"mask":"","maskKey":"","keyItemMaskOfField":null,"keyOptionIdReplace":"","relatedOptionIds":[],"onlineServices":[],"childCriteriaItemList":[],"clientContextJson":""},{"keyOptionId":"3213","caption":"Curaçao","isDefault":true,"maskCriteriaOnly":false,"definition":"","keyProductQueryItem":"227199","comparisonOperation":0,"comparisonValue":"1118","minimumVersion":"","maximumVersion":"","formOrder":0,"lowerBound":null,"enabled":true,"mask":"","maskKey":"","keyItemMaskOfField":null,"keyOptionIdReplace":"","relatedOptionIds":[],"onlineServices":[],"childCriteriaItemList":[],"clientContextJson":""},{"keyOptionId":"1391","caption":"Dominica","isDefault":true,"maskCriteriaOnly":false,"definition":"","keyProductQueryItem":"227199","comparisonOperation":0,"comparisonValue":"16","minimumVersion":"","maximumVersion":"","formOrder":0,"lowerBound":null,"enabled":true,"mask":"","maskKey":"","keyItemMaskOfField":null,"keyOptionIdReplace":"","relatedOptionIds":[],"onlineServices":[],"childCriteriaItemList":[],"clientContextJson":""},{"keyOptionId":"1397","caption":"Dominican Republic","isDefault":true,"maskCriteriaOnly":false,"definition":"","keyProductQueryItem":"227199","comparisonOperation":0,"comparisonValue":"17","minimumVersion":"","maximumVersion":"","formOrder":0,"lowerBound":null,"enabled":true,"mask":"","maskKey":"","keyItemMaskOfField":null,"keyOptionIdReplace":"","relatedOptionIds":[],"onlineServices":[],"childCriteriaItemList":[],"clientContextJson":""},{"keyOptionId":"1411","caption":"Ecuador","isDefault":true,"maskCriteriaOnly":false,"definition":"","keyProductQueryItem":"227199","comparisonOperation":0,"comparisonValue":"55","minimumVersion":"","maximumVersion":"","formOrder":0,"lowerBound":null,"enabled":true,"mask":"","maskKey":"","keyItemMaskOfField":null,"keyOptionIdReplace":"","relatedOptionIds":[],"onlineServices":[],"childCriteriaItemList":[],"clientContextJson":""},{"keyOptionId":"1412","caption":"El Salvador","isDefault":true,"maskCriteriaOnly":false,"definition":"","keyProductQueryItem":"227199","comparisonOperation":0,"comparisonValue":"42","minimumVersion":"","maximumVersion":"","formOrder":0,"lowerBound":null,"enabled":true,"mask":"","maskKey":"","keyItemMaskOfField":null,"keyOptionIdReplace":"","relatedOptionIds":[],"onlineServices":[],"childCriteriaItemList":[],"clientContextJson":""},{"keyOptionId":"1398","caption":"Falkland Islands","isDefault":true,"maskCriteriaOnly":false,"definition":"","keyProductQueryItem":"227199","comparisonOperation":0,"comparisonValue":"45","minimumVersion":"","maximumVersion":"","formOrder":0,"lowerBound":null,"enabled":true,"mask":"","maskKey":"","keyItemMaskOfField":null,"keyOptionIdReplace":"","relatedOptionIds":[],"onlineServices":[],"childCriteriaItemList":[],"clientContextJson":""},{"keyOptionId":"1395","caption":"French Guiana","isDefault":true,"maskCriteriaOnly":false,"definition":"","keyProductQueryItem":"227199","comparisonOperation":0,"comparisonValue":"46","minimumVersion":"","maximumVersion":"","formOrder":0,"lowerBound":null,"enabled":true,"mask":"","maskKey":"","keyItemMaskOfField":null,"keyOptionIdReplace":"","relatedOptionIds":[],"onlineServices":[],"childCriteriaItemList":[],"clientContextJson":""},{"keyOptionId":"1401","caption":"Grenada","isDefault":true,"maskCriteriaOnly":false,"definition":"","keyProductQueryItem":"227199","comparisonOperation":0,"comparisonValue":"18","minimumVersion":"","maximumVersion":"","formOrder":0,"lowerBound":null,"enabled":true,"mask":"","maskKey":"","keyItemMaskOfField":null,"keyOptionIdReplace":"","relatedOptionIds":[],"onlineServices":[],"childCriteriaItemList":[],"clientContextJson":""},{"keyOptionId":"1394","caption":"Guadeloupe","isDefault":true,"maskCriteriaOnly":false,"definition":"","keyProductQueryItem":"227199","comparisonOperation":0,"comparisonValue":"20","minimumVersion":"","maximumVersion":"","formOrder":0,"lowerBound":null,"enabled":true,"mask":"","maskKey":"","keyItemMaskOfField":null,"keyOptionIdReplace":"","relatedOptionIds":[],"onlineServices":[],"childCriteriaItemList":[],"clientContextJson":""},{"keyOptionId":"1413","caption":"Guatemala","isDefault":true,"maskCriteriaOnly":false,"definition":"","keyProductQueryItem":"227199","comparisonOperation":0,"comparisonValue":"39","minimumVersion":"","maximumVersion":"","formOrder":0,"lowerBound":null,"enabled":true,"mask":"","maskKey":"","keyItemMaskOfField":null,"keyOptionIdReplace":"","relatedOptionIds":[],"onlineServices":[],"childCriteriaItemList":[],"clientContextJson":""},{"keyOptionId":"1393","caption":"Guyana","isDefault":true,"maskCriteriaOnly":false,"definition":"","keyProductQueryItem":"227199","comparisonOperation":0,"comparisonValue":"47","minimumVersion":"","maximumVersion":"","formOrder":0,"lowerBound":null,"enabled":true,"mask":"","maskKey":"","keyItemMaskOfField":null,"keyOptionIdReplace":"","relatedOptionIds":[],"onlineServices":[],"childCriteriaItemList":[],"clientContextJson":""},{"keyOptionId":"1414","caption":"Haiti","isDefault":true,"maskCriteriaOnly":false,"definition":"","keyProductQueryItem":"227199","comparisonOperation":0,"comparisonValue":"22","minimumVersion":"","maximumVersion":"","formOrder":0,"lowerBound":null,"enabled":true,"mask":"","maskKey":"","keyItemMaskOfField":null,"keyOptionIdReplace":"","relatedOptionIds":[],"onlineServices":[],"childCriteriaItemList":[],"clientContextJson":""},{"keyOptionId":"1415","caption":"Honduras","isDefault":true,"maskCriteriaOnly":false,"definition":"","keyProductQueryItem":"227199","comparisonOperation":0,"comparisonValue":"21","minimumVersion":"","maximumVersion":"","formOrder":0,"lowerBound":null,"enabled":true,"mask":"","maskKey":"","keyItemMaskOfField":null,"keyOptionIdReplace":"","relatedOptionIds":[],"onlineServices":[],"childCriteriaItemList":[],"clientContextJson":""},{"keyOptionId":"1402","caption":"Jamaica","isDefault":true,"maskCriteriaOnly":false,"definition":"","keyProductQueryItem":"227199","comparisonOperation":0,"comparisonValue":"23","minimumVersion":"","maximumVersion":"","formOrder":0,"lowerBound":null,"enabled":true,"mask":"","maskKey":"","keyItemMask</t>
  </si>
  <si>
    <t>OfField":null,"keyOptionIdReplace":"","relatedOptionIds":[],"onlineServices":[],"childCriteriaItemList":[],"clientContextJson":""},{"keyOptionId":"1396","caption":"Martinique","isDefault":true,"maskCriteriaOnly":false,"definition":"","keyProductQueryItem":"227199","comparisonOperation":0,"comparisonValue":"25","minimumVersion":"","maximumVersion":"","formOrder":0,"lowerBound":null,"enabled":true,"mask":"","maskKey":"","keyItemMaskOfField":null,"keyOptionIdReplace":"","relatedOptionIds":[],"onlineServices":[],"childCriteriaItemList":[],"clientContextJson":""},{"keyOptionId":"1428","caption":"Mexico","isDefault":true,"maskCriteriaOnly":false,"definition":"","keyProductQueryItem":"227199","comparisonOperation":0,"comparisonValue":"27","minimumVersion":"","maximumVersion":"","formOrder":0,"lowerBound":null,"enabled":true,"mask":"","maskKey":"","keyItemMaskOfField":null,"keyOptionIdReplace":"","relatedOptionIds":[],"onlineServices":[],"childCriteriaItemList":[],"clientContextJson":""},{"keyOptionId":"1403","caption":"Montserrat","isDefault":true,"maskCriteriaOnly":false,"definition":"","keyProductQueryItem":"227199","comparisonOperation":0,"comparisonValue":"26","minimumVersion":"","maximumVersion":"","formOrder":0,"lowerBound":null,"enabled":true,"mask":"","maskKey":"","keyItemMaskOfField":null,"keyOptionIdReplace":"","relatedOptionIds":[],"onlineServices":[],"childCriteriaItemList":[],"clientContextJson":""},{"keyOptionId":"1416","caption":"Nicaragua","isDefault":true,"maskCriteriaOnly":false,"definition":"","keyProductQueryItem":"227199","comparisonOperation":0,"comparisonValue":"28","minimumVersion":"","maximumVersion":"","formOrder":0,"lowerBound":null,"enabled":true,"mask":"","maskKey":"","keyItemMaskOfField":null,"keyOptionIdReplace":"","relatedOptionIds":[],"onlineServices":[],"childCriteriaItemList":[],"clientContextJson":""},{"keyOptionId":"1417","caption":"Panama","isDefault":true,"maskCriteriaOnly":false,"definition":"","keyProductQueryItem":"227199","comparisonOperation":0,"comparisonValue":"29","minimumVersion":"","maximumVersion":"","formOrder":0,"lowerBound":null,"enabled":true,"mask":"","maskKey":"","keyItemMaskOfField":null,"keyOptionIdReplace":"","relatedOptionIds":[],"onlineServices":[],"childCriteriaItemList":[],"clientContextJson":""},{"keyOptionId":"1418","caption":"Paraguay","isDefault":true,"maskCriteriaOnly":false,"definition":"","keyProductQueryItem":"227199","comparisonOperation":0,"comparisonValue":"49","minimumVersion":"","maximumVersion":"","formOrder":0,"lowerBound":null,"enabled":true,"mask":"","maskKey":"","keyItemMaskOfField":null,"keyOptionIdReplace":"","relatedOptionIds":[],"onlineServices":[],"childCriteriaItemList":[],"clientContextJson":""},{"keyOptionId":"1419","caption":"Peru","isDefault":true,"maskCriteriaOnly":false,"definition":"","keyProductQueryItem":"227199","comparisonOperation":0,"comparisonValue":"48","minimumVersion":"","maximumVersion":"","formOrder":0,"lowerBound":null,"enabled":true,"mask":"","maskKey":"","keyItemMaskOfField":null,"keyOptionIdReplace":"","relatedOptionIds":[],"onlineServices":[],"childCriteriaItemList":[],"clientContextJson":""},{"keyOptionId":"1422","caption":"Saint Lucia","isDefault":true,"maskCriteriaOnly":false,"definition":"","keyProductQueryItem":"227199","comparisonOperation":0,"comparisonValue":"24","minimumVersion":"","maximumVersion":"","formOrder":0,"lowerBound":null,"enabled":true,"mask":"","maskKey":"","keyItemMaskOfField":null,"keyOptionIdReplace":"","relatedOptionIds":[],"onlineServices":[],"childCriteriaItemList":[],"clientContextJson":""},{"keyOptionId":"1423","caption":"Saint Vincent","isDefault":true,"maskCriteriaOnly":false,"definition":"","keyProductQueryItem":"227199","comparisonOperation":0,"comparisonValue":"34","minimumVersion":"","maximumVersion":"","formOrder":0,"lowerBound":null,"enabled":true,"mask":"","maskKey":"","keyItemMaskOfField":null,"keyOptionIdReplace":"","relatedOptionIds":[],"onlineServices":[],"childCriteriaItemList":[],"clientContextJson":""},{"keyOptionId":"3212","caption":"Sint Maarten","isDefault":true,"maskCriteriaOnly":false,"definition":"","keyProductQueryItem":"227199","comparisonOperation":0,"comparisonValue":"1117","minimumVersion":"","maximumVersion":"","formOrder":0,"lowerBound":null,"enabled":true,"mask":"","maskKey":"","keyItemMaskOfField":null,"keyOptionIdReplace":"","relatedOptionIds":[],"onlineServices":[],"childCriteriaItemList":[],"clientContextJson":""},{"keyOptionId":"1424","caption":"South Georgia","isDefault":true,"maskCriteriaOnly":false,"definition":"","keyProductQueryItem":"227199","comparisonOperation":0,"comparisonValue":"59","minimumVersion":"","maximumVersion":"","formOrder":0,"lowerBound":null,"enabled":true,"mask":"","maskKey":"","keyItemMaskOfField":null,"keyOptionIdReplace":"","relatedOptionIds":[],"onlineServices":[],"childCriteriaItemList":[],"clientContextJson":""},{"keyOptionId":"1399","caption":"St. Kitts and Nevis","isDefault":true,"maskCriteriaOnly":false,"definition":"","keyProductQueryItem":"227199","comparisonOperation":0,"comparisonValue":"40","minimumVersion":"","maximumVersion":"","formOrder":0,"lowerBound":null,"enabled":true,"mask":"","maskKey":"","keyItemMaskOfField":null,"keyOptionIdReplace":"","relatedOptionIds":[],"onlineServices":[],"childCriteriaItemList":[],"clientContextJson":""},{"keyOptionId":"1425","caption":"St. Pierre, Miquelon","isDefault":true,"maskCriteriaOnly":false,"definition":"","keyProductQueryItem":"227199","comparisonOperation":0,"comparisonValue":"30","minimumVersion":"","maximumVersion":"","formOrder":0,"lowerBound":null,"enabled":true,"mask":"","maskKey":"","keyItemMaskOfField":null,"keyOptionIdReplace":"","relatedOptionIds":[],"onlineServices":[],"childCriteriaItemList":[],"clientContextJson":""},{"keyOptionId":"1420","caption":"Suriname","isDefault":true,"maskCriteriaOnly":false,"definition":"","keyProductQueryItem":"227199","comparisonOperation":0,"comparisonValue":"50","minimumVersion":"","maximumVersion":"","formOrder":0,"lowerBound":null,"enabled":true,"mask":"","maskKey":"","keyItemMaskOfField":null,"keyOptionIdReplace":"","relatedOptionIds":[],"onlineServices":[],"childCriteriaItemList":[],"clientContextJson":""},{"keyOptionId":"1421","caption":"Trinidad and Tobago","isDefault":true,"maskCriteriaOnly":false,"definition":"","keyProductQueryItem":"227199","comparisonOperation":0,"comparisonValue":"32","minimumVersion":"","maximumVersion":"","formOrder":0,"lowerBound":null,"enabled":true,"mask":"","maskKey":"","keyItemMaskOfField":null,"keyOptionIdReplace":"","relatedOptionIds":[],"onlineServices":[],"childCriteriaItemList":[],"clientContextJson":""},{"keyOptionId":"1427","caption":"Turks &amp; Caicos","isDefault":true,"maskCriteriaOnly":false,"definition":"","keyProductQueryItem":"227199","comparisonOperation":0,"comparisonValue":"31","minimumVersion":"","maximumVersion":"","formOrder":0,"lowerBound":null,"enabled":true,"mask":"","maskKey":"","keyItemMaskOfField":null,"keyOptionIdReplace":"","relatedOptionIds":[],"onlineServices":[],"childCriteriaItemList":[],"clientContextJson":""},{"keyOptionId":"1405","caption":"Uruguay","isDefault":true,"maskCriteriaOnly":false,"definition":"","keyProductQueryItem":"227199","comparisonOperation":0,"comparisonValue":"51","minimumVersion":"","maximumVersion":"","formOrder":0,"lowerBound":null,"enabled":true,"mask":"","maskKey":"","keyItemMaskOfField":null,"keyOptionIdReplace":"","relatedOptionIds":[],"onlineServices":[],"childCriteriaItemList":[],"clientContextJson":""},{"keyOptionId":"1388","caption":"Venezuela","isDefault":true,"maskCriteriaOnly":false,"definition":"","keyProductQueryItem":"227199","comparisonOperation"</t>
  </si>
  <si>
    <t>:0,"comparisonValue":"56","minimumVersion":"","maximumVersion":"","formOrder":0,"lowerBound":null,"enabled":true,"mask":"","maskKey":"","keyItemMaskOfField":null,"keyOptionIdReplace":"","relatedOptionIds":[],"onlineServices":[],"childCriteriaItemList":[],"clientContextJson":""}],"clientContextJson":""},{"keyOptionId":"1429","caption":"Africa","isDefault":false,"maskCriteriaOnly":true,"definition":"","keyProductQueryItem":"","comparisonOperation":null,"comparisonValue":"","minimumVersion":"","maximumVersion":"","formOrder":0,"lowerBound":null,"enabled":true,"mask":"","maskKey":"","keyItemMaskOfField":null,"keyOptionIdReplace":"","relatedOptionIds":[],"onlineServices":[],"childCriteriaItemList":[{"keyOptionId":"1434","caption":"Algeria","isDefault":true,"maskCriteriaOnly":false,"definition":"","keyProductQueryItem":"227199","comparisonOperation":0,"comparisonValue":"73","minimumVersion":"","maximumVersion":"","formOrder":0,"lowerBound":null,"enabled":true,"mask":"","maskKey":"","keyItemMaskOfField":null,"keyOptionIdReplace":"","relatedOptionIds":[],"onlineServices":[],"childCriteriaItemList":[],"clientContextJson":""},{"keyOptionId":"1444","caption":"Angola","isDefault":true,"maskCriteriaOnly":false,"definition":"","keyProductQueryItem":"227199","comparisonOperation":0,"comparisonValue":"62","minimumVersion":"","maximumVersion":"","formOrder":0,"lowerBound":null,"enabled":true,"mask":"","maskKey":"","keyItemMaskOfField":null,"keyOptionIdReplace":"","relatedOptionIds":[],"onlineServices":[],"childCriteriaItemList":[],"clientContextJson":""},{"keyOptionId":"1445","caption":"Benin","isDefault":true,"maskCriteriaOnly":false,"definition":"","keyProductQueryItem":"227199","comparisonOperation":0,"comparisonValue":"65","minimumVersion":"","maximumVersion":"","formOrder":0,"lowerBound":null,"enabled":true,"mask":"","maskKey":"","keyItemMaskOfField":null,"keyOptionIdReplace":"","relatedOptionIds":[],"onlineServices":[],"childCriteriaItemList":[],"clientContextJson":""},{"keyOptionId":"1446","caption":"Botswana","isDefault":true,"maskCriteriaOnly":false,"definition":"","keyProductQueryItem":"227199","comparisonOperation":0,"comparisonValue":"66","minimumVersion":"","maximumVersion":"","formOrder":0,"lowerBound":null,"enabled":true,"mask":"","maskKey":"","keyItemMaskOfField":null,"keyOptionIdReplace":"","relatedOptionIds":[],"onlineServices":[],"childCriteriaItemList":[],"clientContextJson":""},{"keyOptionId":"1430","caption":"Bouvet Island","isDefault":true,"maskCriteriaOnly":false,"definition":"","keyProductQueryItem":"227199","comparisonOperation":0,"comparisonValue":"58","minimumVersion":"","maximumVersion":"","formOrder":0,"lowerBound":null,"enabled":true,"mask":"","maskKey":"","keyItemMaskOfField":null,"keyOptionIdReplace":"","relatedOptionIds":[],"onlineServices":[],"childCriteriaItemList":[],"clientContextJson":""},{"keyOptionId":"1431","caption":"Burkina Faso","isDefault":true,"maskCriteriaOnly":false,"definition":"","keyProductQueryItem":"227199","comparisonOperation":0,"comparisonValue":"63","minimumVersion":"","maximumVersion":"","formOrder":0,"lowerBound":null,"enabled":true,"mask":"","maskKey":"","keyItemMaskOfField":null,"keyOptionIdReplace":"","relatedOptionIds":[],"onlineServices":[],"childCriteriaItemList":[],"clientContextJson":""},{"keyOptionId":"1447","caption":"Burundi","isDefault":true,"maskCriteriaOnly":false,"definition":"","keyProductQueryItem":"227199","comparisonOperation":0,"comparisonValue":"64","minimumVersion":"","maximumVersion":"","formOrder":0,"lowerBound":null,"enabled":true,"mask":"","maskKey":"","keyItemMaskOfField":null,"keyOptionIdReplace":"","relatedOptionIds":[],"onlineServices":[],"childCriteriaItemList":[],"clientContextJson":""},{"keyOptionId":"1448","caption":"Cameroon","isDefault":true,"maskCriteriaOnly":false,"definition":"","keyProductQueryItem":"227199","comparisonOperation":0,"comparisonValue":"70","minimumVersion":"","maximumVersion":"","formOrder":0,"lowerBound":null,"enabled":true,"mask":"","maskKey":"","keyItemMaskOfField":null,"keyOptionIdReplace":"","relatedOptionIds":[],"onlineServices":[],"childCriteriaItemList":[],"clientContextJson":""},{"keyOptionId":"1449","caption":"Cape Verde","isDefault":true,"maskCriteriaOnly":false,"definition":"","keyProductQueryItem":"227199","comparisonOperation":0,"comparisonValue":"71","minimumVersion":"","maximumVersion":"","formOrder":0,"lowerBound":null,"enabled":true,"mask":"","maskKey":"","keyItemMaskOfField":null,"keyOptionIdReplace":"","relatedOptionIds":[],"onlineServices":[],"childCriteriaItemList":[],"clientContextJson":""},{"keyOptionId":"1432","caption":"Central African Rep.","isDefault":true,"maskCriteriaOnly":false,"definition":"","keyProductQueryItem":"227199","comparisonOperation":0,"comparisonValue":"67","minimumVersion":"","maximumVersion":"","formOrder":0,"lowerBound":null,"enabled":true,"mask":"","maskKey":"","keyItemMaskOfField":null,"keyOptionIdReplace":"","relatedOptionIds":[],"onlineServices":[],"childCriteriaItemList":[],"clientContextJson":""},{"keyOptionId":"1450","caption":"Chad","isDefault":true,"maskCriteriaOnly":false,"definition":"","keyProductQueryItem":"227199","comparisonOperation":0,"comparisonValue":"108","minimumVersion":"","maximumVersion":"","formOrder":0,"lowerBound":null,"enabled":true,"mask":"","maskKey":"","keyItemMaskOfField":null,"keyOptionIdReplace":"","relatedOptionIds":[],"onlineServices":[],"childCriteriaItemList":[],"clientContextJson":""},{"keyOptionId":"1484","caption":"Comoros","isDefault":true,"maskCriteriaOnly":false,"definition":"","keyProductQueryItem":"227199","comparisonOperation":0,"comparisonValue":"117","minimumVersion":"","maximumVersion":"","formOrder":0,"lowerBound":null,"enabled":true,"mask":"","maskKey":"","keyItemMaskOfField":null,"keyOptionIdReplace":"","relatedOptionIds":[],"onlineServices":[],"childCriteriaItemList":[],"clientContextJson":""},{"keyOptionId":"1451","caption":"Cote d'Ivoire","isDefault":true,"maskCriteriaOnly":false,"definition":"","keyProductQueryItem":"227199","comparisonOperation":0,"comparisonValue":"69","minimumVersion":"","maximumVersion":"","formOrder":0,"lowerBound":null,"enabled":true,"mask":"","maskKey":"","keyItemMaskOfField":null,"keyOptionIdReplace":"","relatedOptionIds":[],"onlineServices":[],"childCriteriaItemList":[],"clientContextJson":""},{"keyOptionId":"1433","caption":"Dem. Rep. Congo","isDefault":true,"maskCriteriaOnly":false,"definition":"","keyProductQueryItem":"227199","comparisonOperation":0,"comparisonValue":"115","minimumVersion":"","maximumVersion":"","formOrder":0,"lowerBound":null,"enabled":true,"mask":"","maskKey":"","keyItemMaskOfField":null,"keyOptionIdReplace":"","relatedOptionIds":[],"onlineServices":[],"childCriteriaItemList":[],"clientContextJson":""},{"keyOptionId":"1452","caption":"Djibouti","isDefault":true,"maskCriteriaOnly":false,"definition":"","keyProductQueryItem":"227199","comparisonOperation":0,"comparisonValue":"72","minimumVersion":"","maximumVersion":"","formOrder":0,"lowerBound":null,"enabled":true,"mask":"","maskKey":"","keyItemMaskOfField":null,"keyOptionIdReplace":"","relatedOptionIds":[],"onlineServices":[],"childCriteriaItemList":[],"clientContextJson":""},{"keyOptionId":"1453","caption":"Equatorial Guinea","isDefault":true,"maskCriteriaOnly":false,"definition":"","keyProductQueryItem":"227199","comparisonOperation":0,"comparisonValue":"82","minimumVersion":"","maximumVersion":"","formOrder":0,"lowerBound":null,"enabled":true,"mask":"","maskKey":"","keyItemMaskOfField":null,"keyOptionIdReplace":"","relatedOptionIds":[],"onlineServices":[],"childCriteriaItemList":[],"clientContextJson":""},{"keyOptionId":"1481","caption":"E</t>
  </si>
  <si>
    <t>ritrea","isDefault":true,"maskCriteriaOnly":false,"definition":"","keyProductQueryItem":"227199","comparisonOperation":0,"comparisonValue":"76","minimumVersion":"","maximumVersion":"","formOrder":0,"lowerBound":null,"enabled":true,"mask":"","maskKey":"","keyItemMaskOfField":null,"keyOptionIdReplace":"","relatedOptionIds":[],"onlineServices":[],"childCriteriaItemList":[],"clientContextJson":""},{"keyOptionId":"1437","caption":"Ethiopia","isDefault":true,"maskCriteriaOnly":false,"definition":"","keyProductQueryItem":"227199","comparisonOperation":0,"comparisonValue":"77","minimumVersion":"","maximumVersion":"","formOrder":0,"lowerBound":null,"enabled":true,"mask":"","maskKey":"","keyItemMaskOfField":null,"keyOptionIdReplace":"","relatedOptionIds":[],"onlineServices":[],"childCriteriaItemList":[],"clientContextJson":""},{"keyOptionId":"1439","caption":"Gabon","isDefault":true,"maskCriteriaOnly":false,"definition":"","keyProductQueryItem":"227199","comparisonOperation":0,"comparisonValue":"78","minimumVersion":"","maximumVersion":"","formOrder":0,"lowerBound":null,"enabled":true,"mask":"","maskKey":"","keyItemMaskOfField":null,"keyOptionIdReplace":"","relatedOptionIds":[],"onlineServices":[],"childCriteriaItemList":[],"clientContextJson":""},{"keyOptionId":"1471","caption":"Gambia","isDefault":true,"maskCriteriaOnly":false,"definition":"","keyProductQueryItem":"227199","comparisonOperation":0,"comparisonValue":"80","minimumVersion":"","maximumVersion":"","formOrder":0,"lowerBound":null,"enabled":true,"mask":"","maskKey":"","keyItemMaskOfField":null,"keyOptionIdReplace":"","relatedOptionIds":[],"onlineServices":[],"childCriteriaItemList":[],"clientContextJson":""},{"keyOptionId":"1454","caption":"Ghana","isDefault":true,"maskCriteriaOnly":false,"definition":"","keyProductQueryItem":"227199","comparisonOperation":0,"comparisonValue":"79","minimumVersion":"","maximumVersion":"","formOrder":0,"lowerBound":null,"enabled":true,"mask":"","maskKey":"","keyItemMaskOfField":null,"keyOptionIdReplace":"","relatedOptionIds":[],"onlineServices":[],"childCriteriaItemList":[],"clientContextJson":""},{"keyOptionId":"1455","caption":"Guinea","isDefault":true,"maskCriteriaOnly":false,"definition":"","keyProductQueryItem":"227199","comparisonOperation":0,"comparisonValue":"81","minimumVersion":"","maximumVersion":"","formOrder":0,"lowerBound":null,"enabled":true,"mask":"","maskKey":"","keyItemMaskOfField":null,"keyOptionIdReplace":"","relatedOptionIds":[],"onlineServices":[],"childCriteriaItemList":[],"clientContextJson":""},{"keyOptionId":"1456","caption":"Guinea-Bissau","isDefault":true,"maskCriteriaOnly":false,"definition":"","keyProductQueryItem":"227199","comparisonOperation":0,"comparisonValue":"83","minimumVersion":"","maximumVersion":"","formOrder":0,"lowerBound":null,"enabled":true,"mask":"","maskKey":"","keyItemMaskOfField":null,"keyOptionIdReplace":"","relatedOptionIds":[],"onlineServices":[],"childCriteriaItemList":[],"clientContextJson":""},{"keyOptionId":"1457","caption":"Kenya","isDefault":true,"maskCriteriaOnly":false,"definition":"","keyProductQueryItem":"227199","comparisonOperation":0,"comparisonValue":"84","minimumVersion":"","maximumVersion":"","formOrder":0,"lowerBound":null,"enabled":true,"mask":"","maskKey":"","keyItemMaskOfField":null,"keyOptionIdReplace":"","relatedOptionIds":[],"onlineServices":[],"childCriteriaItemList":[],"clientContextJson":""},{"keyOptionId":"1441","caption":"Lesotho","isDefault":true,"maskCriteriaOnly":false,"definition":"","keyProductQueryItem":"227199","comparisonOperation":0,"comparisonValue":"86","minimumVersion":"","maximumVersion":"","formOrder":0,"lowerBound":null,"enabled":true,"mask":"","maskKey":"","keyItemMaskOfField":null,"keyOptionIdReplace":"","relatedOptionIds":[],"onlineServices":[],"childCriteriaItemList":[],"clientContextJson":""},{"keyOptionId":"1458","caption":"Liberia","isDefault":true,"maskCriteriaOnly":false,"definition":"","keyProductQueryItem":"227199","comparisonOperation":0,"comparisonValue":"85","minimumVersion":"","maximumVersion":"","formOrder":0,"lowerBound":null,"enabled":true,"mask":"","maskKey":"","keyItemMaskOfField":null,"keyOptionIdReplace":"","relatedOptionIds":[],"onlineServices":[],"childCriteriaItemList":[],"clientContextJson":""},{"keyOptionId":"1479","caption":"Libya","isDefault":true,"maskCriteriaOnly":false,"definition":"","keyProductQueryItem":"227199","comparisonOperation":0,"comparisonValue":"87","minimumVersion":"","maximumVersion":"","formOrder":0,"lowerBound":null,"enabled":true,"mask":"","maskKey":"","keyItemMaskOfField":null,"keyOptionIdReplace":"","relatedOptionIds":[],"onlineServices":[],"childCriteriaItemList":[],"clientContextJson":""},{"keyOptionId":"1459","caption":"Madagascar","isDefault":true,"maskCriteriaOnly":false,"definition":"","keyProductQueryItem":"227199","comparisonOperation":0,"comparisonValue":"89","minimumVersion":"","maximumVersion":"","formOrder":0,"lowerBound":null,"enabled":true,"mask":"","maskKey":"","keyItemMaskOfField":null,"keyOptionIdReplace":"","relatedOptionIds":[],"onlineServices":[],"childCriteriaItemList":[],"clientContextJson":""},{"keyOptionId":"1460","caption":"Malawi","isDefault":true,"maskCriteriaOnly":false,"definition":"","keyProductQueryItem":"227199","comparisonOperation":0,"comparisonValue":"93","minimumVersion":"","maximumVersion":"","formOrder":0,"lowerBound":null,"enabled":true,"mask":"","maskKey":"","keyItemMaskOfField":null,"keyOptionIdReplace":"","relatedOptionIds":[],"onlineServices":[],"childCriteriaItemList":[],"clientContextJson":""},{"keyOptionId":"1461","caption":"Mali","isDefault":true,"maskCriteriaOnly":false,"definition":"","keyProductQueryItem":"227199","comparisonOperation":0,"comparisonValue":"90","minimumVersion":"","maximumVersion":"","formOrder":0,"lowerBound":null,"enabled":true,"mask":"","maskKey":"","keyItemMaskOfField":null,"keyOptionIdReplace":"","relatedOptionIds":[],"onlineServices":[],"childCriteriaItemList":[],"clientContextJson":""},{"keyOptionId":"1440","caption":"Mauritania","isDefault":true,"maskCriteriaOnly":false,"definition":"","keyProductQueryItem":"227199","comparisonOperation":0,"comparisonValue":"91","minimumVersion":"","maximumVersion":"","formOrder":0,"lowerBound":null,"enabled":true,"mask":"","maskKey":"","keyItemMaskOfField":null,"keyOptionIdReplace":"","relatedOptionIds":[],"onlineServices":[],"childCriteriaItemList":[],"clientContextJson":""},{"keyOptionId":"1462","caption":"Mauritius","isDefault":true,"maskCriteriaOnly":false,"definition":"","keyProductQueryItem":"227199","comparisonOperation":0,"comparisonValue":"92","minimumVersion":"","maximumVersion":"","formOrder":0,"lowerBound":null,"enabled":true,"mask":"","maskKey":"","keyItemMaskOfField":null,"keyOptionIdReplace":"","relatedOptionIds":[],"onlineServices":[],"childCriteriaItemList":[],"clientContextJson":""},{"keyOptionId":"1482","caption":"Mayotte","isDefault":true,"maskCriteriaOnly":false,"definition":"","keyProductQueryItem":"227199","comparisonOperation":0,"comparisonValue":"113","minimumVersion":"","maximumVersion":"","formOrder":0,"lowerBound":null,"enabled":true,"mask":"","maskKey":"","keyItemMaskOfField":null,"keyOptionIdReplace":"","relatedOptionIds":[],"onlineServices":[],"childCriteriaItemList":[],"clientContextJson":""},{"keyOptionId":"1442","caption":"Morocco","isDefault":true,"maskCriteriaOnly":false,"definition":"","keyProductQueryItem":"227199","comparisonOperation":0,"comparisonValue":"88","minimumVersion":"","maximumVersion":"","formOrder":0,"lowerBound":null,"enabled":true,"mask":"","maskKey":"","keyItemMaskOfField":null,"keyOptionIdReplace":"","relatedOptionIds":[],"onlineServices":[],"childCri</t>
  </si>
  <si>
    <t>teriaItemList":[],"clientContextJson":""},{"keyOptionId":"1463","caption":"Mozambique","isDefault":true,"maskCriteriaOnly":false,"definition":"","keyProductQueryItem":"227199","comparisonOperation":0,"comparisonValue":"94","minimumVersion":"","maximumVersion":"","formOrder":0,"lowerBound":null,"enabled":true,"mask":"","maskKey":"","keyItemMaskOfField":null,"keyOptionIdReplace":"","relatedOptionIds":[],"onlineServices":[],"childCriteriaItemList":[],"clientContextJson":""},{"keyOptionId":"1464","caption":"Namibia","isDefault":true,"maskCriteriaOnly":false,"definition":"","keyProductQueryItem":"227199","comparisonOperation":0,"comparisonValue":"95","minimumVersion":"","maximumVersion":"","formOrder":0,"lowerBound":null,"enabled":true,"mask":"","maskKey":"","keyItemMaskOfField":null,"keyOptionIdReplace":"","relatedOptionIds":[],"onlineServices":[],"childCriteriaItemList":[],"clientContextJson":""},{"keyOptionId":"1465","caption":"Niger","isDefault":true,"maskCriteriaOnly":false,"definition":"","keyProductQueryItem":"227199","comparisonOperation":0,"comparisonValue":"96","minimumVersion":"","maximumVersion":"","formOrder":0,"lowerBound":null,"enabled":true,"mask":"","maskKey":"","keyItemMaskOfField":null,"keyOptionIdReplace":"","relatedOptionIds":[],"onlineServices":[],"childCriteriaItemList":[],"clientContextJson":""},{"keyOptionId":"1438","caption":"Nigeria","isDefault":true,"maskCriteriaOnly":false,"definition":"","keyProductQueryItem":"227199","comparisonOperation":0,"comparisonValue":"97","minimumVersion":"","maximumVersion":"","formOrder":0,"lowerBound":null,"enabled":true,"mask":"","maskKey":"","keyItemMaskOfField":null,"keyOptionIdReplace":"","relatedOptionIds":[],"onlineServices":[],"childCriteriaItemList":[],"clientContextJson":""},{"keyOptionId":"1470","caption":"Rep. Of the Congo","isDefault":true,"maskCriteriaOnly":false,"definition":"","keyProductQueryItem":"227199","comparisonOperation":0,"comparisonValue":"68","minimumVersion":"","maximumVersion":"","formOrder":0,"lowerBound":null,"enabled":true,"mask":"","maskKey":"","keyItemMaskOfField":null,"keyOptionIdReplace":"","relatedOptionIds":[],"onlineServices":[],"childCriteriaItemList":[],"clientContextJson":""},{"keyOptionId":"1436","caption":"Reunion","isDefault":true,"maskCriteriaOnly":false,"definition":"","keyProductQueryItem":"227199","comparisonOperation":0,"comparisonValue":"98","minimumVersion":"","maximumVersion":"","formOrder":0,"lowerBound":null,"enabled":true,"mask":"","maskKey":"","keyItemMaskOfField":null,"keyOptionIdReplace":"","relatedOptionIds":[],"onlineServices":[],"childCriteriaItemList":[],"clientContextJson":""},{"keyOptionId":"1477","caption":"Rwanda","isDefault":true,"maskCriteriaOnly":false,"definition":"","keyProductQueryItem":"227199","comparisonOperation":0,"comparisonValue":"99","minimumVersion":"","maximumVersion":"","formOrder":0,"lowerBound":null,"enabled":true,"mask":"","maskKey":"","keyItemMaskOfField":null,"keyOptionIdReplace":"","relatedOptionIds":[],"onlineServices":[],"childCriteriaItemList":[],"clientContextJson":""},{"keyOptionId":"1478","caption":"Saint Helena","isDefault":true,"maskCriteriaOnly":false,"definition":"","keyProductQueryItem":"227199","comparisonOperation":0,"comparisonValue":"102","minimumVersion":"","maximumVersion":"","formOrder":0,"lowerBound":null,"enabled":true,"mask":"","maskKey":"","keyItemMaskOfField":null,"keyOptionIdReplace":"","relatedOptionIds":[],"onlineServices":[],"childCriteriaItemList":[],"clientContextJson":""},{"keyOptionId":"1435","caption":"Sao Tome &amp; Principe","isDefault":true,"maskCriteriaOnly":false,"definition":"","keyProductQueryItem":"227199","comparisonOperation":0,"comparisonValue":"106","minimumVersion":"","maximumVersion":"","formOrder":0,"lowerBound":null,"enabled":true,"mask":"","maskKey":"","keyItemMaskOfField":null,"keyOptionIdReplace":"","relatedOptionIds":[],"onlineServices":[],"childCriteriaItemList":[],"clientContextJson":""},{"keyOptionId":"1466","caption":"Senegal","isDefault":true,"maskCriteriaOnly":false,"definition":"","keyProductQueryItem":"227199","comparisonOperation":0,"comparisonValue":"104","minimumVersion":"","maximumVersion":"","formOrder":0,"lowerBound":null,"enabled":true,"mask":"","maskKey":"","keyItemMaskOfField":null,"keyOptionIdReplace":"","relatedOptionIds":[],"onlineServices":[],"childCriteriaItemList":[],"clientContextJson":""},{"keyOptionId":"1467","caption":"Seychelles","isDefault":true,"maskCriteriaOnly":false,"definition":"","keyProductQueryItem":"227199","comparisonOperation":0,"comparisonValue":"100","minimumVersion":"","maximumVersion":"","formOrder":0,"lowerBound":null,"enabled":true,"mask":"","maskKey":"","keyItemMaskOfField":null,"keyOptionIdReplace":"","relatedOptionIds":[],"onlineServices":[],"childCriteriaItemList":[],"clientContextJson":""},{"keyOptionId":"1468","caption":"Sierra Leone","isDefault":true,"maskCriteriaOnly":false,"definition":"","keyProductQueryItem":"227199","comparisonOperation":0,"comparisonValue":"103","minimumVersion":"","maximumVersion":"","formOrder":0,"lowerBound":null,"enabled":true,"mask":"","maskKey":"","keyItemMaskOfField":null,"keyOptionIdReplace":"","relatedOptionIds":[],"onlineServices":[],"childCriteriaItemList":[],"clientContextJson":""},{"keyOptionId":"1480","caption":"Somalia","isDefault":true,"maskCriteriaOnly":false,"definition":"","keyProductQueryItem":"227199","comparisonOperation":0,"comparisonValue":"105","minimumVersion":"","maximumVersion":"","formOrder":0,"lowerBound":null,"enabled":true,"mask":"","maskKey":"","keyItemMaskOfField":null,"keyOptionIdReplace":"","relatedOptionIds":[],"onlineServices":[],"childCriteriaItemList":[],"clientContextJson":""},{"keyOptionId":"1469","caption":"South Africa","isDefault":true,"maskCriteriaOnly":false,"definition":"","keyProductQueryItem":"227199","comparisonOperation":0,"comparisonValue":"118","minimumVersion":"","maximumVersion":"","formOrder":0,"lowerBound":null,"enabled":true,"mask":"","maskKey":"","keyItemMaskOfField":null,"keyOptionIdReplace":"","relatedOptionIds":[],"onlineServices":[],"childCriteriaItemList":[],"clientContextJson":""},{"keyOptionId":"1472","caption":"Sudan","isDefault":true,"maskCriteriaOnly":false,"definition":"","keyProductQueryItem":"227199","comparisonOperation":0,"comparisonValue":"101","minimumVersion":"","maximumVersion":"","formOrder":0,"lowerBound":null,"enabled":true,"mask":"","maskKey":"","keyItemMaskOfField":null,"keyOptionIdReplace":"","relatedOptionIds":[],"onlineServices":[],"childCriteriaItemList":[],"clientContextJson":""},{"keyOptionId":"1443","caption":"Swaziland","isDefault":true,"maskCriteriaOnly":false,"definition":"","keyProductQueryItem":"227199","comparisonOperation":0,"comparisonValue":"107","minimumVersion":"","maximumVersion":"","formOrder":0,"lowerBound":null,"enabled":true,"mask":"","maskKey":"","keyItemMaskOfField":null,"keyOptionIdReplace":"","relatedOptionIds":[],"onlineServices":[],"childCriteriaItemList":[],"clientContextJson":""},{"keyOptionId":"1485","caption":"Tanzania","isDefault":true,"maskCriteriaOnly":false,"definition":"","keyProductQueryItem":"227199","comparisonOperation":0,"comparisonValue":"111","minimumVersion":"","maximumVersion":"","formOrder":0,"lowerBound":null,"enabled":true,"mask":"","maskKey":"","keyItemMaskOfField":null,"keyOptionIdReplace":"","relatedOptionIds":[],"onlineServices":[],"childCriteriaItemList":[],"clientContextJson":""},{"keyOptionId":"1483","caption":"Togo","isDefault":true,"maskCriteriaOnly":false,"definition":"","keyProductQueryItem":"227199","comparisonOperation":0,"comparisonValue":"109","minimumVersion":"","maximumVersion":"","formOrder":0,"lowerBound":null,"enabled":true,"</t>
  </si>
  <si>
    <t>mask":"","maskKey":"","keyItemMaskOfField":null,"keyOptionIdReplace":"","relatedOptionIds":[],"onlineServices":[],"childCriteriaItemList":[],"clientContextJson":""},{"keyOptionId":"1473","caption":"Tunisia","isDefault":true,"maskCriteriaOnly":false,"definition":"","keyProductQueryItem":"227199","comparisonOperation":0,"comparisonValue":"110","minimumVersion":"","maximumVersion":"","formOrder":0,"lowerBound":null,"enabled":true,"mask":"","maskKey":"","keyItemMaskOfField":null,"keyOptionIdReplace":"","relatedOptionIds":[],"onlineServices":[],"childCriteriaItemList":[],"clientContextJson":""},{"keyOptionId":"1474","caption":"Uganda","isDefault":true,"maskCriteriaOnly":false,"definition":"","keyProductQueryItem":"227199","comparisonOperation":0,"comparisonValue":"112","minimumVersion":"","maximumVersion":"","formOrder":0,"lowerBound":null,"enabled":true,"mask":"","maskKey":"","keyItemMaskOfField":null,"keyOptionIdReplace":"","relatedOptionIds":[],"onlineServices":[],"childCriteriaItemList":[],"clientContextJson":""},{"keyOptionId":"1486","caption":"Western Sahara","isDefault":true,"maskCriteriaOnly":false,"definition":"","keyProductQueryItem":"227199","comparisonOperation":0,"comparisonValue":"75","minimumVersion":"","maximumVersion":"","formOrder":0,"lowerBound":null,"enabled":true,"mask":"","maskKey":"","keyItemMaskOfField":null,"keyOptionIdReplace":"","relatedOptionIds":[],"onlineServices":[],"childCriteriaItemList":[],"clientContextJson":""},{"keyOptionId":"1475","caption":"Zambia","isDefault":true,"maskCriteriaOnly":false,"definition":"","keyProductQueryItem":"227199","comparisonOperation":0,"comparisonValue":"114","minimumVersion":"","maximumVersion":"","formOrder":0,"lowerBound":null,"enabled":true,"mask":"","maskKey":"","keyItemMaskOfField":null,"keyOptionIdReplace":"","relatedOptionIds":[],"onlineServices":[],"childCriteriaItemList":[],"clientContextJson":""},{"keyOptionId":"1476","caption":"Zimbabwe","isDefault":true,"maskCriteriaOnly":false,"definition":"","keyProductQueryItem":"227199","comparisonOperation":0,"comparisonValue":"116","minimumVersion":"","maximumVersion":"","formOrder":0,"lowerBound":null,"enabled":true,"mask":"","maskKey":"","keyItemMaskOfField":null,"keyOptionIdReplace":"","relatedOptionIds":[],"onlineServices":[],"childCriteriaItemList":[],"clientContextJson":""}],"clientContextJson":""}],"clientContextJson":""}]},{"filterGroupId":"4831","filterGroupIdReplace":"","caption":"Company Name","groupType":2,"optionType":2,"formOrder":100,"minimumVersion":"","maximumVersion":"","onlineServicesEnabled":false,"column":0,"columnFormOrder":30,"criteriaIdName":"","required":false,"dateDefaultType":"","criteriaItemList":[{"keyOptionId":"4832","caption":"","isDefault":false,"maskCriteriaOnly":true,"definition":"","keyProductQueryItem":"221557","comparisonOperation":4,"comparisonValue":"","minimumVersion":"","maximumVersion":"","formOrder":0,"lowerBound":null,"enabled":true,"mask":"","maskKey":"","keyItemMaskOfField":null,"keyOptionIdReplace":"","relatedOptionIds":[],"onlineServices":[],"childCriteriaItemList":[],"clientContextJson":""}]},{"filterGroupId":"4833","filterGroupIdReplace":"","caption":"Trading Symbol(s)","groupType":2,"optionType":6,"formOrder":200,"minimumVersion":"","maximumVersion":"","onlineServicesEnabled":false,"column":0,"columnFormOrder":20,"criteriaIdName":"","required":false,"dateDefaultType":"","criteriaItemList":[{"keyOptionId":"4834","caption":"","isDefault":false,"maskCriteriaOnly":true,"definition":"","keyProductQueryItem":"249947","comparisonOperation":7,"comparisonValue":"","minimumVersion":"","maximumVersion":"","formOrder":0,"lowerBound":null,"enabled":true,"mask":"","maskKey":"","keyItemMaskOfField":null,"keyOptionIdReplace":"","relatedOptionIds":[],"onlineServices":[],"childCriteriaItemList":[],"clientContextJson":""}]}],"conversionInformation":{"keyCurrency":"USD","measurementStandard":0,"conversionMode":1,"magnitudeOverride":null,"keyForeignLanguage":null,"keyForeignLanguageSecondary":null,"dataLanguage":null,"culture":null,"requestCulture":null,"nullValue":"NA","headerCurrency":null},"countsQuery":false,"standardDeviationQuery":false,"saveQueryType":0,"baseCompany":null},"conversionInfo":null,"operationType":22,"showProductMagnitude":false,"enableSourceTagging":false,"timeoutOverride":0,"ignoreCache":false,"sourceTimeZoneIDItemKey":null,"enforceItemEntitlements":false,"useNewOnPremDomain":false}],"saveQueryType":0,"sourceTimeZoneIDItemKey":null,"enforceItemEntitlements":false,"extensionPropertiesJson":null}</t>
  </si>
  <si>
    <t>PrfdOffering_By_Comp</t>
  </si>
  <si>
    <t>{"conversionInformation":null,"clientContext":null,"functionRequests":[{"functionId":0,"perspective":"10","keys":null,"fields":null,"reports":null,"query":{"name":"PrfdOffering_By_Comp","queryLineGroups":[{"groupName":"QueryLines","queryLines":[{"supressSelect":false,"displayText":null,"queryItemId":"00000000-0000-0000-0000-000000000000","field":{"fieldKey":"221557","secondaryKeys":[],"displayName":null,"displayUnits":null,"displayType":null,"originalRequestField":null},"connector":0,"operator":0,"beginGroup":true,"endGroup":false,"value":"Bank of New York Mellon Corporation","invariantValue":null,"valueField":null,"mathOperator":0,"mathValue":null,"sortStyle":null,"sortOrder":null,"functionName":null,"relativeOperation":false},{"supressSelect":false,"displayText":null,"queryItemId":"00000000-0000-0000-0000-000000000000","field":{"fieldKey":"240523","secondaryKeys":[],"displayName":null,"displayUnits":null,"displayType":null,"originalRequestField":null},"connector":1,"operator":0,"beginGroup":false,"endGroup":false,"value":"Bank of New York Mellon Corporation","invariantValue":null,"valueField":null,"mathOperator":0,"mathValue":null,"sortStyle":null,"sortOrder":null,"functionName":null,"relativeOperation":false},{"supressSelect":false,"displayText":null,"queryItemId":"00000000-0000-0000-0000-000000000000","field":{"fieldKey":"240530","secondaryKeys":[],"displayName":null,"displayUnits":null,"displayType":null,"originalRequestField":null},"connector":1,"operator":0,"beginGroup":false,"endGroup":true,"value":"Bank of New York Mellon Corporation","invariantValue":null,"valueField":null,"mathOperator":0,"mathValue":null,"sortStyle":null,"sortOrder":null,"functionName":null,"relativeOperation":false},{"supressSelect":false,"displayText":null,"queryItemId":"00000000-0000-0000-0000-000000000000","field":{"fieldKey":"221653","secondaryKeys":[],"displayName":null,"displayUnits":null,"displayType":null,"originalRequestField":null},"connector":0,"operator":7,"beginGroup":false,"endGroup":false,"value":"'0'","invariantValue":null,"valueField":null,"mathOperator":0,"mathValue":null,"sortStyle":null,"sortOrder":null,"functionName":null,"relativeOperation":false},{"supressSelect":false,"displayText":null,"queryItemId":"00000000-0000-0000-0000-000000000000","field":{"fieldKey":"221631","secondaryKeys":[],"displayName":null,"displayUnits":null,"displayType":null,"originalRequestField":null},"connector":0,"operator":24,"beginGroup":false,"endGroup":false,"value":"10000","invariantValue":null,"valueField":null,"mathOperator":0,"mathValue":null,"sortStyle":null,"sortOrder":null,"functionName":null,"relativeOperation":false}]},{"groupName":"WhiteAndBlackListCriteria","queryLines":[]}],"keyPerspective":"10","dateCreated":"2017-12-07T01:07:21.687-05:00","version":null,"queryFilters":[{"filterGroupId":"1487","filterGroupIdReplace":"","caption":"Issue Types","groupType":1,"optionType":1,"formOrder":1,"minimumVersion":"","maximumVersion":"","onlineServicesEnabled":false,"column":0,"columnFormOrder":10,"criteriaIdName":"","required":true,"dateDefaultType":"","criteriaItemList":[{"keyOptionId":"1488","caption":"Common Stock","isDefault":false,"maskCriteriaOnly":false,"definition":"","keyProductQueryItem":"226301","comparisonOperation":0,"comparisonValue":"1","minimumVersion":"","maximumVersion":"","formOrder":0,"lowerBound":null,"enabled":true,"mask":"2","maskKey":"226301","keyItemMaskOfField":null,"keyOptionIdReplace":"","relatedOptionIds":[],"onlineServices":[],"childCriteriaItemList":[],"clientContextJson":""},{"keyOptionId":"1489","caption":"Preferred Stock","isDefault":true,"maskCriteriaOnly":false,"definition":"","keyProductQueryItem":"226301","comparisonOperation":0,"comparisonValue":"2","minimumVersion":"","maximumVersion":"","formOrder":0,"lowerBound":null,"enabled":true,"mask":"4","maskKey":"226301","keyItemMaskOfField":null,"keyOptionIdReplace":"","relatedOptionIds":[],"onlineServices":[],"childCriteriaItemList":[],"clientContextJson":""},{"keyOptionId":"1490","caption":"Senior Debt","isDefault":false,"maskCriteriaOnly":false,"definition":"","keyProductQueryItem":"226301","comparisonOperation":0,"comparisonValue":"3","minimumVersion":"","maximumVersion":"","formOrder":0,"lowerBound":null,"enabled":true,"mask":"8","maskKey":"226301","keyItemMaskOfField":null,"keyOptionIdReplace":"","relatedOptionIds":[],"onlineServices":[],"childCriteriaItemList":[],"clientContextJson":""},{"keyOptionId":"1491","caption":"Subordinated Debt","isDefault":false,"maskCriteriaOnly":false,"definition":"","keyProductQueryItem":"226301","comparisonOperation":0,"comparisonValue":"4","minimumVersion":"","maximumVersion":"","formOrder":0,"lowerBound":null,"enabled":true,"mask":"16","maskKey":"226301","keyItemMaskOfField":null,"keyOptionIdReplace":"","relatedOptionIds":[],"onlineServices":[],"childCriteriaItemList":[],"clientContextJson":""},{"keyOptionId":"1492","caption":"Senior Subordinated Debt","isDefault":false,"maskCriteriaOnly":false,"definition":"","keyProductQueryItem":"226301","comparisonOperation":0,"comparisonValue":"15","minimumVersion":"","maximumVersion":"","formOrder":0,"lowerBound":null,"enabled":true,"mask":"32768","maskKey":"226301","keyItemMaskOfField":null,"keyOptionIdReplace":"","relatedOptionIds":[],"onlineServices":[],"childCriteriaItemList":[],"clientContextJson":""},{"keyOptionId":"1493","caption":"Junior Subordinated Debt","isDefault":false,"maskCriteriaOnly":false,"definition":"","keyProductQueryItem":"226301","comparisonOperation":0,"comparisonValue":"14","minimumVersion":"","maximumVersion":"","formOrder":0,"lowerBound":null,"enabled":true,"mask":"16384","maskKey":"226301","keyItemMaskOfField":null,"keyOptionIdReplace":"","relatedOptionIds":[],"onlineServices":[],"childCriteriaItemList":[],"clientContextJson":""},{"keyOptionId":"1494","caption":"Trust Preferred","isDefault":false,"maskCriteriaOnly":false,"definition":"","keyProductQueryItem":"226301","comparisonOperation":0,"comparisonValue":"6","minimumVersion":"","maximumVersion":"","formOrder":0,"lowerBound":null,"enabled":true,"mask":"64","maskKey":"226301","keyItemMaskOfField":null,"keyOptionIdReplace":"","relatedOptionIds":[],"onlineServices":[],"childCriteriaItemList":[],"clientContextJson":""},{"keyOptionId":"1495","caption":"Subsidiary Pfd Partnership","isDefault":false,"maskCriteriaOnly":false,"definition":"","keyProductQueryItem":"226301","comparisonOperation":0,"comparisonValue":"10","minimumVersion":"","maximumVersion":"","formOrder":0,"lowerBound":null,"enabled":true,"mask":"1024","maskKey":"226301","keyItemMaskOfField":null,"keyOptionIdReplace":"","relatedOptionIds":[],"onlineServices":[],"childCriteriaItemList":[],"clientContextJson":""},{"keyOptionId":"3122","caption":"Operating Partnership Units","isDefault":false,"maskCriteriaOnly":false,"definition":"","keyProductQueryItem":"226301","comparisonOperation":0,"comparisonValue":"5","minimumVersion":"","maximumVersion":"","formOrder":0,"lowerBound":null,"enabled":true,"mask":"32","maskKey":"226301","keyItemMaskOfField":null,"keyOptionIdReplace":"","relatedOptionIds":[],"onlineServices":[],"childCriteriaItemList":[],"clientContextJson":""},{"keyOptionId":"3123","caption":"Depositary Receipt","isDefault":false,"maskCriteriaOnly":false,"definition":"","keyProductQueryItem":"226301","comparisonOperation":0,"comparisonValue":"16","minimumVersion":"","maximumVersion":"","formOrder":0,"lowerBound":null,"enabled":true,"mask":"65536","maskKey":"226301","keyItemMaskOfField":null,"keyOptionIdReplace":"","relatedOptionIds":[],"onlineServices":[],"childCriteriaItemList":[],"clientContextJson":""},{"keyOptionId":"3124","caption":"GIC-backed Note","isDefault":false,"maskCriteriaOnly":false,"definit</t>
  </si>
  <si>
    <t>ion":"","keyProductQueryItem":"226301","comparisonOperation":0,"comparisonValue":"11","minimumVersion":"","maximumVersion":"","formOrder":0,"lowerBound":null,"enabled":true,"mask":"2048","maskKey":"226301","keyItemMaskOfField":null,"keyOptionIdReplace":"","relatedOptionIds":[],"onlineServices":[],"childCriteriaItemList":[],"clientContextJson":""}]},{"filterGroupId":"1241","filterGroupIdReplace":"","caption":"Location","groupType":2,"optionType":1,"formOrder":4,"minimumVersion":"","maximumVersion":"","onlineServicesEnabled":false,"column":1,"columnFormOrder":10,"criteriaIdName":"","required":true,"dateDefaultType":"","criteriaItemList":[{"keyOptionId":"1242","caption":"All Geographies","isDefault":false,"maskCriteriaOnly":true,"definition":"","keyProductQueryItem":"","comparisonOperation":null,"comparisonValue":"","minimumVersion":"","maximumVersion":"","formOrder":0,"lowerBound":null,"enabled":true,"mask":"","maskKey":"","keyItemMaskOfField":null,"keyOptionIdReplace":"","relatedOptionIds":[],"onlineServices":[],"childCriteriaItemList":[{"keyOptionId":"1243","caption":"United States and Canada","isDefault":false,"maskCriteriaOnly":true,"definition":"","keyProductQueryItem":"","comparisonOperation":null,"comparisonValue":"","minimumVersion":"","maximumVersion":"","formOrder":0,"lowerBound":null,"enabled":true,"mask":"","maskKey":"","keyItemMaskOfField":null,"keyOptionIdReplace":"","relatedOptionIds":[],"onlineServices":[],"childCriteriaItemList":[{"keyOptionId":"1244","caption":"United States","isDefault":false,"maskCriteriaOnly":true,"definition":"","keyProductQueryItem":"","comparisonOperation":null,"comparisonValue":"","minimumVersion":"","maximumVersion":"","formOrder":0,"lowerBound":null,"enabled":true,"mask":"","maskKey":"","keyItemMaskOfField":null,"keyOptionIdReplace":"","relatedOptionIds":[],"onlineServices":[],"childCriteriaItemList":[{"keyOptionId":"1496","caption":"Mid Atlant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1502","caption":"Delaware","isDefault":true,"maskCriteriaOnly":false,"definition":"","keyProductQueryItem":"227199","comparisonOperation":0,"comparisonValue":"271","minimumVersion":"","maximumVersion":"","formOrder":0,"lowerBound":null,"enabled":true,"mask":"","maskKey":"","keyItemMaskOfField":null,"keyOptionIdReplace":"","relatedOptionIds":[],"onlineServices":[],"childCriteriaItemList":[],"clientContextJson":""},{"keyOptionId":"1503","caption":"District of Columbia","isDefault":true,"maskCriteriaOnly":false,"definition":"","keyProductQueryItem":"227199","comparisonOperation":0,"comparisonValue":"270","minimumVersion":"","maximumVersion":"","formOrder":0,"lowerBound":null,"enabled":true,"mask":"","maskKey":"","keyItemMaskOfField":null,"keyOptionIdReplace":"","relatedOptionIds":[],"onlineServices":[],"childCriteriaItemList":[],"clientContextJson":""},{"keyOptionId":"1504","caption":"Maryland","isDefault":true,"maskCriteriaOnly":false,"definition":"","keyProductQueryItem":"227199","comparisonOperation":0,"comparisonValue":"272","minimumVersion":"","maximumVersion":"","formOrder":0,"lowerBound":null,"enabled":true,"mask":"","maskKey":"","keyItemMaskOfField":null,"keyOptionIdReplace":"","relatedOptionIds":[],"onlineServices":[],"childCriteriaItemList":[],"clientContextJson":""},{"keyOptionId":"1505","caption":"New Jersey","isDefault":true,"maskCriteriaOnly":false,"definition":"","keyProductQueryItem":"227199","comparisonOperation":0,"comparisonValue":"273","minimumVersion":"","maximumVersion":"","formOrder":0,"lowerBound":null,"enabled":true,"mask":"","maskKey":"","keyItemMaskOfField":null,"keyOptionIdReplace":"","relatedOptionIds":[],"onlineServices":[],"childCriteriaItemList":[],"clientContextJson":""},{"keyOptionId":"1506","caption":"New York","isDefault":true,"maskCriteriaOnly":false,"definition":"","keyProductQueryItem":"227199","comparisonOperation":0,"comparisonValue":"274","minimumVersion":"","maximumVersion":"","formOrder":0,"lowerBound":null,"enabled":true,"mask":"","maskKey":"","keyItemMaskOfField":null,"keyOptionIdReplace":"","relatedOptionIds":[],"onlineServices":[],"childCriteriaItemList":[],"clientContextJson":""},{"keyOptionId":"1507","caption":"Pennsylvania","isDefault":true,"maskCriteriaOnly":false,"definition":"","keyProductQueryItem":"227199","comparisonOperation":0,"comparisonValue":"275","minimumVersion":"","maximumVersion":"","formOrder":0,"lowerBound":null,"enabled":true,"mask":"","maskKey":"","keyItemMaskOfField":null,"keyOptionIdReplace":"","relatedOptionIds":[],"onlineServices":[],"childCriteriaItemList":[],"clientContextJson":""},{"keyOptionId":"1508","caption":"Puerto Rico","isDefault":true,"maskCriteriaOnly":false,"definition":"","keyProductQueryItem":"227199","comparisonOperation":0,"comparisonValue":"276","minimumVersion":"","maximumVersion":"","formOrder":0,"lowerBound":null,"enabled":true,"mask":"","maskKey":"","keyItemMaskOfField":null,"keyOptionIdReplace":"","relatedOptionIds":[],"onlineServices":[],"childCriteriaItemList":[],"clientContextJson":""}],"clientContextJson":""},{"keyOptionId":"1497","caption":"Midwe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1509","caption":"Illinois","isDefault":true,"maskCriteriaOnly":false,"definition":"","keyProductQueryItem":"227199","comparisonOperation":0,"comparisonValue":"278","minimumVersion":"","maximumVersion":"","formOrder":0,"lowerBound":null,"enabled":true,"mask":"","maskKey":"","keyItemMaskOfField":null,"keyOptionIdReplace":"","relatedOptionIds":[],"onlineServices":[],"childCriteriaItemList":[],"clientContextJson":""},{"keyOptionId":"1510","caption":"Indiana","isDefault":true,"maskCriteriaOnly":false,"definition":"","keyProductQueryItem":"227199","comparisonOperation":0,"comparisonValue":"279","minimumVersion":"","maximumVersion":"","formOrder":0,"lowerBound":null,"enabled":true,"mask":"","maskKey":"","keyItemMaskOfField":null,"keyOptionIdReplace":"","relatedOptionIds":[],"onlineServices":[],"childCriteriaItemList":[],"clientContextJson":""},{"keyOptionId":"1511","caption":"Iowa","isDefault":true,"maskCriteriaOnly":false,"definition":"","keyProductQueryItem":"227199","comparisonOperation":0,"comparisonValue":"277","minimumVersion":"","maximumVersion":"","formOrder":0,"lowerBound":null,"enabled":true,"mask":"","maskKey":"","keyItemMaskOfField":null,"keyOptionIdReplace":"","relatedOptionIds":[],"onlineServices":[],"childCriteriaItemList":[],"clientContextJson":""},{"keyOptionId":"1512","caption":"Kansas","isDefault":true,"maskCriteriaOnly":false,"definition":"","keyProductQueryItem":"227199","comparisonOperation":0,"comparisonValue":"280","minimumVersion":"","maximumVersion":"","formOrder":0,"lowerBound":null,"enabled":true,"mask":"","maskKey":"","keyItemMaskOfField":null,"keyOptionIdReplace":"","relatedOptionIds":[],"onlineServices":[],"childCriteriaItemList":[],"clientContextJson":""},{"keyOptionId":"1513","caption":"Kentucky","isDefault":true,"maskCriteriaOnly":false,"definition":"","keyProductQueryItem":"227199","comparisonOperation":0,"comparisonValue":"281","minimumVersion":"","m</t>
  </si>
  <si>
    <t>aximumVersion":"","formOrder":0,"lowerBound":null,"enabled":true,"mask":"","maskKey":"","keyItemMaskOfField":null,"keyOptionIdReplace":"","relatedOptionIds":[],"onlineServices":[],"childCriteriaItemList":[],"clientContextJson":""},{"keyOptionId":"1514","caption":"Michigan","isDefault":true,"maskCriteriaOnly":false,"definition":"","keyProductQueryItem":"227199","comparisonOperation":0,"comparisonValue":"282","minimumVersion":"","maximumVersion":"","formOrder":0,"lowerBound":null,"enabled":true,"mask":"","maskKey":"","keyItemMaskOfField":null,"keyOptionIdReplace":"","relatedOptionIds":[],"onlineServices":[],"childCriteriaItemList":[],"clientContextJson":""},{"keyOptionId":"1515","caption":"Minnesota","isDefault":true,"maskCriteriaOnly":false,"definition":"","keyProductQueryItem":"227199","comparisonOperation":0,"comparisonValue":"283","minimumVersion":"","maximumVersion":"","formOrder":0,"lowerBound":null,"enabled":true,"mask":"","maskKey":"","keyItemMaskOfField":null,"keyOptionIdReplace":"","relatedOptionIds":[],"onlineServices":[],"childCriteriaItemList":[],"clientContextJson":""},{"keyOptionId":"1516","caption":"Missouri","isDefault":true,"maskCriteriaOnly":false,"definition":"","keyProductQueryItem":"227199","comparisonOperation":0,"comparisonValue":"284","minimumVersion":"","maximumVersion":"","formOrder":0,"lowerBound":null,"enabled":true,"mask":"","maskKey":"","keyItemMaskOfField":null,"keyOptionIdReplace":"","relatedOptionIds":[],"onlineServices":[],"childCriteriaItemList":[],"clientContextJson":""},{"keyOptionId":"1517","caption":"Nebraska","isDefault":true,"maskCriteriaOnly":false,"definition":"","keyProductQueryItem":"227199","comparisonOperation":0,"comparisonValue":"286","minimumVersion":"","maximumVersion":"","formOrder":0,"lowerBound":null,"enabled":true,"mask":"","maskKey":"","keyItemMaskOfField":null,"keyOptionIdReplace":"","relatedOptionIds":[],"onlineServices":[],"childCriteriaItemList":[],"clientContextJson":""},{"keyOptionId":"1518","caption":"North Dakota","isDefault":true,"maskCriteriaOnly":false,"definition":"","keyProductQueryItem":"227199","comparisonOperation":0,"comparisonValue":"285","minimumVersion":"","maximumVersion":"","formOrder":0,"lowerBound":null,"enabled":true,"mask":"","maskKey":"","keyItemMaskOfField":null,"keyOptionIdReplace":"","relatedOptionIds":[],"onlineServices":[],"childCriteriaItemList":[],"clientContextJson":""},{"keyOptionId":"1519","caption":"Ohio","isDefault":true,"maskCriteriaOnly":false,"definition":"","keyProductQueryItem":"227199","comparisonOperation":0,"comparisonValue":"287","minimumVersion":"","maximumVersion":"","formOrder":0,"lowerBound":null,"enabled":true,"mask":"","maskKey":"","keyItemMaskOfField":null,"keyOptionIdReplace":"","relatedOptionIds":[],"onlineServices":[],"childCriteriaItemList":[],"clientContextJson":""},{"keyOptionId":"1520","caption":"South Dakota","isDefault":true,"maskCriteriaOnly":false,"definition":"","keyProductQueryItem":"227199","comparisonOperation":0,"comparisonValue":"288","minimumVersion":"","maximumVersion":"","formOrder":0,"lowerBound":null,"enabled":true,"mask":"","maskKey":"","keyItemMaskOfField":null,"keyOptionIdReplace":"","relatedOptionIds":[],"onlineServices":[],"childCriteriaItemList":[],"clientContextJson":""},{"keyOptionId":"1521","caption":"Wisconsin","isDefault":true,"maskCriteriaOnly":false,"definition":"","keyProductQueryItem":"227199","comparisonOperation":0,"comparisonValue":"289","minimumVersion":"","maximumVersion":"","formOrder":0,"lowerBound":null,"enabled":true,"mask":"","maskKey":"","keyItemMaskOfField":null,"keyOptionIdReplace":"","relatedOptionIds":[],"onlineServices":[],"childCriteriaItemList":[],"clientContextJson":""}],"clientContextJson":""},{"keyOptionId":"1498","caption":"Northea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1522","caption":"Connecticut","isDefault":true,"maskCriteriaOnly":false,"definition":"","keyProductQueryItem":"227199","comparisonOperation":0,"comparisonValue":"290","minimumVersion":"","maximumVersion":"","formOrder":0,"lowerBound":null,"enabled":true,"mask":"","maskKey":"","keyItemMaskOfField":null,"keyOptionIdReplace":"","relatedOptionIds":[],"onlineServices":[],"childCriteriaItemList":[],"clientContextJson":""},{"keyOptionId":"1523","caption":"Maine","isDefault":true,"maskCriteriaOnly":false,"definition":"","keyProductQueryItem":"227199","comparisonOperation":0,"comparisonValue":"292","minimumVersion":"","maximumVersion":"","formOrder":0,"lowerBound":null,"enabled":true,"mask":"","maskKey":"","keyItemMaskOfField":null,"keyOptionIdReplace":"","relatedOptionIds":[],"onlineServices":[],"childCriteriaItemList":[],"clientContextJson":""},{"keyOptionId":"1524","caption":"Massachusetts","isDefault":true,"maskCriteriaOnly":false,"definition":"","keyProductQueryItem":"227199","comparisonOperation":0,"comparisonValue":"291","minimumVersion":"","maximumVersion":"","formOrder":0,"lowerBound":null,"enabled":true,"mask":"","maskKey":"","keyItemMaskOfField":null,"keyOptionIdReplace":"","relatedOptionIds":[],"onlineServices":[],"childCriteriaItemList":[],"clientContextJson":""},{"keyOptionId":"1525","caption":"New Hampshire","isDefault":true,"maskCriteriaOnly":false,"definition":"","keyProductQueryItem":"227199","comparisonOperation":0,"comparisonValue":"293","minimumVersion":"","maximumVersion":"","formOrder":0,"lowerBound":null,"enabled":true,"mask":"","maskKey":"","keyItemMaskOfField":null,"keyOptionIdReplace":"","relatedOptionIds":[],"onlineServices":[],"childCriteriaItemList":[],"clientContextJson":""},{"keyOptionId":"1526","caption":"Rhode Island","isDefault":true,"maskCriteriaOnly":false,"definition":"","keyProductQueryItem":"227199","comparisonOperation":0,"comparisonValue":"294","minimumVersion":"","maximumVersion":"","formOrder":0,"lowerBound":null,"enabled":true,"mask":"","maskKey":"","keyItemMaskOfField":null,"keyOptionIdReplace":"","relatedOptionIds":[],"onlineServices":[],"childCriteriaItemList":[],"clientContextJson":""},{"keyOptionId":"1527","caption":"Vermont","isDefault":true,"maskCriteriaOnly":false,"definition":"","keyProductQueryItem":"227199","comparisonOperation":0,"comparisonValue":"295","minimumVersion":"","maximumVersion":"","formOrder":0,"lowerBound":null,"enabled":true,"mask":"","maskKey":"","keyItemMaskOfField":null,"keyOptionIdReplace":"","relatedOptionIds":[],"onlineServices":[],"childCriteriaItemList":[],"clientContextJson":""}],"clientContextJson":""},{"keyOptionId":"1499","caption":"Southea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1528","caption":"Alabama","isDefault":true,"maskCriteriaOnly":false,"definition":"","keyProductQueryItem":"227199","comparisonOperation":0,"comparisonValue":"296","minimumVersion":"","maximumVersion":"","formOrder":0,"lowerBound":null,"enabled":true,"mask":"","maskKey":"","keyItemMaskOfField":null,"keyOptionIdReplace":"","relatedOptionIds":[],"onlineServices":[],"childCriteriaItemList":[],"clientContextJson":""},{"keyOptionId":"1529","caption":"Arkansas","isDefault":true,"maskCriteriaOnly":false,"</t>
  </si>
  <si>
    <t>definition":"","keyProductQueryItem":"227199","comparisonOperation":0,"comparisonValue":"297","minimumVersion":"","maximumVersion":"","formOrder":0,"lowerBound":null,"enabled":true,"mask":"","maskKey":"","keyItemMaskOfField":null,"keyOptionIdReplace":"","relatedOptionIds":[],"onlineServices":[],"childCriteriaItemList":[],"clientContextJson":""},{"keyOptionId":"1530","caption":"Florida","isDefault":true,"maskCriteriaOnly":false,"definition":"","keyProductQueryItem":"227199","comparisonOperation":0,"comparisonValue":"298","minimumVersion":"","maximumVersion":"","formOrder":0,"lowerBound":null,"enabled":true,"mask":"","maskKey":"","keyItemMaskOfField":null,"keyOptionIdReplace":"","relatedOptionIds":[],"onlineServices":[],"childCriteriaItemList":[],"clientContextJson":""},{"keyOptionId":"1531","caption":"Georgia","isDefault":true,"maskCriteriaOnly":false,"definition":"","keyProductQueryItem":"227199","comparisonOperation":0,"comparisonValue":"299","minimumVersion":"","maximumVersion":"","formOrder":0,"lowerBound":null,"enabled":true,"mask":"","maskKey":"","keyItemMaskOfField":null,"keyOptionIdReplace":"","relatedOptionIds":[],"onlineServices":[],"childCriteriaItemList":[],"clientContextJson":""},{"keyOptionId":"1532","caption":"Mississippi","isDefault":true,"maskCriteriaOnly":false,"definition":"","keyProductQueryItem":"227199","comparisonOperation":0,"comparisonValue":"300","minimumVersion":"","maximumVersion":"","formOrder":0,"lowerBound":null,"enabled":true,"mask":"","maskKey":"","keyItemMaskOfField":null,"keyOptionIdReplace":"","relatedOptionIds":[],"onlineServices":[],"childCriteriaItemList":[],"clientContextJson":""},{"keyOptionId":"1533","caption":"North Carolina","isDefault":true,"maskCriteriaOnly":false,"definition":"","keyProductQueryItem":"227199","comparisonOperation":0,"comparisonValue":"301","minimumVersion":"","maximumVersion":"","formOrder":0,"lowerBound":null,"enabled":true,"mask":"","maskKey":"","keyItemMaskOfField":null,"keyOptionIdReplace":"","relatedOptionIds":[],"onlineServices":[],"childCriteriaItemList":[],"clientContextJson":""},{"keyOptionId":"1534","caption":"South Carolina","isDefault":true,"maskCriteriaOnly":false,"definition":"","keyProductQueryItem":"227199","comparisonOperation":0,"comparisonValue":"302","minimumVersion":"","maximumVersion":"","formOrder":0,"lowerBound":null,"enabled":true,"mask":"","maskKey":"","keyItemMaskOfField":null,"keyOptionIdReplace":"","relatedOptionIds":[],"onlineServices":[],"childCriteriaItemList":[],"clientContextJson":""},{"keyOptionId":"1535","caption":"Tennessee","isDefault":true,"maskCriteriaOnly":false,"definition":"","keyProductQueryItem":"227199","comparisonOperation":0,"comparisonValue":"303","minimumVersion":"","maximumVersion":"","formOrder":0,"lowerBound":null,"enabled":true,"mask":"","maskKey":"","keyItemMaskOfField":null,"keyOptionIdReplace":"","relatedOptionIds":[],"onlineServices":[],"childCriteriaItemList":[],"clientContextJson":""},{"keyOptionId":"1536","caption":"Virgin Islands, U.S.","isDefault":true,"maskCriteriaOnly":false,"definition":"","keyProductQueryItem":"227199","comparisonOperation":0,"comparisonValue":"305","minimumVersion":"","maximumVersion":"","formOrder":0,"lowerBound":null,"enabled":true,"mask":"","maskKey":"","keyItemMaskOfField":null,"keyOptionIdReplace":"","relatedOptionIds":[],"onlineServices":[],"childCriteriaItemList":[],"clientContextJson":""},{"keyOptionId":"1537","caption":"Virginia","isDefault":true,"maskCriteriaOnly":false,"definition":"","keyProductQueryItem":"227199","comparisonOperation":0,"comparisonValue":"304","minimumVersion":"","maximumVersion":"","formOrder":0,"lowerBound":null,"enabled":true,"mask":"","maskKey":"","keyItemMaskOfField":null,"keyOptionIdReplace":"","relatedOptionIds":[],"onlineServices":[],"childCriteriaItemList":[],"clientContextJson":""},{"keyOptionId":"1538","caption":"West Virginia","isDefault":true,"maskCriteriaOnly":false,"definition":"","keyProductQueryItem":"227199","comparisonOperation":0,"comparisonValue":"306","minimumVersion":"","maximumVersion":"","formOrder":0,"lowerBound":null,"enabled":true,"mask":"","maskKey":"","keyItemMaskOfField":null,"keyOptionIdReplace":"","relatedOptionIds":[],"onlineServices":[],"childCriteriaItemList":[],"clientContextJson":""}],"clientContextJson":""},{"keyOptionId":"1500","caption":"Southwe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1539","caption":"Colorado","isDefault":true,"maskCriteriaOnly":false,"definition":"","keyProductQueryItem":"227199","comparisonOperation":0,"comparisonValue":"307","minimumVersion":"","maximumVersion":"","formOrder":0,"lowerBound":null,"enabled":true,"mask":"","maskKey":"","keyItemMaskOfField":null,"keyOptionIdReplace":"","relatedOptionIds":[],"onlineServices":[],"childCriteriaItemList":[],"clientContextJson":""},{"keyOptionId":"1540","caption":"Louisiana","isDefault":true,"maskCriteriaOnly":false,"definition":"","keyProductQueryItem":"227199","comparisonOperation":0,"comparisonValue":"308","minimumVersion":"","maximumVersion":"","formOrder":0,"lowerBound":null,"enabled":true,"mask":"","maskKey":"","keyItemMaskOfField":null,"keyOptionIdReplace":"","relatedOptionIds":[],"onlineServices":[],"childCriteriaItemList":[],"clientContextJson":""},{"keyOptionId":"1541","caption":"New Mexico","isDefault":true,"maskCriteriaOnly":false,"definition":"","keyProductQueryItem":"227199","comparisonOperation":0,"comparisonValue":"309","minimumVersion":"","maximumVersion":"","formOrder":0,"lowerBound":null,"enabled":true,"mask":"","maskKey":"","keyItemMaskOfField":null,"keyOptionIdReplace":"","relatedOptionIds":[],"onlineServices":[],"childCriteriaItemList":[],"clientContextJson":""},{"keyOptionId":"1542","caption":"Oklahoma","isDefault":true,"maskCriteriaOnly":false,"definition":"","keyProductQueryItem":"227199","comparisonOperation":0,"comparisonValue":"310","minimumVersion":"","maximumVersion":"","formOrder":0,"lowerBound":null,"enabled":true,"mask":"","maskKey":"","keyItemMaskOfField":null,"keyOptionIdReplace":"","relatedOptionIds":[],"onlineServices":[],"childCriteriaItemList":[],"clientContextJson":""},{"keyOptionId":"1543","caption":"Texas","isDefault":true,"maskCriteriaOnly":false,"definition":"","keyProductQueryItem":"227199","comparisonOperation":0,"comparisonValue":"311","minimumVersion":"","maximumVersion":"","formOrder":0,"lowerBound":null,"enabled":true,"mask":"","maskKey":"","keyItemMaskOfField":null,"keyOptionIdReplace":"","relatedOptionIds":[],"onlineServices":[],"childCriteriaItemList":[],"clientContextJson":""},{"keyOptionId":"1544","caption":"Utah","isDefault":true,"maskCriteriaOnly":false,"definition":"","keyProductQueryItem":"227199","comparisonOperation":0,"comparisonValue":"312","minimumVersion":"","maximumVersion":"","formOrder":0,"lowerBound":null,"enabled":true,"mask":"","maskKey":"","keyItemMaskOfField":null,"keyOptionIdReplace":"","relatedOptionIds":[],"onlineServices":[],"childCriteriaItemList":[],"clientContextJson":""}],"clientContextJson":""},{"keyOptionId":"1501","caption":"West","isDefault":false,"maskCriteriaOnly":true,"definition":"","keyProductQueryItem":"","comparisonOperation":null,"comparisonValue":"","minimumVersion":"","maximumVersion":"","formOrder":0,"lowerBound":null,"enabled":true,"mask":"","maskKey":"","keyItemMaskOfField":null,"keyOptionIdReplace":"","relatedOptionIds":[],"onlineServ</t>
  </si>
  <si>
    <t>ices":[],"childCriteriaItemList":[{"keyOptionId":"1545","caption":"Alaska","isDefault":true,"maskCriteriaOnly":false,"definition":"","keyProductQueryItem":"227199","comparisonOperation":0,"comparisonValue":"313","minimumVersion":"","maximumVersion":"","formOrder":0,"lowerBound":null,"enabled":true,"mask":"","maskKey":"","keyItemMaskOfField":null,"keyOptionIdReplace":"","relatedOptionIds":[],"onlineServices":[],"childCriteriaItemList":[],"clientContextJson":""},{"keyOptionId":"1546","caption":"American Samoa","isDefault":true,"maskCriteriaOnly":false,"definition":"","keyProductQueryItem":"227199","comparisonOperation":0,"comparisonValue":"314","minimumVersion":"","maximumVersion":"","formOrder":0,"lowerBound":null,"enabled":true,"mask":"","maskKey":"","keyItemMaskOfField":null,"keyOptionIdReplace":"","relatedOptionIds":[],"onlineServices":[],"childCriteriaItemList":[],"clientContextJson":""},{"keyOptionId":"1547","caption":"Arizona","isDefault":true,"maskCriteriaOnly":false,"definition":"","keyProductQueryItem":"227199","comparisonOperation":0,"comparisonValue":"315","minimumVersion":"","maximumVersion":"","formOrder":0,"lowerBound":null,"enabled":true,"mask":"","maskKey":"","keyItemMaskOfField":null,"keyOptionIdReplace":"","relatedOptionIds":[],"onlineServices":[],"childCriteriaItemList":[],"clientContextJson":""},{"keyOptionId":"1548","caption":"California","isDefault":true,"maskCriteriaOnly":false,"definition":"","keyProductQueryItem":"227199","comparisonOperation":0,"comparisonValue":"316","minimumVersion":"","maximumVersion":"","formOrder":0,"lowerBound":null,"enabled":true,"mask":"","maskKey":"","keyItemMaskOfField":null,"keyOptionIdReplace":"","relatedOptionIds":[],"onlineServices":[],"childCriteriaItemList":[],"clientContextJson":""},{"keyOptionId":"1549","caption":"Guam","isDefault":true,"maskCriteriaOnly":false,"definition":"","keyProductQueryItem":"227199","comparisonOperation":0,"comparisonValue":"318","minimumVersion":"","maximumVersion":"","formOrder":0,"lowerBound":null,"enabled":true,"mask":"","maskKey":"","keyItemMaskOfField":null,"keyOptionIdReplace":"","relatedOptionIds":[],"onlineServices":[],"childCriteriaItemList":[],"clientContextJson":""},{"keyOptionId":"1550","caption":"Hawaii","isDefault":true,"maskCriteriaOnly":false,"definition":"","keyProductQueryItem":"227199","comparisonOperation":0,"comparisonValue":"319","minimumVersion":"","maximumVersion":"","formOrder":0,"lowerBound":null,"enabled":true,"mask":"","maskKey":"","keyItemMaskOfField":null,"keyOptionIdReplace":"","relatedOptionIds":[],"onlineServices":[],"childCriteriaItemList":[],"clientContextJson":""},{"keyOptionId":"1551","caption":"Idaho","isDefault":true,"maskCriteriaOnly":false,"definition":"","keyProductQueryItem":"227199","comparisonOperation":0,"comparisonValue":"320","minimumVersion":"","maximumVersion":"","formOrder":0,"lowerBound":null,"enabled":true,"mask":"","maskKey":"","keyItemMaskOfField":null,"keyOptionIdReplace":"","relatedOptionIds":[],"onlineServices":[],"childCriteriaItemList":[],"clientContextJson":""},{"keyOptionId":"1552","caption":"Montana","isDefault":true,"maskCriteriaOnly":false,"definition":"","keyProductQueryItem":"227199","comparisonOperation":0,"comparisonValue":"323","minimumVersion":"","maximumVersion":"","formOrder":0,"lowerBound":null,"enabled":true,"mask":"","maskKey":"","keyItemMaskOfField":null,"keyOptionIdReplace":"","relatedOptionIds":[],"onlineServices":[],"childCriteriaItemList":[],"clientContextJson":""},{"keyOptionId":"1553","caption":"Nevada","isDefault":true,"maskCriteriaOnly":false,"definition":"","keyProductQueryItem":"227199","comparisonOperation":0,"comparisonValue":"324","minimumVersion":"","maximumVersion":"","formOrder":0,"lowerBound":null,"enabled":true,"mask":"","maskKey":"","keyItemMaskOfField":null,"keyOptionIdReplace":"","relatedOptionIds":[],"onlineServices":[],"childCriteriaItemList":[],"clientContextJson":""},{"keyOptionId":"1554","caption":"Northern Mariana Islands","isDefault":true,"maskCriteriaOnly":false,"definition":"","keyProductQueryItem":"227199","comparisonOperation":0,"comparisonValue":"322","minimumVersion":"","maximumVersion":"","formOrder":0,"lowerBound":null,"enabled":true,"mask":"","maskKey":"","keyItemMaskOfField":null,"keyOptionIdReplace":"","relatedOptionIds":[],"onlineServices":[],"childCriteriaItemList":[],"clientContextJson":""},{"keyOptionId":"1555","caption":"Oregon","isDefault":true,"maskCriteriaOnly":false,"definition":"","keyProductQueryItem":"227199","comparisonOperation":0,"comparisonValue":"325","minimumVersion":"","maximumVersion":"","formOrder":0,"lowerBound":null,"enabled":true,"mask":"","maskKey":"","keyItemMaskOfField":null,"keyOptionIdReplace":"","relatedOptionIds":[],"onlineServices":[],"childCriteriaItemList":[],"clientContextJson":""},{"keyOptionId":"1556","caption":"United States Minor Outlying Islands","isDefault":true,"maskCriteriaOnly":false,"definition":"","keyProductQueryItem":"227199","comparisonOperation":0,"comparisonValue":"327","minimumVersion":"","maximumVersion":"","formOrder":0,"lowerBound":null,"enabled":true,"mask":"","maskKey":"","keyItemMaskOfField":null,"keyOptionIdReplace":"","relatedOptionIds":[],"onlineServices":[],"childCriteriaItemList":[],"clientContextJson":""},{"keyOptionId":"1557","caption":"Washington","isDefault":true,"maskCriteriaOnly":false,"definition":"","keyProductQueryItem":"227199","comparisonOperation":0,"comparisonValue":"328","minimumVersion":"","maximumVersion":"","formOrder":0,"lowerBound":null,"enabled":true,"mask":"","maskKey":"","keyItemMaskOfField":null,"keyOptionIdReplace":"","relatedOptionIds":[],"onlineServices":[],"childCriteriaItemList":[],"clientContextJson":""},{"keyOptionId":"1558","caption":"Wyoming","isDefault":true,"maskCriteriaOnly":false,"definition":"","keyProductQueryItem":"227199","comparisonOperation":0,"comparisonValue":"329","minimumVersion":"","maximumVersion":"","formOrder":0,"lowerBound":null,"enabled":true,"mask":"","maskKey":"","keyItemMaskOfField":null,"keyOptionIdReplace":"","relatedOptionIds":[],"onlineServices":[],"childCriteriaItemList":[],"clientContextJson":""}],"clientContextJson":""}],"clientContextJson":""},{"keyOptionId":"1245","caption":"Canada","isDefault":true,"maskCriteriaOnly":false,"definition":"","keyProductQueryItem":"227199","comparisonOperation":0,"comparisonValue":"38","minimumVersion":"","maximumVersion":"","formOrder":0,"lowerBound":null,"enabled":true,"mask":"","maskKey":"","keyItemMaskOfField":null,"keyOptionIdReplace":"","relatedOptionIds":[],"onlineServices":[],"childCriteriaItemList":[],"clientContextJson":""},{"keyOptionId":"1246","caption":"Bermuda","isDefault":true,"maskCriteriaOnly":false,"definition":"","keyProductQueryItem":"227199","comparisonOperation":0,"comparisonValue":"12","minimumVersion":"","maximumVersion":"","formOrder":0,"lowerBound":null,"enabled":true,"mask":"","maskKey":"","keyItemMaskOfField":null,"keyOptionIdReplace":"","relatedOptionIds":[],"onlineServices":[],"childCriteriaItemList":[],"clientContextJson":""}],"clientContextJson":""},{"keyOptionId":"1247","caption":"Europe","isDefault":false,"maskCriteriaOnly":true,"definition":"","keyProductQueryItem":"","comparisonOperation":null,"comparisonValue":"","minimumVersion":"","maximumVersion":"","formOrder":0,"lowerBound":null,"enabled":true,"mask":"","maskKey":"","keyItemMaskOfField":null,"keyOptionIdReplace":"","relatedOptionIds":[],"onlineServices":[],"childCriteriaItemList":[{"keyOptionId":"1248","caption":"Developed Europe","isDefault":false,"maskCriteriaOnly":true,"definition":"","keyProductQueryItem":"","comparisonOperation":null,"comparisonValue":"","minimumVersion":"","maximumVersion</t>
  </si>
  <si>
    <t>":"","formOrder":0,"lowerBound":null,"enabled":true,"mask":"","maskKey":"","keyItemMaskOfField":null,"keyOptionIdReplace":"","relatedOptionIds":[],"onlineServices":[],"childCriteriaItemList":[{"keyOptionId":"1265","caption":"Andorra","isDefault":true,"maskCriteriaOnly":false,"definition":"","keyProductQueryItem":"227199","comparisonOperation":0,"comparisonValue":"170","minimumVersion":"","maximumVersion":"","formOrder":0,"lowerBound":null,"enabled":true,"mask":"","maskKey":"","keyItemMaskOfField":null,"keyOptionIdReplace":"","relatedOptionIds":[],"onlineServices":[],"childCriteriaItemList":[],"clientContextJson":""},{"keyOptionId":"1268","caption":"Austria","isDefault":true,"maskCriteriaOnly":false,"definition":"","keyProductQueryItem":"227199","comparisonOperation":0,"comparisonValue":"206","minimumVersion":"","maximumVersion":"","formOrder":0,"lowerBound":null,"enabled":true,"mask":"","maskKey":"","keyItemMaskOfField":null,"keyOptionIdReplace":"","relatedOptionIds":[],"onlineServices":[],"childCriteriaItemList":[],"clientContextJson":""},{"keyOptionId":"1258","caption":"Belgium","isDefault":true,"maskCriteriaOnly":false,"definition":"","keyProductQueryItem":"227199","comparisonOperation":0,"comparisonValue":"175","minimumVersion":"","maximumVersion":"","formOrder":0,"lowerBound":null,"enabled":true,"mask":"","maskKey":"","keyItemMaskOfField":null,"keyOptionIdReplace":"","relatedOptionIds":[],"onlineServices":[],"childCriteriaItemList":[],"clientContextJson":""},{"keyOptionId":"1269","caption":"Cyprus","isDefault":true,"maskCriteriaOnly":false,"definition":"","keyProductQueryItem":"227199","comparisonOperation":0,"comparisonValue":"126","minimumVersion":"","maximumVersion":"","formOrder":0,"lowerBound":null,"enabled":true,"mask":"","maskKey":"","keyItemMaskOfField":null,"keyOptionIdReplace":"","relatedOptionIds":[],"onlineServices":[],"childCriteriaItemList":[],"clientContextJson":""},{"keyOptionId":"1249","caption":"Czech Republic","isDefault":true,"maskCriteriaOnly":false,"definition":"","keyProductQueryItem":"227199","comparisonOperation":0,"comparisonValue":"207","minimumVersion":"","maximumVersion":"","formOrder":0,"lowerBound":null,"enabled":true,"mask":"","maskKey":"","keyItemMaskOfField":null,"keyOptionIdReplace":"","relatedOptionIds":[],"onlineServices":[],"childCriteriaItemList":[],"clientContextJson":""},{"keyOptionId":"1259","caption":"Denmark","isDefault":true,"maskCriteriaOnly":false,"definition":"","keyProductQueryItem":"227199","comparisonOperation":0,"comparisonValue":"209","minimumVersion":"","maximumVersion":"","formOrder":0,"lowerBound":null,"enabled":true,"mask":"","maskKey":"","keyItemMaskOfField":null,"keyOptionIdReplace":"","relatedOptionIds":[],"onlineServices":[],"childCriteriaItemList":[],"clientContextJson":""},{"keyOptionId":"1270","caption":"Finland","isDefault":true,"maskCriteriaOnly":false,"definition":"","keyProductQueryItem":"227199","comparisonOperation":0,"comparisonValue":"181","minimumVersion":"","maximumVersion":"","formOrder":0,"lowerBound":null,"enabled":true,"mask":"","maskKey":"","keyItemMaskOfField":null,"keyOptionIdReplace":"","relatedOptionIds":[],"onlineServices":[],"childCriteriaItemList":[],"clientContextJson":""},{"keyOptionId":"1251","caption":"France","isDefault":true,"maskCriteriaOnly":false,"definition":"","keyProductQueryItem":"227199","comparisonOperation":0,"comparisonValue":"183","minimumVersion":"","maximumVersion":"","formOrder":0,"lowerBound":null,"enabled":true,"mask":"","maskKey":"","keyItemMaskOfField":null,"keyOptionIdReplace":"","relatedOptionIds":[],"onlineServices":[],"childCriteriaItemList":[],"clientContextJson":""},{"keyOptionId":"1250","caption":"Germany","isDefault":true,"maskCriteriaOnly":false,"definition":"","keyProductQueryItem":"227199","comparisonOperation":0,"comparisonValue":"208","minimumVersion":"","maximumVersion":"","formOrder":0,"lowerBound":null,"enabled":true,"mask":"","maskKey":"","keyItemMaskOfField":null,"keyOptionIdReplace":"","relatedOptionIds":[],"onlineServices":[],"childCriteriaItemList":[],"clientContextJson":""},{"keyOptionId":"1252","caption":"Gibraltar","isDefault":true,"maskCriteriaOnly":false,"definition":"","keyProductQueryItem":"227199","comparisonOperation":0,"comparisonValue":"185","minimumVersion":"","maximumVersion":"","formOrder":0,"lowerBound":null,"enabled":true,"mask":"","maskKey":"","keyItemMaskOfField":null,"keyOptionIdReplace":"","relatedOptionIds":[],"onlineServices":[],"childCriteriaItemList":[],"clientContextJson":""},{"keyOptionId":"1255","caption":"Greece","isDefault":true,"maskCriteriaOnly":false,"definition":"","keyProductQueryItem":"227199","comparisonOperation":0,"comparisonValue":"186","minimumVersion":"","maximumVersion":"","formOrder":0,"lowerBound":null,"enabled":true,"mask":"","maskKey":"","keyItemMaskOfField":null,"keyOptionIdReplace":"","relatedOptionIds":[],"onlineServices":[],"childCriteriaItemList":[],"clientContextJson":""},{"keyOptionId":"1254","caption":"Greenland","isDefault":true,"maskCriteriaOnly":false,"definition":"","keyProductQueryItem":"227199","comparisonOperation":0,"comparisonValue":"19","minimumVersion":"","maximumVersion":"","formOrder":0,"lowerBound":null,"enabled":true,"mask":"","maskKey":"","keyItemMaskOfField":null,"keyOptionIdReplace":"","relatedOptionIds":[],"onlineServices":[],"childCriteriaItemList":[],"clientContextJson":""},{"keyOptionId":"1271","caption":"Iceland","isDefault":true,"maskCriteriaOnly":false,"definition":"","keyProductQueryItem":"227199","comparisonOperation":0,"comparisonValue":"189","minimumVersion":"","maximumVersion":"","formOrder":0,"lowerBound":null,"enabled":true,"mask":"","maskKey":"","keyItemMaskOfField":null,"keyOptionIdReplace":"","relatedOptionIds":[],"onlineServices":[],"childCriteriaItemList":[],"clientContextJson":""},{"keyOptionId":"1256","caption":"Ireland","isDefault":true,"maskCriteriaOnly":false,"definition":"","keyProductQueryItem":"227199","comparisonOperation":0,"comparisonValue":"212","minimumVersion":"","maximumVersion":"","formOrder":0,"lowerBound":null,"enabled":true,"mask":"","maskKey":"","keyItemMaskOfField":null,"keyOptionIdReplace":"","relatedOptionIds":[],"onlineServices":[],"childCriteriaItemList":[],"clientContextJson":""},{"keyOptionId":"1257","caption":"Italy","isDefault":true,"maskCriteriaOnly":false,"definition":"","keyProductQueryItem":"227199","comparisonOperation":0,"comparisonValue":"190","minimumVersion":"","maximumVersion":"","formOrder":0,"lowerBound":null,"enabled":true,"mask":"","maskKey":"","keyItemMaskOfField":null,"keyOptionIdReplace":"","relatedOptionIds":[],"onlineServices":[],"childCriteriaItemList":[],"clientContextJson":""},{"keyOptionId":"1266","caption":"Liechtenstein","isDefault":true,"maskCriteriaOnly":false,"definition":"","keyProductQueryItem":"227199","comparisonOperation":0,"comparisonValue":"213","minimumVersion":"","maximumVersion":"","formOrder":0,"lowerBound":null,"enabled":true,"mask":"","maskKey":"","keyItemMaskOfField":null,"keyOptionIdReplace":"","relatedOptionIds":[],"onlineServices":[],"childCriteriaItemList":[],"clientContextJson":""},{"keyOptionId":"1253","caption":"Luxembourg","isDefault":true,"maskCriteriaOnly":false,"definition":"","keyProductQueryItem":"227199","comparisonOperation":0,"comparisonValue":"214","minimumVersion":"","maximumVersion":"","formOrder":0,"lowerBound":null,"enabled":true,"mask":"","maskKey":"","keyItemMaskOfField":null,"keyOptionIdReplace":"","relatedOptionIds":[],"onlineServices":[],"childCriteriaItemList":[],"clientContextJson":""},{"keyOptionId":"1272","caption":"Malta","isDefault":true,"maskCriteriaOnly":false,"definition":"","keyProductQueryItem":"227199","comp</t>
  </si>
  <si>
    <t>arisonOperation":0,"comparisonValue":"195","minimumVersion":"","maximumVersion":"","formOrder":0,"lowerBound":null,"enabled":true,"mask":"","maskKey":"","keyItemMaskOfField":null,"keyOptionIdReplace":"","relatedOptionIds":[],"onlineServices":[],"childCriteriaItemList":[],"clientContextJson":""},{"keyOptionId":"1267","caption":"Monaco","isDefault":true,"maskCriteriaOnly":false,"definition":"","keyProductQueryItem":"227199","comparisonOperation":0,"comparisonValue":"215","minimumVersion":"","maximumVersion":"","formOrder":0,"lowerBound":null,"enabled":true,"mask":"","maskKey":"","keyItemMaskOfField":null,"keyOptionIdReplace":"","relatedOptionIds":[],"onlineServices":[],"childCriteriaItemList":[],"clientContextJson":""},{"keyOptionId":"1263","caption":"Netherlands","isDefault":true,"maskCriteriaOnly":false,"definition":"","keyProductQueryItem":"227199","comparisonOperation":0,"comparisonValue":"216","minimumVersion":"","maximumVersion":"","formOrder":0,"lowerBound":null,"enabled":true,"mask":"","maskKey":"","keyItemMaskOfField":null,"keyOptionIdReplace":"","relatedOptionIds":[],"onlineServices":[],"childCriteriaItemList":[],"clientContextJson":""},{"keyOptionId":"1260","caption":"Norway","isDefault":true,"maskCriteriaOnly":false,"definition":"","keyProductQueryItem":"227199","comparisonOperation":0,"comparisonValue":"196","minimumVersion":"","maximumVersion":"","formOrder":0,"lowerBound":null,"enabled":true,"mask":"","maskKey":"","keyItemMaskOfField":null,"keyOptionIdReplace":"","relatedOptionIds":[],"onlineServices":[],"childCriteriaItemList":[],"clientContextJson":""},{"keyOptionId":"1264","caption":"Portugal","isDefault":true,"maskCriteriaOnly":false,"definition":"","keyProductQueryItem":"227199","comparisonOperation":0,"comparisonValue":"218","minimumVersion":"","maximumVersion":"","formOrder":0,"lowerBound":null,"enabled":true,"mask":"","maskKey":"","keyItemMaskOfField":null,"keyOptionIdReplace":"","relatedOptionIds":[],"onlineServices":[],"childCriteriaItemList":[],"clientContextJson":""},{"keyOptionId":"1273","caption":"San Marino","isDefault":true,"maskCriteriaOnly":false,"definition":"","keyProductQueryItem":"227199","comparisonOperation":0,"comparisonValue":"202","minimumVersion":"","maximumVersion":"","formOrder":0,"lowerBound":null,"enabled":true,"mask":"","maskKey":"","keyItemMaskOfField":null,"keyOptionIdReplace":"","relatedOptionIds":[],"onlineServices":[],"childCriteriaItemList":[],"clientContextJson":""},{"keyOptionId":"1275","caption":"Slovakia","isDefault":true,"maskCriteriaOnly":false,"definition":"","keyProductQueryItem":"227199","comparisonOperation":0,"comparisonValue":"201","minimumVersion":"","maximumVersion":"","formOrder":0,"lowerBound":null,"enabled":true,"mask":"","maskKey":"","keyItemMaskOfField":null,"keyOptionIdReplace":"","relatedOptionIds":[],"onlineServices":[],"childCriteriaItemList":[],"clientContextJson":""},{"keyOptionId":"1274","caption":"Slovenia","isDefault":true,"maskCriteriaOnly":false,"definition":"","keyProductQueryItem":"227199","comparisonOperation":0,"comparisonValue":"199","minimumVersion":"","maximumVersion":"","formOrder":0,"lowerBound":null,"enabled":true,"mask":"","maskKey":"","keyItemMaskOfField":null,"keyOptionIdReplace":"","relatedOptionIds":[],"onlineServices":[],"childCriteriaItemList":[],"clientContextJson":""},{"keyOptionId":"1261","caption":"Spain","isDefault":true,"maskCriteriaOnly":false,"definition":"","keyProductQueryItem":"227199","comparisonOperation":0,"comparisonValue":"210","minimumVersion":"","maximumVersion":"","formOrder":0,"lowerBound":null,"enabled":true,"mask":"","maskKey":"","keyItemMaskOfField":null,"keyOptionIdReplace":"","relatedOptionIds":[],"onlineServices":[],"childCriteriaItemList":[],"clientContextJson":""},{"keyOptionId":"1262","caption":"Sweden","isDefault":true,"maskCriteriaOnly":false,"definition":"","keyProductQueryItem":"227199","comparisonOperation":0,"comparisonValue":"219","minimumVersion":"","maximumVersion":"","formOrder":0,"lowerBound":null,"enabled":true,"mask":"","maskKey":"","keyItemMaskOfField":null,"keyOptionIdReplace":"","relatedOptionIds":[],"onlineServices":[],"childCriteriaItemList":[],"clientContextJson":""},{"keyOptionId":"1277","caption":"Switzerland","isDefault":true,"maskCriteriaOnly":false,"definition":"","keyProductQueryItem":"227199","comparisonOperation":0,"comparisonValue":"178","minimumVersion":"","maximumVersion":"","formOrder":0,"lowerBound":null,"enabled":true,"mask":"","maskKey":"","keyItemMaskOfField":null,"keyOptionIdReplace":"","relatedOptionIds":[],"onlineServices":[],"childCriteriaItemList":[],"clientContextJson":""},{"keyOptionId":"1278","caption":"United Kingdom","isDefault":true,"maskCriteriaOnly":false,"definition":"","keyProductQueryItem":"227199","comparisonOperation":0,"comparisonValue":"211","minimumVersion":"","maximumVersion":"","formOrder":0,"lowerBound":null,"enabled":true,"mask":"","maskKey":"","keyItemMaskOfField":null,"keyOptionIdReplace":"","relatedOptionIds":[],"onlineServices":[],"childCriteriaItemList":[],"clientContextJson":""},{"keyOptionId":"1276","caption":"Vatican City","isDefault":true,"maskCriteriaOnly":false,"definition":"","keyProductQueryItem":"227199","comparisonOperation":0,"comparisonValue":"205","minimumVersion":"","maximumVersion":"","formOrder":0,"lowerBound":null,"enabled":true,"mask":"","maskKey":"","keyItemMaskOfField":null,"keyOptionIdReplace":"","relatedOptionIds":[],"onlineServices":[],"childCriteriaItemList":[],"clientContextJson":""}],"clientContextJson":""},{"keyOptionId":"1279","caption":"Emerging Europe","isDefault":false,"maskCriteriaOnly":true,"definition":"","keyProductQueryItem":"","comparisonOperation":null,"comparisonValue":"","minimumVersion":"","maximumVersion":"","formOrder":0,"lowerBound":null,"enabled":true,"mask":"","maskKey":"","keyItemMaskOfField":null,"keyOptionIdReplace":"","relatedOptionIds":[],"onlineServices":[],"childCriteriaItemList":[{"keyOptionId":"1280","caption":"Åland Islands","isDefault":true,"maskCriteriaOnly":false,"definition":"","keyProductQueryItem":"227199","comparisonOperation":0,"comparisonValue":"172","minimumVersion":"","maximumVersion":"","formOrder":0,"lowerBound":null,"enabled":true,"mask":"","maskKey":"","keyItemMaskOfField":null,"keyOptionIdReplace":"","relatedOptionIds":[],"onlineServices":[],"childCriteriaItemList":[],"clientContextJson":""},{"keyOptionId":"1286","caption":"Albania","isDefault":true,"maskCriteriaOnly":false,"definition":"","keyProductQueryItem":"227199","comparisonOperation":0,"comparisonValue":"171","minimumVersion":"","maximumVersion":"","formOrder":0,"lowerBound":null,"enabled":true,"mask":"","maskKey":"","keyItemMaskOfField":null,"keyOptionIdReplace":"","relatedOptionIds":[],"onlineServices":[],"childCriteriaItemList":[],"clientContextJson":""},{"keyOptionId":"1287","caption":"Armenia","isDefault":true,"maskCriteriaOnly":false,"definition":"","keyProductQueryItem":"227199","comparisonOperation":0,"comparisonValue":"120","minimumVersion":"","maximumVersion":"","formOrder":0,"lowerBound":null,"enabled":true,"mask":"","maskKey":"","keyItemMaskOfField":null,"keyOptionIdReplace":"","relatedOptionIds":[],"onlineServices":[],"childCriteriaItemList":[],"clientContextJson":""},{"keyOptionId":"1281","caption":"Azerbaijan","isDefault":true,"maskCriteriaOnly":false,"definition":"","keyProductQueryItem":"227199","comparisonOperation":0,"comparisonValue":"173","minimumVersion":"","maximumVersion":"","formOrder":0,"lowerBound":null,"enabled":true,"mask":"","maskKey":"","keyItemMaskOfField":null,"keyOptionIdReplace":"","relatedOptionIds":[],"onlineServices":[],"childCriteriaItemList":[],"clientContextJson":""},{"keyOptionId</t>
  </si>
  <si>
    <t>":"1288","caption":"Belarus","isDefault":true,"maskCriteriaOnly":false,"definition":"","keyProductQueryItem":"227199","comparisonOperation":0,"comparisonValue":"177","minimumVersion":"","maximumVersion":"","formOrder":0,"lowerBound":null,"enabled":true,"mask":"","maskKey":"","keyItemMaskOfField":null,"keyOptionIdReplace":"","relatedOptionIds":[],"onlineServices":[],"childCriteriaItemList":[],"clientContextJson":""},{"keyOptionId":"1282","caption":"Bosnia &amp; Herzegovina","isDefault":true,"maskCriteriaOnly":false,"definition":"","keyProductQueryItem":"227199","comparisonOperation":0,"comparisonValue":"174","minimumVersion":"","maximumVersion":"","formOrder":0,"lowerBound":null,"enabled":true,"mask":"","maskKey":"","keyItemMaskOfField":null,"keyOptionIdReplace":"","relatedOptionIds":[],"onlineServices":[],"childCriteriaItemList":[],"clientContextJson":""},{"keyOptionId":"1289","caption":"Bulgaria","isDefault":true,"maskCriteriaOnly":false,"definition":"","keyProductQueryItem":"227199","comparisonOperation":0,"comparisonValue":"176","minimumVersion":"","maximumVersion":"","formOrder":0,"lowerBound":null,"enabled":true,"mask":"","maskKey":"","keyItemMaskOfField":null,"keyOptionIdReplace":"","relatedOptionIds":[],"onlineServices":[],"childCriteriaItemList":[],"clientContextJson":""},{"keyOptionId":"1290","caption":"Croatia","isDefault":true,"maskCriteriaOnly":false,"definition":"","keyProductQueryItem":"227199","comparisonOperation":0,"comparisonValue":"187","minimumVersion":"","maximumVersion":"","formOrder":0,"lowerBound":null,"enabled":true,"mask":"","maskKey":"","keyItemMaskOfField":null,"keyOptionIdReplace":"","relatedOptionIds":[],"onlineServices":[],"childCriteriaItemList":[],"clientContextJson":""},{"keyOptionId":"1291","caption":"Estonia","isDefault":true,"maskCriteriaOnly":false,"definition":"","keyProductQueryItem":"227199","comparisonOperation":0,"comparisonValue":"180","minimumVersion":"","maximumVersion":"","formOrder":0,"lowerBound":null,"enabled":true,"mask":"","maskKey":"","keyItemMaskOfField":null,"keyOptionIdReplace":"","relatedOptionIds":[],"onlineServices":[],"childCriteriaItemList":[],"clientContextJson":""},{"keyOptionId":"1283","caption":"Faroe Islands","isDefault":true,"maskCriteriaOnly":false,"definition":"","keyProductQueryItem":"227199","comparisonOperation":0,"comparisonValue":"182","minimumVersion":"","maximumVersion":"","formOrder":0,"lowerBound":null,"enabled":true,"mask":"","maskKey":"","keyItemMaskOfField":null,"keyOptionIdReplace":"","relatedOptionIds":[],"onlineServices":[],"childCriteriaItemList":[],"clientContextJson":""},{"keyOptionId":"1285","caption":"Georgia","isDefault":true,"maskCriteriaOnly":false,"definition":"","keyProductQueryItem":"227199","comparisonOperation":0,"comparisonValue":"184","minimumVersion":"","maximumVersion":"","formOrder":0,"lowerBound":null,"enabled":true,"mask":"","maskKey":"","keyItemMaskOfField":null,"keyOptionIdReplace":"","relatedOptionIds":[],"onlineServices":[],"childCriteriaItemList":[],"clientContextJson":""},{"keyOptionId":"1292","caption":"Hungary","isDefault":true,"maskCriteriaOnly":false,"definition":"","keyProductQueryItem":"227199","comparisonOperation":0,"comparisonValue":"188","minimumVersion":"","maximumVersion":"","formOrder":0,"lowerBound":null,"enabled":true,"mask":"","maskKey":"","keyItemMaskOfField":null,"keyOptionIdReplace":"","relatedOptionIds":[],"onlineServices":[],"childCriteriaItemList":[],"clientContextJson":""},{"keyOptionId":"1341","caption":"Kazakhstan","isDefault":true,"maskCriteriaOnly":false,"definition":"","keyProductQueryItem":"227199","comparisonOperation":0,"comparisonValue":"138","minimumVersion":"","maximumVersion":"","formOrder":0,"lowerBound":null,"enabled":true,"mask":"","maskKey":"","keyItemMaskOfField":null,"keyOptionIdReplace":"","relatedOptionIds":[],"onlineServices":[],"childCriteriaItemList":[],"clientContextJson":""},{"keyOptionId":"1328","caption":"Kyrgyzstan","isDefault":true,"maskCriteriaOnly":false,"definition":"","keyProductQueryItem":"227199","comparisonOperation":0,"comparisonValue":"134","minimumVersion":"","maximumVersion":"","formOrder":0,"lowerBound":null,"enabled":true,"mask":"","maskKey":"","keyItemMaskOfField":null,"keyOptionIdReplace":"","relatedOptionIds":[],"onlineServices":[],"childCriteriaItemList":[],"clientContextJson":""},{"keyOptionId":"1293","caption":"Latvia","isDefault":true,"maskCriteriaOnly":false,"definition":"","keyProductQueryItem":"227199","comparisonOperation":0,"comparisonValue":"192","minimumVersion":"","maximumVersion":"","formOrder":0,"lowerBound":null,"enabled":true,"mask":"","maskKey":"","keyItemMaskOfField":null,"keyOptionIdReplace":"","relatedOptionIds":[],"onlineServices":[],"childCriteriaItemList":[],"clientContextJson":""},{"keyOptionId":"1294","caption":"Lithuania","isDefault":true,"maskCriteriaOnly":false,"definition":"","keyProductQueryItem":"227199","comparisonOperation":0,"comparisonValue":"191","minimumVersion":"","maximumVersion":"","formOrder":0,"lowerBound":null,"enabled":true,"mask":"","maskKey":"","keyItemMaskOfField":null,"keyOptionIdReplace":"","relatedOptionIds":[],"onlineServices":[],"childCriteriaItemList":[],"clientContextJson":""},{"keyOptionId":"1284","caption":"Macedonia","isDefault":true,"maskCriteriaOnly":false,"definition":"","keyProductQueryItem":"227199","comparisonOperation":0,"comparisonValue":"194","minimumVersion":"","maximumVersion":"","formOrder":0,"lowerBound":null,"enabled":true,"mask":"","maskKey":"","keyItemMaskOfField":null,"keyOptionIdReplace":"","relatedOptionIds":[],"onlineServices":[],"childCriteriaItemList":[],"clientContextJson":""},{"keyOptionId":"1295","caption":"Moldova","isDefault":true,"maskCriteriaOnly":false,"definition":"","keyProductQueryItem":"227199","comparisonOperation":0,"comparisonValue":"193","minimumVersion":"","maximumVersion":"","formOrder":0,"lowerBound":null,"enabled":true,"mask":"","maskKey":"","keyItemMaskOfField":null,"keyOptionIdReplace":"","relatedOptionIds":[],"onlineServices":[],"childCriteriaItemList":[],"clientContextJson":""},{"keyOptionId":"1952","caption":"Montenegro","isDefault":true,"maskCriteriaOnly":false,"definition":"","keyProductQueryItem":"227199","comparisonOperation":0,"comparisonValue":"997","minimumVersion":"","maximumVersion":"","formOrder":0,"lowerBound":null,"enabled":true,"mask":"","maskKey":"","keyItemMaskOfField":null,"keyOptionIdReplace":"","relatedOptionIds":[],"onlineServices":[],"childCriteriaItemList":[],"clientContextJson":""},{"keyOptionId":"1296","caption":"Poland","isDefault":true,"maskCriteriaOnly":false,"definition":"","keyProductQueryItem":"227199","comparisonOperation":0,"comparisonValue":"217","minimumVersion":"","maximumVersion":"","formOrder":0,"lowerBound":null,"enabled":true,"mask":"","maskKey":"","keyItemMaskOfField":null,"keyOptionIdReplace":"","relatedOptionIds":[],"onlineServices":[],"childCriteriaItemList":[],"clientContextJson":""},{"keyOptionId":"1298","caption":"Romania","isDefault":true,"maskCriteriaOnly":false,"definition":"","keyProductQueryItem":"227199","comparisonOperation":0,"comparisonValue":"197","minimumVersion":"","maximumVersion":"","formOrder":0,"lowerBound":null,"enabled":true,"mask":"","maskKey":"","keyItemMaskOfField":null,"keyOptionIdReplace":"","relatedOptionIds":[],"onlineServices":[],"childCriteriaItemList":[],"clientContextJson":""},{"keyOptionId":"1299","caption":"Russia","isDefault":true,"maskCriteriaOnly":false,"definition":"","keyProductQueryItem":"227199","comparisonOperation":0,"comparisonValue":"198","minimumVersion":"","maximumVersion":"","formOrder":0,"lowerBound":null,"enabled":true,"mask":"","maskKey":"","keyItemMaskOfField":null,"keyOpti</t>
  </si>
  <si>
    <t>onIdReplace":"","relatedOptionIds":[],"onlineServices":[],"childCriteriaItemList":[],"clientContextJson":""},{"keyOptionId":"1300","caption":"Serbia","isDefault":true,"maskCriteriaOnly":false,"definition":"","keyProductQueryItem":"227199","comparisonOperation":0,"comparisonValue":"179","minimumVersion":"","maximumVersion":"","formOrder":0,"lowerBound":null,"enabled":true,"mask":"","maskKey":"","keyItemMaskOfField":null,"keyOptionIdReplace":"","relatedOptionIds":[],"onlineServices":[],"childCriteriaItemList":[],"clientContextJson":""},{"keyOptionId":"1301","caption":"Svalbard","isDefault":true,"maskCriteriaOnly":false,"definition":"","keyProductQueryItem":"227199","comparisonOperation":0,"comparisonValue":"200","minimumVersion":"","maximumVersion":"","formOrder":0,"lowerBound":null,"enabled":true,"mask":"","maskKey":"","keyItemMaskOfField":null,"keyOptionIdReplace":"","relatedOptionIds":[],"onlineServices":[],"childCriteriaItemList":[],"clientContextJson":""},{"keyOptionId":"1346","caption":"Tajikistan","isDefault":true,"maskCriteriaOnly":false,"definition":"","keyProductQueryItem":"227199","comparisonOperation":0,"comparisonValue":"155","minimumVersion":"","maximumVersion":"","formOrder":0,"lowerBound":null,"enabled":true,"mask":"","maskKey":"","keyItemMaskOfField":null,"keyOptionIdReplace":"","relatedOptionIds":[],"onlineServices":[],"childCriteriaItemList":[],"clientContextJson":""},{"keyOptionId":"1297","caption":"Turkey","isDefault":true,"maskCriteriaOnly":false,"definition":"","keyProductQueryItem":"227199","comparisonOperation":0,"comparisonValue":"203","minimumVersion":"","maximumVersion":"","formOrder":0,"lowerBound":null,"enabled":true,"mask":"","maskKey":"","keyItemMaskOfField":null,"keyOptionIdReplace":"","relatedOptionIds":[],"onlineServices":[],"childCriteriaItemList":[],"clientContextJson":""},{"keyOptionId":"1362","caption":"Turkmenistan","isDefault":true,"maskCriteriaOnly":false,"definition":"","keyProductQueryItem":"227199","comparisonOperation":0,"comparisonValue":"156","minimumVersion":"","maximumVersion":"","formOrder":0,"lowerBound":null,"enabled":true,"mask":"","maskKey":"","keyItemMaskOfField":null,"keyOptionIdReplace":"","relatedOptionIds":[],"onlineServices":[],"childCriteriaItemList":[],"clientContextJson":""},{"keyOptionId":"1302","caption":"Ukraine","isDefault":true,"maskCriteriaOnly":false,"definition":"","keyProductQueryItem":"227199","comparisonOperation":0,"comparisonValue":"204","minimumVersion":"","maximumVersion":"","formOrder":0,"lowerBound":null,"enabled":true,"mask":"","maskKey":"","keyItemMaskOfField":null,"keyOptionIdReplace":"","relatedOptionIds":[],"onlineServices":[],"childCriteriaItemList":[],"clientContextJson":""},{"keyOptionId":"1349","caption":"Uzbekistan","isDefault":true,"maskCriteriaOnly":false,"definition":"","keyProductQueryItem":"227199","comparisonOperation":0,"comparisonValue":"158","minimumVersion":"","maximumVersion":"","formOrder":0,"lowerBound":null,"enabled":true,"mask":"","maskKey":"","keyItemMaskOfField":null,"keyOptionIdReplace":"","relatedOptionIds":[],"onlineServices":[],"childCriteriaItemList":[],"clientContextJson":""}],"clientContextJson":""}],"clientContextJson":""},{"keyOptionId":"1303","caption":"Asia-Pacif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1304","caption":"Developed Asia-Pacif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1305","caption":"Australia","isDefault":true,"maskCriteriaOnly":false,"definition":"","keyProductQueryItem":"227199","comparisonOperation":0,"comparisonValue":"239","minimumVersion":"","maximumVersion":"","formOrder":0,"lowerBound":null,"enabled":true,"mask":"","maskKey":"","keyItemMaskOfField":null,"keyOptionIdReplace":"","relatedOptionIds":[],"onlineServices":[],"childCriteriaItemList":[],"clientContextJson":""},{"keyOptionId":"1306","caption":"Hong Kong","isDefault":true,"maskCriteriaOnly":false,"definition":"","keyProductQueryItem":"227199","comparisonOperation":0,"comparisonValue":"127","minimumVersion":"","maximumVersion":"","formOrder":0,"lowerBound":null,"enabled":true,"mask":"","maskKey":"","keyItemMaskOfField":null,"keyOptionIdReplace":"","relatedOptionIds":[],"onlineServices":[],"childCriteriaItemList":[],"clientContextJson":""},{"keyOptionId":"1307","caption":"Japan","isDefault":true,"maskCriteriaOnly":false,"definition":"","keyProductQueryItem":"227199","comparisonOperation":0,"comparisonValue":"133","minimumVersion":"","maximumVersion":"","formOrder":0,"lowerBound":null,"enabled":true,"mask":"","maskKey":"","keyItemMaskOfField":null,"keyOptionIdReplace":"","relatedOptionIds":[],"onlineServices":[],"childCriteriaItemList":[],"clientContextJson":""},{"keyOptionId":"1308","caption":"New Zealand","isDefault":true,"maskCriteriaOnly":false,"definition":"","keyProductQueryItem":"227199","comparisonOperation":0,"comparisonValue":"228","minimumVersion":"","maximumVersion":"","formOrder":0,"lowerBound":null,"enabled":true,"mask":"","maskKey":"","keyItemMaskOfField":null,"keyOptionIdReplace":"","relatedOptionIds":[],"onlineServices":[],"childCriteriaItemList":[],"clientContextJson":""},{"keyOptionId":"1310","caption":"Singapore","isDefault":true,"maskCriteriaOnly":false,"definition":"","keyProductQueryItem":"227199","comparisonOperation":0,"comparisonValue":"152","minimumVersion":"","maximumVersion":"","formOrder":0,"lowerBound":null,"enabled":true,"mask":"","maskKey":"","keyItemMaskOfField":null,"keyOptionIdReplace":"","relatedOptionIds":[],"onlineServices":[],"childCriteriaItemList":[],"clientContextJson":""},{"keyOptionId":"1309","caption":"South Korea","isDefault":true,"maskCriteriaOnly":false,"definition":"","keyProductQueryItem":"227199","comparisonOperation":0,"comparisonValue":"136","minimumVersion":"","maximumVersion":"","formOrder":0,"lowerBound":null,"enabled":true,"mask":"","maskKey":"","keyItemMaskOfField":null,"keyOptionIdReplace":"","relatedOptionIds":[],"onlineServices":[],"childCriteriaItemList":[],"clientContextJson":""},{"keyOptionId":"1311","caption":"Taiwan","isDefault":true,"maskCriteriaOnly":false,"definition":"","keyProductQueryItem":"227199","comparisonOperation":0,"comparisonValue":"169","minimumVersion":"","maximumVersion":"","formOrder":0,"lowerBound":null,"enabled":true,"mask":"","maskKey":"","keyItemMaskOfField":null,"keyOptionIdReplace":"","relatedOptionIds":[],"onlineServices":[],"childCriteriaItemList":[],"clientContextJson":""}],"clientContextJson":""},{"keyOptionId":"1312","caption":"Emerging Asia-Pacif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1361","caption":"Afghanistan","isDefault":true,"maskCriteriaOnly":false,"definition":"","keyProductQueryItem":"227199","comparisonOperation":0,"comparisonValue":"161","minimumVersio</t>
  </si>
  <si>
    <t>n":"","maximumVersion":"","formOrder":0,"lowerBound":null,"enabled":true,"mask":"","maskKey":"","keyItemMaskOfField":null,"keyOptionIdReplace":"","relatedOptionIds":[],"onlineServices":[],"childCriteriaItemList":[],"clientContextJson":""},{"keyOptionId":"1335","caption":"Bangladesh","isDefault":true,"maskCriteriaOnly":false,"definition":"","keyProductQueryItem":"227199","comparisonOperation":0,"comparisonValue":"121","minimumVersion":"","maximumVersion":"","formOrder":0,"lowerBound":null,"enabled":true,"mask":"","maskKey":"","keyItemMaskOfField":null,"keyOptionIdReplace":"","relatedOptionIds":[],"onlineServices":[],"childCriteriaItemList":[],"clientContextJson":""},{"keyOptionId":"1324","caption":"Bhutan","isDefault":true,"maskCriteriaOnly":false,"definition":"","keyProductQueryItem":"227199","comparisonOperation":0,"comparisonValue":"123","minimumVersion":"","maximumVersion":"","formOrder":0,"lowerBound":null,"enabled":true,"mask":"","maskKey":"","keyItemMaskOfField":null,"keyOptionIdReplace":"","relatedOptionIds":[],"onlineServices":[],"childCriteriaItemList":[],"clientContextJson":""},{"keyOptionId":"1333","caption":"Brunei","isDefault":true,"maskCriteriaOnly":false,"definition":"","keyProductQueryItem":"227199","comparisonOperation":0,"comparisonValue":"122","minimumVersion":"","maximumVersion":"","formOrder":0,"lowerBound":null,"enabled":true,"mask":"","maskKey":"","keyItemMaskOfField":null,"keyOptionIdReplace":"","relatedOptionIds":[],"onlineServices":[],"childCriteriaItemList":[],"clientContextJson":""},{"keyOptionId":"1325","caption":"Cambodia","isDefault":true,"maskCriteriaOnly":false,"definition":"","keyProductQueryItem":"227199","comparisonOperation":0,"comparisonValue":"135","minimumVersion":"","maximumVersion":"","formOrder":0,"lowerBound":null,"enabled":true,"mask":"","maskKey":"","keyItemMaskOfField":null,"keyOptionIdReplace":"","relatedOptionIds":[],"onlineServices":[],"childCriteriaItemList":[],"clientContextJson":""},{"keyOptionId":"1336","caption":"China","isDefault":true,"maskCriteriaOnly":false,"definition":"","keyProductQueryItem":"227199","comparisonOperation":0,"comparisonValue":"163","minimumVersion":"","maximumVersion":"","formOrder":0,"lowerBound":null,"enabled":true,"mask":"","maskKey":"","keyItemMaskOfField":null,"keyOptionIdReplace":"","relatedOptionIds":[],"onlineServices":[],"childCriteriaItemList":[],"clientContextJson":""},{"keyOptionId":"1316","caption":"Cook Islands","isDefault":true,"maskCriteriaOnly":false,"definition":"","keyProductQueryItem":"227199","comparisonOperation":0,"comparisonValue":"220","minimumVersion":"","maximumVersion":"","formOrder":0,"lowerBound":null,"enabled":true,"mask":"","maskKey":"","keyItemMaskOfField":null,"keyOptionIdReplace":"","relatedOptionIds":[],"onlineServices":[],"childCriteriaItemList":[],"clientContextJson":""},{"keyOptionId":"1338","caption":"Fiji","isDefault":true,"maskCriteriaOnly":false,"definition":"","keyProductQueryItem":"227199","comparisonOperation":0,"comparisonValue":"221","minimumVersion":"","maximumVersion":"","formOrder":0,"lowerBound":null,"enabled":true,"mask":"","maskKey":"","keyItemMaskOfField":null,"keyOptionIdReplace":"","relatedOptionIds":[],"onlineServices":[],"childCriteriaItemList":[],"clientContextJson":""},{"keyOptionId":"1354","caption":"French Polynesia","isDefault":true,"maskCriteriaOnly":false,"definition":"","keyProductQueryItem":"227199","comparisonOperation":0,"comparisonValue":"229","minimumVersion":"","maximumVersion":"","formOrder":0,"lowerBound":null,"enabled":true,"mask":"","maskKey":"","keyItemMaskOfField":null,"keyOptionIdReplace":"","relatedOptionIds":[],"onlineServices":[],"childCriteriaItemList":[],"clientContextJson":""},{"keyOptionId":"1339","caption":"India","isDefault":true,"maskCriteriaOnly":false,"definition":"","keyProductQueryItem":"227199","comparisonOperation":0,"comparisonValue":"128","minimumVersion":"","maximumVersion":"","formOrder":0,"lowerBound":null,"enabled":true,"mask":"","maskKey":"","keyItemMaskOfField":null,"keyOptionIdReplace":"","relatedOptionIds":[],"onlineServices":[],"childCriteriaItemList":[],"clientContextJson":""},{"keyOptionId":"1340","caption":"Indonesia","isDefault":true,"maskCriteriaOnly":false,"definition":"","keyProductQueryItem":"227199","comparisonOperation":0,"comparisonValue":"164","minimumVersion":"","maximumVersion":"","formOrder":0,"lowerBound":null,"enabled":true,"mask":"","maskKey":"","keyItemMaskOfField":null,"keyOptionIdReplace":"","relatedOptionIds":[],"onlineServices":[],"childCriteriaItemList":[],"clientContextJson":""},{"keyOptionId":"1342","caption":"Kiribati","isDefault":true,"maskCriteriaOnly":false,"definition":"","keyProductQueryItem":"227199","comparisonOperation":0,"comparisonValue":"222","minimumVersion":"","maximumVersion":"","formOrder":0,"lowerBound":null,"enabled":true,"mask":"","maskKey":"","keyItemMaskOfField":null,"keyOptionIdReplace":"","relatedOptionIds":[],"onlineServices":[],"childCriteriaItemList":[],"clientContextJson":""},{"keyOptionId":"1329","caption":"Laos","isDefault":true,"maskCriteriaOnly":false,"definition":"","keyProductQueryItem":"227199","comparisonOperation":0,"comparisonValue":"139","minimumVersion":"","maximumVersion":"","formOrder":0,"lowerBound":null,"enabled":true,"mask":"","maskKey":"","keyItemMaskOfField":null,"keyOptionIdReplace":"","relatedOptionIds":[],"onlineServices":[],"childCriteriaItemList":[],"clientContextJson":""},{"keyOptionId":"1330","caption":"Macau","isDefault":true,"maskCriteriaOnly":false,"definition":"","keyProductQueryItem":"227199","comparisonOperation":0,"comparisonValue":"144","minimumVersion":"","maximumVersion":"","formOrder":0,"lowerBound":null,"enabled":true,"mask":"","maskKey":"","keyItemMaskOfField":null,"keyOptionIdReplace":"","relatedOptionIds":[],"onlineServices":[],"childCriteriaItemList":[],"clientContextJson":""},{"keyOptionId":"1331","caption":"Malaysia","isDefault":true,"maskCriteriaOnly":false,"definition":"","keyProductQueryItem":"227199","comparisonOperation":0,"comparisonValue":"146","minimumVersion":"","maximumVersion":"","formOrder":0,"lowerBound":null,"enabled":true,"mask":"","maskKey":"","keyItemMaskOfField":null,"keyOptionIdReplace":"","relatedOptionIds":[],"onlineServices":[],"childCriteriaItemList":[],"clientContextJson":""},{"keyOptionId":"1343","caption":"Maldives","isDefault":true,"maskCriteriaOnly":false,"definition":"","keyProductQueryItem":"227199","comparisonOperation":0,"comparisonValue":"145","minimumVersion":"","maximumVersion":"","formOrder":0,"lowerBound":null,"enabled":true,"mask":"","maskKey":"","keyItemMaskOfField":null,"keyOptionIdReplace":"","relatedOptionIds":[],"onlineServices":[],"childCriteriaItemList":[],"clientContextJson":""},{"keyOptionId":"1347","caption":"Marshall Islands","isDefault":true,"maskCriteriaOnly":false,"definition":"","keyProductQueryItem":"227199","comparisonOperation":0,"comparisonValue":"240","minimumVersion":"","maximumVersion":"","formOrder":0,"lowerBound":null,"enabled":true,"mask":"","maskKey":"","keyItemMaskOfField":null,"keyOptionIdReplace":"","relatedOptionIds":[],"onlineServices":[],"childCriteriaItemList":[],"clientContextJson":""},{"keyOptionId":"1332","caption":"Mongolia","isDefault":true,"maskCriteriaOnly":false,"definition":"","keyProductQueryItem":"227199","comparisonOperation":0,"comparisonValue":"143","minimumVersion":"","maximumVersion":"","formOrder":0,"lowerBound":null,"enabled":true,"mask":"","maskKey":"","keyItemMaskOfField":null,"keyOptionIdReplace":"","relatedOptionIds":[],"onlineServices":[],"childCriteriaItemList":[],"clientContextJson":""},{"keyOptionId":"1364","caption":"Myanmar","isDefault":true,"maskCriteriaOnly":fals</t>
  </si>
  <si>
    <t>e,"definition":"","keyProductQueryItem":"227199","comparisonOperation":0,"comparisonValue":"142","minimumVersion":"","maximumVersion":"","formOrder":0,"lowerBound":null,"enabled":true,"mask":"","maskKey":"","keyItemMaskOfField":null,"keyOptionIdReplace":"","relatedOptionIds":[],"onlineServices":[],"childCriteriaItemList":[],"clientContextJson":""},{"keyOptionId":"1344","caption":"Nauru","isDefault":true,"maskCriteriaOnly":false,"definition":"","keyProductQueryItem":"227199","comparisonOperation":0,"comparisonValue":"226","minimumVersion":"","maximumVersion":"","formOrder":0,"lowerBound":null,"enabled":true,"mask":"","maskKey":"","keyItemMaskOfField":null,"keyOptionIdReplace":"","relatedOptionIds":[],"onlineServices":[],"childCriteriaItemList":[],"clientContextJson":""},{"keyOptionId":"1320","caption":"Nepal","isDefault":true,"maskCriteriaOnly":false,"definition":"","keyProductQueryItem":"227199","comparisonOperation":0,"comparisonValue":"147","minimumVersion":"","maximumVersion":"","formOrder":0,"lowerBound":null,"enabled":true,"mask":"","maskKey":"","keyItemMaskOfField":null,"keyOptionIdReplace":"","relatedOptionIds":[],"onlineServices":[],"childCriteriaItemList":[],"clientContextJson":""},{"keyOptionId":"1356","caption":"New Caledonia","isDefault":true,"maskCriteriaOnly":false,"definition":"","keyProductQueryItem":"227199","comparisonOperation":0,"comparisonValue":"224","minimumVersion":"","maximumVersion":"","formOrder":0,"lowerBound":null,"enabled":true,"mask":"","maskKey":"","keyItemMaskOfField":null,"keyOptionIdReplace":"","relatedOptionIds":[],"onlineServices":[],"childCriteriaItemList":[],"clientContextJson":""},{"keyOptionId":"1334","caption":"Niue","isDefault":true,"maskCriteriaOnly":false,"definition":"","keyProductQueryItem":"227199","comparisonOperation":0,"comparisonValue":"227","minimumVersion":"","maximumVersion":"","formOrder":0,"lowerBound":null,"enabled":true,"mask":"","maskKey":"","keyItemMaskOfField":null,"keyOptionIdReplace":"","relatedOptionIds":[],"onlineServices":[],"childCriteriaItemList":[],"clientContextJson":""},{"keyOptionId":"1317","caption":"North Korea","isDefault":true,"maskCriteriaOnly":false,"definition":"","keyProductQueryItem":"227199","comparisonOperation":0,"comparisonValue":"166","minimumVersion":"","maximumVersion":"","formOrder":0,"lowerBound":null,"enabled":true,"mask":"","maskKey":"","keyItemMaskOfField":null,"keyOptionIdReplace":"","relatedOptionIds":[],"onlineServices":[],"childCriteriaItemList":[],"clientContextJson":""},{"keyOptionId":"1315","caption":"Northern Mariana","isDefault":true,"maskCriteriaOnly":false,"definition":"","keyProductQueryItem":"227199","comparisonOperation":0,"comparisonValue":"223","minimumVersion":"","maximumVersion":"","formOrder":0,"lowerBound":null,"enabled":true,"mask":"","maskKey":"","keyItemMaskOfField":null,"keyOptionIdReplace":"","relatedOptionIds":[],"onlineServices":[],"childCriteriaItemList":[],"clientContextJson":""},{"keyOptionId":"1323","caption":"Pakistan","isDefault":true,"maskCriteriaOnly":false,"definition":"","keyProductQueryItem":"227199","comparisonOperation":0,"comparisonValue":"149","minimumVersion":"","maximumVersion":"","formOrder":0,"lowerBound":null,"enabled":true,"mask":"","maskKey":"","keyItemMaskOfField":null,"keyOptionIdReplace":"","relatedOptionIds":[],"onlineServices":[],"childCriteriaItemList":[],"clientContextJson":""},{"keyOptionId":"1345","caption":"Palau","isDefault":true,"maskCriteriaOnly":false,"definition":"","keyProductQueryItem":"227199","comparisonOperation":0,"comparisonValue":"232","minimumVersion":"","maximumVersion":"","formOrder":0,"lowerBound":null,"enabled":true,"mask":"","maskKey":"","keyItemMaskOfField":null,"keyOptionIdReplace":"","relatedOptionIds":[],"onlineServices":[],"childCriteriaItemList":[],"clientContextJson":""},{"keyOptionId":"1321","caption":"Papua New Guinea","isDefault":true,"maskCriteriaOnly":false,"definition":"","keyProductQueryItem":"227199","comparisonOperation":0,"comparisonValue":"230","minimumVersion":"","maximumVersion":"","formOrder":0,"lowerBound":null,"enabled":true,"mask":"","maskKey":"","keyItemMaskOfField":null,"keyOptionIdReplace":"","relatedOptionIds":[],"onlineServices":[],"childCriteriaItemList":[],"clientContextJson":""},{"keyOptionId":"1348","caption":"Philippines","isDefault":true,"maskCriteriaOnly":false,"definition":"","keyProductQueryItem":"227199","comparisonOperation":0,"comparisonValue":"167","minimumVersion":"","maximumVersion":"","formOrder":0,"lowerBound":null,"enabled":true,"mask":"","maskKey":"","keyItemMaskOfField":null,"keyOptionIdReplace":"","relatedOptionIds":[],"onlineServices":[],"childCriteriaItemList":[],"clientContextJson":""},{"keyOptionId":"1322","caption":"Samoa","isDefault":true,"maskCriteriaOnly":false,"definition":"","keyProductQueryItem":"227199","comparisonOperation":0,"comparisonValue":"241","minimumVersion":"","maximumVersion":"","formOrder":0,"lowerBound":null,"enabled":true,"mask":"","maskKey":"","keyItemMaskOfField":null,"keyOptionIdReplace":"","relatedOptionIds":[],"onlineServices":[],"childCriteriaItemList":[],"clientContextJson":""},{"keyOptionId":"1352","caption":"Solomon Islands","isDefault":true,"maskCriteriaOnly":false,"definition":"","keyProductQueryItem":"227199","comparisonOperation":0,"comparisonValue":"233","minimumVersion":"","maximumVersion":"","formOrder":0,"lowerBound":null,"enabled":true,"mask":"","maskKey":"","keyItemMaskOfField":null,"keyOptionIdReplace":"","relatedOptionIds":[],"onlineServices":[],"childCriteriaItemList":[],"clientContextJson":""},{"keyOptionId":"1319","caption":"Sri Lanka","isDefault":true,"maskCriteriaOnly":false,"definition":"","keyProductQueryItem":"227199","comparisonOperation":0,"comparisonValue":"141","minimumVersion":"","maximumVersion":"","formOrder":0,"lowerBound":null,"enabled":true,"mask":"","maskKey":"","keyItemMaskOfField":null,"keyOptionIdReplace":"","relatedOptionIds":[],"onlineServices":[],"childCriteriaItemList":[],"clientContextJson":""},{"keyOptionId":"1326","caption":"Thailand","isDefault":true,"maskCriteriaOnly":false,"definition":"","keyProductQueryItem":"227199","comparisonOperation":0,"comparisonValue":"154","minimumVersion":"","maximumVersion":"","formOrder":0,"lowerBound":null,"enabled":true,"mask":"","maskKey":"","keyItemMaskOfField":null,"keyOptionIdReplace":"","relatedOptionIds":[],"onlineServices":[],"childCriteriaItemList":[],"clientContextJson":""},{"keyOptionId":"1318","caption":"Timor-Leste","isDefault":true,"maskCriteriaOnly":false,"definition":"","keyProductQueryItem":"227199","comparisonOperation":0,"comparisonValue":"157","minimumVersion":"","maximumVersion":"","formOrder":0,"lowerBound":null,"enabled":true,"mask":"","maskKey":"","keyItemMaskOfField":null,"keyOptionIdReplace":"","relatedOptionIds":[],"onlineServices":[],"childCriteriaItemList":[],"clientContextJson":""},{"keyOptionId":"1360","caption":"Tokelau","isDefault":true,"maskCriteriaOnly":false,"definition":"","keyProductQueryItem":"227199","comparisonOperation":0,"comparisonValue":"234","minimumVersion":"","maximumVersion":"","formOrder":0,"lowerBound":null,"enabled":true,"mask":"","maskKey":"","keyItemMaskOfField":null,"keyOptionIdReplace":"","relatedOptionIds":[],"onlineServices":[],"childCriteriaItemList":[],"clientContextJson":""},{"keyOptionId":"1327","caption":"Tonga","isDefault":true,"maskCriteriaOnly":false,"definition":"","keyProductQueryItem":"227199","comparisonOperation":0,"comparisonValue":"235","minimumVersion":"","maximumVersion":"","formOrder":0,"lowerBound":null,"enabled":true,"mask":"","maskKey":"","keyItemMaskOfField":null,"keyOptionIdReplace":"","relatedOptionIds":[],"onlineServices":[],"child</t>
  </si>
  <si>
    <t>CriteriaItemList":[],"clientContextJson":""},{"keyOptionId":"1363","caption":"Tuvalu","isDefault":true,"maskCriteriaOnly":false,"definition":"","keyProductQueryItem":"227199","comparisonOperation":0,"comparisonValue":"236","minimumVersion":"","maximumVersion":"","formOrder":0,"lowerBound":null,"enabled":true,"mask":"","maskKey":"","keyItemMaskOfField":null,"keyOptionIdReplace":"","relatedOptionIds":[],"onlineServices":[],"childCriteriaItemList":[],"clientContextJson":""},{"keyOptionId":"1350","caption":"Vanuatu","isDefault":true,"maskCriteriaOnly":false,"definition":"","keyProductQueryItem":"227199","comparisonOperation":0,"comparisonValue":"237","minimumVersion":"","maximumVersion":"","formOrder":0,"lowerBound":null,"enabled":true,"mask":"","maskKey":"","keyItemMaskOfField":null,"keyOptionIdReplace":"","relatedOptionIds":[],"onlineServices":[],"childCriteriaItemList":[],"clientContextJson":""},{"keyOptionId":"1351","caption":"Vietnam","isDefault":true,"maskCriteriaOnly":false,"definition":"","keyProductQueryItem":"227199","comparisonOperation":0,"comparisonValue":"159","minimumVersion":"","maximumVersion":"","formOrder":0,"lowerBound":null,"enabled":true,"mask":"","maskKey":"","keyItemMaskOfField":null,"keyOptionIdReplace":"","relatedOptionIds":[],"onlineServices":[],"childCriteriaItemList":[],"clientContextJson":""},{"keyOptionId":"1359","caption":"Wallis &amp; Futuna","isDefault":true,"maskCriteriaOnly":false,"definition":"","keyProductQueryItem":"227199","comparisonOperation":0,"comparisonValue":"238","minimumVersion":"","maximumVersion":"","formOrder":0,"lowerBound":null,"enabled":true,"mask":"","maskKey":"","keyItemMaskOfField":null,"keyOptionIdReplace":"","relatedOptionIds":[],"onlineServices":[],"childCriteriaItemList":[],"clientContextJson":""}],"clientContextJson":""}],"clientContextJson":""},{"keyOptionId":"1365","caption":"Middle Ea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1369","caption":"Bahrain","isDefault":true,"maskCriteriaOnly":false,"definition":"","keyProductQueryItem":"227199","comparisonOperation":0,"comparisonValue":"162","minimumVersion":"","maximumVersion":"","formOrder":0,"lowerBound":null,"enabled":true,"mask":"","maskKey":"","keyItemMaskOfField":null,"keyOptionIdReplace":"","relatedOptionIds":[],"onlineServices":[],"childCriteriaItemList":[],"clientContextJson":""},{"keyOptionId":"1366","caption":"Egypt","isDefault":true,"maskCriteriaOnly":false,"definition":"","keyProductQueryItem":"227199","comparisonOperation":0,"comparisonValue":"74","minimumVersion":"","maximumVersion":"","formOrder":0,"lowerBound":null,"enabled":true,"mask":"","maskKey":"","keyItemMaskOfField":null,"keyOptionIdReplace":"","relatedOptionIds":[],"onlineServices":[],"childCriteriaItemList":[],"clientContextJson":""},{"keyOptionId":"1368","caption":"Iran","isDefault":true,"maskCriteriaOnly":false,"definition":"","keyProductQueryItem":"227199","comparisonOperation":0,"comparisonValue":"131","minimumVersion":"","maximumVersion":"","formOrder":0,"lowerBound":null,"enabled":true,"mask":"","maskKey":"","keyItemMaskOfField":null,"keyOptionIdReplace":"","relatedOptionIds":[],"onlineServices":[],"childCriteriaItemList":[],"clientContextJson":""},{"keyOptionId":"1373","caption":"Iraq","isDefault":true,"maskCriteriaOnly":false,"definition":"","keyProductQueryItem":"227199","comparisonOperation":0,"comparisonValue":"130","minimumVersion":"","maximumVersion":"","formOrder":0,"lowerBound":null,"enabled":true,"mask":"","maskKey":"","keyItemMaskOfField":null,"keyOptionIdReplace":"","relatedOptionIds":[],"onlineServices":[],"childCriteriaItemList":[],"clientContextJson":""},{"keyOptionId":"1375","caption":"Israel","isDefault":true,"maskCriteriaOnly":false,"definition":"","keyProductQueryItem":"227199","comparisonOperation":0,"comparisonValue":"165","minimumVersion":"","maximumVersion":"","formOrder":0,"lowerBound":null,"enabled":true,"mask":"","maskKey":"","keyItemMaskOfField":null,"keyOptionIdReplace":"","relatedOptionIds":[],"onlineServices":[],"childCriteriaItemList":[],"clientContextJson":""},{"keyOptionId":"1367","caption":"Jordan","isDefault":true,"maskCriteriaOnly":false,"definition":"","keyProductQueryItem":"227199","comparisonOperation":0,"comparisonValue":"132","minimumVersion":"","maximumVersion":"","formOrder":0,"lowerBound":null,"enabled":true,"mask":"","maskKey":"","keyItemMaskOfField":null,"keyOptionIdReplace":"","relatedOptionIds":[],"onlineServices":[],"childCriteriaItemList":[],"clientContextJson":""},{"keyOptionId":"1376","caption":"Kuwait","isDefault":true,"maskCriteriaOnly":false,"definition":"","keyProductQueryItem":"227199","comparisonOperation":0,"comparisonValue":"137","minimumVersion":"","maximumVersion":"","formOrder":0,"lowerBound":null,"enabled":true,"mask":"","maskKey":"","keyItemMaskOfField":null,"keyOptionIdReplace":"","relatedOptionIds":[],"onlineServices":[],"childCriteriaItemList":[],"clientContextJson":""},{"keyOptionId":"1371","caption":"Lebanon","isDefault":true,"maskCriteriaOnly":false,"definition":"","keyProductQueryItem":"227199","comparisonOperation":0,"comparisonValue":"140","minimumVersion":"","maximumVersion":"","formOrder":0,"lowerBound":null,"enabled":true,"mask":"","maskKey":"","keyItemMaskOfField":null,"keyOptionIdReplace":"","relatedOptionIds":[],"onlineServices":[],"childCriteriaItemList":[],"clientContextJson":""},{"keyOptionId":"1378","caption":"Oman","isDefault":true,"maskCriteriaOnly":false,"definition":"","keyProductQueryItem":"227199","comparisonOperation":0,"comparisonValue":"148","minimumVersion":"","maximumVersion":"","formOrder":0,"lowerBound":null,"enabled":true,"mask":"","maskKey":"","keyItemMaskOfField":null,"keyOptionIdReplace":"","relatedOptionIds":[],"onlineServices":[],"childCriteriaItemList":[],"clientContextJson":""},{"keyOptionId":"1372","caption":"Palestine","isDefault":true,"maskCriteriaOnly":false,"definition":"","keyProductQueryItem":"227199","comparisonOperation":0,"comparisonValue":"150","minimumVersion":"","maximumVersion":"","formOrder":0,"lowerBound":null,"enabled":true,"mask":"","maskKey":"","keyItemMaskOfField":null,"keyOptionIdReplace":"","relatedOptionIds":[],"onlineServices":[],"childCriteriaItemList":[],"clientContextJson":""},{"keyOptionId":"1377","caption":"Qatar","isDefault":true,"maskCriteriaOnly":false,"definition":"","keyProductQueryItem":"227199","comparisonOperation":0,"comparisonValue":"151","minimumVersion":"","maximumVersion":"","formOrder":0,"lowerBound":null,"enabled":true,"mask":"","maskKey":"","keyItemMaskOfField":null,"keyOptionIdReplace":"","relatedOptionIds":[],"onlineServices":[],"childCriteriaItemList":[],"clientContextJson":""},{"keyOptionId":"1370","caption":"Saudi Arabia","isDefault":true,"maskCriteriaOnly":false,"definition":"","keyProductQueryItem":"227199","comparisonOperation":0,"comparisonValue":"168","minimumVersion":"","maximumVersion":"","formOrder":0,"lowerBound":null,"enabled":true,"mask":"","maskKey":"","keyItemMaskOfField":null,"keyOptionIdReplace":"","relatedOptionIds":[],"onlineServices":[],"childCriteriaItemList":[],"clientContextJson":""},{"keyOptionId":"1379","caption":"Syria","isDefault":true,"maskCriteriaOnly":false,"definition":"","keyProductQueryItem":"227199","comparisonOperation":0,"comparisonValue":"153","minimumVersion":"","maximumVersion":"","formOrder":0,"lowerBound":null,"enabled":true,"mask":"","m</t>
  </si>
  <si>
    <t>askKey":"","keyItemMaskOfField":null,"keyOptionIdReplace":"","relatedOptionIds":[],"onlineServices":[],"childCriteriaItemList":[],"clientContextJson":""},{"keyOptionId":"1380","caption":"United Arab Emirates","isDefault":true,"maskCriteriaOnly":false,"definition":"","keyProductQueryItem":"227199","comparisonOperation":0,"comparisonValue":"119","minimumVersion":"","maximumVersion":"","formOrder":0,"lowerBound":null,"enabled":true,"mask":"","maskKey":"","keyItemMaskOfField":null,"keyOptionIdReplace":"","relatedOptionIds":[],"onlineServices":[],"childCriteriaItemList":[],"clientContextJson":""},{"keyOptionId":"1374","caption":"Yemen","isDefault":true,"maskCriteriaOnly":false,"definition":"","keyProductQueryItem":"227199","comparisonOperation":0,"comparisonValue":"160","minimumVersion":"","maximumVersion":"","formOrder":0,"lowerBound":null,"enabled":true,"mask":"","maskKey":"","keyItemMaskOfField":null,"keyOptionIdReplace":"","relatedOptionIds":[],"onlineServices":[],"childCriteriaItemList":[],"clientContextJson":""}],"clientContextJson":""},{"keyOptionId":"1381","caption":"Latin America and Caribbean","isDefault":false,"maskCriteriaOnly":true,"definition":"","keyProductQueryItem":"","comparisonOperation":null,"comparisonValue":"","minimumVersion":"","maximumVersion":"","formOrder":0,"lowerBound":null,"enabled":true,"mask":"","maskKey":"","keyItemMaskOfField":null,"keyOptionIdReplace":"","relatedOptionIds":[],"onlineServices":[],"childCriteriaItemList":[{"keyOptionId":"1382","caption":"Anguilla","isDefault":true,"maskCriteriaOnly":false,"definition":"","keyProductQueryItem":"227199","comparisonOperation":0,"comparisonValue":"9","minimumVersion":"","maximumVersion":"","formOrder":0,"lowerBound":null,"enabled":true,"mask":"","maskKey":"","keyItemMaskOfField":null,"keyOptionIdReplace":"","relatedOptionIds":[],"onlineServices":[],"childCriteriaItemList":[],"clientContextJson":""},{"keyOptionId":"1383","caption":"Antigua and Barbuda","isDefault":true,"maskCriteriaOnly":false,"definition":"","keyProductQueryItem":"227199","comparisonOperation":0,"comparisonValue":"8","minimumVersion":"","maximumVersion":"","formOrder":0,"lowerBound":null,"enabled":true,"mask":"","maskKey":"","keyItemMaskOfField":null,"keyOptionIdReplace":"","relatedOptionIds":[],"onlineServices":[],"childCriteriaItemList":[],"clientContextJson":""},{"keyOptionId":"1384","caption":"Argentina","isDefault":true,"maskCriteriaOnly":false,"definition":"","keyProductQueryItem":"227199","comparisonOperation":0,"comparisonValue":"52","minimumVersion":"","maximumVersion":"","formOrder":0,"lowerBound":null,"enabled":true,"mask":"","maskKey":"","keyItemMaskOfField":null,"keyOptionIdReplace":"","relatedOptionIds":[],"onlineServices":[],"childCriteriaItemList":[],"clientContextJson":""},{"keyOptionId":"1385","caption":"Aruba","isDefault":true,"maskCriteriaOnly":false,"definition":"","keyProductQueryItem":"227199","comparisonOperation":0,"comparisonValue":"10","minimumVersion":"","maximumVersion":"","formOrder":0,"lowerBound":null,"enabled":true,"mask":"","maskKey":"","keyItemMaskOfField":null,"keyOptionIdReplace":"","relatedOptionIds":[],"onlineServices":[],"childCriteriaItemList":[],"clientContextJson":""},{"keyOptionId":"1392","caption":"Bahamas","isDefault":true,"maskCriteriaOnly":false,"definition":"","keyProductQueryItem":"227199","comparisonOperation":0,"comparisonValue":"37","minimumVersion":"","maximumVersion":"","formOrder":0,"lowerBound":null,"enabled":true,"mask":"","maskKey":"","keyItemMaskOfField":null,"keyOptionIdReplace":"","relatedOptionIds":[],"onlineServices":[],"childCriteriaItemList":[],"clientContextJson":""},{"keyOptionId":"1386","caption":"Barbados","isDefault":true,"maskCriteriaOnly":false,"definition":"","keyProductQueryItem":"227199","comparisonOperation":0,"comparisonValue":"11","minimumVersion":"","maximumVersion":"","formOrder":0,"lowerBound":null,"enabled":true,"mask":"","maskKey":"","keyItemMaskOfField":null,"keyOptionIdReplace":"","relatedOptionIds":[],"onlineServices":[],"childCriteriaItemList":[],"clientContextJson":""},{"keyOptionId":"1387","caption":"Belize","isDefault":true,"maskCriteriaOnly":false,"definition":"","keyProductQueryItem":"227199","comparisonOperation":0,"comparisonValue":"13","minimumVersion":"","maximumVersion":"","formOrder":0,"lowerBound":null,"enabled":true,"mask":"","maskKey":"","keyItemMaskOfField":null,"keyOptionIdReplace":"","relatedOptionIds":[],"onlineServices":[],"childCriteriaItemList":[],"clientContextJson":""},{"keyOptionId":"1406","caption":"Bolivia","isDefault":true,"maskCriteriaOnly":false,"definition":"","keyProductQueryItem":"227199","comparisonOperation":0,"comparisonValue":"43","minimumVersion":"","maximumVersion":"","formOrder":0,"lowerBound":null,"enabled":true,"mask":"","maskKey":"","keyItemMaskOfField":null,"keyOptionIdReplace":"","relatedOptionIds":[],"onlineServices":[],"childCriteriaItemList":[],"clientContextJson":""},{"keyOptionId":"3214","caption":"Bonaire","isDefault":true,"maskCriteriaOnly":false,"definition":"","keyProductQueryItem":"227199","comparisonOperation":0,"comparisonValue":"1119","minimumVersion":"","maximumVersion":"","formOrder":0,"lowerBound":null,"enabled":true,"mask":"","maskKey":"","keyItemMaskOfField":null,"keyOptionIdReplace":"","relatedOptionIds":[],"onlineServices":[],"childCriteriaItemList":[],"clientContextJson":""},{"keyOptionId":"1400","caption":"Brazil","isDefault":true,"maskCriteriaOnly":false,"definition":"","keyProductQueryItem":"227199","comparisonOperation":0,"comparisonValue":"53","minimumVersion":"","maximumVersion":"","formOrder":0,"lowerBound":null,"enabled":true,"mask":"","maskKey":"","keyItemMaskOfField":null,"keyOptionIdReplace":"","relatedOptionIds":[],"onlineServices":[],"childCriteriaItemList":[],"clientContextJson":""},{"keyOptionId":"1389","caption":"BVI","isDefault":true,"maskCriteriaOnly":false,"definition":"","keyProductQueryItem":"227199","comparisonOperation":0,"comparisonValue":"35","minimumVersion":"","maximumVersion":"","formOrder":0,"lowerBound":null,"enabled":true,"mask":"","maskKey":"","keyItemMaskOfField":null,"keyOptionIdReplace":"","relatedOptionIds":[],"onlineServices":[],"childCriteriaItemList":[],"clientContextJson":""},{"keyOptionId":"1390","caption":"Cayman Islands","isDefault":true,"maskCriteriaOnly":false,"definition":"","keyProductQueryItem":"227199","comparisonOperation":0,"comparisonValue":"41","minimumVersion":"","maximumVersion":"","formOrder":0,"lowerBound":null,"enabled":true,"mask":"","maskKey":"","keyItemMaskOfField":null,"keyOptionIdReplace":"","relatedOptionIds":[],"onlineServices":[],"childCriteriaItemList":[],"clientContextJson":""},{"keyOptionId":"1407","caption":"Chile","isDefault":true,"maskCriteriaOnly":false,"definition":"","keyProductQueryItem":"227199","comparisonOperation":0,"comparisonValue":"54","minimumVersion":"","maximumVersion":"","formOrder":0,"lowerBound":null,"enabled":true,"mask":"","maskKey":"","keyItemMaskOfField":null,"keyOptionIdReplace":"","relatedOptionIds":[],"onlineServices":[],"childCriteriaItemList":[],"clientContextJson":""},{"keyOptionId":"1426","caption":"Cocos Islands","isDefault":true,"maskCriteriaOnly":false,"definition":"","keyProductQueryItem":"227199","comparisonOperation":0,"comparisonValue":"124","minimumVersion":"","maximumVersion":"","formOrder":0,"lowerBound":null,"enabled":true,"mask":"","maskKey":"","keyItemMaskOfField":null,"keyOptionIdReplace":"","relatedOptionIds":[],"onlineServices":[],"childCriteriaItemList":[],"clientContextJson":""},{"keyOptionId":"1408","caption":"Colombia","isDefault":true,"maskCriteriaOnly":false,"definition":"","keyProductQueryItem":"227199","comparisonOperation":0,</t>
  </si>
  <si>
    <t>"comparisonValue":"44","minimumVersion":"","maximumVersion":"","formOrder":0,"lowerBound":null,"enabled":true,"mask":"","maskKey":"","keyItemMaskOfField":null,"keyOptionIdReplace":"","relatedOptionIds":[],"onlineServices":[],"childCriteriaItemList":[],"clientContextJson":""},{"keyOptionId":"1409","caption":"Costa Rica","isDefault":true,"maskCriteriaOnly":false,"definition":"","keyProductQueryItem":"227199","comparisonOperation":0,"comparisonValue":"14","minimumVersion":"","maximumVersion":"","formOrder":0,"lowerBound":null,"enabled":true,"mask":"","maskKey":"","keyItemMaskOfField":null,"keyOptionIdReplace":"","relatedOptionIds":[],"onlineServices":[],"childCriteriaItemList":[],"clientContextJson":""},{"keyOptionId":"1410","caption":"Cuba","isDefault":true,"maskCriteriaOnly":false,"definition":"","keyProductQueryItem":"227199","comparisonOperation":0,"comparisonValue":"15","minimumVersion":"","maximumVersion":"","formOrder":0,"lowerBound":null,"enabled":true,"mask":"","maskKey":"","keyItemMaskOfField":null,"keyOptionIdReplace":"","relatedOptionIds":[],"onlineServices":[],"childCriteriaItemList":[],"clientContextJson":""},{"keyOptionId":"3213","caption":"Curaçao","isDefault":true,"maskCriteriaOnly":false,"definition":"","keyProductQueryItem":"227199","comparisonOperation":0,"comparisonValue":"1118","minimumVersion":"","maximumVersion":"","formOrder":0,"lowerBound":null,"enabled":true,"mask":"","maskKey":"","keyItemMaskOfField":null,"keyOptionIdReplace":"","relatedOptionIds":[],"onlineServices":[],"childCriteriaItemList":[],"clientContextJson":""},{"keyOptionId":"1391","caption":"Dominica","isDefault":true,"maskCriteriaOnly":false,"definition":"","keyProductQueryItem":"227199","comparisonOperation":0,"comparisonValue":"16","minimumVersion":"","maximumVersion":"","formOrder":0,"lowerBound":null,"enabled":true,"mask":"","maskKey":"","keyItemMaskOfField":null,"keyOptionIdReplace":"","relatedOptionIds":[],"onlineServices":[],"childCriteriaItemList":[],"clientContextJson":""},{"keyOptionId":"1397","caption":"Dominican Republic","isDefault":true,"maskCriteriaOnly":false,"definition":"","keyProductQueryItem":"227199","comparisonOperation":0,"comparisonValue":"17","minimumVersion":"","maximumVersion":"","formOrder":0,"lowerBound":null,"enabled":true,"mask":"","maskKey":"","keyItemMaskOfField":null,"keyOptionIdReplace":"","relatedOptionIds":[],"onlineServices":[],"childCriteriaItemList":[],"clientContextJson":""},{"keyOptionId":"1411","caption":"Ecuador","isDefault":true,"maskCriteriaOnly":false,"definition":"","keyProductQueryItem":"227199","comparisonOperation":0,"comparisonValue":"55","minimumVersion":"","maximumVersion":"","formOrder":0,"lowerBound":null,"enabled":true,"mask":"","maskKey":"","keyItemMaskOfField":null,"keyOptionIdReplace":"","relatedOptionIds":[],"onlineServices":[],"childCriteriaItemList":[],"clientContextJson":""},{"keyOptionId":"1412","caption":"El Salvador","isDefault":true,"maskCriteriaOnly":false,"definition":"","keyProductQueryItem":"227199","comparisonOperation":0,"comparisonValue":"42","minimumVersion":"","maximumVersion":"","formOrder":0,"lowerBound":null,"enabled":true,"mask":"","maskKey":"","keyItemMaskOfField":null,"keyOptionIdReplace":"","relatedOptionIds":[],"onlineServices":[],"childCriteriaItemList":[],"clientContextJson":""},{"keyOptionId":"1398","caption":"Falkland Islands","isDefault":true,"maskCriteriaOnly":false,"definition":"","keyProductQueryItem":"227199","comparisonOperation":0,"comparisonValue":"45","minimumVersion":"","maximumVersion":"","formOrder":0,"lowerBound":null,"enabled":true,"mask":"","maskKey":"","keyItemMaskOfField":null,"keyOptionIdReplace":"","relatedOptionIds":[],"onlineServices":[],"childCriteriaItemList":[],"clientContextJson":""},{"keyOptionId":"1395","caption":"French Guiana","isDefault":true,"maskCriteriaOnly":false,"definition":"","keyProductQueryItem":"227199","comparisonOperation":0,"comparisonValue":"46","minimumVersion":"","maximumVersion":"","formOrder":0,"lowerBound":null,"enabled":true,"mask":"","maskKey":"","keyItemMaskOfField":null,"keyOptionIdReplace":"","relatedOptionIds":[],"onlineServices":[],"childCriteriaItemList":[],"clientContextJson":""},{"keyOptionId":"1401","caption":"Grenada","isDefault":true,"maskCriteriaOnly":false,"definition":"","keyProductQueryItem":"227199","comparisonOperation":0,"comparisonValue":"18","minimumVersion":"","maximumVersion":"","formOrder":0,"lowerBound":null,"enabled":true,"mask":"","maskKey":"","keyItemMaskOfField":null,"keyOptionIdReplace":"","relatedOptionIds":[],"onlineServices":[],"childCriteriaItemList":[],"clientContextJson":""},{"keyOptionId":"1394","caption":"Guadeloupe","isDefault":true,"maskCriteriaOnly":false,"definition":"","keyProductQueryItem":"227199","comparisonOperation":0,"comparisonValue":"20","minimumVersion":"","maximumVersion":"","formOrder":0,"lowerBound":null,"enabled":true,"mask":"","maskKey":"","keyItemMaskOfField":null,"keyOptionIdReplace":"","relatedOptionIds":[],"onlineServices":[],"childCriteriaItemList":[],"clientContextJson":""},{"keyOptionId":"1413","caption":"Guatemala","isDefault":true,"maskCriteriaOnly":false,"definition":"","keyProductQueryItem":"227199","comparisonOperation":0,"comparisonValue":"39","minimumVersion":"","maximumVersion":"","formOrder":0,"lowerBound":null,"enabled":true,"mask":"","maskKey":"","keyItemMaskOfField":null,"keyOptionIdReplace":"","relatedOptionIds":[],"onlineServices":[],"childCriteriaItemList":[],"clientContextJson":""},{"keyOptionId":"1393","caption":"Guyana","isDefault":true,"maskCriteriaOnly":false,"definition":"","keyProductQueryItem":"227199","comparisonOperation":0,"comparisonValue":"47","minimumVersion":"","maximumVersion":"","formOrder":0,"lowerBound":null,"enabled":true,"mask":"","maskKey":"","keyItemMaskOfField":null,"keyOptionIdReplace":"","relatedOptionIds":[],"onlineServices":[],"childCriteriaItemList":[],"clientContextJson":""},{"keyOptionId":"1414","caption":"Haiti","isDefault":true,"maskCriteriaOnly":false,"definition":"","keyProductQueryItem":"227199","comparisonOperation":0,"comparisonValue":"22","minimumVersion":"","maximumVersion":"","formOrder":0,"lowerBound":null,"enabled":true,"mask":"","maskKey":"","keyItemMaskOfField":null,"keyOptionIdReplace":"","relatedOptionIds":[],"onlineServices":[],"childCriteriaItemList":[],"clientContextJson":""},{"keyOptionId":"1415","caption":"Honduras","isDefault":true,"maskCriteriaOnly":false,"definition":"","keyProductQueryItem":"227199","comparisonOperation":0,"comparisonValue":"21","minimumVersion":"","maximumVersion":"","formOrder":0,"lowerBound":null,"enabled":true,"mask":"","maskKey":"","keyItemMaskOfField":null,"keyOptionIdReplace":"","relatedOptionIds":[],"onlineServices":[],"childCriteriaItemList":[],"clientContextJson":""},{"keyOptionId":"1402","caption":"Jamaica","isDefault":true,"maskCriteriaOnly":false,"definition":"","keyProductQueryItem":"227199","comparisonOperation":0,"comparisonValue":"23","minimumVersion":"","maximumVersion":"","formOrder":0,"lowerBound":null,"enabled":true,"mask":"","maskKey":"","keyItemMaskOfField":null,"keyOptionIdReplace":"","relatedOptionIds":[],"onlineServices":[],"childCriteriaItemList":[],"clientContextJson":""},{"keyOptionId":"1396","caption":"Martinique","isDefault":true,"maskCriteriaOnly":false,"definition":"","keyProductQueryItem":"227199","comparisonOperation":0,"comparisonValue":"25","minimumVersion":"","maximumVersion":"","formOrder":0,"lowerBound":null,"enabled":true,"mask":"","maskKey":"","keyItemMaskOfField":null,"keyOptionIdReplace":"","relatedOptionIds":[],"onlineServices":[],"childCriteriaItemList":[],"clientContextJson":""},{"keyOptionId":"1428","caption":"Mexico","</t>
  </si>
  <si>
    <t>isDefault":true,"maskCriteriaOnly":false,"definition":"","keyProductQueryItem":"227199","comparisonOperation":0,"comparisonValue":"27","minimumVersion":"","maximumVersion":"","formOrder":0,"lowerBound":null,"enabled":true,"mask":"","maskKey":"","keyItemMaskOfField":null,"keyOptionIdReplace":"","relatedOptionIds":[],"onlineServices":[],"childCriteriaItemList":[],"clientContextJson":""},{"keyOptionId":"1403","caption":"Montserrat","isDefault":true,"maskCriteriaOnly":false,"definition":"","keyProductQueryItem":"227199","comparisonOperation":0,"comparisonValue":"26","minimumVersion":"","maximumVersion":"","formOrder":0,"lowerBound":null,"enabled":true,"mask":"","maskKey":"","keyItemMaskOfField":null,"keyOptionIdReplace":"","relatedOptionIds":[],"onlineServices":[],"childCriteriaItemList":[],"clientContextJson":""},{"keyOptionId":"1416","caption":"Nicaragua","isDefault":true,"maskCriteriaOnly":false,"definition":"","keyProductQueryItem":"227199","comparisonOperation":0,"comparisonValue":"28","minimumVersion":"","maximumVersion":"","formOrder":0,"lowerBound":null,"enabled":true,"mask":"","maskKey":"","keyItemMaskOfField":null,"keyOptionIdReplace":"","relatedOptionIds":[],"onlineServices":[],"childCriteriaItemList":[],"clientContextJson":""},{"keyOptionId":"1417","caption":"Panama","isDefault":true,"maskCriteriaOnly":false,"definition":"","keyProductQueryItem":"227199","comparisonOperation":0,"comparisonValue":"29","minimumVersion":"","maximumVersion":"","formOrder":0,"lowerBound":null,"enabled":true,"mask":"","maskKey":"","keyItemMaskOfField":null,"keyOptionIdReplace":"","relatedOptionIds":[],"onlineServices":[],"childCriteriaItemList":[],"clientContextJson":""},{"keyOptionId":"1418","caption":"Paraguay","isDefault":true,"maskCriteriaOnly":false,"definition":"","keyProductQueryItem":"227199","comparisonOperation":0,"comparisonValue":"49","minimumVersion":"","maximumVersion":"","formOrder":0,"lowerBound":null,"enabled":true,"mask":"","maskKey":"","keyItemMaskOfField":null,"keyOptionIdReplace":"","relatedOptionIds":[],"onlineServices":[],"childCriteriaItemList":[],"clientContextJson":""},{"keyOptionId":"1419","caption":"Peru","isDefault":true,"maskCriteriaOnly":false,"definition":"","keyProductQueryItem":"227199","comparisonOperation":0,"comparisonValue":"48","minimumVersion":"","maximumVersion":"","formOrder":0,"lowerBound":null,"enabled":true,"mask":"","maskKey":"","keyItemMaskOfField":null,"keyOptionIdReplace":"","relatedOptionIds":[],"onlineServices":[],"childCriteriaItemList":[],"clientContextJson":""},{"keyOptionId":"1422","caption":"Saint Lucia","isDefault":true,"maskCriteriaOnly":false,"definition":"","keyProductQueryItem":"227199","comparisonOperation":0,"comparisonValue":"24","minimumVersion":"","maximumVersion":"","formOrder":0,"lowerBound":null,"enabled":true,"mask":"","maskKey":"","keyItemMaskOfField":null,"keyOptionIdReplace":"","relatedOptionIds":[],"onlineServices":[],"childCriteriaItemList":[],"clientContextJson":""},{"keyOptionId":"1423","caption":"Saint Vincent","isDefault":true,"maskCriteriaOnly":false,"definition":"","keyProductQueryItem":"227199","comparisonOperation":0,"comparisonValue":"34","minimumVersion":"","maximumVersion":"","formOrder":0,"lowerBound":null,"enabled":true,"mask":"","maskKey":"","keyItemMaskOfField":null,"keyOptionIdReplace":"","relatedOptionIds":[],"onlineServices":[],"childCriteriaItemList":[],"clientContextJson":""},{"keyOptionId":"3212","caption":"Sint Maarten","isDefault":true,"maskCriteriaOnly":false,"definition":"","keyProductQueryItem":"227199","comparisonOperation":0,"comparisonValue":"1117","minimumVersion":"","maximumVersion":"","formOrder":0,"lowerBound":null,"enabled":true,"mask":"","maskKey":"","keyItemMaskOfField":null,"keyOptionIdReplace":"","relatedOptionIds":[],"onlineServices":[],"childCriteriaItemList":[],"clientContextJson":""},{"keyOptionId":"1424","caption":"South Georgia","isDefault":true,"maskCriteriaOnly":false,"definition":"","keyProductQueryItem":"227199","comparisonOperation":0,"comparisonValue":"59","minimumVersion":"","maximumVersion":"","formOrder":0,"lowerBound":null,"enabled":true,"mask":"","maskKey":"","keyItemMaskOfField":null,"keyOptionIdReplace":"","relatedOptionIds":[],"onlineServices":[],"childCriteriaItemList":[],"clientContextJson":""},{"keyOptionId":"1399","caption":"St. Kitts and Nevis","isDefault":true,"maskCriteriaOnly":false,"definition":"","keyProductQueryItem":"227199","comparisonOperation":0,"comparisonValue":"40","minimumVersion":"","maximumVersion":"","formOrder":0,"lowerBound":null,"enabled":true,"mask":"","maskKey":"","keyItemMaskOfField":null,"keyOptionIdReplace":"","relatedOptionIds":[],"onlineServices":[],"childCriteriaItemList":[],"clientContextJson":""},{"keyOptionId":"1425","caption":"St. Pierre, Miquelon","isDefault":true,"maskCriteriaOnly":false,"definition":"","keyProductQueryItem":"227199","comparisonOperation":0,"comparisonValue":"30","minimumVersion":"","maximumVersion":"","formOrder":0,"lowerBound":null,"enabled":true,"mask":"","maskKey":"","keyItemMaskOfField":null,"keyOptionIdReplace":"","relatedOptionIds":[],"onlineServices":[],"childCriteriaItemList":[],"clientContextJson":""},{"keyOptionId":"1420","caption":"Suriname","isDefault":true,"maskCriteriaOnly":false,"definition":"","keyProductQueryItem":"227199","comparisonOperation":0,"comparisonValue":"50","minimumVersion":"","maximumVersion":"","formOrder":0,"lowerBound":null,"enabled":true,"mask":"","maskKey":"","keyItemMaskOfField":null,"keyOptionIdReplace":"","relatedOptionIds":[],"onlineServices":[],"childCriteriaItemList":[],"clientContextJson":""},{"keyOptionId":"1421","caption":"Trinidad and Tobago","isDefault":true,"maskCriteriaOnly":false,"definition":"","keyProductQueryItem":"227199","comparisonOperation":0,"comparisonValue":"32","minimumVersion":"","maximumVersion":"","formOrder":0,"lowerBound":null,"enabled":true,"mask":"","maskKey":"","keyItemMaskOfField":null,"keyOptionIdReplace":"","relatedOptionIds":[],"onlineServices":[],"childCriteriaItemList":[],"clientContextJson":""},{"keyOptionId":"1427","caption":"Turks &amp; Caicos","isDefault":true,"maskCriteriaOnly":false,"definition":"","keyProductQueryItem":"227199","comparisonOperation":0,"comparisonValue":"31","minimumVersion":"","maximumVersion":"","formOrder":0,"lowerBound":null,"enabled":true,"mask":"","maskKey":"","keyItemMaskOfField":null,"keyOptionIdReplace":"","relatedOptionIds":[],"onlineServices":[],"childCriteriaItemList":[],"clientContextJson":""},{"keyOptionId":"1405","caption":"Uruguay","isDefault":true,"maskCriteriaOnly":false,"definition":"","keyProductQueryItem":"227199","comparisonOperation":0,"comparisonValue":"51","minimumVersion":"","maximumVersion":"","formOrder":0,"lowerBound":null,"enabled":true,"mask":"","maskKey":"","keyItemMaskOfField":null,"keyOptionIdReplace":"","relatedOptionIds":[],"onlineServices":[],"childCriteriaItemList":[],"clientContextJson":""},{"keyOptionId":"1388","caption":"Venezuela","isDefault":true,"maskCriteriaOnly":false,"definition":"","keyProductQueryItem":"227199","comparisonOperation":0,"comparisonValue":"56","minimumVersion":"","maximumVersion":"","formOrder":0,"lowerBound":null,"enabled":true,"mask":"","maskKey":"","keyItemMaskOfField":null,"keyOptionIdReplace":"","relatedOptionIds":[],"onlineServices":[],"childCriteriaItemList":[],"clientContextJson":""}],"clientContextJson":""},{"keyOptionId":"1429","caption":"Africa","isDefault":false,"maskCriteriaOnly":true,"definition":"","keyProductQueryItem":"","comparisonOperation":null,"comparisonValue":"","minimumVersion":"","maximumVersion":"","formOrder":0,"lowerBound":null,"enabled":true,"mask":"","maskKey":"","keyItemMaskOfField":</t>
  </si>
  <si>
    <t>null,"keyOptionIdReplace":"","relatedOptionIds":[],"onlineServices":[],"childCriteriaItemList":[{"keyOptionId":"1434","caption":"Algeria","isDefault":true,"maskCriteriaOnly":false,"definition":"","keyProductQueryItem":"227199","comparisonOperation":0,"comparisonValue":"73","minimumVersion":"","maximumVersion":"","formOrder":0,"lowerBound":null,"enabled":true,"mask":"","maskKey":"","keyItemMaskOfField":null,"keyOptionIdReplace":"","relatedOptionIds":[],"onlineServices":[],"childCriteriaItemList":[],"clientContextJson":""},{"keyOptionId":"1444","caption":"Angola","isDefault":true,"maskCriteriaOnly":false,"definition":"","keyProductQueryItem":"227199","comparisonOperation":0,"comparisonValue":"62","minimumVersion":"","maximumVersion":"","formOrder":0,"lowerBound":null,"enabled":true,"mask":"","maskKey":"","keyItemMaskOfField":null,"keyOptionIdReplace":"","relatedOptionIds":[],"onlineServices":[],"childCriteriaItemList":[],"clientContextJson":""},{"keyOptionId":"1445","caption":"Benin","isDefault":true,"maskCriteriaOnly":false,"definition":"","keyProductQueryItem":"227199","comparisonOperation":0,"comparisonValue":"65","minimumVersion":"","maximumVersion":"","formOrder":0,"lowerBound":null,"enabled":true,"mask":"","maskKey":"","keyItemMaskOfField":null,"keyOptionIdReplace":"","relatedOptionIds":[],"onlineServices":[],"childCriteriaItemList":[],"clientContextJson":""},{"keyOptionId":"1446","caption":"Botswana","isDefault":true,"maskCriteriaOnly":false,"definition":"","keyProductQueryItem":"227199","comparisonOperation":0,"comparisonValue":"66","minimumVersion":"","maximumVersion":"","formOrder":0,"lowerBound":null,"enabled":true,"mask":"","maskKey":"","keyItemMaskOfField":null,"keyOptionIdReplace":"","relatedOptionIds":[],"onlineServices":[],"childCriteriaItemList":[],"clientContextJson":""},{"keyOptionId":"1430","caption":"Bouvet Island","isDefault":true,"maskCriteriaOnly":false,"definition":"","keyProductQueryItem":"227199","comparisonOperation":0,"comparisonValue":"58","minimumVersion":"","maximumVersion":"","formOrder":0,"lowerBound":null,"enabled":true,"mask":"","maskKey":"","keyItemMaskOfField":null,"keyOptionIdReplace":"","relatedOptionIds":[],"onlineServices":[],"childCriteriaItemList":[],"clientContextJson":""},{"keyOptionId":"1431","caption":"Burkina Faso","isDefault":true,"maskCriteriaOnly":false,"definition":"","keyProductQueryItem":"227199","comparisonOperation":0,"comparisonValue":"63","minimumVersion":"","maximumVersion":"","formOrder":0,"lowerBound":null,"enabled":true,"mask":"","maskKey":"","keyItemMaskOfField":null,"keyOptionIdReplace":"","relatedOptionIds":[],"onlineServices":[],"childCriteriaItemList":[],"clientContextJson":""},{"keyOptionId":"1447","caption":"Burundi","isDefault":true,"maskCriteriaOnly":false,"definition":"","keyProductQueryItem":"227199","comparisonOperation":0,"comparisonValue":"64","minimumVersion":"","maximumVersion":"","formOrder":0,"lowerBound":null,"enabled":true,"mask":"","maskKey":"","keyItemMaskOfField":null,"keyOptionIdReplace":"","relatedOptionIds":[],"onlineServices":[],"childCriteriaItemList":[],"clientContextJson":""},{"keyOptionId":"1448","caption":"Cameroon","isDefault":true,"maskCriteriaOnly":false,"definition":"","keyProductQueryItem":"227199","comparisonOperation":0,"comparisonValue":"70","minimumVersion":"","maximumVersion":"","formOrder":0,"lowerBound":null,"enabled":true,"mask":"","maskKey":"","keyItemMaskOfField":null,"keyOptionIdReplace":"","relatedOptionIds":[],"onlineServices":[],"childCriteriaItemList":[],"clientContextJson":""},{"keyOptionId":"1449","caption":"Cape Verde","isDefault":true,"maskCriteriaOnly":false,"definition":"","keyProductQueryItem":"227199","comparisonOperation":0,"comparisonValue":"71","minimumVersion":"","maximumVersion":"","formOrder":0,"lowerBound":null,"enabled":true,"mask":"","maskKey":"","keyItemMaskOfField":null,"keyOptionIdReplace":"","relatedOptionIds":[],"onlineServices":[],"childCriteriaItemList":[],"clientContextJson":""},{"keyOptionId":"1432","caption":"Central African Rep.","isDefault":true,"maskCriteriaOnly":false,"definition":"","keyProductQueryItem":"227199","comparisonOperation":0,"comparisonValue":"67","minimumVersion":"","maximumVersion":"","formOrder":0,"lowerBound":null,"enabled":true,"mask":"","maskKey":"","keyItemMaskOfField":null,"keyOptionIdReplace":"","relatedOptionIds":[],"onlineServices":[],"childCriteriaItemList":[],"clientContextJson":""},{"keyOptionId":"1450","caption":"Chad","isDefault":true,"maskCriteriaOnly":false,"definition":"","keyProductQueryItem":"227199","comparisonOperation":0,"comparisonValue":"108","minimumVersion":"","maximumVersion":"","formOrder":0,"lowerBound":null,"enabled":true,"mask":"","maskKey":"","keyItemMaskOfField":null,"keyOptionIdReplace":"","relatedOptionIds":[],"onlineServices":[],"childCriteriaItemList":[],"clientContextJson":""},{"keyOptionId":"1484","caption":"Comoros","isDefault":true,"maskCriteriaOnly":false,"definition":"","keyProductQueryItem":"227199","comparisonOperation":0,"comparisonValue":"117","minimumVersion":"","maximumVersion":"","formOrder":0,"lowerBound":null,"enabled":true,"mask":"","maskKey":"","keyItemMaskOfField":null,"keyOptionIdReplace":"","relatedOptionIds":[],"onlineServices":[],"childCriteriaItemList":[],"clientContextJson":""},{"keyOptionId":"1451","caption":"Cote d'Ivoire","isDefault":true,"maskCriteriaOnly":false,"definition":"","keyProductQueryItem":"227199","comparisonOperation":0,"comparisonValue":"69","minimumVersion":"","maximumVersion":"","formOrder":0,"lowerBound":null,"enabled":true,"mask":"","maskKey":"","keyItemMaskOfField":null,"keyOptionIdReplace":"","relatedOptionIds":[],"onlineServices":[],"childCriteriaItemList":[],"clientContextJson":""},{"keyOptionId":"1433","caption":"Dem. Rep. Congo","isDefault":true,"maskCriteriaOnly":false,"definition":"","keyProductQueryItem":"227199","comparisonOperation":0,"comparisonValue":"115","minimumVersion":"","maximumVersion":"","formOrder":0,"lowerBound":null,"enabled":true,"mask":"","maskKey":"","keyItemMaskOfField":null,"keyOptionIdReplace":"","relatedOptionIds":[],"onlineServices":[],"childCriteriaItemList":[],"clientContextJson":""},{"keyOptionId":"1452","caption":"Djibouti","isDefault":true,"maskCriteriaOnly":false,"definition":"","keyProductQueryItem":"227199","comparisonOperation":0,"comparisonValue":"72","minimumVersion":"","maximumVersion":"","formOrder":0,"lowerBound":null,"enabled":true,"mask":"","maskKey":"","keyItemMaskOfField":null,"keyOptionIdReplace":"","relatedOptionIds":[],"onlineServices":[],"childCriteriaItemList":[],"clientContextJson":""},{"keyOptionId":"1453","caption":"Equatorial Guinea","isDefault":true,"maskCriteriaOnly":false,"definition":"","keyProductQueryItem":"227199","comparisonOperation":0,"comparisonValue":"82","minimumVersion":"","maximumVersion":"","formOrder":0,"lowerBound":null,"enabled":true,"mask":"","maskKey":"","keyItemMaskOfField":null,"keyOptionIdReplace":"","relatedOptionIds":[],"onlineServices":[],"childCriteriaItemList":[],"clientContextJson":""},{"keyOptionId":"1481","caption":"Eritrea","isDefault":true,"maskCriteriaOnly":false,"definition":"","keyProductQueryItem":"227199","comparisonOperation":0,"comparisonValue":"76","minimumVersion":"","maximumVersion":"","formOrder":0,"lowerBound":null,"enabled":true,"mask":"","maskKey":"","keyItemMaskOfField":null,"keyOptionIdReplace":"","relatedOptionIds":[],"onlineServices":[],"childCriteriaItemList":[],"clientContextJson":""},{"keyOptionId":"1437","caption":"Ethiopia","isDefault":true,"maskCriteriaOnly":false,"definition":"","keyProductQueryItem":"227199","comparisonOperation":0,"comparisonValue":"77","minimumVersion":"","maximumVer</t>
  </si>
  <si>
    <t>sion":"","formOrder":0,"lowerBound":null,"enabled":true,"mask":"","maskKey":"","keyItemMaskOfField":null,"keyOptionIdReplace":"","relatedOptionIds":[],"onlineServices":[],"childCriteriaItemList":[],"clientContextJson":""},{"keyOptionId":"1439","caption":"Gabon","isDefault":true,"maskCriteriaOnly":false,"definition":"","keyProductQueryItem":"227199","comparisonOperation":0,"comparisonValue":"78","minimumVersion":"","maximumVersion":"","formOrder":0,"lowerBound":null,"enabled":true,"mask":"","maskKey":"","keyItemMaskOfField":null,"keyOptionIdReplace":"","relatedOptionIds":[],"onlineServices":[],"childCriteriaItemList":[],"clientContextJson":""},{"keyOptionId":"1471","caption":"Gambia","isDefault":true,"maskCriteriaOnly":false,"definition":"","keyProductQueryItem":"227199","comparisonOperation":0,"comparisonValue":"80","minimumVersion":"","maximumVersion":"","formOrder":0,"lowerBound":null,"enabled":true,"mask":"","maskKey":"","keyItemMaskOfField":null,"keyOptionIdReplace":"","relatedOptionIds":[],"onlineServices":[],"childCriteriaItemList":[],"clientContextJson":""},{"keyOptionId":"1454","caption":"Ghana","isDefault":true,"maskCriteriaOnly":false,"definition":"","keyProductQueryItem":"227199","comparisonOperation":0,"comparisonValue":"79","minimumVersion":"","maximumVersion":"","formOrder":0,"lowerBound":null,"enabled":true,"mask":"","maskKey":"","keyItemMaskOfField":null,"keyOptionIdReplace":"","relatedOptionIds":[],"onlineServices":[],"childCriteriaItemList":[],"clientContextJson":""},{"keyOptionId":"1455","caption":"Guinea","isDefault":true,"maskCriteriaOnly":false,"definition":"","keyProductQueryItem":"227199","comparisonOperation":0,"comparisonValue":"81","minimumVersion":"","maximumVersion":"","formOrder":0,"lowerBound":null,"enabled":true,"mask":"","maskKey":"","keyItemMaskOfField":null,"keyOptionIdReplace":"","relatedOptionIds":[],"onlineServices":[],"childCriteriaItemList":[],"clientContextJson":""},{"keyOptionId":"1456","caption":"Guinea-Bissau","isDefault":true,"maskCriteriaOnly":false,"definition":"","keyProductQueryItem":"227199","comparisonOperation":0,"comparisonValue":"83","minimumVersion":"","maximumVersion":"","formOrder":0,"lowerBound":null,"enabled":true,"mask":"","maskKey":"","keyItemMaskOfField":null,"keyOptionIdReplace":"","relatedOptionIds":[],"onlineServices":[],"childCriteriaItemList":[],"clientContextJson":""},{"keyOptionId":"1457","caption":"Kenya","isDefault":true,"maskCriteriaOnly":false,"definition":"","keyProductQueryItem":"227199","comparisonOperation":0,"comparisonValue":"84","minimumVersion":"","maximumVersion":"","formOrder":0,"lowerBound":null,"enabled":true,"mask":"","maskKey":"","keyItemMaskOfField":null,"keyOptionIdReplace":"","relatedOptionIds":[],"onlineServices":[],"childCriteriaItemList":[],"clientContextJson":""},{"keyOptionId":"1441","caption":"Lesotho","isDefault":true,"maskCriteriaOnly":false,"definition":"","keyProductQueryItem":"227199","comparisonOperation":0,"comparisonValue":"86","minimumVersion":"","maximumVersion":"","formOrder":0,"lowerBound":null,"enabled":true,"mask":"","maskKey":"","keyItemMaskOfField":null,"keyOptionIdReplace":"","relatedOptionIds":[],"onlineServices":[],"childCriteriaItemList":[],"clientContextJson":""},{"keyOptionId":"1458","caption":"Liberia","isDefault":true,"maskCriteriaOnly":false,"definition":"","keyProductQueryItem":"227199","comparisonOperation":0,"comparisonValue":"85","minimumVersion":"","maximumVersion":"","formOrder":0,"lowerBound":null,"enabled":true,"mask":"","maskKey":"","keyItemMaskOfField":null,"keyOptionIdReplace":"","relatedOptionIds":[],"onlineServices":[],"childCriteriaItemList":[],"clientContextJson":""},{"keyOptionId":"1479","caption":"Libya","isDefault":true,"maskCriteriaOnly":false,"definition":"","keyProductQueryItem":"227199","comparisonOperation":0,"comparisonValue":"87","minimumVersion":"","maximumVersion":"","formOrder":0,"lowerBound":null,"enabled":true,"mask":"","maskKey":"","keyItemMaskOfField":null,"keyOptionIdReplace":"","relatedOptionIds":[],"onlineServices":[],"childCriteriaItemList":[],"clientContextJson":""},{"keyOptionId":"1459","caption":"Madagascar","isDefault":true,"maskCriteriaOnly":false,"definition":"","keyProductQueryItem":"227199","comparisonOperation":0,"comparisonValue":"89","minimumVersion":"","maximumVersion":"","formOrder":0,"lowerBound":null,"enabled":true,"mask":"","maskKey":"","keyItemMaskOfField":null,"keyOptionIdReplace":"","relatedOptionIds":[],"onlineServices":[],"childCriteriaItemList":[],"clientContextJson":""},{"keyOptionId":"1460","caption":"Malawi","isDefault":true,"maskCriteriaOnly":false,"definition":"","keyProductQueryItem":"227199","comparisonOperation":0,"comparisonValue":"93","minimumVersion":"","maximumVersion":"","formOrder":0,"lowerBound":null,"enabled":true,"mask":"","maskKey":"","keyItemMaskOfField":null,"keyOptionIdReplace":"","relatedOptionIds":[],"onlineServices":[],"childCriteriaItemList":[],"clientContextJson":""},{"keyOptionId":"1461","caption":"Mali","isDefault":true,"maskCriteriaOnly":false,"definition":"","keyProductQueryItem":"227199","comparisonOperation":0,"comparisonValue":"90","minimumVersion":"","maximumVersion":"","formOrder":0,"lowerBound":null,"enabled":true,"mask":"","maskKey":"","keyItemMaskOfField":null,"keyOptionIdReplace":"","relatedOptionIds":[],"onlineServices":[],"childCriteriaItemList":[],"clientContextJson":""},{"keyOptionId":"1440","caption":"Mauritania","isDefault":true,"maskCriteriaOnly":false,"definition":"","keyProductQueryItem":"227199","comparisonOperation":0,"comparisonValue":"91","minimumVersion":"","maximumVersion":"","formOrder":0,"lowerBound":null,"enabled":true,"mask":"","maskKey":"","keyItemMaskOfField":null,"keyOptionIdReplace":"","relatedOptionIds":[],"onlineServices":[],"childCriteriaItemList":[],"clientContextJson":""},{"keyOptionId":"1462","caption":"Mauritius","isDefault":true,"maskCriteriaOnly":false,"definition":"","keyProductQueryItem":"227199","comparisonOperation":0,"comparisonValue":"92","minimumVersion":"","maximumVersion":"","formOrder":0,"lowerBound":null,"enabled":true,"mask":"","maskKey":"","keyItemMaskOfField":null,"keyOptionIdReplace":"","relatedOptionIds":[],"onlineServices":[],"childCriteriaItemList":[],"clientContextJson":""},{"keyOptionId":"1482","caption":"Mayotte","isDefault":true,"maskCriteriaOnly":false,"definition":"","keyProductQueryItem":"227199","comparisonOperation":0,"comparisonValue":"113","minimumVersion":"","maximumVersion":"","formOrder":0,"lowerBound":null,"enabled":true,"mask":"","maskKey":"","keyItemMaskOfField":null,"keyOptionIdReplace":"","relatedOptionIds":[],"onlineServices":[],"childCriteriaItemList":[],"clientContextJson":""},{"keyOptionId":"1442","caption":"Morocco","isDefault":true,"maskCriteriaOnly":false,"definition":"","keyProductQueryItem":"227199","comparisonOperation":0,"comparisonValue":"88","minimumVersion":"","maximumVersion":"","formOrder":0,"lowerBound":null,"enabled":true,"mask":"","maskKey":"","keyItemMaskOfField":null,"keyOptionIdReplace":"","relatedOptionIds":[],"onlineServices":[],"childCriteriaItemList":[],"clientContextJson":""},{"keyOptionId":"1463","caption":"Mozambique","isDefault":true,"maskCriteriaOnly":false,"definition":"","keyProductQueryItem":"227199","comparisonOperation":0,"comparisonValue":"94","minimumVersion":"","maximumVersion":"","formOrder":0,"lowerBound":null,"enabled":true,"mask":"","maskKey":"","keyItemMaskOfField":null,"keyOptionIdReplace":"","relatedOptionIds":[],"onlineServices":[],"childCriteriaItemList":[],"clientContextJson":""},{"keyOptionId":"1464","caption":"Namibia","isDefault":true,"maskCriteriaOnly":false,"definition":"","keyProductQueryItem":"227199",</t>
  </si>
  <si>
    <t>"comparisonOperation":0,"comparisonValue":"95","minimumVersion":"","maximumVersion":"","formOrder":0,"lowerBound":null,"enabled":true,"mask":"","maskKey":"","keyItemMaskOfField":null,"keyOptionIdReplace":"","relatedOptionIds":[],"onlineServices":[],"childCriteriaItemList":[],"clientContextJson":""},{"keyOptionId":"1465","caption":"Niger","isDefault":true,"maskCriteriaOnly":false,"definition":"","keyProductQueryItem":"227199","comparisonOperation":0,"comparisonValue":"96","minimumVersion":"","maximumVersion":"","formOrder":0,"lowerBound":null,"enabled":true,"mask":"","maskKey":"","keyItemMaskOfField":null,"keyOptionIdReplace":"","relatedOptionIds":[],"onlineServices":[],"childCriteriaItemList":[],"clientContextJson":""},{"keyOptionId":"1438","caption":"Nigeria","isDefault":true,"maskCriteriaOnly":false,"definition":"","keyProductQueryItem":"227199","comparisonOperation":0,"comparisonValue":"97","minimumVersion":"","maximumVersion":"","formOrder":0,"lowerBound":null,"enabled":true,"mask":"","maskKey":"","keyItemMaskOfField":null,"keyOptionIdReplace":"","relatedOptionIds":[],"onlineServices":[],"childCriteriaItemList":[],"clientContextJson":""},{"keyOptionId":"1470","caption":"Rep. Of the Congo","isDefault":true,"maskCriteriaOnly":false,"definition":"","keyProductQueryItem":"227199","comparisonOperation":0,"comparisonValue":"68","minimumVersion":"","maximumVersion":"","formOrder":0,"lowerBound":null,"enabled":true,"mask":"","maskKey":"","keyItemMaskOfField":null,"keyOptionIdReplace":"","relatedOptionIds":[],"onlineServices":[],"childCriteriaItemList":[],"clientContextJson":""},{"keyOptionId":"1436","caption":"Reunion","isDefault":true,"maskCriteriaOnly":false,"definition":"","keyProductQueryItem":"227199","comparisonOperation":0,"comparisonValue":"98","minimumVersion":"","maximumVersion":"","formOrder":0,"lowerBound":null,"enabled":true,"mask":"","maskKey":"","keyItemMaskOfField":null,"keyOptionIdReplace":"","relatedOptionIds":[],"onlineServices":[],"childCriteriaItemList":[],"clientContextJson":""},{"keyOptionId":"1477","caption":"Rwanda","isDefault":true,"maskCriteriaOnly":false,"definition":"","keyProductQueryItem":"227199","comparisonOperation":0,"comparisonValue":"99","minimumVersion":"","maximumVersion":"","formOrder":0,"lowerBound":null,"enabled":true,"mask":"","maskKey":"","keyItemMaskOfField":null,"keyOptionIdReplace":"","relatedOptionIds":[],"onlineServices":[],"childCriteriaItemList":[],"clientContextJson":""},{"keyOptionId":"1478","caption":"Saint Helena","isDefault":true,"maskCriteriaOnly":false,"definition":"","keyProductQueryItem":"227199","comparisonOperation":0,"comparisonValue":"102","minimumVersion":"","maximumVersion":"","formOrder":0,"lowerBound":null,"enabled":true,"mask":"","maskKey":"","keyItemMaskOfField":null,"keyOptionIdReplace":"","relatedOptionIds":[],"onlineServices":[],"childCriteriaItemList":[],"clientContextJson":""},{"keyOptionId":"1435","caption":"Sao Tome &amp; Principe","isDefault":true,"maskCriteriaOnly":false,"definition":"","keyProductQueryItem":"227199","comparisonOperation":0,"comparisonValue":"106","minimumVersion":"","maximumVersion":"","formOrder":0,"lowerBound":null,"enabled":true,"mask":"","maskKey":"","keyItemMaskOfField":null,"keyOptionIdReplace":"","relatedOptionIds":[],"onlineServices":[],"childCriteriaItemList":[],"clientContextJson":""},{"keyOptionId":"1466","caption":"Senegal","isDefault":true,"maskCriteriaOnly":false,"definition":"","keyProductQueryItem":"227199","comparisonOperation":0,"comparisonValue":"104","minimumVersion":"","maximumVersion":"","formOrder":0,"lowerBound":null,"enabled":true,"mask":"","maskKey":"","keyItemMaskOfField":null,"keyOptionIdReplace":"","relatedOptionIds":[],"onlineServices":[],"childCriteriaItemList":[],"clientContextJson":""},{"keyOptionId":"1467","caption":"Seychelles","isDefault":true,"maskCriteriaOnly":false,"definition":"","keyProductQueryItem":"227199","comparisonOperation":0,"comparisonValue":"100","minimumVersion":"","maximumVersion":"","formOrder":0,"lowerBound":null,"enabled":true,"mask":"","maskKey":"","keyItemMaskOfField":null,"keyOptionIdReplace":"","relatedOptionIds":[],"onlineServices":[],"childCriteriaItemList":[],"clientContextJson":""},{"keyOptionId":"1468","caption":"Sierra Leone","isDefault":true,"maskCriteriaOnly":false,"definition":"","keyProductQueryItem":"227199","comparisonOperation":0,"comparisonValue":"103","minimumVersion":"","maximumVersion":"","formOrder":0,"lowerBound":null,"enabled":true,"mask":"","maskKey":"","keyItemMaskOfField":null,"keyOptionIdReplace":"","relatedOptionIds":[],"onlineServices":[],"childCriteriaItemList":[],"clientContextJson":""},{"keyOptionId":"1480","caption":"Somalia","isDefault":true,"maskCriteriaOnly":false,"definition":"","keyProductQueryItem":"227199","comparisonOperation":0,"comparisonValue":"105","minimumVersion":"","maximumVersion":"","formOrder":0,"lowerBound":null,"enabled":true,"mask":"","maskKey":"","keyItemMaskOfField":null,"keyOptionIdReplace":"","relatedOptionIds":[],"onlineServices":[],"childCriteriaItemList":[],"clientContextJson":""},{"keyOptionId":"1469","caption":"South Africa","isDefault":true,"maskCriteriaOnly":false,"definition":"","keyProductQueryItem":"227199","comparisonOperation":0,"comparisonValue":"118","minimumVersion":"","maximumVersion":"","formOrder":0,"lowerBound":null,"enabled":true,"mask":"","maskKey":"","keyItemMaskOfField":null,"keyOptionIdReplace":"","relatedOptionIds":[],"onlineServices":[],"childCriteriaItemList":[],"clientContextJson":""},{"keyOptionId":"1472","caption":"Sudan","isDefault":true,"maskCriteriaOnly":false,"definition":"","keyProductQueryItem":"227199","comparisonOperation":0,"comparisonValue":"101","minimumVersion":"","maximumVersion":"","formOrder":0,"lowerBound":null,"enabled":true,"mask":"","maskKey":"","keyItemMaskOfField":null,"keyOptionIdReplace":"","relatedOptionIds":[],"onlineServices":[],"childCriteriaItemList":[],"clientContextJson":""},{"keyOptionId":"1443","caption":"Swaziland","isDefault":true,"maskCriteriaOnly":false,"definition":"","keyProductQueryItem":"227199","comparisonOperation":0,"comparisonValue":"107","minimumVersion":"","maximumVersion":"","formOrder":0,"lowerBound":null,"enabled":true,"mask":"","maskKey":"","keyItemMaskOfField":null,"keyOptionIdReplace":"","relatedOptionIds":[],"onlineServices":[],"childCriteriaItemList":[],"clientContextJson":""},{"keyOptionId":"1485","caption":"Tanzania","isDefault":true,"maskCriteriaOnly":false,"definition":"","keyProductQueryItem":"227199","comparisonOperation":0,"comparisonValue":"111","minimumVersion":"","maximumVersion":"","formOrder":0,"lowerBound":null,"enabled":true,"mask":"","maskKey":"","keyItemMaskOfField":null,"keyOptionIdReplace":"","relatedOptionIds":[],"onlineServices":[],"childCriteriaItemList":[],"clientContextJson":""},{"keyOptionId":"1483","caption":"Togo","isDefault":true,"maskCriteriaOnly":false,"definition":"","keyProductQueryItem":"227199","comparisonOperation":0,"comparisonValue":"109","minimumVersion":"","maximumVersion":"","formOrder":0,"lowerBound":null,"enabled":true,"mask":"","maskKey":"","keyItemMaskOfField":null,"keyOptionIdReplace":"","relatedOptionIds":[],"onlineServices":[],"childCriteriaItemList":[],"clientContextJson":""},{"keyOptionId":"1473","caption":"Tunisia","isDefault":true,"maskCriteriaOnly":false,"definition":"","keyProductQueryItem":"227199","comparisonOperation":0,"comparisonValue":"110","minimumVersion":"","maximumVersion":"","formOrder":0,"lowerBound":null,"enabled":true,"mask":"","maskKey":"","keyItemMaskOfField":null,"keyOptionIdReplace":"","relatedOptionIds":[],"onlineServices":[],"childCriteriaItemList":[],"clientContextJson":""},{"keyOptio</t>
  </si>
  <si>
    <t>nId":"1474","caption":"Uganda","isDefault":true,"maskCriteriaOnly":false,"definition":"","keyProductQueryItem":"227199","comparisonOperation":0,"comparisonValue":"112","minimumVersion":"","maximumVersion":"","formOrder":0,"lowerBound":null,"enabled":true,"mask":"","maskKey":"","keyItemMaskOfField":null,"keyOptionIdReplace":"","relatedOptionIds":[],"onlineServices":[],"childCriteriaItemList":[],"clientContextJson":""},{"keyOptionId":"1486","caption":"Western Sahara","isDefault":true,"maskCriteriaOnly":false,"definition":"","keyProductQueryItem":"227199","comparisonOperation":0,"comparisonValue":"75","minimumVersion":"","maximumVersion":"","formOrder":0,"lowerBound":null,"enabled":true,"mask":"","maskKey":"","keyItemMaskOfField":null,"keyOptionIdReplace":"","relatedOptionIds":[],"onlineServices":[],"childCriteriaItemList":[],"clientContextJson":""},{"keyOptionId":"1475","caption":"Zambia","isDefault":true,"maskCriteriaOnly":false,"definition":"","keyProductQueryItem":"227199","comparisonOperation":0,"comparisonValue":"114","minimumVersion":"","maximumVersion":"","formOrder":0,"lowerBound":null,"enabled":true,"mask":"","maskKey":"","keyItemMaskOfField":null,"keyOptionIdReplace":"","relatedOptionIds":[],"onlineServices":[],"childCriteriaItemList":[],"clientContextJson":""},{"keyOptionId":"1476","caption":"Zimbabwe","isDefault":true,"maskCriteriaOnly":false,"definition":"","keyProductQueryItem":"227199","comparisonOperation":0,"comparisonValue":"116","minimumVersion":"","maximumVersion":"","formOrder":0,"lowerBound":null,"enabled":true,"mask":"","maskKey":"","keyItemMaskOfField":null,"keyOptionIdReplace":"","relatedOptionIds":[],"onlineServices":[],"childCriteriaItemList":[],"clientContextJson":""}],"clientContextJson":""}],"clientContextJson":""}]},{"filterGroupId":"1559","filterGroupIdReplace":"","caption":"Industry","groupType":2,"optionType":1,"formOrder":2,"minimumVersion":"","maximumVersion":"","onlineServicesEnabled":false,"column":1,"columnFormOrder":20,"criteriaIdName":"","required":true,"dateDefaultType":"","criteriaItemList":[{"keyOptionId":"1560","caption":"All Industrie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1561","caption":"Banking","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1562","caption":"Bank","isDefault":true,"maskCriteriaOnly":false,"definition":"","keyProductQueryItem":"226303","comparisonOperation":0,"comparisonValue":"1","minimumVersion":"","maximumVersion":"","formOrder":0,"lowerBound":null,"enabled":true,"mask":"","maskKey":"","keyItemMaskOfField":null,"keyOptionIdReplace":"","relatedOptionIds":[],"onlineServices":[],"childCriteriaItemList":[],"clientContextJson":""},{"keyOptionId":"1563","caption":"Savings Bank/Thrift/Mutual","isDefault":true,"maskCriteriaOnly":false,"definition":"","keyProductQueryItem":"226303","comparisonOperation":0,"comparisonValue":"2","minimumVersion":"","maximumVersion":"","formOrder":0,"lowerBound":null,"enabled":true,"mask":"","maskKey":"","keyItemMaskOfField":null,"keyOptionIdReplace":"","relatedOptionIds":[],"onlineServices":[],"childCriteriaItemList":[],"clientContextJson":""},{"keyOptionId":"1564","caption":"FHLB","isDefault":true,"maskCriteriaOnly":false,"definition":"","keyProductQueryItem":"226303","comparisonOperation":0,"comparisonValue":"13","minimumVersion":"","maximumVersion":"","formOrder":0,"lowerBound":null,"enabled":true,"mask":"","maskKey":"","keyItemMaskOfField":null,"keyOptionIdReplace":"","relatedOptionIds":[],"onlineServices":[],"childCriteriaItemList":[],"clientContextJson":""}],"clientContextJson":""},{"keyOptionId":"1565","caption":"Insurance","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1566","caption":"Insurance Underwriter","isDefault":true,"maskCriteriaOnly":false,"definition":"","keyProductQueryItem":"226303","comparisonOperation":0,"comparisonValue":"8","minimumVersion":"","maximumVersion":"","formOrder":0,"lowerBound":null,"enabled":true,"mask":"","maskKey":"","keyItemMaskOfField":null,"keyOptionIdReplace":"","relatedOptionIds":[],"onlineServices":[],"childCriteriaItemList":[],"clientContextJson":""},{"keyOptionId":"1567","caption":"Insurance Broker","isDefault":true,"maskCriteriaOnly":false,"definition":"","keyProductQueryItem":"226303","comparisonOperation":0,"comparisonValue":"9","minimumVersion":"","maximumVersion":"","formOrder":0,"lowerBound":null,"enabled":true,"mask":"","maskKey":"","keyItemMaskOfField":null,"keyOptionIdReplace":"","relatedOptionIds":[],"onlineServices":[],"childCriteriaItemList":[],"clientContextJson":""}],"clientContextJson":""},{"keyOptionId":"1568","caption":"Securities &amp; Investment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1569","caption":"Asset Manager","isDefault":true,"maskCriteriaOnly":false,"definition":"","keyProductQueryItem":"226303","comparisonOperation":0,"comparisonValue":"4","minimumVersion":"","maximumVersion":"","formOrder":0,"lowerBound":null,"enabled":true,"mask":"","maskKey":"","keyItemMaskOfField":null,"keyOptionIdReplace":"","relatedOptionIds":[],"onlineServices":[],"childCriteriaItemList":[],"clientContextJson":""},{"keyOptionId":"1570","caption":"Broker-Dealer","isDefault":true,"maskCriteriaOnly":false,"definition":"","keyProductQueryItem":"226303","comparisonOperation":0,"comparisonValue":"5","minimumVersion":"","maximumVersion":"","formOrder":0,"lowerBound":null,"enabled":true,"mask":"","maskKey":"","keyItemMaskOfField":null,"keyOptionIdReplace":"","relatedOptionIds":[],"onlineServices":[],"childCriteriaItemList":[],"clientContextJson":""}],"clientContextJson":""},{"keyOptionId":"1571","caption":"Specialty Finance","isDefault":false,"maskCriteriaOnly":true,"definition":"","keyProductQueryItem":"","comparisonOperation":null,"comparisonValue":"","minimumVersion":"","maximumVersion":"","formOrder":0,"lowerBound":null,"enabled":true,"mask":"","maskKey":"","keyItemMaskOfField":null,"keyOptionIdReplace":"","relatedOptionIds":[],"onlineServices":[],"childCriteriaItemList":[{"keyOptionId":"1572","caption":"Specialty Lender","isDefault":true,"maskCriteriaOnly":false,"definition":"","keyProductQueryItem":"226303","comparisonOperation":0,"comparisonValue":"3","minimumVersion":"","maximumVersion":"","formOrder":0,"lowerBound":null,"enabled":true,"mask":"","maskKey":"","keyItemMaskOfField":null,"keyOptionIdReplace":"","relatedOptionIds":[],"onlineServices":[],"childCriteriaItemList":[],"clientContextJson":""},{"keyOp</t>
  </si>
  <si>
    <t>tionId":"1573","caption":"Investment Company","isDefault":true,"maskCriteriaOnly":false,"definition":"","keyProductQueryItem":"226303","comparisonOperation":0,"comparisonValue":"7","minimumVersion":"","maximumVersion":"","formOrder":0,"lowerBound":null,"enabled":true,"mask":"","maskKey":"","keyItemMaskOfField":null,"keyOptionIdReplace":"","relatedOptionIds":[],"onlineServices":[],"childCriteriaItemList":[],"clientContextJson":""}],"clientContextJson":""},{"keyOptionId":"1574","caption":"Financial Technology","isDefault":true,"maskCriteriaOnly":false,"definition":"","keyProductQueryItem":"226303","comparisonOperation":0,"comparisonValue":"15","minimumVersion":"","maximumVersion":"","formOrder":0,"lowerBound":null,"enabled":true,"mask":"","maskKey":"","keyItemMaskOfField":null,"keyOptionIdReplace":"","relatedOptionIds":[],"onlineServices":[],"childCriteriaItemList":[],"clientContextJson":""},{"keyOptionId":"1575","caption":"Real Estate","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1587","caption":"REIT &amp; Property Company","isDefault":true,"maskCriteriaOnly":false,"definition":"","keyProductQueryItem":"226303","comparisonOperation":0,"comparisonValue":"6","minimumVersion":"","maximumVersion":"","formOrder":0,"lowerBound":null,"enabled":true,"mask":"","maskKey":"","keyItemMaskOfField":null,"keyOptionIdReplace":"","relatedOptionIds":[],"onlineServices":[],"childCriteriaItemList":[],"clientContextJson":""},{"keyOptionId":"1588","caption":"Homebuilder","isDefault":true,"maskCriteriaOnly":false,"definition":"","keyProductQueryItem":"226303","comparisonOperation":0,"comparisonValue":"16","minimumVersion":"","maximumVersion":"","formOrder":0,"lowerBound":null,"enabled":true,"mask":"","maskKey":"","keyItemMaskOfField":null,"keyOptionIdReplace":"","relatedOptionIds":[],"onlineServices":[],"childCriteriaItemList":[],"clientContextJson":""},{"keyOptionId":"1589","caption":"Gaming","isDefault":true,"maskCriteriaOnly":false,"definition":"","keyProductQueryItem":"226303","comparisonOperation":0,"comparisonValue":"19","minimumVersion":"","maximumVersion":"","formOrder":0,"lowerBound":null,"enabled":true,"mask":"","maskKey":"","keyItemMaskOfField":null,"keyOptionIdReplace":"","relatedOptionIds":[],"onlineServices":[],"childCriteriaItemList":[],"clientContextJson":""}],"clientContextJson":""},{"keyOptionId":"1576","caption":"Energy","isDefault":false,"maskCriteriaOnly":true,"definition":"","keyProductQueryItem":"","comparisonOperation":null,"comparisonValue":"","minimumVersion":"","maximumVersion":"","formOrder":0,"lowerBound":null,"enabled":true,"mask":"","maskKey":"","keyItemMaskOfField":null,"keyOptionIdReplace":"","relatedOptionIds":[],"onlineServices":[],"childCriteriaItemList":[{"keyOptionId":"1577","caption":"Power","isDefault":true,"maskCriteriaOnly":false,"definition":"","keyProductQueryItem":"226303","comparisonOperation":0,"comparisonValue":"10","minimumVersion":"","maximumVersion":"","formOrder":0,"lowerBound":null,"enabled":true,"mask":"","maskKey":"","keyItemMaskOfField":null,"keyOptionIdReplace":"","relatedOptionIds":[],"onlineServices":[],"childCriteriaItemList":[],"clientContextJson":""},{"keyOptionId":"1578","caption":"Coal","isDefault":true,"maskCriteriaOnly":false,"definition":"","keyProductQueryItem":"226303","comparisonOperation":0,"comparisonValue":"17","minimumVersion":"","maximumVersion":"","formOrder":0,"lowerBound":null,"enabled":true,"mask":"","maskKey":"","keyItemMaskOfField":null,"keyOptionIdReplace":"","relatedOptionIds":[],"onlineServices":[],"childCriteriaItemList":[],"clientContextJson":""},{"keyOptionId":"1579","caption":"Natural Ga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1580","caption":"Gas Utility","isDefault":true,"maskCriteriaOnly":false,"definition":"","keyProductQueryItem":"226303","comparisonOperation":0,"comparisonValue":"18","minimumVersion":"","maximumVersion":"","formOrder":0,"lowerBound":null,"enabled":true,"mask":"","maskKey":"","keyItemMaskOfField":null,"keyOptionIdReplace":"","relatedOptionIds":[],"onlineServices":[],"childCriteriaItemList":[],"clientContextJson":""},{"keyOptionId":"1581","caption":"Midstream","isDefault":true,"maskCriteriaOnly":false,"definition":"","keyProductQueryItem":"226303","comparisonOperation":0,"comparisonValue":"23","minimumVersion":"","maximumVersion":"","formOrder":0,"lowerBound":null,"enabled":true,"mask":"","maskKey":"","keyItemMaskOfField":null,"keyOptionIdReplace":"","relatedOptionIds":[],"onlineServices":[],"childCriteriaItemList":[],"clientContextJson":""}],"clientContextJson":""}],"clientContextJson":""},{"keyOptionId":"1582","caption":"Media &amp; Communication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1583","caption":"Media","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1584","caption":"Media &amp; Entertainment","isDefault":true,"maskCriteriaOnly":false,"definition":"","keyProductQueryItem":"226303","comparisonOperation":0,"comparisonValue":"20","minimumVersion":"","maximumVersion":"","formOrder":0,"lowerBound":null,"enabled":true,"mask":"","maskKey":"","keyItemMaskOfField":null,"keyOptionIdReplace":"","relatedOptionIds":[],"onlineServices":[],"childCriteriaItemList":[],"clientContextJson":""},{"keyOptionId":"1585","caption":"New Media","isDefault":true,"maskCriteriaOnly":false,"definition":"","keyProductQueryItem":"226303","comparisonOperation":0,"comparisonValue":"21","minimumVersion":"","maximumVersion":"","formOrder":0,"lowerBound":null,"enabled":true,"mask":"","maskKey":"","keyItemMaskOfField":null,"keyOptionIdReplace":"","relatedOptionIds":[],"onlineServices":[],"childCriteriaItemList":[],"clientContextJson":""}],"clientContextJson":""},{"keyOptionId":"1586","caption":"Communications","isDefault":true,"maskCriteriaOnly":false,"definition":"","keyProductQueryItem":"226303","comparisonOperation":0,"comparisonValue":"14","minimumVersion":"","maximumVersion":"","formOrder":0,"lowerBound":null,"enabled":true,"mask":"","maskKey":"","keyItemMaskOfField":null,"keyOptionIdReplace":"","relatedOptionIds":[],"onlineServices":[],"childCriteriaItemList":[],"clientContextJson":""}],"clientContextJson":""},{"keyOptionId":"4741","caption":"Metals &amp; Mining","isDefault":true,"maskCriteriaOnly":false,"definition":"","keyProductQueryItem":"226303","comparisonOperation":0,"comparisonValue":"22","minimumVersion":"","maximumVersion":"","formOrder":0,"lowerBound":null,"enabled":true,"mask":"","</t>
  </si>
  <si>
    <t>maskKey":"","keyItemMaskOfField":null,"keyOptionIdReplace":"","relatedOptionIds":[],"onlineServices":[],"childCriteriaItemList":[{"keyOptionId":"4742","caption":"Diversified Commodities","isDefault":true,"maskCriteriaOnly":false,"definition":"","keyProductQueryItem":"226161","comparisonOperation":0,"comparisonValue":"24","minimumVersion":"","maximumVersion":"","formOrder":0,"lowerBound":null,"enabled":true,"mask":"","maskKey":"","keyItemMaskOfField":null,"keyOptionIdReplace":"","relatedOptionIds":[],"onlineServices":[],"childCriteriaItemList":[],"clientContextJson":""},{"keyOptionId":"4743","caption":"Precious Metals","isDefault":true,"maskCriteriaOnly":false,"definition":"","keyProductQueryItem":"226161","comparisonOperation":0,"comparisonValue":"25","minimumVersion":"","maximumVersion":"","formOrder":0,"lowerBound":null,"enabled":true,"mask":"","maskKey":"","keyItemMaskOfField":null,"keyOptionIdReplace":"","relatedOptionIds":[],"onlineServices":[],"childCriteriaItemList":[],"clientContextJson":""},{"keyOptionId":"4744","caption":"Base Metals","isDefault":true,"maskCriteriaOnly":false,"definition":"","keyProductQueryItem":"226161","comparisonOperation":0,"comparisonValue":"26","minimumVersion":"","maximumVersion":"","formOrder":0,"lowerBound":null,"enabled":true,"mask":"","maskKey":"","keyItemMaskOfField":null,"keyOptionIdReplace":"","relatedOptionIds":[],"onlineServices":[],"childCriteriaItemList":[],"clientContextJson":""},{"keyOptionId":"4745","caption":"Bulk Commodities","isDefault":true,"maskCriteriaOnly":false,"definition":"","keyProductQueryItem":"226161","comparisonOperation":0,"comparisonValue":"27","minimumVersion":"","maximumVersion":"","formOrder":0,"lowerBound":null,"enabled":true,"mask":"","maskKey":"","keyItemMaskOfField":null,"keyOptionIdReplace":"","relatedOptionIds":[],"onlineServices":[],"childCriteriaItemList":[],"clientContextJson":""},{"keyOptionId":"4746","caption":"Specialty Commodities","isDefault":true,"maskCriteriaOnly":false,"definition":"","keyProductQueryItem":"226161","comparisonOperation":0,"comparisonValue":"28","minimumVersion":"","maximumVersion":"","formOrder":0,"lowerBound":null,"enabled":true,"mask":"","maskKey":"","keyItemMaskOfField":null,"keyOptionIdReplace":"","relatedOptionIds":[],"onlineServices":[],"childCriteriaItemList":[],"clientContextJson":""}],"clientContextJson":""}],"clientContextJson":""}]},{"filterGroupId":"4831","filterGroupIdReplace":"","caption":"Company Name","groupType":2,"optionType":2,"formOrder":100,"minimumVersion":"","maximumVersion":"","onlineServicesEnabled":false,"column":0,"columnFormOrder":30,"criteriaIdName":"","required":false,"dateDefaultType":"","criteriaItemList":[{"keyOptionId":"4832","caption":"","isDefault":false,"maskCriteriaOnly":true,"definition":"","keyProductQueryItem":"221557","comparisonOperation":4,"comparisonValue":"","minimumVersion":"","maximumVersion":"","formOrder":0,"lowerBound":null,"enabled":true,"mask":"","maskKey":"","keyItemMaskOfField":null,"keyOptionIdReplace":"","relatedOptionIds":[],"onlineServices":[],"childCriteriaItemList":[],"clientContextJson":""}]},{"filterGroupId":"4833","filterGroupIdReplace":"","caption":"Trading Symbol(s)","groupType":2,"optionType":6,"formOrder":200,"minimumVersion":"","maximumVersion":"","onlineServicesEnabled":false,"column":0,"columnFormOrder":20,"criteriaIdName":"","required":false,"dateDefaultType":"","criteriaItemList":[{"keyOptionId":"4834","caption":"","isDefault":false,"maskCriteriaOnly":true,"definition":"","keyProductQueryItem":"249947","comparisonOperation":7,"comparisonValue":"","minimumVersion":"","maximumVersion":"","formOrder":0,"lowerBound":null,"enabled":true,"mask":"","maskKey":"","keyItemMaskOfField":null,"keyOptionIdReplace":"","relatedOptionIds":[],"onlineServices":[],"childCriteriaItemList":[],"clientContextJson":""}]}],"conversionInformation":{"keyCurrency":"USD","measurementStandard":0,"conversionMode":1,"magnitudeOverride":null,"keyForeignLanguage":null,"keyForeignLanguageSecondary":null,"dataLanguage":null,"culture":null,"requestCulture":null,"nullValue":"NA","headerCurrency":null},"countsQuery":false,"standardDeviationQuery":false,"saveQueryType":0,"baseCompany":null},"conversionInfo":null,"operationType":22,"showProductMagnitude":false,"enableSourceTagging":false,"timeoutOverride":0,"ignoreCache":false,"sourceTimeZoneIDItemKey":null,"enforceItemEntitlements":false,"useNewOnPremDomain":false}],"saveQueryType":0,"sourceTimeZoneIDItemKey":null,"enforceItemEntitlements":false,"extensionPropertiesJson":null}</t>
  </si>
  <si>
    <t>WACC_Preferred</t>
  </si>
  <si>
    <t>{"clientContext":null,"conversionInformation":null,"enforceItemEntitlements":false,"extensionPropertiesJson":null,"functionRequests":[{"conversionInfo":null,"enableSourceTagging":false,"enforceItemEntitlements":false,"fields":null,"functionId":0,"groupBy":null,"groupByField":null,"ignoreCache":false,"keys":null,"operationType":22,"perspective":"275259","propDataUserContext":null,"query":{"baseCompany":null,"conversionInformation":{"keyCurrency":"USD","measurementStandard":0,"conversionMode":0,"magnitudeOverride":null,"keyForeignLanguage":null,"keyForeignLanguageSecondary":null,"dataLanguage":"en-US","culture":null,"requestCulture":null,"nullValue":"0","headerCurrency":null},"countsQuery":false,"dateCreated":"2019-03-21T11:11:37.253-04:00","keyPerspective":"275259","name":"WACC_Preferred","queryFilters":[{"filterGroupId":"8085","filterGroupIdReplace":"","caption":"Transaction Type","groupType":2,"optionType":1,"formOrder":10,"minimumVersion":"","maximumVersion":"","onlineServicesEnabled":false,"column":0,"columnFormOrder":10,"criteriaIdName":"","required":true,"dateDefaultType":"","criteriaItemList":[{"keyOptionId":"8086","caption":"All Transaction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8087","caption":"M&amp;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8088","caption":"Acquisition of Whole Company (incl. Majority Stake)","isDefault":true,"maskCriteriaOnly":false,"definition":"","keyProductQueryItem":"299101","comparisonOperation":0,"comparisonValue":"5","minimumVersion":"","maximumVersion":"","formOrder":0,"lowerBound":null,"enabled":true,"mask":"","largeMask":"","maskKey":"","keyItemMaskOfField":null,"keyOptionIdReplace":"","relatedOptionIds":[],"onlineServices":[],"childCriteriaItemList":[],"clientContextJson":""},{"keyOptionId":"8089","caption":"Acquisition of Minority Stake","isDefault":true,"maskCriteriaOnly":false,"definition":"","keyProductQueryItem":"299101","comparisonOperation":0,"comparisonValue":"6","minimumVersion":"","maximumVersion":"","formOrder":0,"lowerBound":null,"enabled":true,"mask":"","largeMask":"","maskKey":"","keyItemMaskOfField":null,"keyOptionIdReplace":"","relatedOptionIds":[],"onlineServices":[],"childCriteriaItemList":[],"clientContextJson":""},{"keyOptionId":"8090","caption":"Acquisition of Asset or Branch","isDefault":true,"maskCriteriaOnly":false,"definition":"","keyProductQueryItem":"299101","comparisonOperation":0,"comparisonValue":"7","minimumVersion":"","maximumVersion":"","formOrder":0,"lowerBound":null,"enabled":true,"mask":"","largeMask":"","maskKey":"","keyItemMaskOfField":null,"keyOptionIdReplace":"","relatedOptionIds":[],"onlineServices":[],"childCriteriaItemList":[],"clientContextJson":""},{"keyOptionId":"9742","caption":"Spinoff or Splitoff","isDefault":true,"maskCriteriaOnly":false,"definition":"","keyProductQueryItem":"299101","comparisonOperation":0,"comparisonValue":"21","minimumVersion":"","maximumVersion":"","formOrder":0,"lowerBound":null,"enabled":true,"mask":"","largeMask":"","maskKey":"","keyItemMaskOfField":null,"keyOptionIdReplace":"","relatedOptionIds":[],"onlineServices":[],"childCriteriaItemList":[],"clientContextJson":""}],"clientContextJson":""},{"keyOptionId":"8091","caption":"Equity Capital Marke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8092","caption":"Initial Public Offering","isDefault":true,"maskCriteriaOnly":false,"definition":"","keyProductQueryItem":"299101","comparisonOperation":0,"comparisonValue":"8","minimumVersion":"","maximumVersion":"","formOrder":0,"lowerBound":null,"enabled":true,"mask":"","largeMask":"","maskKey":"","keyItemMaskOfField":null,"keyOptionIdReplace":"","relatedOptionIds":[],"onlineServices":[],"childCriteriaItemList":[],"clientContextJson":""},{"keyOptionId":"8093","caption":"Follow-on","isDefault":true,"maskCriteriaOnly":false,"definition":"","keyProductQueryItem":"299101","comparisonOperation":0,"comparisonValue":"9","minimumVersion":"","maximumVersion":"","formOrder":0,"lowerBound":null,"enabled":true,"mask":"","largeMask":"","maskKey":"","keyItemMaskOfField":null,"keyOptionIdReplace":"","relatedOptionIds":[],"onlineServices":[],"childCriteriaItemList":[],"clientContextJson":""},{"keyOptionId":"8094","caption":"Convertible","isDefault":true,"maskCriteriaOnly":false,"definition":"","keyProductQueryItem":"299101","comparisonOperation":0,"comparisonValue":"10","minimumVersion":"","maximumVersion":"","formOrder":0,"lowerBound":null,"enabled":true,"mask":"","largeMask":"","maskKey":"","keyItemMaskOfField":null,"keyOptionIdReplace":"","relatedOptionIds":[],"onlineServices":[],"childCriteriaItemList":[],"clientContextJson":""}],"clientContextJson":""},{"keyOptionId":"8095","caption":"Debt Capital Marke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8096","caption":"Preferred Equity","isDefault":true,"maskCriteriaOnly":false,"definition":"","keyProductQueryItem":"299101","comparisonOperation":0,"comparisonValue":"11","minimumVersion":"","maximumVersion":"","formOrder":0,"lowerBound":null,"enabled":true,"mask":"","largeMask":"","maskKey":"","keyItemMaskOfField":null,"keyOptionIdReplace":"","relatedOptionIds":[],"onlineServices":[],"childCriteriaItemList":[],"clientContextJson":""},{"keyOptionId":"8097","caption":"Non-convertible Debt","isDefault":true,"maskCriteriaOnly":false,"definition":"","keyProductQueryItem":"299101","comparisonOperation":0,"comparisonValue":"12","minimumVersion":"","maximumVersion":"","formOrder":0,"lowerBound":null,"enabled":true,"mask":"","largeMask":"","maskKey":"","keyItemMaskOfField":null,"keyOptionIdReplace":"","relatedOptionIds":[],"onlineServices":[],"childCriteriaItemList":[],"clientContextJson":""}],"clientContextJson":""},{"keyOptionId":"8098","caption":"Private Placemen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8099","caption":"Common Equity","isDefault":true,"maskCriteriaOnly":false,"definition":"","keyProductQueryItem":"299101","comparisonOperation":0,"comparisonValue":"13","minimumVersion":"","maximumVersion</t>
  </si>
  <si>
    <t>":"","formOrder":0,"lowerBound":null,"enabled":true,"mask":"","largeMask":"","maskKey":"","keyItemMaskOfField":null,"keyOptionIdReplace":"","relatedOptionIds":[],"onlineServices":[],"childCriteriaItemList":[],"clientContextJson":""},{"keyOptionId":"8100","caption":"Preferred Equity","isDefault":true,"maskCriteriaOnly":false,"definition":"","keyProductQueryItem":"299101","comparisonOperation":0,"comparisonValue":"14","minimumVersion":"","maximumVersion":"","formOrder":0,"lowerBound":null,"enabled":true,"mask":"","largeMask":"","maskKey":"","keyItemMaskOfField":null,"keyOptionIdReplace":"","relatedOptionIds":[],"onlineServices":[],"childCriteriaItemList":[],"clientContextJson":""},{"keyOptionId":"8101","caption":"Convertible","isDefault":true,"maskCriteriaOnly":false,"definition":"","keyProductQueryItem":"299101","comparisonOperation":0,"comparisonValue":"15","minimumVersion":"","maximumVersion":"","formOrder":0,"lowerBound":null,"enabled":true,"mask":"","largeMask":"","maskKey":"","keyItemMaskOfField":null,"keyOptionIdReplace":"","relatedOptionIds":[],"onlineServices":[],"childCriteriaItemList":[],"clientContextJson":""},{"keyOptionId":"8102","caption":"Non-convertible Debt","isDefault":true,"maskCriteriaOnly":false,"definition":"","keyProductQueryItem":"299101","comparisonOperation":0,"comparisonValue":"16","minimumVersion":"","maximumVersion":"","formOrder":0,"lowerBound":null,"enabled":true,"mask":"","largeMask":"","maskKey":"","keyItemMaskOfField":null,"keyOptionIdReplace":"","relatedOptionIds":[],"onlineServices":[],"childCriteriaItemList":[],"clientContextJson":""}],"clientContextJson":""},{"keyOptionId":"8103","caption":"Shelf Registration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8104","caption":"Common Equity","isDefault":true,"maskCriteriaOnly":false,"definition":"","keyProductQueryItem":"299101","comparisonOperation":0,"comparisonValue":"17","minimumVersion":"","maximumVersion":"","formOrder":0,"lowerBound":null,"enabled":true,"mask":"","largeMask":"","maskKey":"","keyItemMaskOfField":null,"keyOptionIdReplace":"","relatedOptionIds":[],"onlineServices":[],"childCriteriaItemList":[],"clientContextJson":""},{"keyOptionId":"8105","caption":"Preferred Equity","isDefault":true,"maskCriteriaOnly":false,"definition":"","keyProductQueryItem":"299101","comparisonOperation":0,"comparisonValue":"18","minimumVersion":"","maximumVersion":"","formOrder":0,"lowerBound":null,"enabled":true,"mask":"","largeMask":"","maskKey":"","keyItemMaskOfField":null,"keyOptionIdReplace":"","relatedOptionIds":[],"onlineServices":[],"childCriteriaItemList":[],"clientContextJson":""},{"keyOptionId":"8106","caption":"Convertible","isDefault":true,"maskCriteriaOnly":false,"definition":"","keyProductQueryItem":"299101","comparisonOperation":0,"comparisonValue":"19","minimumVersion":"","maximumVersion":"","formOrder":0,"lowerBound":null,"enabled":true,"mask":"","largeMask":"","maskKey":"","keyItemMaskOfField":null,"keyOptionIdReplace":"","relatedOptionIds":[],"onlineServices":[],"childCriteriaItemList":[],"clientContextJson":""},{"keyOptionId":"8107","caption":"Non-convertible Debt","isDefault":true,"maskCriteriaOnly":false,"definition":"","keyProductQueryItem":"299101","comparisonOperation":0,"comparisonValue":"20","minimumVersion":"","maximumVersion":"","formOrder":0,"lowerBound":null,"enabled":true,"mask":"","largeMask":"","maskKey":"","keyItemMaskOfField":null,"keyOptionIdReplace":"","relatedOptionIds":[],"onlineServices":[],"childCriteriaItemList":[],"clientContextJson":""}],"clientContextJson":""},{"keyOptionId":"9743","caption":"Buyback","isDefault":true,"maskCriteriaOnly":false,"definition":"","keyProductQueryItem":"299101","comparisonOperation":0,"comparisonValue":"22","minimumVersion":"","maximumVersion":"","formOrder":0,"lowerBound":null,"enabled":true,"mask":"","largeMask":"","maskKey":"","keyItemMaskOfField":null,"keyOptionIdReplace":"","relatedOptionIds":[],"onlineServices":[],"childCriteriaItemList":[],"clientContextJson":""}],"clientContextJson":""}]},{"filterGroupId":"8723","filterGroupIdReplace":"","caption":"Target/Issuer Primary Industry","groupType":2,"optionType":1,"formOrder":20,"minimumVersion":"","maximumVersion":"","onlineServicesEnabled":true,"column":0,"columnFormOrder":20,"criteriaIdName":"","required":true,"dateDefaultType":"","criteriaItemList":[{"keyOptionId":"8724","caption":"Al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8725","caption":"Financi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8726","caption":"Bankin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8727","caption":"Bank","isDefault":true,"maskCriteriaOnly":false,"definition":"","keyProductQueryItem":"305790","comparisonOperation":0,"comparisonValue":"3","minimumVersion":"","maximumVersion":"","formOrder":0,"lowerBound":null,"enabled":true,"mask":"","largeMask":"","maskKey":"","keyItemMaskOfField":null,"keyOptionIdReplace":"","relatedOptionIds":[],"onlineServices":[],"childCriteriaItemList":[],"clientContextJson":""},{"keyOptionId":"8728","caption":"Credit Unions and Mutuals","isDefault":true,"maskCriteriaOnly":false,"definition":"","keyProductQueryItem":"305790","comparisonOperation":0,"comparisonValue":"4","minimumVersion":"","maximumVersion":"","formOrder":0,"lowerBound":null,"enabled":true,"mask":"","largeMask":"","maskKey":"","keyItemMaskOfField":null,"keyOptionIdReplace":"","relatedOptionIds":[],"onlineServices":[],"childCriteriaItemList":[],"clientContextJson":""},{"keyOptionId":"8729","caption":"Development Bank","isDefault":true,"maskCriteriaOnly":false,"definition":"","keyProductQueryItem":"305790","comparisonOperation":0,"comparisonValue":"5","minimumVersion":"","maximumVersion":"","formOrder":0,"lowerBound":null,"enabled":true,"mask":"","largeMask":"","maskKey":"","keyItemMaskOfField":null,"keyOptionIdReplace":"","relatedOptionIds":[],"onlineServices":[],"childCriteriaItemList":[],"clientContextJson":""},{"keyOptionId":"8730","caption":"Central Banks","isDefault":true,"maskCriteriaOnly":false,"definition":"","keyProductQueryItem":"305790","comparisonOperation":0,"comparisonValue":"6","minimumVersion":"","maximumVersion":"","formOrder":0,"lowerBound":null,"enabled":true,"mask":"","largeMask":"","maskKey":"","keyItemMaskOfField":null,"keyOptionIdReplace":"","relatedOptionIds":[],"onlineServices":[],"ch</t>
  </si>
  <si>
    <t>ildCriteriaItemList":[],"clientContextJson":""}],"clientContextJson":""},{"keyOptionId":"8731","caption":"Insuranc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8732","caption":"Insurance Underwriter","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8733","caption":"Multiline","isDefault":true,"maskCriteriaOnly":false,"definition":"","keyProductQueryItem":"305790","comparisonOperation":0,"comparisonValue":"9","minimumVersion":"","maximumVersion":"","formOrder":0,"lowerBound":null,"enabled":true,"mask":"","largeMask":"","maskKey":"","keyItemMaskOfField":null,"keyOptionIdReplace":"","relatedOptionIds":[],"onlineServices":[],"childCriteriaItemList":[],"clientContextJson":""},{"keyOptionId":"8734","caption":"Property and Casualty","isDefault":true,"maskCriteriaOnly":false,"definition":"","keyProductQueryItem":"305790","comparisonOperation":0,"comparisonValue":"10","minimumVersion":"","maximumVersion":"","formOrder":0,"lowerBound":null,"enabled":true,"mask":"","largeMask":"","maskKey":"","keyItemMaskOfField":null,"keyOptionIdReplace":"","relatedOptionIds":[],"onlineServices":[],"childCriteriaItemList":[],"clientContextJson":""},{"keyOptionId":"8735","caption":"Life and Health","isDefault":true,"maskCriteriaOnly":false,"definition":"","keyProductQueryItem":"305790","comparisonOperation":0,"comparisonValue":"11","minimumVersion":"","maximumVersion":"","formOrder":0,"lowerBound":null,"enabled":true,"mask":"","largeMask":"","maskKey":"","keyItemMaskOfField":null,"keyOptionIdReplace":"","relatedOptionIds":[],"onlineServices":[],"childCriteriaItemList":[],"clientContextJson":""},{"keyOptionId":"8736","caption":"Title","isDefault":true,"maskCriteriaOnly":false,"definition":"","keyProductQueryItem":"305790","comparisonOperation":0,"comparisonValue":"12","minimumVersion":"","maximumVersion":"","formOrder":0,"lowerBound":null,"enabled":true,"mask":"","largeMask":"","maskKey":"","keyItemMaskOfField":null,"keyOptionIdReplace":"","relatedOptionIds":[],"onlineServices":[],"childCriteriaItemList":[],"clientContextJson":""},{"keyOptionId":"8737","caption":"Mortgage Guaranty","isDefault":true,"maskCriteriaOnly":false,"definition":"","keyProductQueryItem":"305790","comparisonOperation":0,"comparisonValue":"13","minimumVersion":"","maximumVersion":"","formOrder":0,"lowerBound":null,"enabled":true,"mask":"","largeMask":"","maskKey":"","keyItemMaskOfField":null,"keyOptionIdReplace":"","relatedOptionIds":[],"onlineServices":[],"childCriteriaItemList":[],"clientContextJson":""},{"keyOptionId":"8738","caption":"Financial Guaranty","isDefault":true,"maskCriteriaOnly":false,"definition":"","keyProductQueryItem":"305790","comparisonOperation":0,"comparisonValue":"14","minimumVersion":"","maximumVersion":"","formOrder":0,"lowerBound":null,"enabled":true,"mask":"","largeMask":"","maskKey":"","keyItemMaskOfField":null,"keyOptionIdReplace":"","relatedOptionIds":[],"onlineServices":[],"childCriteriaItemList":[],"clientContextJson":""},{"keyOptionId":"8739","caption":"Managed Care","isDefault":true,"maskCriteriaOnly":false,"definition":"","keyProductQueryItem":"305790","comparisonOperation":0,"comparisonValue":"15","minimumVersion":"","maximumVersion":"","formOrder":0,"lowerBound":null,"enabled":true,"mask":"","largeMask":"","maskKey":"","keyItemMaskOfField":null,"keyOptionIdReplace":"","relatedOptionIds":[],"onlineServices":[],"childCriteriaItemList":[],"clientContextJson":""},{"keyOptionId":"8740","caption":"Reinsurance","isDefault":true,"maskCriteriaOnly":false,"definition":"","keyProductQueryItem":"305790","comparisonOperation":0,"comparisonValue":"16","minimumVersion":"","maximumVersion":"","formOrder":0,"lowerBound":null,"enabled":true,"mask":"","largeMask":"","maskKey":"","keyItemMaskOfField":null,"keyOptionIdReplace":"","relatedOptionIds":[],"onlineServices":[],"childCriteriaItemList":[],"clientContextJson":""}],"clientContextJson":""},{"keyOptionId":"8741","caption":"Insurance Broker","isDefault":true,"maskCriteriaOnly":false,"definition":"","keyProductQueryItem":"305790","comparisonOperation":0,"comparisonValue":"17","minimumVersion":"","maximumVersion":"","formOrder":0,"lowerBound":null,"enabled":true,"mask":"","largeMask":"","maskKey":"","keyItemMaskOfField":null,"keyOptionIdReplace":"","relatedOptionIds":[],"onlineServices":[],"childCriteriaItemList":[],"clientContextJson":""},{"keyOptionId":"8742","caption":"Lloyd's Syndicate","isDefault":true,"maskCriteriaOnly":false,"definition":"","keyProductQueryItem":"305790","comparisonOperation":0,"comparisonValue":"18","minimumVersion":"","maximumVersion":"","formOrder":0,"lowerBound":null,"enabled":true,"mask":"","largeMask":"","maskKey":"","keyItemMaskOfField":null,"keyOptionIdReplace":"","relatedOptionIds":[],"onlineServices":[],"childCriteriaItemList":[],"clientContextJson":""}],"clientContextJson":""},{"keyOptionId":"8743","caption":"Mortgage Brokers and Services","isDefault":true,"maskCriteriaOnly":false,"definition":"","keyProductQueryItem":"305790","comparisonOperation":0,"comparisonValue":"19","minimumVersion":"","maximumVersion":"","formOrder":0,"lowerBound":null,"enabled":true,"mask":"","largeMask":"","maskKey":"","keyItemMaskOfField":null,"keyOptionIdReplace":"","relatedOptionIds":[],"onlineServices":[],"childCriteriaItemList":[],"clientContextJson":""},{"keyOptionId":"8744","caption":"Specialty Financ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8745","caption":"Specialty Finance: Consumer Focused","isDefault":true,"maskCriteriaOnly":false,"definition":"","keyProductQueryItem":"305790","comparisonOperation":0,"comparisonValue":"21","minimumVersion":"","maximumVersion":"","formOrder":0,"lowerBound":null,"enabled":true,"mask":"","largeMask":"","maskKey":"","keyItemMaskOfField":null,"keyOptionIdReplace":"","relatedOptionIds":[],"onlineServices":[],"childCriteriaItemList":[],"clientContextJson":""},{"keyOptionId":"8746","caption":"Specialty Finance: Commercial Focused","isDefault":true,"maskCriteriaOnly":false,"definition":"","keyProductQueryItem":"305790","comparisonOperation":0,"comparisonValue":"22","minimumVersion":"","maximumVersion":"","formOrder":0,"lowerBound":null,"enabled":true,"mask":"","largeMask":"","maskKey":"","keyItemMaskOfField":null,"keyOptionIdReplace":"","relatedOptionIds":[],"onlineServices":[],"childCriteriaItemList":[],"clientContextJson":""}],"clientContextJson":""},{"keyOptionId":"8747","caption":"Investment and Business Development Companies","isDefault":true,"maskCriteriaOnly":false,"definition":"","keyProductQueryItem":"305790","comparisonOperation":0,"comparisonValue":"23","minimumVersion":"","maximumVersion":"","formOrder":0,"lowerBound":null,"enabled":true,"mask":"","lar</t>
  </si>
  <si>
    <t>geMask":"","maskKey":"","keyItemMaskOfField":null,"keyOptionIdReplace":"","relatedOptionIds":[],"onlineServices":[],"childCriteriaItemList":[],"clientContextJson":""},{"keyOptionId":"8748","caption":"Mortgage REIT","isDefault":true,"maskCriteriaOnly":false,"definition":"","keyProductQueryItem":"305790","comparisonOperation":0,"comparisonValue":"26","minimumVersion":"","maximumVersion":"","formOrder":0,"lowerBound":null,"enabled":true,"mask":"","largeMask":"","maskKey":"","keyItemMaskOfField":null,"keyOptionIdReplace":"","relatedOptionIds":[],"onlineServices":[],"childCriteriaItemList":[],"clientContextJson":""},{"keyOptionId":"8749","caption":"Asset Management","isDefault":true,"maskCriteriaOnly":false,"definition":"","keyProductQueryItem":"305790","comparisonOperation":0,"comparisonValue":"27","minimumVersion":"","maximumVersion":"","formOrder":0,"lowerBound":null,"enabled":true,"mask":"","largeMask":"","maskKey":"","keyItemMaskOfField":null,"keyOptionIdReplace":"","relatedOptionIds":[],"onlineServices":[],"childCriteriaItemList":[],"clientContextJson":""},{"keyOptionId":"8750","caption":"Investment Banks, Brokers and Capital Markets","isDefault":true,"maskCriteriaOnly":false,"definition":"","keyProductQueryItem":"305790","comparisonOperation":0,"comparisonValue":"30","minimumVersion":"","maximumVersion":"","formOrder":0,"lowerBound":null,"enabled":true,"mask":"","largeMask":"","maskKey":"","keyItemMaskOfField":null,"keyOptionIdReplace":"","relatedOptionIds":[],"onlineServices":[],"childCriteriaItemList":[],"clientContextJson":""},{"keyOptionId":"8751","caption":"Financial Exchanges","isDefault":true,"maskCriteriaOnly":false,"definition":"","keyProductQueryItem":"305790","comparisonOperation":0,"comparisonValue":"34","minimumVersion":"","maximumVersion":"","formOrder":0,"lowerBound":null,"enabled":true,"mask":"","largeMask":"","maskKey":"","keyItemMaskOfField":null,"keyOptionIdReplace":"","relatedOptionIds":[],"onlineServices":[],"childCriteriaItemList":[],"clientContextJson":""},{"keyOptionId":"8752","caption":"Credit Rating and Reporting","isDefault":true,"maskCriteriaOnly":false,"definition":"","keyProductQueryItem":"305790","comparisonOperation":0,"comparisonValue":"35","minimumVersion":"","maximumVersion":"","formOrder":0,"lowerBound":null,"enabled":true,"mask":"","largeMask":"","maskKey":"","keyItemMaskOfField":null,"keyOptionIdReplace":"","relatedOptionIds":[],"onlineServices":[],"childCriteriaItemList":[],"clientContextJson":""},{"keyOptionId":"8753","caption":"Financial Technology","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8754","caption":"Banking Technology","isDefault":true,"maskCriteriaOnly":false,"definition":"","keyProductQueryItem":"305790","comparisonOperation":0,"comparisonValue":"37","minimumVersion":"","maximumVersion":"","formOrder":0,"lowerBound":null,"enabled":true,"mask":"","largeMask":"","maskKey":"","keyItemMaskOfField":null,"keyOptionIdReplace":"","relatedOptionIds":[],"onlineServices":[],"childCriteriaItemList":[],"clientContextJson":""},{"keyOptionId":"8755","caption":"Digital Lending","isDefault":true,"maskCriteriaOnly":false,"definition":"","keyProductQueryItem":"305790","comparisonOperation":0,"comparisonValue":"38","minimumVersion":"","maximumVersion":"","formOrder":0,"lowerBound":null,"enabled":true,"mask":"","largeMask":"","maskKey":"","keyItemMaskOfField":null,"keyOptionIdReplace":"","relatedOptionIds":[],"onlineServices":[],"childCriteriaItemList":[],"clientContextJson":""},{"keyOptionId":"8756","caption":"Financial Media and Data Solutions","isDefault":true,"maskCriteriaOnly":false,"definition":"","keyProductQueryItem":"305790","comparisonOperation":0,"comparisonValue":"39","minimumVersion":"","maximumVersion":"","formOrder":0,"lowerBound":null,"enabled":true,"mask":"","largeMask":"","maskKey":"","keyItemMaskOfField":null,"keyOptionIdReplace":"","relatedOptionIds":[],"onlineServices":[],"childCriteriaItemList":[],"clientContextJson":""},{"keyOptionId":"8757","caption":"Insurance Technology","isDefault":true,"maskCriteriaOnly":false,"definition":"","keyProductQueryItem":"305790","comparisonOperation":0,"comparisonValue":"40","minimumVersion":"","maximumVersion":"","formOrder":0,"lowerBound":null,"enabled":true,"mask":"","largeMask":"","maskKey":"","keyItemMaskOfField":null,"keyOptionIdReplace":"","relatedOptionIds":[],"onlineServices":[],"childCriteriaItemList":[],"clientContextJson":""},{"keyOptionId":"8758","caption":"Investment and Capital Markets Technology","isDefault":true,"maskCriteriaOnly":false,"definition":"","keyProductQueryItem":"305790","comparisonOperation":0,"comparisonValue":"41","minimumVersion":"","maximumVersion":"","formOrder":0,"lowerBound":null,"enabled":true,"mask":"","largeMask":"","maskKey":"","keyItemMaskOfField":null,"keyOptionIdReplace":"","relatedOptionIds":[],"onlineServices":[],"childCriteriaItemList":[],"clientContextJson":""}],"clientContextJson":""},{"keyOptionId":"8759","caption":"Paymen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8760","caption":"Payment Processors","isDefault":true,"maskCriteriaOnly":false,"definition":"","keyProductQueryItem":"305790","comparisonOperation":0,"comparisonValue":"43","minimumVersion":"","maximumVersion":"","formOrder":0,"lowerBound":null,"enabled":true,"mask":"","largeMask":"","maskKey":"","keyItemMaskOfField":null,"keyOptionIdReplace":"","relatedOptionIds":[],"onlineServices":[],"childCriteriaItemList":[],"clientContextJson":""},{"keyOptionId":"8761","caption":"Payment Service Providers and Gateways","isDefault":true,"maskCriteriaOnly":false,"definition":"","keyProductQueryItem":"305790","comparisonOperation":0,"comparisonValue":"44","minimumVersion":"","maximumVersion":"","formOrder":0,"lowerBound":null,"enabled":true,"mask":"","largeMask":"","maskKey":"","keyItemMaskOfField":null,"keyOptionIdReplace":"","relatedOptionIds":[],"onlineServices":[],"childCriteriaItemList":[],"clientContextJson":""},{"keyOptionId":"8762","caption":"Mobile Wallets","isDefault":true,"maskCriteriaOnly":false,"definition":"","keyProductQueryItem":"305790","comparisonOperation":0,"comparisonValue":"45","minimumVersion":"","maximumVersion":"","formOrder":0,"lowerBound":null,"enabled":true,"mask":"","largeMask":"","maskKey":"","keyItemMaskOfField":null,"keyOptionIdReplace":"","relatedOptionIds":[],"onlineServices":[],"childCriteriaItemList":[],"clientContextJson":""},{"keyOptionId":"8763","caption":"Payments Fraud Management","isDefault":true,"maskCriteriaOnly":false,"definition":"","keyProductQueryItem":"305790","comparisonOperation":0,"comparisonValue":"46","minimumVersion":"","maximumVersion":"","formOrder":0,"lowerBound":null,"enabled":true,"mask":"","largeMask":"","maskKey":"","keyItemMaskOfField":null,"keyOptionIdReplace":"","relatedOptionIds":[],"onlineServices":[],"childCriteriaItemList":[],"clientContextJson":""},{"keyOptionId":"8764","caption":"Money Transfer and Remittance","isDefault":true,"maskCriteriaOnly":false,"definition":"","keyProductQueryItem":"305790","compa</t>
  </si>
  <si>
    <t>risonOperation":0,"comparisonValue":"47","minimumVersion":"","maximumVersion":"","formOrder":0,"lowerBound":null,"enabled":true,"mask":"","largeMask":"","maskKey":"","keyItemMaskOfField":null,"keyOptionIdReplace":"","relatedOptionIds":[],"onlineServices":[],"childCriteriaItemList":[],"clientContextJson":""},{"keyOptionId":"8765","caption":"Payments Infrastructure","isDefault":true,"maskCriteriaOnly":false,"definition":"","keyProductQueryItem":"305790","comparisonOperation":0,"comparisonValue":"48","minimumVersion":"","maximumVersion":"","formOrder":0,"lowerBound":null,"enabled":true,"mask":"","largeMask":"","maskKey":"","keyItemMaskOfField":null,"keyOptionIdReplace":"","relatedOptionIds":[],"onlineServices":[],"childCriteriaItemList":[],"clientContextJson":""}],"clientContextJson":""},{"keyOptionId":"8766","caption":"Holding Companies, Patent Owners, and Trusts or Estates","isDefault":true,"maskCriteriaOnly":false,"definition":"","keyProductQueryItem":"305790","comparisonOperation":0,"comparisonValue":"49","minimumVersion":"","maximumVersion":"","formOrder":0,"lowerBound":null,"enabled":true,"mask":"","largeMask":"","maskKey":"","keyItemMaskOfField":null,"keyOptionIdReplace":"","relatedOptionIds":[],"onlineServices":[],"childCriteriaItemList":[],"clientContextJson":""}],"clientContextJson":""},{"keyOptionId":"8767","caption":"Real Estat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8768","caption":"Equity REI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8769","caption":"Diversified REIT","isDefault":true,"maskCriteriaOnly":false,"definition":"","keyProductQueryItem":"305790","comparisonOperation":0,"comparisonValue":"53","minimumVersion":"","maximumVersion":"","formOrder":0,"lowerBound":null,"enabled":true,"mask":"","largeMask":"","maskKey":"","keyItemMaskOfField":null,"keyOptionIdReplace":"","relatedOptionIds":[],"onlineServices":[],"childCriteriaItemList":[],"clientContextJson":""},{"keyOptionId":"8770","caption":"Healthcare REIT","isDefault":true,"maskCriteriaOnly":false,"definition":"","keyProductQueryItem":"305790","comparisonOperation":0,"comparisonValue":"54","minimumVersion":"","maximumVersion":"","formOrder":0,"lowerBound":null,"enabled":true,"mask":"","largeMask":"","maskKey":"","keyItemMaskOfField":null,"keyOptionIdReplace":"","relatedOptionIds":[],"onlineServices":[],"childCriteriaItemList":[],"clientContextJson":""},{"keyOptionId":"8771","caption":"Hotel REIT","isDefault":true,"maskCriteriaOnly":false,"definition":"","keyProductQueryItem":"305790","comparisonOperation":0,"comparisonValue":"55","minimumVersion":"","maximumVersion":"","formOrder":0,"lowerBound":null,"enabled":true,"mask":"","largeMask":"","maskKey":"","keyItemMaskOfField":null,"keyOptionIdReplace":"","relatedOptionIds":[],"onlineServices":[],"childCriteriaItemList":[],"clientContextJson":""},{"keyOptionId":"8772","caption":"Industrial REIT","isDefault":true,"maskCriteriaOnly":false,"definition":"","keyProductQueryItem":"305790","comparisonOperation":0,"comparisonValue":"56","minimumVersion":"","maximumVersion":"","formOrder":0,"lowerBound":null,"enabled":true,"mask":"","largeMask":"","maskKey":"","keyItemMaskOfField":null,"keyOptionIdReplace":"","relatedOptionIds":[],"onlineServices":[],"childCriteriaItemList":[],"clientContextJson":""},{"keyOptionId":"8773","caption":"Office REIT","isDefault":true,"maskCriteriaOnly":false,"definition":"","keyProductQueryItem":"305790","comparisonOperation":0,"comparisonValue":"57","minimumVersion":"","maximumVersion":"","formOrder":0,"lowerBound":null,"enabled":true,"mask":"","largeMask":"","maskKey":"","keyItemMaskOfField":null,"keyOptionIdReplace":"","relatedOptionIds":[],"onlineServices":[],"childCriteriaItemList":[],"clientContextJson":""},{"keyOptionId":"8774","caption":"Residential REIT","isDefault":true,"maskCriteriaOnly":false,"definition":"","keyProductQueryItem":"305790","comparisonOperation":0,"comparisonValue":"58","minimumVersion":"","maximumVersion":"","formOrder":0,"lowerBound":null,"enabled":true,"mask":"","largeMask":"","maskKey":"","keyItemMaskOfField":null,"keyOptionIdReplace":"","relatedOptionIds":[],"onlineServices":[],"childCriteriaItemList":[],"clientContextJson":""},{"keyOptionId":"8775","caption":"Retail REIT","isDefault":true,"maskCriteriaOnly":false,"definition":"","keyProductQueryItem":"305790","comparisonOperation":0,"comparisonValue":"59","minimumVersion":"","maximumVersion":"","formOrder":0,"lowerBound":null,"enabled":true,"mask":"","largeMask":"","maskKey":"","keyItemMaskOfField":null,"keyOptionIdReplace":"","relatedOptionIds":[],"onlineServices":[],"childCriteriaItemList":[],"clientContextJson":""},{"keyOptionId":"8776","caption":"Self-Storage REIT","isDefault":true,"maskCriteriaOnly":false,"definition":"","keyProductQueryItem":"305790","comparisonOperation":0,"comparisonValue":"60","minimumVersion":"","maximumVersion":"","formOrder":0,"lowerBound":null,"enabled":true,"mask":"","largeMask":"","maskKey":"","keyItemMaskOfField":null,"keyOptionIdReplace":"","relatedOptionIds":[],"onlineServices":[],"childCriteriaItemList":[],"clientContextJson":""},{"keyOptionId":"8777","caption":"Specialty REIT","isDefault":true,"maskCriteriaOnly":false,"definition":"","keyProductQueryItem":"305790","comparisonOperation":0,"comparisonValue":"61","minimumVersion":"","maximumVersion":"","formOrder":0,"lowerBound":null,"enabled":true,"mask":"","largeMask":"","maskKey":"","keyItemMaskOfField":null,"keyOptionIdReplace":"","relatedOptionIds":[],"onlineServices":[],"childCriteriaItemList":[],"clientContextJson":""}],"clientContextJson":""},{"keyOptionId":"8778","caption":"Real Estate Management and Developmen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8779","caption":"Diversified Real Estate Activities","isDefault":true,"maskCriteriaOnly":false,"definition":"","keyProductQueryItem":"305790","comparisonOperation":0,"comparisonValue":"63","minimumVersion":"","maximumVersion":"","formOrder":0,"lowerBound":null,"enabled":true,"mask":"","largeMask":"","maskKey":"","keyItemMaskOfField":null,"keyOptionIdReplace":"","relatedOptionIds":[],"onlineServices":[],"childCriteriaItemList":[],"clientContextJson":""},{"keyOptionId":"8780","caption":"Real Estate Operating and Management","isDefault":true,"maskCriteriaOnly":false,"definition":"","keyProductQueryItem":"305790","comparisonOperation":0,"comparisonValue":"64","minimumVersion":"","maximumVersion":"","formOrder":0,"lowerBound":null,"enabled":true,"mask":"","largeMask":"","maskKey":"","keyItemMaskOfField":null,"keyOptionIdReplace":"","relatedOptionIds":[],"onlineServices":[],"childCriteriaItemList":[],"clientContextJson":""},{"keyOptionId":"8781","caption":"Rea</t>
  </si>
  <si>
    <t>l Estate Development","isDefault":true,"maskCriteriaOnly":false,"definition":"","keyProductQueryItem":"305790","comparisonOperation":0,"comparisonValue":"65","minimumVersion":"","maximumVersion":"","formOrder":0,"lowerBound":null,"enabled":true,"mask":"","largeMask":"","maskKey":"","keyItemMaskOfField":null,"keyOptionIdReplace":"","relatedOptionIds":[],"onlineServices":[],"childCriteriaItemList":[],"clientContextJson":""},{"keyOptionId":"8782","caption":"Real Estate Services","isDefault":true,"maskCriteriaOnly":false,"definition":"","keyProductQueryItem":"305790","comparisonOperation":0,"comparisonValue":"66","minimumVersion":"","maximumVersion":"","formOrder":0,"lowerBound":null,"enabled":true,"mask":"","largeMask":"","maskKey":"","keyItemMaskOfField":null,"keyOptionIdReplace":"","relatedOptionIds":[],"onlineServices":[],"childCriteriaItemList":[],"clientContextJson":""}],"clientContextJson":""}],"clientContextJson":""},{"keyOptionId":"8783","caption":"Energy and Utiliti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8784","caption":"Oil, Gas and Coa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8785","caption":"Oil and Gas Drilling","isDefault":true,"maskCriteriaOnly":false,"definition":"","keyProductQueryItem":"305790","comparisonOperation":0,"comparisonValue":"69","minimumVersion":"","maximumVersion":"","formOrder":0,"lowerBound":null,"enabled":true,"mask":"","largeMask":"","maskKey":"","keyItemMaskOfField":null,"keyOptionIdReplace":"","relatedOptionIds":[],"onlineServices":[],"childCriteriaItemList":[],"clientContextJson":""},{"keyOptionId":"8786","caption":"Oil and Gas Equipment and Services","isDefault":true,"maskCriteriaOnly":false,"definition":"","keyProductQueryItem":"305790","comparisonOperation":0,"comparisonValue":"70","minimumVersion":"","maximumVersion":"","formOrder":0,"lowerBound":null,"enabled":true,"mask":"","largeMask":"","maskKey":"","keyItemMaskOfField":null,"keyOptionIdReplace":"","relatedOptionIds":[],"onlineServices":[],"childCriteriaItemList":[],"clientContextJson":""},{"keyOptionId":"8787","caption":"Integrated Oil and Gas","isDefault":true,"maskCriteriaOnly":false,"definition":"","keyProductQueryItem":"305790","comparisonOperation":0,"comparisonValue":"71","minimumVersion":"","maximumVersion":"","formOrder":0,"lowerBound":null,"enabled":true,"mask":"","largeMask":"","maskKey":"","keyItemMaskOfField":null,"keyOptionIdReplace":"","relatedOptionIds":[],"onlineServices":[],"childCriteriaItemList":[],"clientContextJson":""},{"keyOptionId":"8788","caption":"Oil and Gas Exploration and Production","isDefault":true,"maskCriteriaOnly":false,"definition":"","keyProductQueryItem":"305790","comparisonOperation":0,"comparisonValue":"72","minimumVersion":"","maximumVersion":"","formOrder":0,"lowerBound":null,"enabled":true,"mask":"","largeMask":"","maskKey":"","keyItemMaskOfField":null,"keyOptionIdReplace":"","relatedOptionIds":[],"onlineServices":[],"childCriteriaItemList":[],"clientContextJson":""},{"keyOptionId":"8789","caption":"Oil and Gas Refining and Marketing","isDefault":true,"maskCriteriaOnly":false,"definition":"","keyProductQueryItem":"305790","comparisonOperation":0,"comparisonValue":"73","minimumVersion":"","maximumVersion":"","formOrder":0,"lowerBound":null,"enabled":true,"mask":"","largeMask":"","maskKey":"","keyItemMaskOfField":null,"keyOptionIdReplace":"","relatedOptionIds":[],"onlineServices":[],"childCriteriaItemList":[],"clientContextJson":""},{"keyOptionId":"8790","caption":"Oil and Gas Storage and Transportation","isDefault":true,"maskCriteriaOnly":false,"definition":"","keyProductQueryItem":"305790","comparisonOperation":0,"comparisonValue":"74","minimumVersion":"","maximumVersion":"","formOrder":0,"lowerBound":null,"enabled":true,"mask":"","largeMask":"","maskKey":"","keyItemMaskOfField":null,"keyOptionIdReplace":"","relatedOptionIds":[],"onlineServices":[],"childCriteriaItemList":[],"clientContextJson":""},{"keyOptionId":"8791","caption":"Coal and Consumable Fuels","isDefault":true,"maskCriteriaOnly":false,"definition":"","keyProductQueryItem":"305790","comparisonOperation":0,"comparisonValue":"75","minimumVersion":"","maximumVersion":"","formOrder":0,"lowerBound":null,"enabled":true,"mask":"","largeMask":"","maskKey":"","keyItemMaskOfField":null,"keyOptionIdReplace":"","relatedOptionIds":[],"onlineServices":[],"childCriteriaItemList":[],"clientContextJson":""}],"clientContextJson":""},{"keyOptionId":"8792","caption":"Utiliti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8793","caption":"Electric Utilities","isDefault":true,"maskCriteriaOnly":false,"definition":"","keyProductQueryItem":"305790","comparisonOperation":0,"comparisonValue":"77","minimumVersion":"","maximumVersion":"","formOrder":0,"lowerBound":null,"enabled":true,"mask":"","largeMask":"","maskKey":"","keyItemMaskOfField":null,"keyOptionIdReplace":"","relatedOptionIds":[],"onlineServices":[],"childCriteriaItemList":[],"clientContextJson":""},{"keyOptionId":"8794","caption":"Gas Utilities","isDefault":true,"maskCriteriaOnly":false,"definition":"","keyProductQueryItem":"305790","comparisonOperation":0,"comparisonValue":"78","minimumVersion":"","maximumVersion":"","formOrder":0,"lowerBound":null,"enabled":true,"mask":"","largeMask":"","maskKey":"","keyItemMaskOfField":null,"keyOptionIdReplace":"","relatedOptionIds":[],"onlineServices":[],"childCriteriaItemList":[],"clientContextJson":""},{"keyOptionId":"8795","caption":"Multi-Utilities","isDefault":true,"maskCriteriaOnly":false,"definition":"","keyProductQueryItem":"305790","comparisonOperation":0,"comparisonValue":"79","minimumVersion":"","maximumVersion":"","formOrder":0,"lowerBound":null,"enabled":true,"mask":"","largeMask":"","maskKey":"","keyItemMaskOfField":null,"keyOptionIdReplace":"","relatedOptionIds":[],"onlineServices":[],"childCriteriaItemList":[],"clientContextJson":""},{"keyOptionId":"8796","caption":"Water Utilities","isDefault":true,"maskCriteriaOnly":false,"definition":"","keyProductQueryItem":"305790","comparisonOperation":0,"comparisonValue":"80","minimumVersion":"","maximumVersion":"","formOrder":0,"lowerBound":null,"enabled":true,"mask":"","largeMask":"","maskKey":"","keyItemMaskOfField":null,"keyOptionIdReplace":"","relatedOptionIds":[],"onlineServices":[],"childCriteriaItemList":[],"clientContextJson":""}],"clientContextJson":""},{"keyOptionId":"8797","caption":"Independent Power Producers and Energy Traders","isDefault":true,"maskCriteriaOnly":false,"definition":"","keyProductQueryItem":"305790","comparisonOperation":0,"comparisonValue":"81","minimumVersion":"","maximumVersion":"","formOrder":0,"lowerBound":null,"enabled":true,"mask":"","largeMask":""</t>
  </si>
  <si>
    <t>,"maskKey":"","keyItemMaskOfField":null,"keyOptionIdReplace":"","relatedOptionIds":[],"onlineServices":[],"childCriteriaItemList":[],"clientContextJson":""},{"keyOptionId":"8798","caption":"Renewable Electricity","isDefault":true,"maskCriteriaOnly":false,"definition":"","keyProductQueryItem":"305790","comparisonOperation":0,"comparisonValue":"82","minimumVersion":"","maximumVersion":"","formOrder":0,"lowerBound":null,"enabled":true,"mask":"","largeMask":"","maskKey":"","keyItemMaskOfField":null,"keyOptionIdReplace":"","relatedOptionIds":[],"onlineServices":[],"childCriteriaItemList":[],"clientContextJson":""}],"clientContextJson":""},{"keyOptionId":"8799","caption":"Materi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8800","caption":"Chemic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8801","caption":"Commodity Chemicals","isDefault":true,"maskCriteriaOnly":false,"definition":"","keyProductQueryItem":"305790","comparisonOperation":0,"comparisonValue":"85","minimumVersion":"","maximumVersion":"","formOrder":0,"lowerBound":null,"enabled":true,"mask":"","largeMask":"","maskKey":"","keyItemMaskOfField":null,"keyOptionIdReplace":"","relatedOptionIds":[],"onlineServices":[],"childCriteriaItemList":[],"clientContextJson":""},{"keyOptionId":"8802","caption":"Diversified Chemicals","isDefault":true,"maskCriteriaOnly":false,"definition":"","keyProductQueryItem":"305790","comparisonOperation":0,"comparisonValue":"86","minimumVersion":"","maximumVersion":"","formOrder":0,"lowerBound":null,"enabled":true,"mask":"","largeMask":"","maskKey":"","keyItemMaskOfField":null,"keyOptionIdReplace":"","relatedOptionIds":[],"onlineServices":[],"childCriteriaItemList":[],"clientContextJson":""},{"keyOptionId":"8803","caption":"Fertilizers and Agricultural Chemicals","isDefault":true,"maskCriteriaOnly":false,"definition":"","keyProductQueryItem":"305790","comparisonOperation":0,"comparisonValue":"87","minimumVersion":"","maximumVersion":"","formOrder":0,"lowerBound":null,"enabled":true,"mask":"","largeMask":"","maskKey":"","keyItemMaskOfField":null,"keyOptionIdReplace":"","relatedOptionIds":[],"onlineServices":[],"childCriteriaItemList":[],"clientContextJson":""},{"keyOptionId":"8804","caption":"Specialty Chemicals","isDefault":true,"maskCriteriaOnly":false,"definition":"","keyProductQueryItem":"305790","comparisonOperation":0,"comparisonValue":"88","minimumVersion":"","maximumVersion":"","formOrder":0,"lowerBound":null,"enabled":true,"mask":"","largeMask":"","maskKey":"","keyItemMaskOfField":null,"keyOptionIdReplace":"","relatedOptionIds":[],"onlineServices":[],"childCriteriaItemList":[],"clientContextJson":""},{"keyOptionId":"8805","caption":"Industrial Gases","isDefault":true,"maskCriteriaOnly":false,"definition":"","keyProductQueryItem":"305790","comparisonOperation":0,"comparisonValue":"89","minimumVersion":"","maximumVersion":"","formOrder":0,"lowerBound":null,"enabled":true,"mask":"","largeMask":"","maskKey":"","keyItemMaskOfField":null,"keyOptionIdReplace":"","relatedOptionIds":[],"onlineServices":[],"childCriteriaItemList":[],"clientContextJson":""}],"clientContextJson":""},{"keyOptionId":"8806","caption":"Metals and Minin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8807","caption":"Diversified Metals and Mining","isDefault":true,"maskCriteriaOnly":false,"definition":"","keyProductQueryItem":"305790","comparisonOperation":0,"comparisonValue":"91","minimumVersion":"","maximumVersion":"","formOrder":0,"lowerBound":null,"enabled":true,"mask":"","largeMask":"","maskKey":"","keyItemMaskOfField":null,"keyOptionIdReplace":"","relatedOptionIds":[],"onlineServices":[],"childCriteriaItemList":[],"clientContextJson":""},{"keyOptionId":"8808","caption":"Platinum Group Metals and Gemstones","isDefault":true,"maskCriteriaOnly":false,"definition":"","keyProductQueryItem":"305790","comparisonOperation":0,"comparisonValue":"92","minimumVersion":"","maximumVersion":"","formOrder":0,"lowerBound":null,"enabled":true,"mask":"","largeMask":"","maskKey":"","keyItemMaskOfField":null,"keyOptionIdReplace":"","relatedOptionIds":[],"onlineServices":[],"childCriteriaItemList":[],"clientContextJson":""},{"keyOptionId":"8809","caption":"Gold","isDefault":true,"maskCriteriaOnly":false,"definition":"","keyProductQueryItem":"305790","comparisonOperation":0,"comparisonValue":"93","minimumVersion":"","maximumVersion":"","formOrder":0,"lowerBound":null,"enabled":true,"mask":"","largeMask":"","maskKey":"","keyItemMaskOfField":null,"keyOptionIdReplace":"","relatedOptionIds":[],"onlineServices":[],"childCriteriaItemList":[],"clientContextJson":""},{"keyOptionId":"8810","caption":"Silver","isDefault":true,"maskCriteriaOnly":false,"definition":"","keyProductQueryItem":"305790","comparisonOperation":0,"comparisonValue":"94","minimumVersion":"","maximumVersion":"","formOrder":0,"lowerBound":null,"enabled":true,"mask":"","largeMask":"","maskKey":"","keyItemMaskOfField":null,"keyOptionIdReplace":"","relatedOptionIds":[],"onlineServices":[],"childCriteriaItemList":[],"clientContextJson":""},{"keyOptionId":"8811","caption":"Aluminum","isDefault":true,"maskCriteriaOnly":false,"definition":"","keyProductQueryItem":"305790","comparisonOperation":0,"comparisonValue":"97","minimumVersion":"","maximumVersion":"","formOrder":0,"lowerBound":null,"enabled":true,"mask":"","largeMask":"","maskKey":"","keyItemMaskOfField":null,"keyOptionIdReplace":"","relatedOptionIds":[],"onlineServices":[],"childCriteriaItemList":[],"clientContextJson":""},{"keyOptionId":"8812","caption":"Copper","isDefault":true,"maskCriteriaOnly":false,"definition":"","keyProductQueryItem":"305790","comparisonOperation":0,"comparisonValue":"98","minimumVersion":"","maximumVersion":"","formOrder":0,"lowerBound":null,"enabled":true,"mask":"","largeMask":"","maskKey":"","keyItemMaskOfField":null,"keyOptionIdReplace":"","relatedOptionIds":[],"onlineServices":[],"childCriteriaItemList":[],"clientContextJson":""},{"keyOptionId":"8813","caption":"Steel","isDefault":true,"maskCriteriaOnly":false,"definition":"","keyProductQueryItem":"305790","comparisonOperation":0,"comparisonValue":"99","minimumVersion":"","maximumVersion":"","formOrder":0,"lowerBound":null,"enabled":true,"mask":"","largeMask":"","maskKey":"","keyItemMaskOfField":null,"keyOptionIdReplace":"","relatedOptionIds":[],"onlineServices":[],"childCriteriaItemList":[],"clientContextJson":""}],"clientContextJson":""},{"keyOptionId":"8814","caption":"Construction Materials","isDefault":true,"maskCriteriaOnly":false,"definition":"","keyProductQueryItem":"305790","comparisonOperation":0,"comparisonValue":"100","minimumVersion":"","maximumVersion":"","formOrder":0,"lowerBound</t>
  </si>
  <si>
    <t>":null,"enabled":true,"mask":"","largeMask":"","maskKey":"","keyItemMaskOfField":null,"keyOptionIdReplace":"","relatedOptionIds":[],"onlineServices":[],"childCriteriaItemList":[],"clientContextJson":""},{"keyOptionId":"8815","caption":"Containers and Packaging: Metal, Glass, and Plastic","isDefault":true,"maskCriteriaOnly":false,"definition":"","keyProductQueryItem":"305790","comparisonOperation":0,"comparisonValue":"101","minimumVersion":"","maximumVersion":"","formOrder":0,"lowerBound":null,"enabled":true,"mask":"","largeMask":"","maskKey":"","keyItemMaskOfField":null,"keyOptionIdReplace":"","relatedOptionIds":[],"onlineServices":[],"childCriteriaItemList":[],"clientContextJson":""},{"keyOptionId":"8816","caption":"Containers and Packaging: Paper","isDefault":true,"maskCriteriaOnly":false,"definition":"","keyProductQueryItem":"305790","comparisonOperation":0,"comparisonValue":"102","minimumVersion":"","maximumVersion":"","formOrder":0,"lowerBound":null,"enabled":true,"mask":"","largeMask":"","maskKey":"","keyItemMaskOfField":null,"keyOptionIdReplace":"","relatedOptionIds":[],"onlineServices":[],"childCriteriaItemList":[],"clientContextJson":""},{"keyOptionId":"8817","caption":"Forest Products","isDefault":true,"maskCriteriaOnly":false,"definition":"","keyProductQueryItem":"305790","comparisonOperation":0,"comparisonValue":"103","minimumVersion":"","maximumVersion":"","formOrder":0,"lowerBound":null,"enabled":true,"mask":"","largeMask":"","maskKey":"","keyItemMaskOfField":null,"keyOptionIdReplace":"","relatedOptionIds":[],"onlineServices":[],"childCriteriaItemList":[],"clientContextJson":""},{"keyOptionId":"8818","caption":"Paper Products","isDefault":true,"maskCriteriaOnly":false,"definition":"","keyProductQueryItem":"305790","comparisonOperation":0,"comparisonValue":"104","minimumVersion":"","maximumVersion":"","formOrder":0,"lowerBound":null,"enabled":true,"mask":"","largeMask":"","maskKey":"","keyItemMaskOfField":null,"keyOptionIdReplace":"","relatedOptionIds":[],"onlineServices":[],"childCriteriaItemList":[],"clientContextJson":""}],"clientContextJson":""},{"keyOptionId":"8819","caption":"Healthcar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8820","caption":"Healthcare Equipment","isDefault":true,"maskCriteriaOnly":false,"definition":"","keyProductQueryItem":"305790","comparisonOperation":0,"comparisonValue":"106","minimumVersion":"","maximumVersion":"","formOrder":0,"lowerBound":null,"enabled":true,"mask":"","largeMask":"","maskKey":"","keyItemMaskOfField":null,"keyOptionIdReplace":"","relatedOptionIds":[],"onlineServices":[],"childCriteriaItemList":[],"clientContextJson":""},{"keyOptionId":"8821","caption":"Healthcare Supplies","isDefault":true,"maskCriteriaOnly":false,"definition":"","keyProductQueryItem":"305790","comparisonOperation":0,"comparisonValue":"107","minimumVersion":"","maximumVersion":"","formOrder":0,"lowerBound":null,"enabled":true,"mask":"","largeMask":"","maskKey":"","keyItemMaskOfField":null,"keyOptionIdReplace":"","relatedOptionIds":[],"onlineServices":[],"childCriteriaItemList":[],"clientContextJson":""},{"keyOptionId":"8822","caption":"Healthcare Providers and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8823","caption":"Healthcare Distributors","isDefault":true,"maskCriteriaOnly":false,"definition":"","keyProductQueryItem":"305790","comparisonOperation":0,"comparisonValue":"109","minimumVersion":"","maximumVersion":"","formOrder":0,"lowerBound":null,"enabled":true,"mask":"","largeMask":"","maskKey":"","keyItemMaskOfField":null,"keyOptionIdReplace":"","relatedOptionIds":[],"onlineServices":[],"childCriteriaItemList":[],"clientContextJson":""},{"keyOptionId":"8824","caption":"Healthcare Services","isDefault":true,"maskCriteriaOnly":false,"definition":"","keyProductQueryItem":"305790","comparisonOperation":0,"comparisonValue":"110","minimumVersion":"","maximumVersion":"","formOrder":0,"lowerBound":null,"enabled":true,"mask":"","largeMask":"","maskKey":"","keyItemMaskOfField":null,"keyOptionIdReplace":"","relatedOptionIds":[],"onlineServices":[],"childCriteriaItemList":[],"clientContextJson":""},{"keyOptionId":"8825","caption":"Healthcare Facilities","isDefault":true,"maskCriteriaOnly":false,"definition":"","keyProductQueryItem":"305790","comparisonOperation":0,"comparisonValue":"111","minimumVersion":"","maximumVersion":"","formOrder":0,"lowerBound":null,"enabled":true,"mask":"","largeMask":"","maskKey":"","keyItemMaskOfField":null,"keyOptionIdReplace":"","relatedOptionIds":[],"onlineServices":[],"childCriteriaItemList":[],"clientContextJson":""},{"keyOptionId":"8826","caption":"Managed Healthcare","isDefault":true,"maskCriteriaOnly":false,"definition":"","keyProductQueryItem":"305790","comparisonOperation":0,"comparisonValue":"112","minimumVersion":"","maximumVersion":"","formOrder":0,"lowerBound":null,"enabled":true,"mask":"","largeMask":"","maskKey":"","keyItemMaskOfField":null,"keyOptionIdReplace":"","relatedOptionIds":[],"onlineServices":[],"childCriteriaItemList":[],"clientContextJson":""}],"clientContextJson":""},{"keyOptionId":"8827","caption":"Healthcare Technology","isDefault":true,"maskCriteriaOnly":false,"definition":"","keyProductQueryItem":"305790","comparisonOperation":0,"comparisonValue":"113","minimumVersion":"","maximumVersion":"","formOrder":0,"lowerBound":null,"enabled":true,"mask":"","largeMask":"","maskKey":"","keyItemMaskOfField":null,"keyOptionIdReplace":"","relatedOptionIds":[],"onlineServices":[],"childCriteriaItemList":[],"clientContextJson":""},{"keyOptionId":"8828","caption":"Pharmaceuticals, Biotechnology and Life Scien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8829","caption":"Biotechnology","isDefault":true,"maskCriteriaOnly":false,"definition":"","keyProductQueryItem":"305790","comparisonOperation":0,"comparisonValue":"115","minimumVersion":"","maximumVersion":"","formOrder":0,"lowerBound":null,"enabled":true,"mask":"","largeMask":"","maskKey":"","keyItemMaskOfField":null,"keyOptionIdReplace":"","relatedOptionIds":[],"onlineServices":[],"childCriteriaItemList":[],"clientContextJson":""},{"keyOptionId":"8830","caption":"Pharmaceuticals","isDefault":true,"maskCriteriaOnly":false,"definition":"","keyProductQueryItem":"305790","comparisonOperation":0,"comparisonValue":"116","minimumVersion":"","maximumVersion":"","formOrder":0,"lowerBound":null,"enabled":true,"mask":"","largeMask":"","maskKey":"","keyItemMaskOfField":null,"keyOptionIdReplace":"","relatedOptionIds":[],"onlineServices":[],"childCriteriaItemList":[],"clientContextJson":""},{"keyOptionId":"8831","caption":"Life Sciences Tools and Services","isDefault":true,"maskCriteriaOnly":false,"defini</t>
  </si>
  <si>
    <t>tion":"","keyProductQueryItem":"305790","comparisonOperation":0,"comparisonValue":"117","minimumVersion":"","maximumVersion":"","formOrder":0,"lowerBound":null,"enabled":true,"mask":"","largeMask":"","maskKey":"","keyItemMaskOfField":null,"keyOptionIdReplace":"","relatedOptionIds":[],"onlineServices":[],"childCriteriaItemList":[],"clientContextJson":""}],"clientContextJson":""}],"clientContextJson":""},{"keyOptionId":"8832","caption":"Industri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8833","caption":"Capital Good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8834","caption":"Aerospace and Defense","isDefault":true,"maskCriteriaOnly":false,"definition":"","keyProductQueryItem":"305790","comparisonOperation":0,"comparisonValue":"120","minimumVersion":"","maximumVersion":"","formOrder":0,"lowerBound":null,"enabled":true,"mask":"","largeMask":"","maskKey":"","keyItemMaskOfField":null,"keyOptionIdReplace":"","relatedOptionIds":[],"onlineServices":[],"childCriteriaItemList":[],"clientContextJson":""},{"keyOptionId":"8835","caption":"Building Products","isDefault":true,"maskCriteriaOnly":false,"definition":"","keyProductQueryItem":"305790","comparisonOperation":0,"comparisonValue":"121","minimumVersion":"","maximumVersion":"","formOrder":0,"lowerBound":null,"enabled":true,"mask":"","largeMask":"","maskKey":"","keyItemMaskOfField":null,"keyOptionIdReplace":"","relatedOptionIds":[],"onlineServices":[],"childCriteriaItemList":[],"clientContextJson":""},{"keyOptionId":"8836","caption":"Construction and Engineering","isDefault":true,"maskCriteriaOnly":false,"definition":"","keyProductQueryItem":"305790","comparisonOperation":0,"comparisonValue":"122","minimumVersion":"","maximumVersion":"","formOrder":0,"lowerBound":null,"enabled":true,"mask":"","largeMask":"","maskKey":"","keyItemMaskOfField":null,"keyOptionIdReplace":"","relatedOptionIds":[],"onlineServices":[],"childCriteriaItemList":[],"clientContextJson":""},{"keyOptionId":"8837","caption":"Electrical Components and Equipment: Light","isDefault":true,"maskCriteriaOnly":false,"definition":"","keyProductQueryItem":"305790","comparisonOperation":0,"comparisonValue":"123","minimumVersion":"","maximumVersion":"","formOrder":0,"lowerBound":null,"enabled":true,"mask":"","largeMask":"","maskKey":"","keyItemMaskOfField":null,"keyOptionIdReplace":"","relatedOptionIds":[],"onlineServices":[],"childCriteriaItemList":[],"clientContextJson":""},{"keyOptionId":"8838","caption":"Electrical Components and Equipment: Heavy","isDefault":true,"maskCriteriaOnly":false,"definition":"","keyProductQueryItem":"305790","comparisonOperation":0,"comparisonValue":"124","minimumVersion":"","maximumVersion":"","formOrder":0,"lowerBound":null,"enabled":true,"mask":"","largeMask":"","maskKey":"","keyItemMaskOfField":null,"keyOptionIdReplace":"","relatedOptionIds":[],"onlineServices":[],"childCriteriaItemList":[],"clientContextJson":""},{"keyOptionId":"8839","caption":"Industrial Conglomerates","isDefault":true,"maskCriteriaOnly":false,"definition":"","keyProductQueryItem":"305790","comparisonOperation":0,"comparisonValue":"125","minimumVersion":"","maximumVersion":"","formOrder":0,"lowerBound":null,"enabled":true,"mask":"","largeMask":"","maskKey":"","keyItemMaskOfField":null,"keyOptionIdReplace":"","relatedOptionIds":[],"onlineServices":[],"childCriteriaItemList":[],"clientContextJson":""},{"keyOptionId":"8840","caption":"Machinery: Construction and Heavy Trucks","isDefault":true,"maskCriteriaOnly":false,"definition":"","keyProductQueryItem":"305790","comparisonOperation":0,"comparisonValue":"126","minimumVersion":"","maximumVersion":"","formOrder":0,"lowerBound":null,"enabled":true,"mask":"","largeMask":"","maskKey":"","keyItemMaskOfField":null,"keyOptionIdReplace":"","relatedOptionIds":[],"onlineServices":[],"childCriteriaItemList":[],"clientContextJson":""},{"keyOptionId":"8841","caption":"Machinery: Agricultural and Farm","isDefault":true,"maskCriteriaOnly":false,"definition":"","keyProductQueryItem":"305790","comparisonOperation":0,"comparisonValue":"127","minimumVersion":"","maximumVersion":"","formOrder":0,"lowerBound":null,"enabled":true,"mask":"","largeMask":"","maskKey":"","keyItemMaskOfField":null,"keyOptionIdReplace":"","relatedOptionIds":[],"onlineServices":[],"childCriteriaItemList":[],"clientContextJson":""},{"keyOptionId":"8842","caption":"Machinery: Industrial","isDefault":true,"maskCriteriaOnly":false,"definition":"","keyProductQueryItem":"305790","comparisonOperation":0,"comparisonValue":"128","minimumVersion":"","maximumVersion":"","formOrder":0,"lowerBound":null,"enabled":true,"mask":"","largeMask":"","maskKey":"","keyItemMaskOfField":null,"keyOptionIdReplace":"","relatedOptionIds":[],"onlineServices":[],"childCriteriaItemList":[],"clientContextJson":""},{"keyOptionId":"8843","caption":"Trading Companies and Distributors","isDefault":true,"maskCriteriaOnly":false,"definition":"","keyProductQueryItem":"305790","comparisonOperation":0,"comparisonValue":"129","minimumVersion":"","maximumVersion":"","formOrder":0,"lowerBound":null,"enabled":true,"mask":"","largeMask":"","maskKey":"","keyItemMaskOfField":null,"keyOptionIdReplace":"","relatedOptionIds":[],"onlineServices":[],"childCriteriaItemList":[],"clientContextJson":""}],"clientContextJson":""},{"keyOptionId":"8844","caption":"Commercial and Professional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8845","caption":"Commercial Printing","isDefault":true,"maskCriteriaOnly":false,"definition":"","keyProductQueryItem":"305790","comparisonOperation":0,"comparisonValue":"131","minimumVersion":"","maximumVersion":"","formOrder":0,"lowerBound":null,"enabled":true,"mask":"","largeMask":"","maskKey":"","keyItemMaskOfField":null,"keyOptionIdReplace":"","relatedOptionIds":[],"onlineServices":[],"childCriteriaItemList":[],"clientContextJson":""},{"keyOptionId":"8846","caption":"Environmental and Facilities Services","isDefault":true,"maskCriteriaOnly":false,"definition":"","keyProductQueryItem":"305790","comparisonOperation":0,"comparisonValue":"132","minimumVersion":"","maximumVersion":"","formOrder":0,"lowerBound":null,"enabled":true,"mask":"","largeMask":"","maskKey":"","keyItemMaskOfField":null,"keyOptionIdReplace":"","relatedOptionIds":[],"onlineServices":[],"childCriteriaItemList":[],"clientContextJson":""},{"keyOptionId":"8847","caption":"Office Services and Supplies","isDefault":true,"maskCriteriaOnly":false,"definition":"","keyProductQueryItem":"305790","comparisonOperation":0,"comparisonValue":"133","minimumVersion":"","maximumVersion":"","formOrder":0,"lowerBound":null,"enabled":true,"mask":"","largeMask":"","maskKey":"","keyIte</t>
  </si>
  <si>
    <t>mMaskOfField":null,"keyOptionIdReplace":"","relatedOptionIds":[],"onlineServices":[],"childCriteriaItemList":[],"clientContextJson":""},{"keyOptionId":"8848","caption":"Diversified Support Services","isDefault":true,"maskCriteriaOnly":false,"definition":"","keyProductQueryItem":"305790","comparisonOperation":0,"comparisonValue":"134","minimumVersion":"","maximumVersion":"","formOrder":0,"lowerBound":null,"enabled":true,"mask":"","largeMask":"","maskKey":"","keyItemMaskOfField":null,"keyOptionIdReplace":"","relatedOptionIds":[],"onlineServices":[],"childCriteriaItemList":[],"clientContextJson":""},{"keyOptionId":"8849","caption":"Security and Alarm Services","isDefault":true,"maskCriteriaOnly":false,"definition":"","keyProductQueryItem":"305790","comparisonOperation":0,"comparisonValue":"135","minimumVersion":"","maximumVersion":"","formOrder":0,"lowerBound":null,"enabled":true,"mask":"","largeMask":"","maskKey":"","keyItemMaskOfField":null,"keyOptionIdReplace":"","relatedOptionIds":[],"onlineServices":[],"childCriteriaItemList":[],"clientContextJson":""},{"keyOptionId":"8850","caption":"Human Resource and Employment Services","isDefault":true,"maskCriteriaOnly":false,"definition":"","keyProductQueryItem":"305790","comparisonOperation":0,"comparisonValue":"136","minimumVersion":"","maximumVersion":"","formOrder":0,"lowerBound":null,"enabled":true,"mask":"","largeMask":"","maskKey":"","keyItemMaskOfField":null,"keyOptionIdReplace":"","relatedOptionIds":[],"onlineServices":[],"childCriteriaItemList":[],"clientContextJson":""},{"keyOptionId":"8851","caption":"Research and Consulting Services","isDefault":true,"maskCriteriaOnly":false,"definition":"","keyProductQueryItem":"305790","comparisonOperation":0,"comparisonValue":"137","minimumVersion":"","maximumVersion":"","formOrder":0,"lowerBound":null,"enabled":true,"mask":"","largeMask":"","maskKey":"","keyItemMaskOfField":null,"keyOptionIdReplace":"","relatedOptionIds":[],"onlineServices":[],"childCriteriaItemList":[],"clientContextJson":""}],"clientContextJson":""},{"keyOptionId":"8852","caption":"Transporta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8853","caption":"Air Freight and Logistics","isDefault":true,"maskCriteriaOnly":false,"definition":"","keyProductQueryItem":"305790","comparisonOperation":0,"comparisonValue":"139","minimumVersion":"","maximumVersion":"","formOrder":0,"lowerBound":null,"enabled":true,"mask":"","largeMask":"","maskKey":"","keyItemMaskOfField":null,"keyOptionIdReplace":"","relatedOptionIds":[],"onlineServices":[],"childCriteriaItemList":[],"clientContextJson":""},{"keyOptionId":"8854","caption":"Airlines","isDefault":true,"maskCriteriaOnly":false,"definition":"","keyProductQueryItem":"305790","comparisonOperation":0,"comparisonValue":"140","minimumVersion":"","maximumVersion":"","formOrder":0,"lowerBound":null,"enabled":true,"mask":"","largeMask":"","maskKey":"","keyItemMaskOfField":null,"keyOptionIdReplace":"","relatedOptionIds":[],"onlineServices":[],"childCriteriaItemList":[],"clientContextJson":""},{"keyOptionId":"8855","caption":"Marine","isDefault":true,"maskCriteriaOnly":false,"definition":"","keyProductQueryItem":"305790","comparisonOperation":0,"comparisonValue":"141","minimumVersion":"","maximumVersion":"","formOrder":0,"lowerBound":null,"enabled":true,"mask":"","largeMask":"","maskKey":"","keyItemMaskOfField":null,"keyOptionIdReplace":"","relatedOptionIds":[],"onlineServices":[],"childCriteriaItemList":[],"clientContextJson":""},{"keyOptionId":"8856","caption":"Railroads","isDefault":true,"maskCriteriaOnly":false,"definition":"","keyProductQueryItem":"305790","comparisonOperation":0,"comparisonValue":"142","minimumVersion":"","maximumVersion":"","formOrder":0,"lowerBound":null,"enabled":true,"mask":"","largeMask":"","maskKey":"","keyItemMaskOfField":null,"keyOptionIdReplace":"","relatedOptionIds":[],"onlineServices":[],"childCriteriaItemList":[],"clientContextJson":""},{"keyOptionId":"8857","caption":"Trucking","isDefault":true,"maskCriteriaOnly":false,"definition":"","keyProductQueryItem":"305790","comparisonOperation":0,"comparisonValue":"143","minimumVersion":"","maximumVersion":"","formOrder":0,"lowerBound":null,"enabled":true,"mask":"","largeMask":"","maskKey":"","keyItemMaskOfField":null,"keyOptionIdReplace":"","relatedOptionIds":[],"onlineServices":[],"childCriteriaItemList":[],"clientContextJson":""},{"keyOptionId":"8858","caption":"Airport Services","isDefault":true,"maskCriteriaOnly":false,"definition":"","keyProductQueryItem":"305790","comparisonOperation":0,"comparisonValue":"144","minimumVersion":"","maximumVersion":"","formOrder":0,"lowerBound":null,"enabled":true,"mask":"","largeMask":"","maskKey":"","keyItemMaskOfField":null,"keyOptionIdReplace":"","relatedOptionIds":[],"onlineServices":[],"childCriteriaItemList":[],"clientContextJson":""},{"keyOptionId":"8859","caption":"Highways and Railtracks","isDefault":true,"maskCriteriaOnly":false,"definition":"","keyProductQueryItem":"305790","comparisonOperation":0,"comparisonValue":"145","minimumVersion":"","maximumVersion":"","formOrder":0,"lowerBound":null,"enabled":true,"mask":"","largeMask":"","maskKey":"","keyItemMaskOfField":null,"keyOptionIdReplace":"","relatedOptionIds":[],"onlineServices":[],"childCriteriaItemList":[],"clientContextJson":""},{"keyOptionId":"8860","caption":"Marine Ports and Services","isDefault":true,"maskCriteriaOnly":false,"definition":"","keyProductQueryItem":"305790","comparisonOperation":0,"comparisonValue":"146","minimumVersion":"","maximumVersion":"","formOrder":0,"lowerBound":null,"enabled":true,"mask":"","largeMask":"","maskKey":"","keyItemMaskOfField":null,"keyOptionIdReplace":"","relatedOptionIds":[],"onlineServices":[],"childCriteriaItemList":[],"clientContextJson":""}],"clientContextJson":""}],"clientContextJson":""},{"keyOptionId":"8861","caption":"Consumer","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8862","caption":"Retai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8863","caption":"Retailers: Food and Dru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8864","caption":"Drug Retail","isDefault":true,"maskCriteriaOnly":false,"definition":"","keyProductQueryItem":"305790","comparisonOperation":0,"comparisonValue":"150","minimumVersion":"","maximumVersion":"","formOrder":0,"lowerBound":null,"enabled"</t>
  </si>
  <si>
    <t>:true,"mask":"","largeMask":"","maskKey":"","keyItemMaskOfField":null,"keyOptionIdReplace":"","relatedOptionIds":[],"onlineServices":[],"childCriteriaItemList":[],"clientContextJson":""},{"keyOptionId":"8865","caption":"Food Distributors","isDefault":true,"maskCriteriaOnly":false,"definition":"","keyProductQueryItem":"305790","comparisonOperation":0,"comparisonValue":"151","minimumVersion":"","maximumVersion":"","formOrder":0,"lowerBound":null,"enabled":true,"mask":"","largeMask":"","maskKey":"","keyItemMaskOfField":null,"keyOptionIdReplace":"","relatedOptionIds":[],"onlineServices":[],"childCriteriaItemList":[],"clientContextJson":""},{"keyOptionId":"8866","caption":"Food Retail","isDefault":true,"maskCriteriaOnly":false,"definition":"","keyProductQueryItem":"305790","comparisonOperation":0,"comparisonValue":"152","minimumVersion":"","maximumVersion":"","formOrder":0,"lowerBound":null,"enabled":true,"mask":"","largeMask":"","maskKey":"","keyItemMaskOfField":null,"keyOptionIdReplace":"","relatedOptionIds":[],"onlineServices":[],"childCriteriaItemList":[],"clientContextJson":""},{"keyOptionId":"8867","caption":"Hypermarkets and Supercenters","isDefault":true,"maskCriteriaOnly":false,"definition":"","keyProductQueryItem":"305790","comparisonOperation":0,"comparisonValue":"153","minimumVersion":"","maximumVersion":"","formOrder":0,"lowerBound":null,"enabled":true,"mask":"","largeMask":"","maskKey":"","keyItemMaskOfField":null,"keyOptionIdReplace":"","relatedOptionIds":[],"onlineServices":[],"childCriteriaItemList":[],"clientContextJson":""}],"clientContextJson":""},{"keyOptionId":"8868","caption":"Retailers: NonFood and NonDru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8869","caption":"Internet and Direct Marketing Retail","isDefault":true,"maskCriteriaOnly":false,"definition":"","keyProductQueryItem":"305790","comparisonOperation":0,"comparisonValue":"155","minimumVersion":"","maximumVersion":"","formOrder":0,"lowerBound":null,"enabled":true,"mask":"","largeMask":"","maskKey":"","keyItemMaskOfField":null,"keyOptionIdReplace":"","relatedOptionIds":[],"onlineServices":[],"childCriteriaItemList":[],"clientContextJson":""},{"keyOptionId":"8870","caption":"Department Stores","isDefault":true,"maskCriteriaOnly":false,"definition":"","keyProductQueryItem":"305790","comparisonOperation":0,"comparisonValue":"156","minimumVersion":"","maximumVersion":"","formOrder":0,"lowerBound":null,"enabled":true,"mask":"","largeMask":"","maskKey":"","keyItemMaskOfField":null,"keyOptionIdReplace":"","relatedOptionIds":[],"onlineServices":[],"childCriteriaItemList":[],"clientContextJson":""},{"keyOptionId":"8871","caption":"General Merchandise Stores","isDefault":true,"maskCriteriaOnly":false,"definition":"","keyProductQueryItem":"305790","comparisonOperation":0,"comparisonValue":"157","minimumVersion":"","maximumVersion":"","formOrder":0,"lowerBound":null,"enabled":true,"mask":"","largeMask":"","maskKey":"","keyItemMaskOfField":null,"keyOptionIdReplace":"","relatedOptionIds":[],"onlineServices":[],"childCriteriaItemList":[],"clientContextJson":""},{"keyOptionId":"8872","caption":"Apparel Retail","isDefault":true,"maskCriteriaOnly":false,"definition":"","keyProductQueryItem":"305790","comparisonOperation":0,"comparisonValue":"158","minimumVersion":"","maximumVersion":"","formOrder":0,"lowerBound":null,"enabled":true,"mask":"","largeMask":"","maskKey":"","keyItemMaskOfField":null,"keyOptionIdReplace":"","relatedOptionIds":[],"onlineServices":[],"childCriteriaItemList":[],"clientContextJson":""},{"keyOptionId":"8873","caption":"Computer and Electronics Retail","isDefault":true,"maskCriteriaOnly":false,"definition":"","keyProductQueryItem":"305790","comparisonOperation":0,"comparisonValue":"159","minimumVersion":"","maximumVersion":"","formOrder":0,"lowerBound":null,"enabled":true,"mask":"","largeMask":"","maskKey":"","keyItemMaskOfField":null,"keyOptionIdReplace":"","relatedOptionIds":[],"onlineServices":[],"childCriteriaItemList":[],"clientContextJson":""},{"keyOptionId":"8874","caption":"Home Improvement Retail","isDefault":true,"maskCriteriaOnly":false,"definition":"","keyProductQueryItem":"305790","comparisonOperation":0,"comparisonValue":"160","minimumVersion":"","maximumVersion":"","formOrder":0,"lowerBound":null,"enabled":true,"mask":"","largeMask":"","maskKey":"","keyItemMaskOfField":null,"keyOptionIdReplace":"","relatedOptionIds":[],"onlineServices":[],"childCriteriaItemList":[],"clientContextJson":""},{"keyOptionId":"8875","caption":"Specialty Stores","isDefault":true,"maskCriteriaOnly":false,"definition":"","keyProductQueryItem":"305790","comparisonOperation":0,"comparisonValue":"161","minimumVersion":"","maximumVersion":"","formOrder":0,"lowerBound":null,"enabled":true,"mask":"","largeMask":"","maskKey":"","keyItemMaskOfField":null,"keyOptionIdReplace":"","relatedOptionIds":[],"onlineServices":[],"childCriteriaItemList":[],"clientContextJson":""},{"keyOptionId":"8876","caption":"Automotive Retail","isDefault":true,"maskCriteriaOnly":false,"definition":"","keyProductQueryItem":"305790","comparisonOperation":0,"comparisonValue":"162","minimumVersion":"","maximumVersion":"","formOrder":0,"lowerBound":null,"enabled":true,"mask":"","largeMask":"","maskKey":"","keyItemMaskOfField":null,"keyOptionIdReplace":"","relatedOptionIds":[],"onlineServices":[],"childCriteriaItemList":[],"clientContextJson":""},{"keyOptionId":"8877","caption":"Homefurnishing Retail","isDefault":true,"maskCriteriaOnly":false,"definition":"","keyProductQueryItem":"305790","comparisonOperation":0,"comparisonValue":"163","minimumVersion":"","maximumVersion":"","formOrder":0,"lowerBound":null,"enabled":true,"mask":"","largeMask":"","maskKey":"","keyItemMaskOfField":null,"keyOptionIdReplace":"","relatedOptionIds":[],"onlineServices":[],"childCriteriaItemList":[],"clientContextJson":""},{"keyOptionId":"8878","caption":"Other Distributors","isDefault":true,"maskCriteriaOnly":false,"definition":"","keyProductQueryItem":"305790","comparisonOperation":0,"comparisonValue":"164","minimumVersion":"","maximumVersion":"","formOrder":0,"lowerBound":null,"enabled":true,"mask":"","largeMask":"","maskKey":"","keyItemMaskOfField":null,"keyOptionIdReplace":"","relatedOptionIds":[],"onlineServices":[],"childCriteriaItemList":[],"clientContextJson":""}],"clientContextJson":""}],"clientContextJson":""},{"keyOptionId":"8879","caption":"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8880","caption":"Beverage 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8881","caption":"Brewer: Beer and Malt Liquor","isDefault":true,"maskCriteriaOnly":false,"definition":"","keyProductQueryItem":"3</t>
  </si>
  <si>
    <t>05790","comparisonOperation":0,"comparisonValue":"167","minimumVersion":"","maximumVersion":"","formOrder":0,"lowerBound":null,"enabled":true,"mask":"","largeMask":"","maskKey":"","keyItemMaskOfField":null,"keyOptionIdReplace":"","relatedOptionIds":[],"onlineServices":[],"childCriteriaItemList":[],"clientContextJson":""},{"keyOptionId":"8882","caption":"Distillers and Vintners","isDefault":true,"maskCriteriaOnly":false,"definition":"","keyProductQueryItem":"305790","comparisonOperation":0,"comparisonValue":"168","minimumVersion":"","maximumVersion":"","formOrder":0,"lowerBound":null,"enabled":true,"mask":"","largeMask":"","maskKey":"","keyItemMaskOfField":null,"keyOptionIdReplace":"","relatedOptionIds":[],"onlineServices":[],"childCriteriaItemList":[],"clientContextJson":""},{"keyOptionId":"8883","caption":"Soft Drinks","isDefault":true,"maskCriteriaOnly":false,"definition":"","keyProductQueryItem":"305790","comparisonOperation":0,"comparisonValue":"169","minimumVersion":"","maximumVersion":"","formOrder":0,"lowerBound":null,"enabled":true,"mask":"","largeMask":"","maskKey":"","keyItemMaskOfField":null,"keyOptionIdReplace":"","relatedOptionIds":[],"onlineServices":[],"childCriteriaItemList":[],"clientContextJson":""}],"clientContextJson":""},{"keyOptionId":"8884","caption":"Consumer Durables 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8885","caption":"Consumer Electronics Producers","isDefault":true,"maskCriteriaOnly":false,"definition":"","keyProductQueryItem":"305790","comparisonOperation":0,"comparisonValue":"171","minimumVersion":"","maximumVersion":"","formOrder":0,"lowerBound":null,"enabled":true,"mask":"","largeMask":"","maskKey":"","keyItemMaskOfField":null,"keyOptionIdReplace":"","relatedOptionIds":[],"onlineServices":[],"childCriteriaItemList":[],"clientContextJson":""},{"keyOptionId":"8886","caption":"Home Furnishings Producers","isDefault":true,"maskCriteriaOnly":false,"definition":"","keyProductQueryItem":"305790","comparisonOperation":0,"comparisonValue":"172","minimumVersion":"","maximumVersion":"","formOrder":0,"lowerBound":null,"enabled":true,"mask":"","largeMask":"","maskKey":"","keyItemMaskOfField":null,"keyOptionIdReplace":"","relatedOptionIds":[],"onlineServices":[],"childCriteriaItemList":[],"clientContextJson":""},{"keyOptionId":"8887","caption":"Homebuilding Producers","isDefault":true,"maskCriteriaOnly":false,"definition":"","keyProductQueryItem":"305790","comparisonOperation":0,"comparisonValue":"173","minimumVersion":"","maximumVersion":"","formOrder":0,"lowerBound":null,"enabled":true,"mask":"","largeMask":"","maskKey":"","keyItemMaskOfField":null,"keyOptionIdReplace":"","relatedOptionIds":[],"onlineServices":[],"childCriteriaItemList":[],"clientContextJson":""},{"keyOptionId":"8888","caption":"Household Appliances Producers","isDefault":true,"maskCriteriaOnly":false,"definition":"","keyProductQueryItem":"305790","comparisonOperation":0,"comparisonValue":"174","minimumVersion":"","maximumVersion":"","formOrder":0,"lowerBound":null,"enabled":true,"mask":"","largeMask":"","maskKey":"","keyItemMaskOfField":null,"keyOptionIdReplace":"","relatedOptionIds":[],"onlineServices":[],"childCriteriaItemList":[],"clientContextJson":""},{"keyOptionId":"8889","caption":"Housewares and Specialties Producers","isDefault":true,"maskCriteriaOnly":false,"definition":"","keyProductQueryItem":"305790","comparisonOperation":0,"comparisonValue":"175","minimumVersion":"","maximumVersion":"","formOrder":0,"lowerBound":null,"enabled":true,"mask":"","largeMask":"","maskKey":"","keyItemMaskOfField":null,"keyOptionIdReplace":"","relatedOptionIds":[],"onlineServices":[],"childCriteriaItemList":[],"clientContextJson":""},{"keyOptionId":"8890","caption":"Leisure Products Producers","isDefault":true,"maskCriteriaOnly":false,"definition":"","keyProductQueryItem":"305790","comparisonOperation":0,"comparisonValue":"176","minimumVersion":"","maximumVersion":"","formOrder":0,"lowerBound":null,"enabled":true,"mask":"","largeMask":"","maskKey":"","keyItemMaskOfField":null,"keyOptionIdReplace":"","relatedOptionIds":[],"onlineServices":[],"childCriteriaItemList":[],"clientContextJson":""}],"clientContextJson":""},{"keyOptionId":"8891","caption":"Apparel, Footwear and Textile 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8892","caption":"Apparel, Accessories and Luxury Goods","isDefault":true,"maskCriteriaOnly":false,"definition":"","keyProductQueryItem":"305790","comparisonOperation":0,"comparisonValue":"178","minimumVersion":"","maximumVersion":"","formOrder":0,"lowerBound":null,"enabled":true,"mask":"","largeMask":"","maskKey":"","keyItemMaskOfField":null,"keyOptionIdReplace":"","relatedOptionIds":[],"onlineServices":[],"childCriteriaItemList":[],"clientContextJson":""},{"keyOptionId":"8893","caption":"Footwear Producers","isDefault":true,"maskCriteriaOnly":false,"definition":"","keyProductQueryItem":"305790","comparisonOperation":0,"comparisonValue":"179","minimumVersion":"","maximumVersion":"","formOrder":0,"lowerBound":null,"enabled":true,"mask":"","largeMask":"","maskKey":"","keyItemMaskOfField":null,"keyOptionIdReplace":"","relatedOptionIds":[],"onlineServices":[],"childCriteriaItemList":[],"clientContextJson":""},{"keyOptionId":"8894","caption":"Textiles Producers","isDefault":true,"maskCriteriaOnly":false,"definition":"","keyProductQueryItem":"305790","comparisonOperation":0,"comparisonValue":"180","minimumVersion":"","maximumVersion":"","formOrder":0,"lowerBound":null,"enabled":true,"mask":"","largeMask":"","maskKey":"","keyItemMaskOfField":null,"keyOptionIdReplace":"","relatedOptionIds":[],"onlineServices":[],"childCriteriaItemList":[],"clientContextJson":""}],"clientContextJson":""},{"keyOptionId":"8895","caption":"Agricultural Products","isDefault":true,"maskCriteriaOnly":false,"definition":"","keyProductQueryItem":"305790","comparisonOperation":0,"comparisonValue":"181","minimumVersion":"","maximumVersion":"","formOrder":0,"lowerBound":null,"enabled":true,"mask":"","largeMask":"","maskKey":"","keyItemMaskOfField":null,"keyOptionIdReplace":"","relatedOptionIds":[],"onlineServices":[],"childCriteriaItemList":[],"clientContextJson":""},{"keyOptionId":"8898","caption":"Packaged Foods and Meats Producers","isDefault":true,"maskCriteriaOnly":false,"definition":"","keyProductQueryItem":"305790","comparisonOperation":0,"comparisonValue":"182","minimumVersion":"","maximumVersion":"","formOrder":0,"lowerBound":null,"enabled":true,"mask":"","largeMask":"","maskKey":"","keyItemMaskOfField":null,"keyOptionIdReplace":"","relatedOptionIds":[],"onlineServices":[],"childCriteriaItemList":[],"clientContextJson":""},{"keyOptionId":"8914","caption":"Tobacco Producers","isDefault":true,"maskCriteriaOnly":false,"definition":"","keyProductQueryItem":"305790","comparisonOperation":0,"comparisonValue":"183","minimumVersion":"","maximumVersion":"","formOrder":0,"lowerBound":null,"enabled":true,"mask":"","largeMask":"","maskKey":"","keyItemMaskOfField":null,"keyOptionId</t>
  </si>
  <si>
    <t>Replace":"","relatedOptionIds":[],"onlineServices":[],"childCriteriaItemList":[],"clientContextJson":""},{"keyOptionId":"8915","caption":"Household Products Producers","isDefault":true,"maskCriteriaOnly":false,"definition":"","keyProductQueryItem":"305790","comparisonOperation":0,"comparisonValue":"184","minimumVersion":"","maximumVersion":"","formOrder":0,"lowerBound":null,"enabled":true,"mask":"","largeMask":"","maskKey":"","keyItemMaskOfField":null,"keyOptionIdReplace":"","relatedOptionIds":[],"onlineServices":[],"childCriteriaItemList":[],"clientContextJson":""},{"keyOptionId":"8916","caption":"Personal and Beauty Products: Producers","isDefault":true,"maskCriteriaOnly":false,"definition":"","keyProductQueryItem":"305790","comparisonOperation":0,"comparisonValue":"185","minimumVersion":"","maximumVersion":"","formOrder":0,"lowerBound":null,"enabled":true,"mask":"","largeMask":"","maskKey":"","keyItemMaskOfField":null,"keyOptionIdReplace":"","relatedOptionIds":[],"onlineServices":[],"childCriteriaItemList":[],"clientContextJson":""},{"keyOptionId":"8917","caption":"Automobiles and Componen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8918","caption":"Auto Parts and Equipment","isDefault":true,"maskCriteriaOnly":false,"definition":"","keyProductQueryItem":"305790","comparisonOperation":0,"comparisonValue":"187","minimumVersion":"","maximumVersion":"","formOrder":0,"lowerBound":null,"enabled":true,"mask":"","largeMask":"","maskKey":"","keyItemMaskOfField":null,"keyOptionIdReplace":"","relatedOptionIds":[],"onlineServices":[],"childCriteriaItemList":[],"clientContextJson":""},{"keyOptionId":"8919","caption":"Tires and Rubber","isDefault":true,"maskCriteriaOnly":false,"definition":"","keyProductQueryItem":"305790","comparisonOperation":0,"comparisonValue":"188","minimumVersion":"","maximumVersion":"","formOrder":0,"lowerBound":null,"enabled":true,"mask":"","largeMask":"","maskKey":"","keyItemMaskOfField":null,"keyOptionIdReplace":"","relatedOptionIds":[],"onlineServices":[],"childCriteriaItemList":[],"clientContextJson":""},{"keyOptionId":"8920","caption":"Automobile Manufacturers","isDefault":true,"maskCriteriaOnly":false,"definition":"","keyProductQueryItem":"305790","comparisonOperation":0,"comparisonValue":"189","minimumVersion":"","maximumVersion":"","formOrder":0,"lowerBound":null,"enabled":true,"mask":"","largeMask":"","maskKey":"","keyItemMaskOfField":null,"keyOptionIdReplace":"","relatedOptionIds":[],"onlineServices":[],"childCriteriaItemList":[],"clientContextJson":""},{"keyOptionId":"8921","caption":"Motorcycle Manufacturers","isDefault":true,"maskCriteriaOnly":false,"definition":"","keyProductQueryItem":"305790","comparisonOperation":0,"comparisonValue":"190","minimumVersion":"","maximumVersion":"","formOrder":0,"lowerBound":null,"enabled":true,"mask":"","largeMask":"","maskKey":"","keyItemMaskOfField":null,"keyOptionIdReplace":"","relatedOptionIds":[],"onlineServices":[],"childCriteriaItemList":[],"clientContextJson":""}],"clientContextJson":""}],"clientContextJson":""},{"keyOptionId":"8922","caption":"Hotels, Restaurants and Leisur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8923","caption":"Casinos and Gaming","isDefault":true,"maskCriteriaOnly":false,"definition":"","keyProductQueryItem":"305790","comparisonOperation":0,"comparisonValue":"192","minimumVersion":"","maximumVersion":"","formOrder":0,"lowerBound":null,"enabled":true,"mask":"","largeMask":"","maskKey":"","keyItemMaskOfField":null,"keyOptionIdReplace":"","relatedOptionIds":[],"onlineServices":[],"childCriteriaItemList":[],"clientContextJson":""},{"keyOptionId":"8924","caption":"Hotels, Resorts and Cruise Lines","isDefault":true,"maskCriteriaOnly":false,"definition":"","keyProductQueryItem":"305790","comparisonOperation":0,"comparisonValue":"193","minimumVersion":"","maximumVersion":"","formOrder":0,"lowerBound":null,"enabled":true,"mask":"","largeMask":"","maskKey":"","keyItemMaskOfField":null,"keyOptionIdReplace":"","relatedOptionIds":[],"onlineServices":[],"childCriteriaItemList":[],"clientContextJson":""},{"keyOptionId":"8925","caption":"Leisure Facilities","isDefault":true,"maskCriteriaOnly":false,"definition":"","keyProductQueryItem":"305790","comparisonOperation":0,"comparisonValue":"194","minimumVersion":"","maximumVersion":"","formOrder":0,"lowerBound":null,"enabled":true,"mask":"","largeMask":"","maskKey":"","keyItemMaskOfField":null,"keyOptionIdReplace":"","relatedOptionIds":[],"onlineServices":[],"childCriteriaItemList":[],"clientContextJson":""},{"keyOptionId":"8926","caption":"Restaurants","isDefault":true,"maskCriteriaOnly":false,"definition":"","keyProductQueryItem":"305790","comparisonOperation":0,"comparisonValue":"195","minimumVersion":"","maximumVersion":"","formOrder":0,"lowerBound":null,"enabled":true,"mask":"","largeMask":"","maskKey":"","keyItemMaskOfField":null,"keyOptionIdReplace":"","relatedOptionIds":[],"onlineServices":[],"childCriteriaItemList":[],"clientContextJson":""}],"clientContextJson":""},{"keyOptionId":"8927","caption":"Education Services","isDefault":true,"maskCriteriaOnly":false,"definition":"","keyProductQueryItem":"305790","comparisonOperation":0,"comparisonValue":"196","minimumVersion":"","maximumVersion":"","formOrder":0,"lowerBound":null,"enabled":true,"mask":"","largeMask":"","maskKey":"","keyItemMaskOfField":null,"keyOptionIdReplace":"","relatedOptionIds":[],"onlineServices":[],"childCriteriaItemList":[],"clientContextJson":""},{"keyOptionId":"8928","caption":"Specialized Consumer Services","isDefault":true,"maskCriteriaOnly":false,"definition":"","keyProductQueryItem":"305790","comparisonOperation":0,"comparisonValue":"197","minimumVersion":"","maximumVersion":"","formOrder":0,"lowerBound":null,"enabled":true,"mask":"","largeMask":"","maskKey":"","keyItemMaskOfField":null,"keyOptionIdReplace":"","relatedOptionIds":[],"onlineServices":[],"childCriteriaItemList":[],"clientContextJson":""}],"clientContextJson":""},{"keyOptionId":"8929","caption":"Technology, Media and Telecommunication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8930","caption":"Information Technology","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8931","caption":"Software and Services","isDefault":false,"maskCriteriaOnly":true,"definition":"","keyProductQueryItem":"","comparisonOperation":null,"</t>
  </si>
  <si>
    <t>comparisonValue":"","minimumVersion":"","maximumVersion":"","formOrder":0,"lowerBound":null,"enabled":true,"mask":"","largeMask":"","maskKey":"","keyItemMaskOfField":null,"keyOptionIdReplace":"","relatedOptionIds":[],"onlineServices":[],"childCriteriaItemList":[{"keyOptionId":"8932","caption":"Internet Software and Services","isDefault":true,"maskCriteriaOnly":false,"definition":"","keyProductQueryItem":"305790","comparisonOperation":0,"comparisonValue":"201","minimumVersion":"","maximumVersion":"","formOrder":0,"lowerBound":null,"enabled":true,"mask":"","largeMask":"","maskKey":"","keyItemMaskOfField":null,"keyOptionIdReplace":"","relatedOptionIds":[],"onlineServices":[],"childCriteriaItemList":[],"clientContextJson":""},{"keyOptionId":"8933","caption":"IT Consulting and Other Services","isDefault":true,"maskCriteriaOnly":false,"definition":"","keyProductQueryItem":"305790","comparisonOperation":0,"comparisonValue":"202","minimumVersion":"","maximumVersion":"","formOrder":0,"lowerBound":null,"enabled":true,"mask":"","largeMask":"","maskKey":"","keyItemMaskOfField":null,"keyOptionIdReplace":"","relatedOptionIds":[],"onlineServices":[],"childCriteriaItemList":[],"clientContextJson":""},{"keyOptionId":"8934","caption":"Data Processing and Outsourced Services","isDefault":true,"maskCriteriaOnly":false,"definition":"","keyProductQueryItem":"305790","comparisonOperation":0,"comparisonValue":"203","minimumVersion":"","maximumVersion":"","formOrder":0,"lowerBound":null,"enabled":true,"mask":"","largeMask":"","maskKey":"","keyItemMaskOfField":null,"keyOptionIdReplace":"","relatedOptionIds":[],"onlineServices":[],"childCriteriaItemList":[],"clientContextJson":""},{"keyOptionId":"8935","caption":"Application Software","isDefault":true,"maskCriteriaOnly":false,"definition":"","keyProductQueryItem":"305790","comparisonOperation":0,"comparisonValue":"204","minimumVersion":"","maximumVersion":"","formOrder":0,"lowerBound":null,"enabled":true,"mask":"","largeMask":"","maskKey":"","keyItemMaskOfField":null,"keyOptionIdReplace":"","relatedOptionIds":[],"onlineServices":[],"childCriteriaItemList":[],"clientContextJson":""},{"keyOptionId":"8936","caption":"Systems Software","isDefault":true,"maskCriteriaOnly":false,"definition":"","keyProductQueryItem":"305790","comparisonOperation":0,"comparisonValue":"205","minimumVersion":"","maximumVersion":"","formOrder":0,"lowerBound":null,"enabled":true,"mask":"","largeMask":"","maskKey":"","keyItemMaskOfField":null,"keyOptionIdReplace":"","relatedOptionIds":[],"onlineServices":[],"childCriteriaItemList":[],"clientContextJson":""},{"keyOptionId":"8937","caption":"Home Entertainment Software","isDefault":true,"maskCriteriaOnly":false,"definition":"","keyProductQueryItem":"305790","comparisonOperation":0,"comparisonValue":"206","minimumVersion":"","maximumVersion":"","formOrder":0,"lowerBound":null,"enabled":true,"mask":"","largeMask":"","maskKey":"","keyItemMaskOfField":null,"keyOptionIdReplace":"","relatedOptionIds":[],"onlineServices":[],"childCriteriaItemList":[],"clientContextJson":""}],"clientContextJson":""},{"keyOptionId":"8938","caption":"Technology Hardware and Equipmen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8939","caption":"Communications Equipment","isDefault":true,"maskCriteriaOnly":false,"definition":"","keyProductQueryItem":"305790","comparisonOperation":0,"comparisonValue":"208","minimumVersion":"","maximumVersion":"","formOrder":0,"lowerBound":null,"enabled":true,"mask":"","largeMask":"","maskKey":"","keyItemMaskOfField":null,"keyOptionIdReplace":"","relatedOptionIds":[],"onlineServices":[],"childCriteriaItemList":[],"clientContextJson":""},{"keyOptionId":"8940","caption":"Technology Hardware, Storage and Peripherals","isDefault":true,"maskCriteriaOnly":false,"definition":"","keyProductQueryItem":"305790","comparisonOperation":0,"comparisonValue":"209","minimumVersion":"","maximumVersion":"","formOrder":0,"lowerBound":null,"enabled":true,"mask":"","largeMask":"","maskKey":"","keyItemMaskOfField":null,"keyOptionIdReplace":"","relatedOptionIds":[],"onlineServices":[],"childCriteriaItemList":[],"clientContextJson":""},{"keyOptionId":"8941","caption":"Electronic Equipment and Instruments","isDefault":true,"maskCriteriaOnly":false,"definition":"","keyProductQueryItem":"305790","comparisonOperation":0,"comparisonValue":"210","minimumVersion":"","maximumVersion":"","formOrder":0,"lowerBound":null,"enabled":true,"mask":"","largeMask":"","maskKey":"","keyItemMaskOfField":null,"keyOptionIdReplace":"","relatedOptionIds":[],"onlineServices":[],"childCriteriaItemList":[],"clientContextJson":""},{"keyOptionId":"8942","caption":"Electronic Components","isDefault":true,"maskCriteriaOnly":false,"definition":"","keyProductQueryItem":"305790","comparisonOperation":0,"comparisonValue":"211","minimumVersion":"","maximumVersion":"","formOrder":0,"lowerBound":null,"enabled":true,"mask":"","largeMask":"","maskKey":"","keyItemMaskOfField":null,"keyOptionIdReplace":"","relatedOptionIds":[],"onlineServices":[],"childCriteriaItemList":[],"clientContextJson":""},{"keyOptionId":"8943","caption":"Electronic Manufacturing Services","isDefault":true,"maskCriteriaOnly":false,"definition":"","keyProductQueryItem":"305790","comparisonOperation":0,"comparisonValue":"212","minimumVersion":"","maximumVersion":"","formOrder":0,"lowerBound":null,"enabled":true,"mask":"","largeMask":"","maskKey":"","keyItemMaskOfField":null,"keyOptionIdReplace":"","relatedOptionIds":[],"onlineServices":[],"childCriteriaItemList":[],"clientContextJson":""},{"keyOptionId":"8944","caption":"Technology Distributors","isDefault":true,"maskCriteriaOnly":false,"definition":"","keyProductQueryItem":"305790","comparisonOperation":0,"comparisonValue":"213","minimumVersion":"","maximumVersion":"","formOrder":0,"lowerBound":null,"enabled":true,"mask":"","largeMask":"","maskKey":"","keyItemMaskOfField":null,"keyOptionIdReplace":"","relatedOptionIds":[],"onlineServices":[],"childCriteriaItemList":[],"clientContextJson":""},{"keyOptionId":"8945","caption":"Semiconductor Equipment","isDefault":true,"maskCriteriaOnly":false,"definition":"","keyProductQueryItem":"305790","comparisonOperation":0,"comparisonValue":"214","minimumVersion":"","maximumVersion":"","formOrder":0,"lowerBound":null,"enabled":true,"mask":"","largeMask":"","maskKey":"","keyItemMaskOfField":null,"keyOptionIdReplace":"","relatedOptionIds":[],"onlineServices":[],"childCriteriaItemList":[],"clientContextJson":""},{"keyOptionId":"8946","caption":"Semiconductors","isDefault":true,"maskCriteriaOnly":false,"definition":"","keyProductQueryItem":"305790","comparisonOperation":0,"comparisonValue":"215","minimumVersion":"","maximumVersion":"","formOrder":0,"lowerBound":null,"enabled":true,"mask":"","largeMask":"","maskKey":"","keyItemMaskOfField":null,"keyOptionIdReplace":"","relatedOptionIds":[],"onlineServices":[],"childCriteriaItemList":[],"clientContextJson":""}],"clientContextJson":""}],"clientContextJson":""},{"keyOptionId":"8947","caption":"Media","isDefault":false,"maskCriteriaOnly":true,"definition":"","keyProductQueryItem":"","comparisonOperation":null,"comparisonValue":"","minimumVersion":"","maximumVersion":"","formOrder":0,"lowerBound":null,"enabled":true,"mask":"","largeMask":"","maskKey":"","keyItemMaskOfField":null,"keyOptionIdReplace":"","relatedOptionIds"</t>
  </si>
  <si>
    <t>:[],"onlineServices":[],"childCriteriaItemList":[{"keyOptionId":"8948","caption":"Advertising","isDefault":true,"maskCriteriaOnly":false,"definition":"","keyProductQueryItem":"305790","comparisonOperation":0,"comparisonValue":"217","minimumVersion":"","maximumVersion":"","formOrder":0,"lowerBound":null,"enabled":true,"mask":"","largeMask":"","maskKey":"","keyItemMaskOfField":null,"keyOptionIdReplace":"","relatedOptionIds":[],"onlineServices":[],"childCriteriaItemList":[],"clientContextJson":""},{"keyOptionId":"8949","caption":"Broadcasting","isDefault":true,"maskCriteriaOnly":false,"definition":"","keyProductQueryItem":"305790","comparisonOperation":0,"comparisonValue":"218","minimumVersion":"","maximumVersion":"","formOrder":0,"lowerBound":null,"enabled":true,"mask":"","largeMask":"","maskKey":"","keyItemMaskOfField":null,"keyOptionIdReplace":"","relatedOptionIds":[],"onlineServices":[],"childCriteriaItemList":[],"clientContextJson":""},{"keyOptionId":"8950","caption":"Cable and Satellite","isDefault":true,"maskCriteriaOnly":false,"definition":"","keyProductQueryItem":"305790","comparisonOperation":0,"comparisonValue":"219","minimumVersion":"","maximumVersion":"","formOrder":0,"lowerBound":null,"enabled":true,"mask":"","largeMask":"","maskKey":"","keyItemMaskOfField":null,"keyOptionIdReplace":"","relatedOptionIds":[],"onlineServices":[],"childCriteriaItemList":[],"clientContextJson":""},{"keyOptionId":"8951","caption":"Movies and Entertainment","isDefault":true,"maskCriteriaOnly":false,"definition":"","keyProductQueryItem":"305790","comparisonOperation":0,"comparisonValue":"220","minimumVersion":"","maximumVersion":"","formOrder":0,"lowerBound":null,"enabled":true,"mask":"","largeMask":"","maskKey":"","keyItemMaskOfField":null,"keyOptionIdReplace":"","relatedOptionIds":[],"onlineServices":[],"childCriteriaItemList":[],"clientContextJson":""},{"keyOptionId":"8952","caption":"Publishing","isDefault":true,"maskCriteriaOnly":false,"definition":"","keyProductQueryItem":"305790","comparisonOperation":0,"comparisonValue":"221","minimumVersion":"","maximumVersion":"","formOrder":0,"lowerBound":null,"enabled":true,"mask":"","largeMask":"","maskKey":"","keyItemMaskOfField":null,"keyOptionIdReplace":"","relatedOptionIds":[],"onlineServices":[],"childCriteriaItemList":[],"clientContextJson":""}],"clientContextJson":""},{"keyOptionId":"8953","caption":"Telecommunication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8954","caption":"Alternative Carriers","isDefault":true,"maskCriteriaOnly":false,"definition":"","keyProductQueryItem":"305790","comparisonOperation":0,"comparisonValue":"223","minimumVersion":"","maximumVersion":"","formOrder":0,"lowerBound":null,"enabled":true,"mask":"","largeMask":"","maskKey":"","keyItemMaskOfField":null,"keyOptionIdReplace":"","relatedOptionIds":[],"onlineServices":[],"childCriteriaItemList":[],"clientContextJson":""},{"keyOptionId":"8955","caption":"Integrated Telecommunication Services","isDefault":true,"maskCriteriaOnly":false,"definition":"","keyProductQueryItem":"305790","comparisonOperation":0,"comparisonValue":"224","minimumVersion":"","maximumVersion":"","formOrder":0,"lowerBound":null,"enabled":true,"mask":"","largeMask":"","maskKey":"","keyItemMaskOfField":null,"keyOptionIdReplace":"","relatedOptionIds":[],"onlineServices":[],"childCriteriaItemList":[],"clientContextJson":""},{"keyOptionId":"8956","caption":"Wireless Telecommunication Services","isDefault":true,"maskCriteriaOnly":false,"definition":"","keyProductQueryItem":"305790","comparisonOperation":0,"comparisonValue":"225","minimumVersion":"","maximumVersion":"","formOrder":0,"lowerBound":null,"enabled":true,"mask":"","largeMask":"","maskKey":"","keyItemMaskOfField":null,"keyOptionIdReplace":"","relatedOptionIds":[],"onlineServices":[],"childCriteriaItemList":[],"clientContextJson":""}],"clientContextJson":""}],"clientContextJson":""}],"clientContextJson":""}]},{"filterGroupId":"8161","filterGroupIdReplace":"","caption":"Target/Issuer Geography","groupType":2,"optionType":1,"formOrder":30,"minimumVersion":"","maximumVersion":"","onlineServicesEnabled":false,"column":0,"columnFormOrder":30,"criteriaIdName":"","required":true,"dateDefaultType":"","criteriaItemList":[{"keyOptionId":"8162","caption":"All Geographi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8163","caption":"United States and Canad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8164","caption":"United Stat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8165","caption":"Mid Atlant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8166","caption":"Delaware","isDefault":true,"maskCriteriaOnly":false,"definition":"","keyProductQueryItem":"300051","comparisonOperation":0,"comparisonValue":"271","minimumVersion":"","maximumVersion":"","formOrder":0,"lowerBound":null,"enabled":true,"mask":"","largeMask":"","maskKey":"","keyItemMaskOfField":null,"keyOptionIdReplace":"","relatedOptionIds":[],"onlineServices":[],"childCriteriaItemList":[],"clientContextJson":""},{"keyOptionId":"8167","caption":"District of Columbia","isDefault":true,"maskCriteriaOnly":false,"definition":"","keyProductQueryItem":"300051","comparisonOperation":0,"comparisonValue":"270","minimumVersion":"","maximumVersion":"","formOrder":0,"lowerBound":null,"enabled":true,"mask":"","largeMask":"","maskKey":"","keyItemMaskOfField":null,"keyOptionIdReplace":"","relatedOptionIds":[],"onlineServices":[],"childCriteriaItemList":[],"clientContextJson":""},{"keyOptionId":"8168","caption":"Maryland","isDefault":true,"maskCriteriaOnly":false,"definition":"","keyProductQueryItem":"300051","comparisonOperation":0,"comparisonValue":"272","minimumVersion":"","maximumVersion":"","formOrder":0,"lowerBound":null,"enabled":true,"mask":"","largeMask":"","maskKey":"","keyItemMaskOfField":null,"keyOptionIdReplace":"","relatedOptionIds":[],"onlineServices":[],"childCriteriaItemList":[],"clientContextJson":""},{"keyOptionId":"8169","caption":"New Jersey","isDe</t>
  </si>
  <si>
    <t>fault":true,"maskCriteriaOnly":false,"definition":"","keyProductQueryItem":"300051","comparisonOperation":0,"comparisonValue":"273","minimumVersion":"","maximumVersion":"","formOrder":0,"lowerBound":null,"enabled":true,"mask":"","largeMask":"","maskKey":"","keyItemMaskOfField":null,"keyOptionIdReplace":"","relatedOptionIds":[],"onlineServices":[],"childCriteriaItemList":[],"clientContextJson":""},{"keyOptionId":"8170","caption":"New York","isDefault":true,"maskCriteriaOnly":false,"definition":"","keyProductQueryItem":"300051","comparisonOperation":0,"comparisonValue":"274","minimumVersion":"","maximumVersion":"","formOrder":0,"lowerBound":null,"enabled":true,"mask":"","largeMask":"","maskKey":"","keyItemMaskOfField":null,"keyOptionIdReplace":"","relatedOptionIds":[],"onlineServices":[],"childCriteriaItemList":[],"clientContextJson":""},{"keyOptionId":"8171","caption":"Pennsylvania","isDefault":true,"maskCriteriaOnly":false,"definition":"","keyProductQueryItem":"300051","comparisonOperation":0,"comparisonValue":"275","minimumVersion":"","maximumVersion":"","formOrder":0,"lowerBound":null,"enabled":true,"mask":"","largeMask":"","maskKey":"","keyItemMaskOfField":null,"keyOptionIdReplace":"","relatedOptionIds":[],"onlineServices":[],"childCriteriaItemList":[],"clientContextJson":""},{"keyOptionId":"8172","caption":"Puerto Rico","isDefault":true,"maskCriteriaOnly":false,"definition":"","keyProductQueryItem":"300051","comparisonOperation":0,"comparisonValue":"276","minimumVersion":"","maximumVersion":"","formOrder":0,"lowerBound":null,"enabled":true,"mask":"","largeMask":"","maskKey":"","keyItemMaskOfField":null,"keyOptionIdReplace":"","relatedOptionIds":[],"onlineServices":[],"childCriteriaItemList":[],"clientContextJson":""}],"clientContextJson":""},{"keyOptionId":"8173","caption":"Midwe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8174","caption":"Illinois","isDefault":true,"maskCriteriaOnly":false,"definition":"","keyProductQueryItem":"300051","comparisonOperation":0,"comparisonValue":"278","minimumVersion":"","maximumVersion":"","formOrder":0,"lowerBound":null,"enabled":true,"mask":"","largeMask":"","maskKey":"","keyItemMaskOfField":null,"keyOptionIdReplace":"","relatedOptionIds":[],"onlineServices":[],"childCriteriaItemList":[],"clientContextJson":""},{"keyOptionId":"8175","caption":"Indiana","isDefault":true,"maskCriteriaOnly":false,"definition":"","keyProductQueryItem":"300051","comparisonOperation":0,"comparisonValue":"279","minimumVersion":"","maximumVersion":"","formOrder":0,"lowerBound":null,"enabled":true,"mask":"","largeMask":"","maskKey":"","keyItemMaskOfField":null,"keyOptionIdReplace":"","relatedOptionIds":[],"onlineServices":[],"childCriteriaItemList":[],"clientContextJson":""},{"keyOptionId":"8176","caption":"Iowa","isDefault":true,"maskCriteriaOnly":false,"definition":"","keyProductQueryItem":"300051","comparisonOperation":0,"comparisonValue":"277","minimumVersion":"","maximumVersion":"","formOrder":0,"lowerBound":null,"enabled":true,"mask":"","largeMask":"","maskKey":"","keyItemMaskOfField":null,"keyOptionIdReplace":"","relatedOptionIds":[],"onlineServices":[],"childCriteriaItemList":[],"clientContextJson":""},{"keyOptionId":"8177","caption":"Kansas","isDefault":true,"maskCriteriaOnly":false,"definition":"","keyProductQueryItem":"300051","comparisonOperation":0,"comparisonValue":"280","minimumVersion":"","maximumVersion":"","formOrder":0,"lowerBound":null,"enabled":true,"mask":"","largeMask":"","maskKey":"","keyItemMaskOfField":null,"keyOptionIdReplace":"","relatedOptionIds":[],"onlineServices":[],"childCriteriaItemList":[],"clientContextJson":""},{"keyOptionId":"8178","caption":"Kentucky","isDefault":true,"maskCriteriaOnly":false,"definition":"","keyProductQueryItem":"300051","comparisonOperation":0,"comparisonValue":"281","minimumVersion":"","maximumVersion":"","formOrder":0,"lowerBound":null,"enabled":true,"mask":"","largeMask":"","maskKey":"","keyItemMaskOfField":null,"keyOptionIdReplace":"","relatedOptionIds":[],"onlineServices":[],"childCriteriaItemList":[],"clientContextJson":""},{"keyOptionId":"8179","caption":"Michigan","isDefault":true,"maskCriteriaOnly":false,"definition":"","keyProductQueryItem":"300051","comparisonOperation":0,"comparisonValue":"282","minimumVersion":"","maximumVersion":"","formOrder":0,"lowerBound":null,"enabled":true,"mask":"","largeMask":"","maskKey":"","keyItemMaskOfField":null,"keyOptionIdReplace":"","relatedOptionIds":[],"onlineServices":[],"childCriteriaItemList":[],"clientContextJson":""},{"keyOptionId":"8180","caption":"Minnesota","isDefault":true,"maskCriteriaOnly":false,"definition":"","keyProductQueryItem":"300051","comparisonOperation":0,"comparisonValue":"283","minimumVersion":"","maximumVersion":"","formOrder":0,"lowerBound":null,"enabled":true,"mask":"","largeMask":"","maskKey":"","keyItemMaskOfField":null,"keyOptionIdReplace":"","relatedOptionIds":[],"onlineServices":[],"childCriteriaItemList":[],"clientContextJson":""},{"keyOptionId":"8181","caption":"Missouri","isDefault":true,"maskCriteriaOnly":false,"definition":"","keyProductQueryItem":"300051","comparisonOperation":0,"comparisonValue":"284","minimumVersion":"","maximumVersion":"","formOrder":0,"lowerBound":null,"enabled":true,"mask":"","largeMask":"","maskKey":"","keyItemMaskOfField":null,"keyOptionIdReplace":"","relatedOptionIds":[],"onlineServices":[],"childCriteriaItemList":[],"clientContextJson":""},{"keyOptionId":"8182","caption":"Nebraska","isDefault":true,"maskCriteriaOnly":false,"definition":"","keyProductQueryItem":"300051","comparisonOperation":0,"comparisonValue":"286","minimumVersion":"","maximumVersion":"","formOrder":0,"lowerBound":null,"enabled":true,"mask":"","largeMask":"","maskKey":"","keyItemMaskOfField":null,"keyOptionIdReplace":"","relatedOptionIds":[],"onlineServices":[],"childCriteriaItemList":[],"clientContextJson":""},{"keyOptionId":"8183","caption":"North Dakota","isDefault":true,"maskCriteriaOnly":false,"definition":"","keyProductQueryItem":"300051","comparisonOperation":0,"comparisonValue":"285","minimumVersion":"","maximumVersion":"","formOrder":0,"lowerBound":null,"enabled":true,"mask":"","largeMask":"","maskKey":"","keyItemMaskOfField":null,"keyOptionIdReplace":"","relatedOptionIds":[],"onlineServices":[],"childCriteriaItemList":[],"clientContextJson":""},{"keyOptionId":"8184","caption":"Ohio","isDefault":true,"maskCriteriaOnly":false,"definition":"","keyProductQueryItem":"300051","comparisonOperation":0,"comparisonValue":"287","minimumVersion":"","maximumVersion":"","formOrder":0,"lowerBound":null,"enabled":true,"mask":"","largeMask":"","maskKey":"","keyItemMaskOfField":null,"keyOptionIdReplace":"","relatedOptionIds":[],"onlineServices":[],"childCriteriaItemList":[],"clientContextJson":""},{"keyOptionId":"8185","caption":"South Dakota","isDefault":true,"maskCriteriaOnly":false,"definition":"","keyProductQueryItem":"300051","comparisonOperation":0,"comparisonValue":"288","minimumVersion":"","maximumVersion":"","formOrder":0,"lowerBound":null,"enabled":true,"mask":"","largeMask":"","maskKey":"","keyItemMaskOfField":null,"keyOptionIdReplace":"","relatedOptionIds":[],"onlineServices":[],"childCriteriaItemList":[],"clientContextJson":""},{"keyOptionId":"8186","caption":"Wisconsin","isDefault":true,"maskCriteriaOnly":false,"definition":"","keyProductQueryI</t>
  </si>
  <si>
    <t>tem":"300051","comparisonOperation":0,"comparisonValue":"289","minimumVersion":"","maximumVersion":"","formOrder":0,"lowerBound":null,"enabled":true,"mask":"","largeMask":"","maskKey":"","keyItemMaskOfField":null,"keyOptionIdReplace":"","relatedOptionIds":[],"onlineServices":[],"childCriteriaItemList":[],"clientContextJson":""}],"clientContextJson":""},{"keyOptionId":"8187","caption":"Northea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8188","caption":"Connecticut","isDefault":true,"maskCriteriaOnly":false,"definition":"","keyProductQueryItem":"300051","comparisonOperation":0,"comparisonValue":"290","minimumVersion":"","maximumVersion":"","formOrder":0,"lowerBound":null,"enabled":true,"mask":"","largeMask":"","maskKey":"","keyItemMaskOfField":null,"keyOptionIdReplace":"","relatedOptionIds":[],"onlineServices":[],"childCriteriaItemList":[],"clientContextJson":""},{"keyOptionId":"8189","caption":"Maine","isDefault":true,"maskCriteriaOnly":false,"definition":"","keyProductQueryItem":"300051","comparisonOperation":0,"comparisonValue":"292","minimumVersion":"","maximumVersion":"","formOrder":0,"lowerBound":null,"enabled":true,"mask":"","largeMask":"","maskKey":"","keyItemMaskOfField":null,"keyOptionIdReplace":"","relatedOptionIds":[],"onlineServices":[],"childCriteriaItemList":[],"clientContextJson":""},{"keyOptionId":"8190","caption":"Massachusetts","isDefault":true,"maskCriteriaOnly":false,"definition":"","keyProductQueryItem":"300051","comparisonOperation":0,"comparisonValue":"291","minimumVersion":"","maximumVersion":"","formOrder":0,"lowerBound":null,"enabled":true,"mask":"","largeMask":"","maskKey":"","keyItemMaskOfField":null,"keyOptionIdReplace":"","relatedOptionIds":[],"onlineServices":[],"childCriteriaItemList":[],"clientContextJson":""},{"keyOptionId":"8191","caption":"New Hampshire","isDefault":true,"maskCriteriaOnly":false,"definition":"","keyProductQueryItem":"300051","comparisonOperation":0,"comparisonValue":"293","minimumVersion":"","maximumVersion":"","formOrder":0,"lowerBound":null,"enabled":true,"mask":"","largeMask":"","maskKey":"","keyItemMaskOfField":null,"keyOptionIdReplace":"","relatedOptionIds":[],"onlineServices":[],"childCriteriaItemList":[],"clientContextJson":""},{"keyOptionId":"8192","caption":"Rhode Island","isDefault":true,"maskCriteriaOnly":false,"definition":"","keyProductQueryItem":"300051","comparisonOperation":0,"comparisonValue":"294","minimumVersion":"","maximumVersion":"","formOrder":0,"lowerBound":null,"enabled":true,"mask":"","largeMask":"","maskKey":"","keyItemMaskOfField":null,"keyOptionIdReplace":"","relatedOptionIds":[],"onlineServices":[],"childCriteriaItemList":[],"clientContextJson":""},{"keyOptionId":"8193","caption":"Vermont","isDefault":true,"maskCriteriaOnly":false,"definition":"","keyProductQueryItem":"300051","comparisonOperation":0,"comparisonValue":"295","minimumVersion":"","maximumVersion":"","formOrder":0,"lowerBound":null,"enabled":true,"mask":"","largeMask":"","maskKey":"","keyItemMaskOfField":null,"keyOptionIdReplace":"","relatedOptionIds":[],"onlineServices":[],"childCriteriaItemList":[],"clientContextJson":""}],"clientContextJson":""},{"keyOptionId":"8194","caption":"Southea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8195","caption":"Alabama","isDefault":true,"maskCriteriaOnly":false,"definition":"","keyProductQueryItem":"300051","comparisonOperation":0,"comparisonValue":"296","minimumVersion":"","maximumVersion":"","formOrder":0,"lowerBound":null,"enabled":true,"mask":"","largeMask":"","maskKey":"","keyItemMaskOfField":null,"keyOptionIdReplace":"","relatedOptionIds":[],"onlineServices":[],"childCriteriaItemList":[],"clientContextJson":""},{"keyOptionId":"8196","caption":"Arkansas","isDefault":true,"maskCriteriaOnly":false,"definition":"","keyProductQueryItem":"300051","comparisonOperation":0,"comparisonValue":"297","minimumVersion":"","maximumVersion":"","formOrder":0,"lowerBound":null,"enabled":true,"mask":"","largeMask":"","maskKey":"","keyItemMaskOfField":null,"keyOptionIdReplace":"","relatedOptionIds":[],"onlineServices":[],"childCriteriaItemList":[],"clientContextJson":""},{"keyOptionId":"8197","caption":"Florida","isDefault":true,"maskCriteriaOnly":false,"definition":"","keyProductQueryItem":"300051","comparisonOperation":0,"comparisonValue":"298","minimumVersion":"","maximumVersion":"","formOrder":0,"lowerBound":null,"enabled":true,"mask":"","largeMask":"","maskKey":"","keyItemMaskOfField":null,"keyOptionIdReplace":"","relatedOptionIds":[],"onlineServices":[],"childCriteriaItemList":[],"clientContextJson":""},{"keyOptionId":"8198","caption":"Georgia","isDefault":true,"maskCriteriaOnly":false,"definition":"","keyProductQueryItem":"300051","comparisonOperation":0,"comparisonValue":"299","minimumVersion":"","maximumVersion":"","formOrder":0,"lowerBound":null,"enabled":true,"mask":"","largeMask":"","maskKey":"","keyItemMaskOfField":null,"keyOptionIdReplace":"","relatedOptionIds":[],"onlineServices":[],"childCriteriaItemList":[],"clientContextJson":""},{"keyOptionId":"8199","caption":"Mississippi","isDefault":true,"maskCriteriaOnly":false,"definition":"","keyProductQueryItem":"300051","comparisonOperation":0,"comparisonValue":"300","minimumVersion":"","maximumVersion":"","formOrder":0,"lowerBound":null,"enabled":true,"mask":"","largeMask":"","maskKey":"","keyItemMaskOfField":null,"keyOptionIdReplace":"","relatedOptionIds":[],"onlineServices":[],"childCriteriaItemList":[],"clientContextJson":""},{"keyOptionId":"8200","caption":"North Carolina","isDefault":true,"maskCriteriaOnly":false,"definition":"","keyProductQueryItem":"300051","comparisonOperation":0,"comparisonValue":"301","minimumVersion":"","maximumVersion":"","formOrder":0,"lowerBound":null,"enabled":true,"mask":"","largeMask":"","maskKey":"","keyItemMaskOfField":null,"keyOptionIdReplace":"","relatedOptionIds":[],"onlineServices":[],"childCriteriaItemList":[],"clientContextJson":""},{"keyOptionId":"8201","caption":"South Carolina","isDefault":true,"maskCriteriaOnly":false,"definition":"","keyProductQueryItem":"300051","comparisonOperation":0,"comparisonValue":"302","minimumVersion":"","maximumVersion":"","formOrder":0,"lowerBound":null,"enabled":true,"mask":"","largeMask":"","maskKey":"","keyItemMaskOfField":null,"keyOptionIdReplace":"","relatedOptionIds":[],"onlineServices":[],"childCriteriaItemList":[],"clientContextJson":""},{"keyOptionId":"8202","caption":"Tennessee","isDefault":true,"maskCriteriaOnly":false,"definition":"","keyProductQueryItem":"300051","comparisonOperation":0,"comparisonValue":"303","minimumVersion":"","maximumVersion":"","formOrder":0,"lowerBound":null,"enabled":true,"mask":"","largeMask":"","maskKey":"","keyItemMaskOfField":null,"keyOptionIdReplace":"","relatedOptionIds":[],"onlineServices":[],"childCriteriaItemList":[],"clientContextJson":""},{"keyOptionId":"8203","caption":"Virgin Islands, U.S.","isDefault":true,"maskCriteriaOnly":false,"definition":"","keyProductQueryItem":"300051","comparisonOperation":0,"com</t>
  </si>
  <si>
    <t>parisonValue":"305","minimumVersion":"","maximumVersion":"","formOrder":0,"lowerBound":null,"enabled":true,"mask":"","largeMask":"","maskKey":"","keyItemMaskOfField":null,"keyOptionIdReplace":"","relatedOptionIds":[],"onlineServices":[],"childCriteriaItemList":[],"clientContextJson":""},{"keyOptionId":"8204","caption":"Virginia","isDefault":true,"maskCriteriaOnly":false,"definition":"","keyProductQueryItem":"300051","comparisonOperation":0,"comparisonValue":"304","minimumVersion":"","maximumVersion":"","formOrder":0,"lowerBound":null,"enabled":true,"mask":"","largeMask":"","maskKey":"","keyItemMaskOfField":null,"keyOptionIdReplace":"","relatedOptionIds":[],"onlineServices":[],"childCriteriaItemList":[],"clientContextJson":""},{"keyOptionId":"8205","caption":"West Virginia","isDefault":true,"maskCriteriaOnly":false,"definition":"","keyProductQueryItem":"300051","comparisonOperation":0,"comparisonValue":"306","minimumVersion":"","maximumVersion":"","formOrder":0,"lowerBound":null,"enabled":true,"mask":"","largeMask":"","maskKey":"","keyItemMaskOfField":null,"keyOptionIdReplace":"","relatedOptionIds":[],"onlineServices":[],"childCriteriaItemList":[],"clientContextJson":""}],"clientContextJson":""},{"keyOptionId":"8206","caption":"Southwe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8207","caption":"Colorado","isDefault":true,"maskCriteriaOnly":false,"definition":"","keyProductQueryItem":"300051","comparisonOperation":0,"comparisonValue":"307","minimumVersion":"","maximumVersion":"","formOrder":0,"lowerBound":null,"enabled":true,"mask":"","largeMask":"","maskKey":"","keyItemMaskOfField":null,"keyOptionIdReplace":"","relatedOptionIds":[],"onlineServices":[],"childCriteriaItemList":[],"clientContextJson":""},{"keyOptionId":"8208","caption":"Louisiana","isDefault":true,"maskCriteriaOnly":false,"definition":"","keyProductQueryItem":"300051","comparisonOperation":0,"comparisonValue":"308","minimumVersion":"","maximumVersion":"","formOrder":0,"lowerBound":null,"enabled":true,"mask":"","largeMask":"","maskKey":"","keyItemMaskOfField":null,"keyOptionIdReplace":"","relatedOptionIds":[],"onlineServices":[],"childCriteriaItemList":[],"clientContextJson":""},{"keyOptionId":"8209","caption":"New Mexico","isDefault":true,"maskCriteriaOnly":false,"definition":"","keyProductQueryItem":"300051","comparisonOperation":0,"comparisonValue":"309","minimumVersion":"","maximumVersion":"","formOrder":0,"lowerBound":null,"enabled":true,"mask":"","largeMask":"","maskKey":"","keyItemMaskOfField":null,"keyOptionIdReplace":"","relatedOptionIds":[],"onlineServices":[],"childCriteriaItemList":[],"clientContextJson":""},{"keyOptionId":"8210","caption":"Oklahoma","isDefault":true,"maskCriteriaOnly":false,"definition":"","keyProductQueryItem":"300051","comparisonOperation":0,"comparisonValue":"310","minimumVersion":"","maximumVersion":"","formOrder":0,"lowerBound":null,"enabled":true,"mask":"","largeMask":"","maskKey":"","keyItemMaskOfField":null,"keyOptionIdReplace":"","relatedOptionIds":[],"onlineServices":[],"childCriteriaItemList":[],"clientContextJson":""},{"keyOptionId":"8211","caption":"Texas","isDefault":true,"maskCriteriaOnly":false,"definition":"","keyProductQueryItem":"300051","comparisonOperation":0,"comparisonValue":"311","minimumVersion":"","maximumVersion":"","formOrder":0,"lowerBound":null,"enabled":true,"mask":"","largeMask":"","maskKey":"","keyItemMaskOfField":null,"keyOptionIdReplace":"","relatedOptionIds":[],"onlineServices":[],"childCriteriaItemList":[],"clientContextJson":""},{"keyOptionId":"8212","caption":"Utah","isDefault":true,"maskCriteriaOnly":false,"definition":"","keyProductQueryItem":"300051","comparisonOperation":0,"comparisonValue":"312","minimumVersion":"","maximumVersion":"","formOrder":0,"lowerBound":null,"enabled":true,"mask":"","largeMask":"","maskKey":"","keyItemMaskOfField":null,"keyOptionIdReplace":"","relatedOptionIds":[],"onlineServices":[],"childCriteriaItemList":[],"clientContextJson":""}],"clientContextJson":""},{"keyOptionId":"8213","caption":"We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8214","caption":"Alaska","isDefault":true,"maskCriteriaOnly":false,"definition":"","keyProductQueryItem":"300051","comparisonOperation":0,"comparisonValue":"313","minimumVersion":"","maximumVersion":"","formOrder":0,"lowerBound":null,"enabled":true,"mask":"","largeMask":"","maskKey":"","keyItemMaskOfField":null,"keyOptionIdReplace":"","relatedOptionIds":[],"onlineServices":[],"childCriteriaItemList":[],"clientContextJson":""},{"keyOptionId":"8215","caption":"American Samoa","isDefault":true,"maskCriteriaOnly":false,"definition":"","keyProductQueryItem":"300051","comparisonOperation":0,"comparisonValue":"314","minimumVersion":"","maximumVersion":"","formOrder":0,"lowerBound":null,"enabled":true,"mask":"","largeMask":"","maskKey":"","keyItemMaskOfField":null,"keyOptionIdReplace":"","relatedOptionIds":[],"onlineServices":[],"childCriteriaItemList":[],"clientContextJson":""},{"keyOptionId":"8216","caption":"Arizona","isDefault":true,"maskCriteriaOnly":false,"definition":"","keyProductQueryItem":"300051","comparisonOperation":0,"comparisonValue":"315","minimumVersion":"","maximumVersion":"","formOrder":0,"lowerBound":null,"enabled":true,"mask":"","largeMask":"","maskKey":"","keyItemMaskOfField":null,"keyOptionIdReplace":"","relatedOptionIds":[],"onlineServices":[],"childCriteriaItemList":[],"clientContextJson":""},{"keyOptionId":"8217","caption":"California","isDefault":true,"maskCriteriaOnly":false,"definition":"","keyProductQueryItem":"300051","comparisonOperation":0,"comparisonValue":"316","minimumVersion":"","maximumVersion":"","formOrder":0,"lowerBound":null,"enabled":true,"mask":"","largeMask":"","maskKey":"","keyItemMaskOfField":null,"keyOptionIdReplace":"","relatedOptionIds":[],"onlineServices":[],"childCriteriaItemList":[],"clientContextJson":""},{"keyOptionId":"8218","caption":"Guam","isDefault":true,"maskCriteriaOnly":false,"definition":"","keyProductQueryItem":"300051","comparisonOperation":0,"comparisonValue":"318","minimumVersion":"","maximumVersion":"","formOrder":0,"lowerBound":null,"enabled":true,"mask":"","largeMask":"","maskKey":"","keyItemMaskOfField":null,"keyOptionIdReplace":"","relatedOptionIds":[],"onlineServices":[],"childCriteriaItemList":[],"clientContextJson":""},{"keyOptionId":"8219","caption":"Hawaii","isDefault":true,"maskCriteriaOnly":false,"definition":"","keyProductQueryItem":"300051","comparisonOperation":0,"comparisonValue":"319","minimumVersion":"","maximumVersion":"","formOrder":0,"lowerBound":null,"enabled":true,"mask":"","largeMask":"","maskKey":"","keyItemMaskOfField":null,"keyOptionIdReplace":"","relatedOptionIds":[],"onlineServices":[],"childCriteriaItemList":[],"clientContextJson":""},{"keyOptionId":"8220","caption":"Idaho","isDefault":true,"maskCriteriaOnly":false,"definition":"","keyProductQueryItem":"300051","comparisonOperation":0,"comparisonValue":"320","minimumVersion":"","maximumVersion":"","formOrder":0,"lowerBound":n</t>
  </si>
  <si>
    <t>ull,"enabled":true,"mask":"","largeMask":"","maskKey":"","keyItemMaskOfField":null,"keyOptionIdReplace":"","relatedOptionIds":[],"onlineServices":[],"childCriteriaItemList":[],"clientContextJson":""},{"keyOptionId":"8221","caption":"Montana","isDefault":true,"maskCriteriaOnly":false,"definition":"","keyProductQueryItem":"300051","comparisonOperation":0,"comparisonValue":"323","minimumVersion":"","maximumVersion":"","formOrder":0,"lowerBound":null,"enabled":true,"mask":"","largeMask":"","maskKey":"","keyItemMaskOfField":null,"keyOptionIdReplace":"","relatedOptionIds":[],"onlineServices":[],"childCriteriaItemList":[],"clientContextJson":""},{"keyOptionId":"8222","caption":"Nevada","isDefault":true,"maskCriteriaOnly":false,"definition":"","keyProductQueryItem":"300051","comparisonOperation":0,"comparisonValue":"324","minimumVersion":"","maximumVersion":"","formOrder":0,"lowerBound":null,"enabled":true,"mask":"","largeMask":"","maskKey":"","keyItemMaskOfField":null,"keyOptionIdReplace":"","relatedOptionIds":[],"onlineServices":[],"childCriteriaItemList":[],"clientContextJson":""},{"keyOptionId":"8223","caption":"Northern Mariana Islands","isDefault":true,"maskCriteriaOnly":false,"definition":"","keyProductQueryItem":"300051","comparisonOperation":0,"comparisonValue":"322","minimumVersion":"","maximumVersion":"","formOrder":0,"lowerBound":null,"enabled":true,"mask":"","largeMask":"","maskKey":"","keyItemMaskOfField":null,"keyOptionIdReplace":"","relatedOptionIds":[],"onlineServices":[],"childCriteriaItemList":[],"clientContextJson":""},{"keyOptionId":"8224","caption":"Oregon","isDefault":true,"maskCriteriaOnly":false,"definition":"","keyProductQueryItem":"300051","comparisonOperation":0,"comparisonValue":"325","minimumVersion":"","maximumVersion":"","formOrder":0,"lowerBound":null,"enabled":true,"mask":"","largeMask":"","maskKey":"","keyItemMaskOfField":null,"keyOptionIdReplace":"","relatedOptionIds":[],"onlineServices":[],"childCriteriaItemList":[],"clientContextJson":""},{"keyOptionId":"8225","caption":"United States Minor Outlying Islands","isDefault":true,"maskCriteriaOnly":false,"definition":"","keyProductQueryItem":"300051","comparisonOperation":0,"comparisonValue":"327","minimumVersion":"","maximumVersion":"","formOrder":0,"lowerBound":null,"enabled":true,"mask":"","largeMask":"","maskKey":"","keyItemMaskOfField":null,"keyOptionIdReplace":"","relatedOptionIds":[],"onlineServices":[],"childCriteriaItemList":[],"clientContextJson":""},{"keyOptionId":"8226","caption":"Washington","isDefault":true,"maskCriteriaOnly":false,"definition":"","keyProductQueryItem":"300051","comparisonOperation":0,"comparisonValue":"328","minimumVersion":"","maximumVersion":"","formOrder":0,"lowerBound":null,"enabled":true,"mask":"","largeMask":"","maskKey":"","keyItemMaskOfField":null,"keyOptionIdReplace":"","relatedOptionIds":[],"onlineServices":[],"childCriteriaItemList":[],"clientContextJson":""},{"keyOptionId":"8227","caption":"Wyoming","isDefault":true,"maskCriteriaOnly":false,"definition":"","keyProductQueryItem":"300051","comparisonOperation":0,"comparisonValue":"329","minimumVersion":"","maximumVersion":"","formOrder":0,"lowerBound":null,"enabled":true,"mask":"","largeMask":"","maskKey":"","keyItemMaskOfField":null,"keyOptionIdReplace":"","relatedOptionIds":[],"onlineServices":[],"childCriteriaItemList":[],"clientContextJson":""}],"clientContextJson":""},{"keyOptionId":"8957","caption":"Unknown","isDefault":true,"maskCriteriaOnly":false,"definition":"","keyProductQueryItem":"300051","comparisonOperation":0,"comparisonValue":"33","minimumVersion":"","maximumVersion":"","formOrder":0,"lowerBound":null,"enabled":true,"mask":"","largeMask":"","maskKey":"","keyItemMaskOfField":null,"keyOptionIdReplace":"","relatedOptionIds":[],"onlineServices":[],"childCriteriaItemList":[],"clientContextJson":""}],"clientContextJson":""},{"keyOptionId":"8228","caption":"Canada","isDefault":true,"maskCriteriaOnly":false,"definition":"","keyProductQueryItem":"300051","comparisonOperation":0,"comparisonValue":"38","minimumVersion":"","maximumVersion":"","formOrder":0,"lowerBound":null,"enabled":true,"mask":"","largeMask":"","maskKey":"","keyItemMaskOfField":null,"keyOptionIdReplace":"","relatedOptionIds":[],"onlineServices":[],"childCriteriaItemList":[],"clientContextJson":""},{"keyOptionId":"8229","caption":"Bermuda","isDefault":true,"maskCriteriaOnly":false,"definition":"","keyProductQueryItem":"300051","comparisonOperation":0,"comparisonValue":"12","minimumVersion":"","maximumVersion":"","formOrder":0,"lowerBound":null,"enabled":true,"mask":"","largeMask":"","maskKey":"","keyItemMaskOfField":null,"keyOptionIdReplace":"","relatedOptionIds":[],"onlineServices":[],"childCriteriaItemList":[],"clientContextJson":""}],"clientContextJson":""},{"keyOptionId":"8230","caption":"Europ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8231","caption":"Developed Europ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8232","caption":"Andorra","isDefault":true,"maskCriteriaOnly":false,"definition":"","keyProductQueryItem":"300051","comparisonOperation":0,"comparisonValue":"170","minimumVersion":"","maximumVersion":"","formOrder":0,"lowerBound":null,"enabled":true,"mask":"","largeMask":"","maskKey":"","keyItemMaskOfField":null,"keyOptionIdReplace":"","relatedOptionIds":[],"onlineServices":[],"childCriteriaItemList":[],"clientContextJson":""},{"keyOptionId":"8233","caption":"Austria","isDefault":true,"maskCriteriaOnly":false,"definition":"","keyProductQueryItem":"300051","comparisonOperation":0,"comparisonValue":"206","minimumVersion":"","maximumVersion":"","formOrder":0,"lowerBound":null,"enabled":true,"mask":"","largeMask":"","maskKey":"","keyItemMaskOfField":null,"keyOptionIdReplace":"","relatedOptionIds":[],"onlineServices":[],"childCriteriaItemList":[],"clientContextJson":""},{"keyOptionId":"8234","caption":"Belgium","isDefault":true,"maskCriteriaOnly":false,"definition":"","keyProductQueryItem":"300051","comparisonOperation":0,"comparisonValue":"175","minimumVersion":"","maximumVersion":"","formOrder":0,"lowerBound":null,"enabled":true,"mask":"","largeMask":"","maskKey":"","keyItemMaskOfField":null,"keyOptionIdReplace":"","relatedOptionIds":[],"onlineServices":[],"childCriteriaItemList":[],"clientContextJson":""},{"keyOptionId":"8235","caption":"Cyprus","isDefault":true,"maskCriteriaOnly":false,"definition":"","keyProductQueryItem":"300051","comparisonOperation":0,"comparisonValue":"126","minimumVersion":"","maximumVersion":"","formOrder":0,"lowerBound":null,"enabled":true,"mask":"","largeMask":"","maskKey":"","keyItemMaskOfField":null,"keyOptionIdReplace":"","relatedOptionIds":[],"onlineServices":[],"childCriteriaItemList":[],"clientContextJson":""},{"keyOptionId":"8236","caption":"Czech Republic","isDefault":true,"maskCriteriaOnly":false,"definition":"","keyProductQueryItem":"300051","comparisonOperation":0,"comparisonValue":"207","minimumVersion":"","maximumVersion":"","formOrder":0,"lowerBound":null,"enabled":tru</t>
  </si>
  <si>
    <t>e,"mask":"","largeMask":"","maskKey":"","keyItemMaskOfField":null,"keyOptionIdReplace":"","relatedOptionIds":[],"onlineServices":[],"childCriteriaItemList":[],"clientContextJson":""},{"keyOptionId":"8237","caption":"Denmark","isDefault":true,"maskCriteriaOnly":false,"definition":"","keyProductQueryItem":"300051","comparisonOperation":0,"comparisonValue":"209","minimumVersion":"","maximumVersion":"","formOrder":0,"lowerBound":null,"enabled":true,"mask":"","largeMask":"","maskKey":"","keyItemMaskOfField":null,"keyOptionIdReplace":"","relatedOptionIds":[],"onlineServices":[],"childCriteriaItemList":[],"clientContextJson":""},{"keyOptionId":"8238","caption":"Finland","isDefault":true,"maskCriteriaOnly":false,"definition":"","keyProductQueryItem":"300051","comparisonOperation":0,"comparisonValue":"181","minimumVersion":"","maximumVersion":"","formOrder":0,"lowerBound":null,"enabled":true,"mask":"","largeMask":"","maskKey":"","keyItemMaskOfField":null,"keyOptionIdReplace":"","relatedOptionIds":[],"onlineServices":[],"childCriteriaItemList":[],"clientContextJson":""},{"keyOptionId":"8239","caption":"France","isDefault":true,"maskCriteriaOnly":false,"definition":"","keyProductQueryItem":"300051","comparisonOperation":0,"comparisonValue":"183","minimumVersion":"","maximumVersion":"","formOrder":0,"lowerBound":null,"enabled":true,"mask":"","largeMask":"","maskKey":"","keyItemMaskOfField":null,"keyOptionIdReplace":"","relatedOptionIds":[],"onlineServices":[],"childCriteriaItemList":[],"clientContextJson":""},{"keyOptionId":"8240","caption":"Germany","isDefault":true,"maskCriteriaOnly":false,"definition":"","keyProductQueryItem":"300051","comparisonOperation":0,"comparisonValue":"208","minimumVersion":"","maximumVersion":"","formOrder":0,"lowerBound":null,"enabled":true,"mask":"","largeMask":"","maskKey":"","keyItemMaskOfField":null,"keyOptionIdReplace":"","relatedOptionIds":[],"onlineServices":[],"childCriteriaItemList":[],"clientContextJson":""},{"keyOptionId":"8241","caption":"Gibraltar","isDefault":true,"maskCriteriaOnly":false,"definition":"","keyProductQueryItem":"300051","comparisonOperation":0,"comparisonValue":"185","minimumVersion":"","maximumVersion":"","formOrder":0,"lowerBound":null,"enabled":true,"mask":"","largeMask":"","maskKey":"","keyItemMaskOfField":null,"keyOptionIdReplace":"","relatedOptionIds":[],"onlineServices":[],"childCriteriaItemList":[],"clientContextJson":""},{"keyOptionId":"8242","caption":"Greece","isDefault":true,"maskCriteriaOnly":false,"definition":"","keyProductQueryItem":"300051","comparisonOperation":0,"comparisonValue":"186","minimumVersion":"","maximumVersion":"","formOrder":0,"lowerBound":null,"enabled":true,"mask":"","largeMask":"","maskKey":"","keyItemMaskOfField":null,"keyOptionIdReplace":"","relatedOptionIds":[],"onlineServices":[],"childCriteriaItemList":[],"clientContextJson":""},{"keyOptionId":"8243","caption":"Greenland","isDefault":true,"maskCriteriaOnly":false,"definition":"","keyProductQueryItem":"300051","comparisonOperation":0,"comparisonValue":"19","minimumVersion":"","maximumVersion":"","formOrder":0,"lowerBound":null,"enabled":true,"mask":"","largeMask":"","maskKey":"","keyItemMaskOfField":null,"keyOptionIdReplace":"","relatedOptionIds":[],"onlineServices":[],"childCriteriaItemList":[],"clientContextJson":""},{"keyOptionId":"8244","caption":"Iceland","isDefault":true,"maskCriteriaOnly":false,"definition":"","keyProductQueryItem":"300051","comparisonOperation":0,"comparisonValue":"189","minimumVersion":"","maximumVersion":"","formOrder":0,"lowerBound":null,"enabled":true,"mask":"","largeMask":"","maskKey":"","keyItemMaskOfField":null,"keyOptionIdReplace":"","relatedOptionIds":[],"onlineServices":[],"childCriteriaItemList":[],"clientContextJson":""},{"keyOptionId":"8245","caption":"Ireland","isDefault":true,"maskCriteriaOnly":false,"definition":"","keyProductQueryItem":"300051","comparisonOperation":0,"comparisonValue":"212","minimumVersion":"","maximumVersion":"","formOrder":0,"lowerBound":null,"enabled":true,"mask":"","largeMask":"","maskKey":"","keyItemMaskOfField":null,"keyOptionIdReplace":"","relatedOptionIds":[],"onlineServices":[],"childCriteriaItemList":[],"clientContextJson":""},{"keyOptionId":"8246","caption":"Italy","isDefault":true,"maskCriteriaOnly":false,"definition":"","keyProductQueryItem":"300051","comparisonOperation":0,"comparisonValue":"190","minimumVersion":"","maximumVersion":"","formOrder":0,"lowerBound":null,"enabled":true,"mask":"","largeMask":"","maskKey":"","keyItemMaskOfField":null,"keyOptionIdReplace":"","relatedOptionIds":[],"onlineServices":[],"childCriteriaItemList":[],"clientContextJson":""},{"keyOptionId":"8247","caption":"Liechtenstein","isDefault":true,"maskCriteriaOnly":false,"definition":"","keyProductQueryItem":"300051","comparisonOperation":0,"comparisonValue":"213","minimumVersion":"","maximumVersion":"","formOrder":0,"lowerBound":null,"enabled":true,"mask":"","largeMask":"","maskKey":"","keyItemMaskOfField":null,"keyOptionIdReplace":"","relatedOptionIds":[],"onlineServices":[],"childCriteriaItemList":[],"clientContextJson":""},{"keyOptionId":"8248","caption":"Luxembourg","isDefault":true,"maskCriteriaOnly":false,"definition":"","keyProductQueryItem":"300051","comparisonOperation":0,"comparisonValue":"214","minimumVersion":"","maximumVersion":"","formOrder":0,"lowerBound":null,"enabled":true,"mask":"","largeMask":"","maskKey":"","keyItemMaskOfField":null,"keyOptionIdReplace":"","relatedOptionIds":[],"onlineServices":[],"childCriteriaItemList":[],"clientContextJson":""},{"keyOptionId":"8249","caption":"Malta","isDefault":true,"maskCriteriaOnly":false,"definition":"","keyProductQueryItem":"300051","comparisonOperation":0,"comparisonValue":"195","minimumVersion":"","maximumVersion":"","formOrder":0,"lowerBound":null,"enabled":true,"mask":"","largeMask":"","maskKey":"","keyItemMaskOfField":null,"keyOptionIdReplace":"","relatedOptionIds":[],"onlineServices":[],"childCriteriaItemList":[],"clientContextJson":""},{"keyOptionId":"8250","caption":"Monaco","isDefault":true,"maskCriteriaOnly":false,"definition":"","keyProductQueryItem":"300051","comparisonOperation":0,"comparisonValue":"215","minimumVersion":"","maximumVersion":"","formOrder":0,"lowerBound":null,"enabled":true,"mask":"","largeMask":"","maskKey":"","keyItemMaskOfField":null,"keyOptionIdReplace":"","relatedOptionIds":[],"onlineServices":[],"childCriteriaItemList":[],"clientContextJson":""},{"keyOptionId":"8251","caption":"Netherlands","isDefault":true,"maskCriteriaOnly":false,"definition":"","keyProductQueryItem":"300051","comparisonOperation":0,"comparisonValue":"216","minimumVersion":"","maximumVersion":"","formOrder":0,"lowerBound":null,"enabled":true,"mask":"","largeMask":"","maskKey":"","keyItemMaskOfField":null,"keyOptionIdReplace":"","relatedOptionIds":[],"onlineServices":[],"childCriteriaItemList":[],"clientContextJson":""},{"keyOptionId":"8252","caption":"Norway","isDefault":true,"maskCriteriaOnly":false,"definition":"","keyProductQueryItem":"300051","comparisonOperation":0,"comparisonValue":"196","minimumVersion":"","maximumVersion":"","formOrder":0,"lowerBound":null,"enabled":true,"mask":"","largeMask":"","maskKey":"","keyItemMaskOfField":null,"keyOptionIdReplace":"","relatedOptionIds":[],"onlineServices":[],"childCriteriaItemList":[],"clientContextJson":""},{"keyOptionId":"8253","caption":"Portugal","isDefault":true,"maskCriteriaOnly":false,"definition":"","keyProductQueryItem":"300051","comparisonOperation":0,"comparisonValue":"218","minimumVersion":"","maximumVersion":"","formOrder":0,"lowerBound":null,"enabled":true,"mask":"","largeMask":"","maskKey":"","keyItemMaskOfField":null,"keyOption</t>
  </si>
  <si>
    <t>IdReplace":"","relatedOptionIds":[],"onlineServices":[],"childCriteriaItemList":[],"clientContextJson":""},{"keyOptionId":"8254","caption":"San Marino","isDefault":true,"maskCriteriaOnly":false,"definition":"","keyProductQueryItem":"300051","comparisonOperation":0,"comparisonValue":"202","minimumVersion":"","maximumVersion":"","formOrder":0,"lowerBound":null,"enabled":true,"mask":"","largeMask":"","maskKey":"","keyItemMaskOfField":null,"keyOptionIdReplace":"","relatedOptionIds":[],"onlineServices":[],"childCriteriaItemList":[],"clientContextJson":""},{"keyOptionId":"8255","caption":"Slovakia","isDefault":true,"maskCriteriaOnly":false,"definition":"","keyProductQueryItem":"300051","comparisonOperation":0,"comparisonValue":"201","minimumVersion":"","maximumVersion":"","formOrder":0,"lowerBound":null,"enabled":true,"mask":"","largeMask":"","maskKey":"","keyItemMaskOfField":null,"keyOptionIdReplace":"","relatedOptionIds":[],"onlineServices":[],"childCriteriaItemList":[],"clientContextJson":""},{"keyOptionId":"8256","caption":"Slovenia","isDefault":true,"maskCriteriaOnly":false,"definition":"","keyProductQueryItem":"300051","comparisonOperation":0,"comparisonValue":"199","minimumVersion":"","maximumVersion":"","formOrder":0,"lowerBound":null,"enabled":true,"mask":"","largeMask":"","maskKey":"","keyItemMaskOfField":null,"keyOptionIdReplace":"","relatedOptionIds":[],"onlineServices":[],"childCriteriaItemList":[],"clientContextJson":""},{"keyOptionId":"8257","caption":"Spain","isDefault":true,"maskCriteriaOnly":false,"definition":"","keyProductQueryItem":"300051","comparisonOperation":0,"comparisonValue":"210","minimumVersion":"","maximumVersion":"","formOrder":0,"lowerBound":null,"enabled":true,"mask":"","largeMask":"","maskKey":"","keyItemMaskOfField":null,"keyOptionIdReplace":"","relatedOptionIds":[],"onlineServices":[],"childCriteriaItemList":[],"clientContextJson":""},{"keyOptionId":"8258","caption":"Sweden","isDefault":true,"maskCriteriaOnly":false,"definition":"","keyProductQueryItem":"300051","comparisonOperation":0,"comparisonValue":"219","minimumVersion":"","maximumVersion":"","formOrder":0,"lowerBound":null,"enabled":true,"mask":"","largeMask":"","maskKey":"","keyItemMaskOfField":null,"keyOptionIdReplace":"","relatedOptionIds":[],"onlineServices":[],"childCriteriaItemList":[],"clientContextJson":""},{"keyOptionId":"8259","caption":"Switzerland","isDefault":true,"maskCriteriaOnly":false,"definition":"","keyProductQueryItem":"300051","comparisonOperation":0,"comparisonValue":"178","minimumVersion":"","maximumVersion":"","formOrder":0,"lowerBound":null,"enabled":true,"mask":"","largeMask":"","maskKey":"","keyItemMaskOfField":null,"keyOptionIdReplace":"","relatedOptionIds":[],"onlineServices":[],"childCriteriaItemList":[],"clientContextJson":""},{"keyOptionId":"8260","caption":"United Kingdom","isDefault":true,"maskCriteriaOnly":false,"definition":"","keyProductQueryItem":"300051","comparisonOperation":0,"comparisonValue":"211","minimumVersion":"","maximumVersion":"","formOrder":0,"lowerBound":null,"enabled":true,"mask":"","largeMask":"","maskKey":"","keyItemMaskOfField":null,"keyOptionIdReplace":"","relatedOptionIds":[],"onlineServices":[],"childCriteriaItemList":[],"clientContextJson":""},{"keyOptionId":"8261","caption":"Vatican City","isDefault":true,"maskCriteriaOnly":false,"definition":"","keyProductQueryItem":"300051","comparisonOperation":0,"comparisonValue":"205","minimumVersion":"","maximumVersion":"","formOrder":0,"lowerBound":null,"enabled":true,"mask":"","largeMask":"","maskKey":"","keyItemMaskOfField":null,"keyOptionIdReplace":"","relatedOptionIds":[],"onlineServices":[],"childCriteriaItemList":[],"clientContextJson":""}],"clientContextJson":""},{"keyOptionId":"8262","caption":"Emerging Europ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8263","caption":"Åland Islands","isDefault":true,"maskCriteriaOnly":false,"definition":"","keyProductQueryItem":"300051","comparisonOperation":0,"comparisonValue":"172","minimumVersion":"","maximumVersion":"","formOrder":0,"lowerBound":null,"enabled":true,"mask":"","largeMask":"","maskKey":"","keyItemMaskOfField":null,"keyOptionIdReplace":"","relatedOptionIds":[],"onlineServices":[],"childCriteriaItemList":[],"clientContextJson":""},{"keyOptionId":"8264","caption":"Albania","isDefault":true,"maskCriteriaOnly":false,"definition":"","keyProductQueryItem":"300051","comparisonOperation":0,"comparisonValue":"171","minimumVersion":"","maximumVersion":"","formOrder":0,"lowerBound":null,"enabled":true,"mask":"","largeMask":"","maskKey":"","keyItemMaskOfField":null,"keyOptionIdReplace":"","relatedOptionIds":[],"onlineServices":[],"childCriteriaItemList":[],"clientContextJson":""},{"keyOptionId":"8265","caption":"Armenia","isDefault":true,"maskCriteriaOnly":false,"definition":"","keyProductQueryItem":"300051","comparisonOperation":0,"comparisonValue":"120","minimumVersion":"","maximumVersion":"","formOrder":0,"lowerBound":null,"enabled":true,"mask":"","largeMask":"","maskKey":"","keyItemMaskOfField":null,"keyOptionIdReplace":"","relatedOptionIds":[],"onlineServices":[],"childCriteriaItemList":[],"clientContextJson":""},{"keyOptionId":"8266","caption":"Azerbaijan","isDefault":true,"maskCriteriaOnly":false,"definition":"","keyProductQueryItem":"300051","comparisonOperation":0,"comparisonValue":"173","minimumVersion":"","maximumVersion":"","formOrder":0,"lowerBound":null,"enabled":true,"mask":"","largeMask":"","maskKey":"","keyItemMaskOfField":null,"keyOptionIdReplace":"","relatedOptionIds":[],"onlineServices":[],"childCriteriaItemList":[],"clientContextJson":""},{"keyOptionId":"8267","caption":"Belarus","isDefault":true,"maskCriteriaOnly":false,"definition":"","keyProductQueryItem":"300051","comparisonOperation":0,"comparisonValue":"177","minimumVersion":"","maximumVersion":"","formOrder":0,"lowerBound":null,"enabled":true,"mask":"","largeMask":"","maskKey":"","keyItemMaskOfField":null,"keyOptionIdReplace":"","relatedOptionIds":[],"onlineServices":[],"childCriteriaItemList":[],"clientContextJson":""},{"keyOptionId":"8268","caption":"Bosnia &amp; Herzegovina","isDefault":true,"maskCriteriaOnly":false,"definition":"","keyProductQueryItem":"300051","comparisonOperation":0,"comparisonValue":"174","minimumVersion":"","maximumVersion":"","formOrder":0,"lowerBound":null,"enabled":true,"mask":"","largeMask":"","maskKey":"","keyItemMaskOfField":null,"keyOptionIdReplace":"","relatedOptionIds":[],"onlineServices":[],"childCriteriaItemList":[],"clientContextJson":""},{"keyOptionId":"8269","caption":"Bulgaria","isDefault":true,"maskCriteriaOnly":false,"definition":"","keyProductQueryItem":"300051","comparisonOperation":0,"comparisonValue":"176","minimumVersion":"","maximumVersion":"","formOrder":0,"lowerBound":null,"enabled":true,"mask":"","largeMask":"","maskKey":"","keyItemMaskOfField":null,"keyOptionIdReplace":"","relatedOptionIds":[],"onlineServices":[],"childCriteriaItemList":[],"clientContextJson":""},{"keyOptionId":"8270","caption":"Croatia","isDefault":true,"maskCriteriaOnly":false,"definition":"","keyProductQueryItem":"300051","comparisonOperation":0,"comparisonValue":"187","minimumVersion":"","maximumVersion":"","formOrder":0,"lowerBound":null,"enabled":true,"mask":"","largeMask":"","maskKey":"","keyItemMaskOfField":null,"keyOptionIdReplace":"","relatedOptionIds":[],"online</t>
  </si>
  <si>
    <t>Services":[],"childCriteriaItemList":[],"clientContextJson":""},{"keyOptionId":"8271","caption":"Estonia","isDefault":true,"maskCriteriaOnly":false,"definition":"","keyProductQueryItem":"300051","comparisonOperation":0,"comparisonValue":"180","minimumVersion":"","maximumVersion":"","formOrder":0,"lowerBound":null,"enabled":true,"mask":"","largeMask":"","maskKey":"","keyItemMaskOfField":null,"keyOptionIdReplace":"","relatedOptionIds":[],"onlineServices":[],"childCriteriaItemList":[],"clientContextJson":""},{"keyOptionId":"8272","caption":"Faroe Islands","isDefault":true,"maskCriteriaOnly":false,"definition":"","keyProductQueryItem":"300051","comparisonOperation":0,"comparisonValue":"182","minimumVersion":"","maximumVersion":"","formOrder":0,"lowerBound":null,"enabled":true,"mask":"","largeMask":"","maskKey":"","keyItemMaskOfField":null,"keyOptionIdReplace":"","relatedOptionIds":[],"onlineServices":[],"childCriteriaItemList":[],"clientContextJson":""},{"keyOptionId":"8273","caption":"Georgia","isDefault":true,"maskCriteriaOnly":false,"definition":"","keyProductQueryItem":"300051","comparisonOperation":0,"comparisonValue":"184","minimumVersion":"","maximumVersion":"","formOrder":0,"lowerBound":null,"enabled":true,"mask":"","largeMask":"","maskKey":"","keyItemMaskOfField":null,"keyOptionIdReplace":"","relatedOptionIds":[],"onlineServices":[],"childCriteriaItemList":[],"clientContextJson":""},{"keyOptionId":"8274","caption":"Hungary","isDefault":true,"maskCriteriaOnly":false,"definition":"","keyProductQueryItem":"300051","comparisonOperation":0,"comparisonValue":"188","minimumVersion":"","maximumVersion":"","formOrder":0,"lowerBound":null,"enabled":true,"mask":"","largeMask":"","maskKey":"","keyItemMaskOfField":null,"keyOptionIdReplace":"","relatedOptionIds":[],"onlineServices":[],"childCriteriaItemList":[],"clientContextJson":""},{"keyOptionId":"8275","caption":"Kazakhstan","isDefault":true,"maskCriteriaOnly":false,"definition":"","keyProductQueryItem":"300051","comparisonOperation":0,"comparisonValue":"138","minimumVersion":"","maximumVersion":"","formOrder":0,"lowerBound":null,"enabled":true,"mask":"","largeMask":"","maskKey":"","keyItemMaskOfField":null,"keyOptionIdReplace":"","relatedOptionIds":[],"onlineServices":[],"childCriteriaItemList":[],"clientContextJson":""},{"keyOptionId":"8276","caption":"Kyrgyzstan","isDefault":true,"maskCriteriaOnly":false,"definition":"","keyProductQueryItem":"300051","comparisonOperation":0,"comparisonValue":"134","minimumVersion":"","maximumVersion":"","formOrder":0,"lowerBound":null,"enabled":true,"mask":"","largeMask":"","maskKey":"","keyItemMaskOfField":null,"keyOptionIdReplace":"","relatedOptionIds":[],"onlineServices":[],"childCriteriaItemList":[],"clientContextJson":""},{"keyOptionId":"8277","caption":"Latvia","isDefault":true,"maskCriteriaOnly":false,"definition":"","keyProductQueryItem":"300051","comparisonOperation":0,"comparisonValue":"192","minimumVersion":"","maximumVersion":"","formOrder":0,"lowerBound":null,"enabled":true,"mask":"","largeMask":"","maskKey":"","keyItemMaskOfField":null,"keyOptionIdReplace":"","relatedOptionIds":[],"onlineServices":[],"childCriteriaItemList":[],"clientContextJson":""},{"keyOptionId":"8278","caption":"Lithuania","isDefault":true,"maskCriteriaOnly":false,"definition":"","keyProductQueryItem":"300051","comparisonOperation":0,"comparisonValue":"191","minimumVersion":"","maximumVersion":"","formOrder":0,"lowerBound":null,"enabled":true,"mask":"","largeMask":"","maskKey":"","keyItemMaskOfField":null,"keyOptionIdReplace":"","relatedOptionIds":[],"onlineServices":[],"childCriteriaItemList":[],"clientContextJson":""},{"keyOptionId":"8279","caption":"Macedonia","isDefault":true,"maskCriteriaOnly":false,"definition":"","keyProductQueryItem":"300051","comparisonOperation":0,"comparisonValue":"194","minimumVersion":"","maximumVersion":"","formOrder":0,"lowerBound":null,"enabled":true,"mask":"","largeMask":"","maskKey":"","keyItemMaskOfField":null,"keyOptionIdReplace":"","relatedOptionIds":[],"onlineServices":[],"childCriteriaItemList":[],"clientContextJson":""},{"keyOptionId":"8280","caption":"Moldova","isDefault":true,"maskCriteriaOnly":false,"definition":"","keyProductQueryItem":"300051","comparisonOperation":0,"comparisonValue":"193","minimumVersion":"","maximumVersion":"","formOrder":0,"lowerBound":null,"enabled":true,"mask":"","largeMask":"","maskKey":"","keyItemMaskOfField":null,"keyOptionIdReplace":"","relatedOptionIds":[],"onlineServices":[],"childCriteriaItemList":[],"clientContextJson":""},{"keyOptionId":"8281","caption":"Montenegro","isDefault":true,"maskCriteriaOnly":false,"definition":"","keyProductQueryItem":"300051","comparisonOperation":0,"comparisonValue":"997","minimumVersion":"","maximumVersion":"","formOrder":0,"lowerBound":null,"enabled":true,"mask":"","largeMask":"","maskKey":"","keyItemMaskOfField":null,"keyOptionIdReplace":"","relatedOptionIds":[],"onlineServices":[],"childCriteriaItemList":[],"clientContextJson":""},{"keyOptionId":"8282","caption":"Poland","isDefault":true,"maskCriteriaOnly":false,"definition":"","keyProductQueryItem":"300051","comparisonOperation":0,"comparisonValue":"217","minimumVersion":"","maximumVersion":"","formOrder":0,"lowerBound":null,"enabled":true,"mask":"","largeMask":"","maskKey":"","keyItemMaskOfField":null,"keyOptionIdReplace":"","relatedOptionIds":[],"onlineServices":[],"childCriteriaItemList":[],"clientContextJson":""},{"keyOptionId":"8283","caption":"Romania","isDefault":true,"maskCriteriaOnly":false,"definition":"","keyProductQueryItem":"300051","comparisonOperation":0,"comparisonValue":"197","minimumVersion":"","maximumVersion":"","formOrder":0,"lowerBound":null,"enabled":true,"mask":"","largeMask":"","maskKey":"","keyItemMaskOfField":null,"keyOptionIdReplace":"","relatedOptionIds":[],"onlineServices":[],"childCriteriaItemList":[],"clientContextJson":""},{"keyOptionId":"8284","caption":"Russia","isDefault":true,"maskCriteriaOnly":false,"definition":"","keyProductQueryItem":"300051","comparisonOperation":0,"comparisonValue":"198","minimumVersion":"","maximumVersion":"","formOrder":0,"lowerBound":null,"enabled":true,"mask":"","largeMask":"","maskKey":"","keyItemMaskOfField":null,"keyOptionIdReplace":"","relatedOptionIds":[],"onlineServices":[],"childCriteriaItemList":[],"clientContextJson":""},{"keyOptionId":"8285","caption":"Serbia","isDefault":true,"maskCriteriaOnly":false,"definition":"","keyProductQueryItem":"300051","comparisonOperation":0,"comparisonValue":"179","minimumVersion":"","maximumVersion":"","formOrder":0,"lowerBound":null,"enabled":true,"mask":"","largeMask":"","maskKey":"","keyItemMaskOfField":null,"keyOptionIdReplace":"","relatedOptionIds":[],"onlineServices":[],"childCriteriaItemList":[],"clientContextJson":""},{"keyOptionId":"8286","caption":"Svalbard","isDefault":true,"maskCriteriaOnly":false,"definition":"","keyProductQueryItem":"300051","comparisonOperation":0,"comparisonValue":"200","minimumVersion":"","maximumVersion":"","formOrder":0,"lowerBound":null,"enabled":true,"mask":"","largeMask":"","maskKey":"","keyItemMaskOfField":null,"keyOptionIdReplace":"","relatedOptionIds":[],"onlineServices":[],"childCriteriaItemList":[],"clientContextJson":""},{"keyOptionId":"8287","caption":"Tajikistan","isDefault":true,"maskCriteriaOnly":false,"definition":"","keyProductQueryItem":"300051","comparisonOperation":0,"comparisonValue":"155","minimumVersion":"","maximumVersion":"","formOrder":0,"lowerBound":null,"enabled":true,"mask":"","largeMask":"","maskKey":"","keyItemMaskOfField":null,"keyOptionIdReplace":"","relatedOptionIds":[],"onlineServices":[],"childCriteriaItemList":[],"clientContextJson":""},{"</t>
  </si>
  <si>
    <t>keyOptionId":"8288","caption":"Turkey","isDefault":true,"maskCriteriaOnly":false,"definition":"","keyProductQueryItem":"300051","comparisonOperation":0,"comparisonValue":"203","minimumVersion":"","maximumVersion":"","formOrder":0,"lowerBound":null,"enabled":true,"mask":"","largeMask":"","maskKey":"","keyItemMaskOfField":null,"keyOptionIdReplace":"","relatedOptionIds":[],"onlineServices":[],"childCriteriaItemList":[],"clientContextJson":""},{"keyOptionId":"8289","caption":"Turkmenistan","isDefault":true,"maskCriteriaOnly":false,"definition":"","keyProductQueryItem":"300051","comparisonOperation":0,"comparisonValue":"156","minimumVersion":"","maximumVersion":"","formOrder":0,"lowerBound":null,"enabled":true,"mask":"","largeMask":"","maskKey":"","keyItemMaskOfField":null,"keyOptionIdReplace":"","relatedOptionIds":[],"onlineServices":[],"childCriteriaItemList":[],"clientContextJson":""},{"keyOptionId":"8290","caption":"Ukraine","isDefault":true,"maskCriteriaOnly":false,"definition":"","keyProductQueryItem":"300051","comparisonOperation":0,"comparisonValue":"204","minimumVersion":"","maximumVersion":"","formOrder":0,"lowerBound":null,"enabled":true,"mask":"","largeMask":"","maskKey":"","keyItemMaskOfField":null,"keyOptionIdReplace":"","relatedOptionIds":[],"onlineServices":[],"childCriteriaItemList":[],"clientContextJson":""},{"keyOptionId":"8291","caption":"Uzbekistan","isDefault":true,"maskCriteriaOnly":false,"definition":"","keyProductQueryItem":"300051","comparisonOperation":0,"comparisonValue":"158","minimumVersion":"","maximumVersion":"","formOrder":0,"lowerBound":null,"enabled":true,"mask":"","largeMask":"","maskKey":"","keyItemMaskOfField":null,"keyOptionIdReplace":"","relatedOptionIds":[],"onlineServices":[],"childCriteriaItemList":[],"clientContextJson":""}],"clientContextJson":""}],"clientContextJson":""},{"keyOptionId":"8292","caption":"Asia-Pacif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8293","caption":"Developed Asia-Pacif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8294","caption":"Australia","isDefault":true,"maskCriteriaOnly":false,"definition":"","keyProductQueryItem":"300051","comparisonOperation":0,"comparisonValue":"239","minimumVersion":"","maximumVersion":"","formOrder":0,"lowerBound":null,"enabled":true,"mask":"","largeMask":"","maskKey":"","keyItemMaskOfField":null,"keyOptionIdReplace":"","relatedOptionIds":[],"onlineServices":[],"childCriteriaItemList":[],"clientContextJson":""},{"keyOptionId":"8295","caption":"Hong Kong","isDefault":true,"maskCriteriaOnly":false,"definition":"","keyProductQueryItem":"300051","comparisonOperation":0,"comparisonValue":"127","minimumVersion":"","maximumVersion":"","formOrder":0,"lowerBound":null,"enabled":true,"mask":"","largeMask":"","maskKey":"","keyItemMaskOfField":null,"keyOptionIdReplace":"","relatedOptionIds":[],"onlineServices":[],"childCriteriaItemList":[],"clientContextJson":""},{"keyOptionId":"8296","caption":"Japan","isDefault":true,"maskCriteriaOnly":false,"definition":"","keyProductQueryItem":"300051","comparisonOperation":0,"comparisonValue":"133","minimumVersion":"","maximumVersion":"","formOrder":0,"lowerBound":null,"enabled":true,"mask":"","largeMask":"","maskKey":"","keyItemMaskOfField":null,"keyOptionIdReplace":"","relatedOptionIds":[],"onlineServices":[],"childCriteriaItemList":[],"clientContextJson":""},{"keyOptionId":"8297","caption":"New Zealand","isDefault":true,"maskCriteriaOnly":false,"definition":"","keyProductQueryItem":"300051","comparisonOperation":0,"comparisonValue":"228","minimumVersion":"","maximumVersion":"","formOrder":0,"lowerBound":null,"enabled":true,"mask":"","largeMask":"","maskKey":"","keyItemMaskOfField":null,"keyOptionIdReplace":"","relatedOptionIds":[],"onlineServices":[],"childCriteriaItemList":[],"clientContextJson":""},{"keyOptionId":"8298","caption":"Singapore","isDefault":true,"maskCriteriaOnly":false,"definition":"","keyProductQueryItem":"300051","comparisonOperation":0,"comparisonValue":"152","minimumVersion":"","maximumVersion":"","formOrder":0,"lowerBound":null,"enabled":true,"mask":"","largeMask":"","maskKey":"","keyItemMaskOfField":null,"keyOptionIdReplace":"","relatedOptionIds":[],"onlineServices":[],"childCriteriaItemList":[],"clientContextJson":""},{"keyOptionId":"8299","caption":"South Korea","isDefault":true,"maskCriteriaOnly":false,"definition":"","keyProductQueryItem":"300051","comparisonOperation":0,"comparisonValue":"136","minimumVersion":"","maximumVersion":"","formOrder":0,"lowerBound":null,"enabled":true,"mask":"","largeMask":"","maskKey":"","keyItemMaskOfField":null,"keyOptionIdReplace":"","relatedOptionIds":[],"onlineServices":[],"childCriteriaItemList":[],"clientContextJson":""},{"keyOptionId":"8300","caption":"Taiwan","isDefault":true,"maskCriteriaOnly":false,"definition":"","keyProductQueryItem":"300051","comparisonOperation":0,"comparisonValue":"169","minimumVersion":"","maximumVersion":"","formOrder":0,"lowerBound":null,"enabled":true,"mask":"","largeMask":"","maskKey":"","keyItemMaskOfField":null,"keyOptionIdReplace":"","relatedOptionIds":[],"onlineServices":[],"childCriteriaItemList":[],"clientContextJson":""}],"clientContextJson":""},{"keyOptionId":"8301","caption":"Emerging Asia-Pacif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8302","caption":"Afghanistan","isDefault":true,"maskCriteriaOnly":false,"definition":"","keyProductQueryItem":"300051","comparisonOperation":0,"comparisonValue":"161","minimumVersion":"","maximumVersion":"","formOrder":0,"lowerBound":null,"enabled":true,"mask":"","largeMask":"","maskKey":"","keyItemMaskOfField":null,"keyOptionIdReplace":"","relatedOptionIds":[],"onlineServices":[],"childCriteriaItemList":[],"clientContextJson":""},{"keyOptionId":"8303","caption":"Bangladesh","isDefault":true,"maskCriteriaOnly":false,"definition":"","keyProductQueryItem":"300051","comparisonOperation":0,"comparisonValue":"121","minimumVersion":"","maximumVersion":"","formOrder":0,"lowerBound":null,"enabled":true,"mask":"","largeMask":"","maskKey":"","keyItemMaskOfField":null,"keyOptionIdReplace":"","relatedOptionIds":[],"onlineServices":[],"childCriteriaItemList":[],"clientContextJson":""},{"keyOptionId":"8304","caption":"Bhutan","isDefault":true,"maskCriteriaOnly":false,"definition":"","keyProductQueryItem":"300051","comparisonOperation":0,"comparisonValue":"123","minimumVersion":"","maximumVersion":"","formOrder":0,"lowerBound":null,"enabled":true,"mask":"","largeMask":"","maskKey":"","keyItemMaskOfField":null,"keyOptionIdReplace":"","relatedOptionIds":[],"onlineServices":[],"childCriteriaItemList":[],"clientContextJson":""},{"keyOptionId":"8305","caption":"Brunei","isDefaul</t>
  </si>
  <si>
    <t>t":true,"maskCriteriaOnly":false,"definition":"","keyProductQueryItem":"300051","comparisonOperation":0,"comparisonValue":"122","minimumVersion":"","maximumVersion":"","formOrder":0,"lowerBound":null,"enabled":true,"mask":"","largeMask":"","maskKey":"","keyItemMaskOfField":null,"keyOptionIdReplace":"","relatedOptionIds":[],"onlineServices":[],"childCriteriaItemList":[],"clientContextJson":""},{"keyOptionId":"8306","caption":"Cambodia","isDefault":true,"maskCriteriaOnly":false,"definition":"","keyProductQueryItem":"300051","comparisonOperation":0,"comparisonValue":"135","minimumVersion":"","maximumVersion":"","formOrder":0,"lowerBound":null,"enabled":true,"mask":"","largeMask":"","maskKey":"","keyItemMaskOfField":null,"keyOptionIdReplace":"","relatedOptionIds":[],"onlineServices":[],"childCriteriaItemList":[],"clientContextJson":""},{"keyOptionId":"8307","caption":"China","isDefault":true,"maskCriteriaOnly":false,"definition":"","keyProductQueryItem":"300051","comparisonOperation":0,"comparisonValue":"163","minimumVersion":"","maximumVersion":"","formOrder":0,"lowerBound":null,"enabled":true,"mask":"","largeMask":"","maskKey":"","keyItemMaskOfField":null,"keyOptionIdReplace":"","relatedOptionIds":[],"onlineServices":[],"childCriteriaItemList":[],"clientContextJson":""},{"keyOptionId":"8308","caption":"Cook Islands","isDefault":true,"maskCriteriaOnly":false,"definition":"","keyProductQueryItem":"300051","comparisonOperation":0,"comparisonValue":"220","minimumVersion":"","maximumVersion":"","formOrder":0,"lowerBound":null,"enabled":true,"mask":"","largeMask":"","maskKey":"","keyItemMaskOfField":null,"keyOptionIdReplace":"","relatedOptionIds":[],"onlineServices":[],"childCriteriaItemList":[],"clientContextJson":""},{"keyOptionId":"8309","caption":"Fiji","isDefault":true,"maskCriteriaOnly":false,"definition":"","keyProductQueryItem":"300051","comparisonOperation":0,"comparisonValue":"221","minimumVersion":"","maximumVersion":"","formOrder":0,"lowerBound":null,"enabled":true,"mask":"","largeMask":"","maskKey":"","keyItemMaskOfField":null,"keyOptionIdReplace":"","relatedOptionIds":[],"onlineServices":[],"childCriteriaItemList":[],"clientContextJson":""},{"keyOptionId":"8310","caption":"French Polynesia","isDefault":true,"maskCriteriaOnly":false,"definition":"","keyProductQueryItem":"300051","comparisonOperation":0,"comparisonValue":"229","minimumVersion":"","maximumVersion":"","formOrder":0,"lowerBound":null,"enabled":true,"mask":"","largeMask":"","maskKey":"","keyItemMaskOfField":null,"keyOptionIdReplace":"","relatedOptionIds":[],"onlineServices":[],"childCriteriaItemList":[],"clientContextJson":""},{"keyOptionId":"8311","caption":"India","isDefault":true,"maskCriteriaOnly":false,"definition":"","keyProductQueryItem":"300051","comparisonOperation":0,"comparisonValue":"128","minimumVersion":"","maximumVersion":"","formOrder":0,"lowerBound":null,"enabled":true,"mask":"","largeMask":"","maskKey":"","keyItemMaskOfField":null,"keyOptionIdReplace":"","relatedOptionIds":[],"onlineServices":[],"childCriteriaItemList":[],"clientContextJson":""},{"keyOptionId":"8312","caption":"Indonesia","isDefault":true,"maskCriteriaOnly":false,"definition":"","keyProductQueryItem":"300051","comparisonOperation":0,"comparisonValue":"164","minimumVersion":"","maximumVersion":"","formOrder":0,"lowerBound":null,"enabled":true,"mask":"","largeMask":"","maskKey":"","keyItemMaskOfField":null,"keyOptionIdReplace":"","relatedOptionIds":[],"onlineServices":[],"childCriteriaItemList":[],"clientContextJson":""},{"keyOptionId":"8313","caption":"Kiribati","isDefault":true,"maskCriteriaOnly":false,"definition":"","keyProductQueryItem":"300051","comparisonOperation":0,"comparisonValue":"222","minimumVersion":"","maximumVersion":"","formOrder":0,"lowerBound":null,"enabled":true,"mask":"","largeMask":"","maskKey":"","keyItemMaskOfField":null,"keyOptionIdReplace":"","relatedOptionIds":[],"onlineServices":[],"childCriteriaItemList":[],"clientContextJson":""},{"keyOptionId":"8314","caption":"Laos","isDefault":true,"maskCriteriaOnly":false,"definition":"","keyProductQueryItem":"300051","comparisonOperation":0,"comparisonValue":"139","minimumVersion":"","maximumVersion":"","formOrder":0,"lowerBound":null,"enabled":true,"mask":"","largeMask":"","maskKey":"","keyItemMaskOfField":null,"keyOptionIdReplace":"","relatedOptionIds":[],"onlineServices":[],"childCriteriaItemList":[],"clientContextJson":""},{"keyOptionId":"8315","caption":"Macau","isDefault":true,"maskCriteriaOnly":false,"definition":"","keyProductQueryItem":"300051","comparisonOperation":0,"comparisonValue":"144","minimumVersion":"","maximumVersion":"","formOrder":0,"lowerBound":null,"enabled":true,"mask":"","largeMask":"","maskKey":"","keyItemMaskOfField":null,"keyOptionIdReplace":"","relatedOptionIds":[],"onlineServices":[],"childCriteriaItemList":[],"clientContextJson":""},{"keyOptionId":"8316","caption":"Malaysia","isDefault":true,"maskCriteriaOnly":false,"definition":"","keyProductQueryItem":"300051","comparisonOperation":0,"comparisonValue":"146","minimumVersion":"","maximumVersion":"","formOrder":0,"lowerBound":null,"enabled":true,"mask":"","largeMask":"","maskKey":"","keyItemMaskOfField":null,"keyOptionIdReplace":"","relatedOptionIds":[],"onlineServices":[],"childCriteriaItemList":[],"clientContextJson":""},{"keyOptionId":"8317","caption":"Maldives","isDefault":true,"maskCriteriaOnly":false,"definition":"","keyProductQueryItem":"300051","comparisonOperation":0,"comparisonValue":"145","minimumVersion":"","maximumVersion":"","formOrder":0,"lowerBound":null,"enabled":true,"mask":"","largeMask":"","maskKey":"","keyItemMaskOfField":null,"keyOptionIdReplace":"","relatedOptionIds":[],"onlineServices":[],"childCriteriaItemList":[],"clientContextJson":""},{"keyOptionId":"8318","caption":"Marshall Islands","isDefault":true,"maskCriteriaOnly":false,"definition":"","keyProductQueryItem":"300051","comparisonOperation":0,"comparisonValue":"240","minimumVersion":"","maximumVersion":"","formOrder":0,"lowerBound":null,"enabled":true,"mask":"","largeMask":"","maskKey":"","keyItemMaskOfField":null,"keyOptionIdReplace":"","relatedOptionIds":[],"onlineServices":[],"childCriteriaItemList":[],"clientContextJson":""},{"keyOptionId":"8319","caption":"Mongolia","isDefault":true,"maskCriteriaOnly":false,"definition":"","keyProductQueryItem":"300051","comparisonOperation":0,"comparisonValue":"143","minimumVersion":"","maximumVersion":"","formOrder":0,"lowerBound":null,"enabled":true,"mask":"","largeMask":"","maskKey":"","keyItemMaskOfField":null,"keyOptionIdReplace":"","relatedOptionIds":[],"onlineServices":[],"childCriteriaItemList":[],"clientContextJson":""},{"keyOptionId":"8320","caption":"Myanmar","isDefault":true,"maskCriteriaOnly":false,"definition":"","keyProductQueryItem":"300051","comparisonOperation":0,"comparisonValue":"142","minimumVersion":"","maximumVersion":"","formOrder":0,"lowerBound":null,"enabled":true,"mask":"","largeMask":"","maskKey":"","keyItemMaskOfField":null,"keyOptionIdReplace":"","relatedOptionIds":[],"onlineServices":[],"childCriteriaItemList":[],"clientContextJson":""},{"keyOptionId":"8321","caption":"Nauru","isDefault":true,"maskCriteriaOnly":false,"definition":"","keyProductQueryItem":"300051","comparisonOperation":0,"comparisonValue":"226","minimumVersion":"","maximumVersion":"","formOrder":0,"lowerBound":null,"enabled":true,"mask":"","largeMask":"","maskKey":"","keyItemMaskOfField":null,"keyOptionIdReplace":"","relatedOptionIds":[],"onlineServices":[],"childCriteriaItemList":[],"clientContextJson":""},{"keyOptionId":"8322","caption":"Nepal","isDefault":true,"maskCriteriaOnly":false,"definition":"","keyProductQueryItem":</t>
  </si>
  <si>
    <t>"300051","comparisonOperation":0,"comparisonValue":"147","minimumVersion":"","maximumVersion":"","formOrder":0,"lowerBound":null,"enabled":true,"mask":"","largeMask":"","maskKey":"","keyItemMaskOfField":null,"keyOptionIdReplace":"","relatedOptionIds":[],"onlineServices":[],"childCriteriaItemList":[],"clientContextJson":""},{"keyOptionId":"8323","caption":"New Caledonia","isDefault":true,"maskCriteriaOnly":false,"definition":"","keyProductQueryItem":"300051","comparisonOperation":0,"comparisonValue":"224","minimumVersion":"","maximumVersion":"","formOrder":0,"lowerBound":null,"enabled":true,"mask":"","largeMask":"","maskKey":"","keyItemMaskOfField":null,"keyOptionIdReplace":"","relatedOptionIds":[],"onlineServices":[],"childCriteriaItemList":[],"clientContextJson":""},{"keyOptionId":"8324","caption":"Niue","isDefault":true,"maskCriteriaOnly":false,"definition":"","keyProductQueryItem":"300051","comparisonOperation":0,"comparisonValue":"227","minimumVersion":"","maximumVersion":"","formOrder":0,"lowerBound":null,"enabled":true,"mask":"","largeMask":"","maskKey":"","keyItemMaskOfField":null,"keyOptionIdReplace":"","relatedOptionIds":[],"onlineServices":[],"childCriteriaItemList":[],"clientContextJson":""},{"keyOptionId":"8325","caption":"North Korea","isDefault":true,"maskCriteriaOnly":false,"definition":"","keyProductQueryItem":"300051","comparisonOperation":0,"comparisonValue":"166","minimumVersion":"","maximumVersion":"","formOrder":0,"lowerBound":null,"enabled":true,"mask":"","largeMask":"","maskKey":"","keyItemMaskOfField":null,"keyOptionIdReplace":"","relatedOptionIds":[],"onlineServices":[],"childCriteriaItemList":[],"clientContextJson":""},{"keyOptionId":"8326","caption":"Northern Mariana","isDefault":true,"maskCriteriaOnly":false,"definition":"","keyProductQueryItem":"300051","comparisonOperation":0,"comparisonValue":"223","minimumVersion":"","maximumVersion":"","formOrder":0,"lowerBound":null,"enabled":true,"mask":"","largeMask":"","maskKey":"","keyItemMaskOfField":null,"keyOptionIdReplace":"","relatedOptionIds":[],"onlineServices":[],"childCriteriaItemList":[],"clientContextJson":""},{"keyOptionId":"8327","caption":"Pakistan","isDefault":true,"maskCriteriaOnly":false,"definition":"","keyProductQueryItem":"300051","comparisonOperation":0,"comparisonValue":"149","minimumVersion":"","maximumVersion":"","formOrder":0,"lowerBound":null,"enabled":true,"mask":"","largeMask":"","maskKey":"","keyItemMaskOfField":null,"keyOptionIdReplace":"","relatedOptionIds":[],"onlineServices":[],"childCriteriaItemList":[],"clientContextJson":""},{"keyOptionId":"8328","caption":"Palau","isDefault":true,"maskCriteriaOnly":false,"definition":"","keyProductQueryItem":"300051","comparisonOperation":0,"comparisonValue":"232","minimumVersion":"","maximumVersion":"","formOrder":0,"lowerBound":null,"enabled":true,"mask":"","largeMask":"","maskKey":"","keyItemMaskOfField":null,"keyOptionIdReplace":"","relatedOptionIds":[],"onlineServices":[],"childCriteriaItemList":[],"clientContextJson":""},{"keyOptionId":"8329","caption":"Papua New Guinea","isDefault":true,"maskCriteriaOnly":false,"definition":"","keyProductQueryItem":"300051","comparisonOperation":0,"comparisonValue":"230","minimumVersion":"","maximumVersion":"","formOrder":0,"lowerBound":null,"enabled":true,"mask":"","largeMask":"","maskKey":"","keyItemMaskOfField":null,"keyOptionIdReplace":"","relatedOptionIds":[],"onlineServices":[],"childCriteriaItemList":[],"clientContextJson":""},{"keyOptionId":"8330","caption":"Philippines","isDefault":true,"maskCriteriaOnly":false,"definition":"","keyProductQueryItem":"300051","comparisonOperation":0,"comparisonValue":"167","minimumVersion":"","maximumVersion":"","formOrder":0,"lowerBound":null,"enabled":true,"mask":"","largeMask":"","maskKey":"","keyItemMaskOfField":null,"keyOptionIdReplace":"","relatedOptionIds":[],"onlineServices":[],"childCriteriaItemList":[],"clientContextJson":""},{"keyOptionId":"8331","caption":"Samoa","isDefault":true,"maskCriteriaOnly":false,"definition":"","keyProductQueryItem":"300051","comparisonOperation":0,"comparisonValue":"241","minimumVersion":"","maximumVersion":"","formOrder":0,"lowerBound":null,"enabled":true,"mask":"","largeMask":"","maskKey":"","keyItemMaskOfField":null,"keyOptionIdReplace":"","relatedOptionIds":[],"onlineServices":[],"childCriteriaItemList":[],"clientContextJson":""},{"keyOptionId":"8332","caption":"Solomon Islands","isDefault":true,"maskCriteriaOnly":false,"definition":"","keyProductQueryItem":"300051","comparisonOperation":0,"comparisonValue":"233","minimumVersion":"","maximumVersion":"","formOrder":0,"lowerBound":null,"enabled":true,"mask":"","largeMask":"","maskKey":"","keyItemMaskOfField":null,"keyOptionIdReplace":"","relatedOptionIds":[],"onlineServices":[],"childCriteriaItemList":[],"clientContextJson":""},{"keyOptionId":"8333","caption":"Sri Lanka","isDefault":true,"maskCriteriaOnly":false,"definition":"","keyProductQueryItem":"300051","comparisonOperation":0,"comparisonValue":"141","minimumVersion":"","maximumVersion":"","formOrder":0,"lowerBound":null,"enabled":true,"mask":"","largeMask":"","maskKey":"","keyItemMaskOfField":null,"keyOptionIdReplace":"","relatedOptionIds":[],"onlineServices":[],"childCriteriaItemList":[],"clientContextJson":""},{"keyOptionId":"8334","caption":"Thailand","isDefault":true,"maskCriteriaOnly":false,"definition":"","keyProductQueryItem":"300051","comparisonOperation":0,"comparisonValue":"154","minimumVersion":"","maximumVersion":"","formOrder":0,"lowerBound":null,"enabled":true,"mask":"","largeMask":"","maskKey":"","keyItemMaskOfField":null,"keyOptionIdReplace":"","relatedOptionIds":[],"onlineServices":[],"childCriteriaItemList":[],"clientContextJson":""},{"keyOptionId":"8335","caption":"Timor-Leste","isDefault":true,"maskCriteriaOnly":false,"definition":"","keyProductQueryItem":"300051","comparisonOperation":0,"comparisonValue":"157","minimumVersion":"","maximumVersion":"","formOrder":0,"lowerBound":null,"enabled":true,"mask":"","largeMask":"","maskKey":"","keyItemMaskOfField":null,"keyOptionIdReplace":"","relatedOptionIds":[],"onlineServices":[],"childCriteriaItemList":[],"clientContextJson":""},{"keyOptionId":"8336","caption":"Tokelau","isDefault":true,"maskCriteriaOnly":false,"definition":"","keyProductQueryItem":"300051","comparisonOperation":0,"comparisonValue":"234","minimumVersion":"","maximumVersion":"","formOrder":0,"lowerBound":null,"enabled":true,"mask":"","largeMask":"","maskKey":"","keyItemMaskOfField":null,"keyOptionIdReplace":"","relatedOptionIds":[],"onlineServices":[],"childCriteriaItemList":[],"clientContextJson":""},{"keyOptionId":"8337","caption":"Tonga","isDefault":true,"maskCriteriaOnly":false,"definition":"","keyProductQueryItem":"300051","comparisonOperation":0,"comparisonValue":"235","minimumVersion":"","maximumVersion":"","formOrder":0,"lowerBound":null,"enabled":true,"mask":"","largeMask":"","maskKey":"","keyItemMaskOfField":null,"keyOptionIdReplace":"","relatedOptionIds":[],"onlineServices":[],"childCriteriaItemList":[],"clientContextJson":""},{"keyOptionId":"8338","caption":"Tuvalu","isDefault":true,"maskCriteriaOnly":false,"definition":"","keyProductQueryItem":"300051","comparisonOperation":0,"comparisonValue":"236","minimumVersion":"","maximumVersion":"","formOrder":0,"lowerBound":null,"enabled":true,"mask":"","largeMask":"","maskKey":"","keyItemMaskOfField":null,"keyOptionIdReplace":"","relatedOptionIds":[],"onlineServices":[],"childCriteriaItemList":[],"clientContextJson":""},{"keyOptionId":"8339","caption":"Vanuatu","isDefault":true,"maskCriteriaOnly":false,"definition":"","keyProductQueryItem":"300051","comparisonOperation":0,"comparisonVal</t>
  </si>
  <si>
    <t>ue":"237","minimumVersion":"","maximumVersion":"","formOrder":0,"lowerBound":null,"enabled":true,"mask":"","largeMask":"","maskKey":"","keyItemMaskOfField":null,"keyOptionIdReplace":"","relatedOptionIds":[],"onlineServices":[],"childCriteriaItemList":[],"clientContextJson":""},{"keyOptionId":"8340","caption":"Vietnam","isDefault":true,"maskCriteriaOnly":false,"definition":"","keyProductQueryItem":"300051","comparisonOperation":0,"comparisonValue":"159","minimumVersion":"","maximumVersion":"","formOrder":0,"lowerBound":null,"enabled":true,"mask":"","largeMask":"","maskKey":"","keyItemMaskOfField":null,"keyOptionIdReplace":"","relatedOptionIds":[],"onlineServices":[],"childCriteriaItemList":[],"clientContextJson":""},{"keyOptionId":"8341","caption":"Wallis &amp; Futuna","isDefault":true,"maskCriteriaOnly":false,"definition":"","keyProductQueryItem":"300051","comparisonOperation":0,"comparisonValue":"238","minimumVersion":"","maximumVersion":"","formOrder":0,"lowerBound":null,"enabled":true,"mask":"","largeMask":"","maskKey":"","keyItemMaskOfField":null,"keyOptionIdReplace":"","relatedOptionIds":[],"onlineServices":[],"childCriteriaItemList":[],"clientContextJson":""}],"clientContextJson":""}],"clientContextJson":""},{"keyOptionId":"8342","caption":"Middle Ea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8343","caption":"Bahrain","isDefault":true,"maskCriteriaOnly":false,"definition":"","keyProductQueryItem":"300051","comparisonOperation":0,"comparisonValue":"162","minimumVersion":"","maximumVersion":"","formOrder":0,"lowerBound":null,"enabled":true,"mask":"","largeMask":"","maskKey":"","keyItemMaskOfField":null,"keyOptionIdReplace":"","relatedOptionIds":[],"onlineServices":[],"childCriteriaItemList":[],"clientContextJson":""},{"keyOptionId":"8344","caption":"Egypt","isDefault":true,"maskCriteriaOnly":false,"definition":"","keyProductQueryItem":"300051","comparisonOperation":0,"comparisonValue":"74","minimumVersion":"","maximumVersion":"","formOrder":0,"lowerBound":null,"enabled":true,"mask":"","largeMask":"","maskKey":"","keyItemMaskOfField":null,"keyOptionIdReplace":"","relatedOptionIds":[],"onlineServices":[],"childCriteriaItemList":[],"clientContextJson":""},{"keyOptionId":"8345","caption":"Iran","isDefault":true,"maskCriteriaOnly":false,"definition":"","keyProductQueryItem":"300051","comparisonOperation":0,"comparisonValue":"131","minimumVersion":"","maximumVersion":"","formOrder":0,"lowerBound":null,"enabled":true,"mask":"","largeMask":"","maskKey":"","keyItemMaskOfField":null,"keyOptionIdReplace":"","relatedOptionIds":[],"onlineServices":[],"childCriteriaItemList":[],"clientContextJson":""},{"keyOptionId":"8346","caption":"Iraq","isDefault":true,"maskCriteriaOnly":false,"definition":"","keyProductQueryItem":"300051","comparisonOperation":0,"comparisonValue":"130","minimumVersion":"","maximumVersion":"","formOrder":0,"lowerBound":null,"enabled":true,"mask":"","largeMask":"","maskKey":"","keyItemMaskOfField":null,"keyOptionIdReplace":"","relatedOptionIds":[],"onlineServices":[],"childCriteriaItemList":[],"clientContextJson":""},{"keyOptionId":"8347","caption":"Israel","isDefault":true,"maskCriteriaOnly":false,"definition":"","keyProductQueryItem":"300051","comparisonOperation":0,"comparisonValue":"165","minimumVersion":"","maximumVersion":"","formOrder":0,"lowerBound":null,"enabled":true,"mask":"","largeMask":"","maskKey":"","keyItemMaskOfField":null,"keyOptionIdReplace":"","relatedOptionIds":[],"onlineServices":[],"childCriteriaItemList":[],"clientContextJson":""},{"keyOptionId":"8348","caption":"Jordan","isDefault":true,"maskCriteriaOnly":false,"definition":"","keyProductQueryItem":"300051","comparisonOperation":0,"comparisonValue":"132","minimumVersion":"","maximumVersion":"","formOrder":0,"lowerBound":null,"enabled":true,"mask":"","largeMask":"","maskKey":"","keyItemMaskOfField":null,"keyOptionIdReplace":"","relatedOptionIds":[],"onlineServices":[],"childCriteriaItemList":[],"clientContextJson":""},{"keyOptionId":"8349","caption":"Kuwait","isDefault":true,"maskCriteriaOnly":false,"definition":"","keyProductQueryItem":"300051","comparisonOperation":0,"comparisonValue":"137","minimumVersion":"","maximumVersion":"","formOrder":0,"lowerBound":null,"enabled":true,"mask":"","largeMask":"","maskKey":"","keyItemMaskOfField":null,"keyOptionIdReplace":"","relatedOptionIds":[],"onlineServices":[],"childCriteriaItemList":[],"clientContextJson":""},{"keyOptionId":"8350","caption":"Lebanon","isDefault":true,"maskCriteriaOnly":false,"definition":"","keyProductQueryItem":"300051","comparisonOperation":0,"comparisonValue":"140","minimumVersion":"","maximumVersion":"","formOrder":0,"lowerBound":null,"enabled":true,"mask":"","largeMask":"","maskKey":"","keyItemMaskOfField":null,"keyOptionIdReplace":"","relatedOptionIds":[],"onlineServices":[],"childCriteriaItemList":[],"clientContextJson":""},{"keyOptionId":"8351","caption":"Oman","isDefault":true,"maskCriteriaOnly":false,"definition":"","keyProductQueryItem":"300051","comparisonOperation":0,"comparisonValue":"148","minimumVersion":"","maximumVersion":"","formOrder":0,"lowerBound":null,"enabled":true,"mask":"","largeMask":"","maskKey":"","keyItemMaskOfField":null,"keyOptionIdReplace":"","relatedOptionIds":[],"onlineServices":[],"childCriteriaItemList":[],"clientContextJson":""},{"keyOptionId":"8352","caption":"Palestine","isDefault":true,"maskCriteriaOnly":false,"definition":"","keyProductQueryItem":"300051","comparisonOperation":0,"comparisonValue":"150","minimumVersion":"","maximumVersion":"","formOrder":0,"lowerBound":null,"enabled":true,"mask":"","largeMask":"","maskKey":"","keyItemMaskOfField":null,"keyOptionIdReplace":"","relatedOptionIds":[],"onlineServices":[],"childCriteriaItemList":[],"clientContextJson":""},{"keyOptionId":"8353","caption":"Qatar","isDefault":true,"maskCriteriaOnly":false,"definition":"","keyProductQueryItem":"300051","comparisonOperation":0,"comparisonValue":"151","minimumVersion":"","maximumVersion":"","formOrder":0,"lowerBound":null,"enabled":true,"mask":"","largeMask":"","maskKey":"","keyItemMaskOfField":null,"keyOptionIdReplace":"","relatedOptionIds":[],"onlineServices":[],"childCriteriaItemList":[],"clientContextJson":""},{"keyOptionId":"8354","caption":"Saudi Arabia","isDefault":true,"maskCriteriaOnly":false,"definition":"","keyProductQueryItem":"300051","comparisonOperation":0,"comparisonValue":"168","minimumVersion":"","maximumVersion":"","formOrder":0,"lowerBound":null,"enabled":true,"mask":"","largeMask":"","maskKey":"","keyItemMaskOfField":null,"keyOptionIdReplace":"","relatedOptionIds":[],"onlineServices":[],"childCriteriaItemList":[],"clientContextJson":""},{"keyOptionId":"8355","caption":"Syria","isDefault":true,"maskCriteriaOnly":false,"definition":"","keyProductQueryItem":"300051","comparisonOperation":0,"comparisonValue":"153","minimumVersion":"","maximumVersion":"","formOrder":0,"lowerBound":null,"enabled":true,"mask":"","largeMask":"","maskKey":"","keyItemMaskOfField":null,"keyOptionIdReplace":"","relatedOptionIds":[],"onlineServices":[],"childCriteriaItemList":[],"clientContextJson":""},{"keyOptionId":"8356","caption":"United Arab Emirates","isDefault":true,"maskCriteriaOnly":false,"definition":"","keyProductQueryItem":"300051","comparisonOperation":0,"comparisonValue":"119","minimumVersion":"","maximumVersion":"","for</t>
  </si>
  <si>
    <t>mOrder":0,"lowerBound":null,"enabled":true,"mask":"","largeMask":"","maskKey":"","keyItemMaskOfField":null,"keyOptionIdReplace":"","relatedOptionIds":[],"onlineServices":[],"childCriteriaItemList":[],"clientContextJson":""},{"keyOptionId":"8357","caption":"Yemen","isDefault":true,"maskCriteriaOnly":false,"definition":"","keyProductQueryItem":"300051","comparisonOperation":0,"comparisonValue":"160","minimumVersion":"","maximumVersion":"","formOrder":0,"lowerBound":null,"enabled":true,"mask":"","largeMask":"","maskKey":"","keyItemMaskOfField":null,"keyOptionIdReplace":"","relatedOptionIds":[],"onlineServices":[],"childCriteriaItemList":[],"clientContextJson":""}],"clientContextJson":""},{"keyOptionId":"8358","caption":"Latin America and Caribbea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8359","caption":"Anguilla","isDefault":true,"maskCriteriaOnly":false,"definition":"","keyProductQueryItem":"300051","comparisonOperation":0,"comparisonValue":"9","minimumVersion":"","maximumVersion":"","formOrder":0,"lowerBound":null,"enabled":true,"mask":"","largeMask":"","maskKey":"","keyItemMaskOfField":null,"keyOptionIdReplace":"","relatedOptionIds":[],"onlineServices":[],"childCriteriaItemList":[],"clientContextJson":""},{"keyOptionId":"8360","caption":"Antigua and Barbuda","isDefault":true,"maskCriteriaOnly":false,"definition":"","keyProductQueryItem":"300051","comparisonOperation":0,"comparisonValue":"8","minimumVersion":"","maximumVersion":"","formOrder":0,"lowerBound":null,"enabled":true,"mask":"","largeMask":"","maskKey":"","keyItemMaskOfField":null,"keyOptionIdReplace":"","relatedOptionIds":[],"onlineServices":[],"childCriteriaItemList":[],"clientContextJson":""},{"keyOptionId":"8361","caption":"Argentina","isDefault":true,"maskCriteriaOnly":false,"definition":"","keyProductQueryItem":"300051","comparisonOperation":0,"comparisonValue":"52","minimumVersion":"","maximumVersion":"","formOrder":0,"lowerBound":null,"enabled":true,"mask":"","largeMask":"","maskKey":"","keyItemMaskOfField":null,"keyOptionIdReplace":"","relatedOptionIds":[],"onlineServices":[],"childCriteriaItemList":[],"clientContextJson":""},{"keyOptionId":"8362","caption":"Aruba","isDefault":true,"maskCriteriaOnly":false,"definition":"","keyProductQueryItem":"300051","comparisonOperation":0,"comparisonValue":"10","minimumVersion":"","maximumVersion":"","formOrder":0,"lowerBound":null,"enabled":true,"mask":"","largeMask":"","maskKey":"","keyItemMaskOfField":null,"keyOptionIdReplace":"","relatedOptionIds":[],"onlineServices":[],"childCriteriaItemList":[],"clientContextJson":""},{"keyOptionId":"8363","caption":"Bahamas","isDefault":true,"maskCriteriaOnly":false,"definition":"","keyProductQueryItem":"300051","comparisonOperation":0,"comparisonValue":"37","minimumVersion":"","maximumVersion":"","formOrder":0,"lowerBound":null,"enabled":true,"mask":"","largeMask":"","maskKey":"","keyItemMaskOfField":null,"keyOptionIdReplace":"","relatedOptionIds":[],"onlineServices":[],"childCriteriaItemList":[],"clientContextJson":""},{"keyOptionId":"8364","caption":"Barbados","isDefault":true,"maskCriteriaOnly":false,"definition":"","keyProductQueryItem":"300051","comparisonOperation":0,"comparisonValue":"11","minimumVersion":"","maximumVersion":"","formOrder":0,"lowerBound":null,"enabled":true,"mask":"","largeMask":"","maskKey":"","keyItemMaskOfField":null,"keyOptionIdReplace":"","relatedOptionIds":[],"onlineServices":[],"childCriteriaItemList":[],"clientContextJson":""},{"keyOptionId":"8365","caption":"Belize","isDefault":true,"maskCriteriaOnly":false,"definition":"","keyProductQueryItem":"300051","comparisonOperation":0,"comparisonValue":"13","minimumVersion":"","maximumVersion":"","formOrder":0,"lowerBound":null,"enabled":true,"mask":"","largeMask":"","maskKey":"","keyItemMaskOfField":null,"keyOptionIdReplace":"","relatedOptionIds":[],"onlineServices":[],"childCriteriaItemList":[],"clientContextJson":""},{"keyOptionId":"8366","caption":"Bolivia","isDefault":true,"maskCriteriaOnly":false,"definition":"","keyProductQueryItem":"300051","comparisonOperation":0,"comparisonValue":"43","minimumVersion":"","maximumVersion":"","formOrder":0,"lowerBound":null,"enabled":true,"mask":"","largeMask":"","maskKey":"","keyItemMaskOfField":null,"keyOptionIdReplace":"","relatedOptionIds":[],"onlineServices":[],"childCriteriaItemList":[],"clientContextJson":""},{"keyOptionId":"8367","caption":"Bonaire","isDefault":true,"maskCriteriaOnly":false,"definition":"","keyProductQueryItem":"300051","comparisonOperation":0,"comparisonValue":"1119","minimumVersion":"","maximumVersion":"","formOrder":0,"lowerBound":null,"enabled":true,"mask":"","largeMask":"","maskKey":"","keyItemMaskOfField":null,"keyOptionIdReplace":"","relatedOptionIds":[],"onlineServices":[],"childCriteriaItemList":[],"clientContextJson":""},{"keyOptionId":"8368","caption":"Brazil","isDefault":true,"maskCriteriaOnly":false,"definition":"","keyProductQueryItem":"300051","comparisonOperation":0,"comparisonValue":"53","minimumVersion":"","maximumVersion":"","formOrder":0,"lowerBound":null,"enabled":true,"mask":"","largeMask":"","maskKey":"","keyItemMaskOfField":null,"keyOptionIdReplace":"","relatedOptionIds":[],"onlineServices":[],"childCriteriaItemList":[],"clientContextJson":""},{"keyOptionId":"8369","caption":"BVI","isDefault":true,"maskCriteriaOnly":false,"definition":"","keyProductQueryItem":"300051","comparisonOperation":0,"comparisonValue":"35","minimumVersion":"","maximumVersion":"","formOrder":0,"lowerBound":null,"enabled":true,"mask":"","largeMask":"","maskKey":"","keyItemMaskOfField":null,"keyOptionIdReplace":"","relatedOptionIds":[],"onlineServices":[],"childCriteriaItemList":[],"clientContextJson":""},{"keyOptionId":"8370","caption":"Cayman Islands","isDefault":true,"maskCriteriaOnly":false,"definition":"","keyProductQueryItem":"300051","comparisonOperation":0,"comparisonValue":"41","minimumVersion":"","maximumVersion":"","formOrder":0,"lowerBound":null,"enabled":true,"mask":"","largeMask":"","maskKey":"","keyItemMaskOfField":null,"keyOptionIdReplace":"","relatedOptionIds":[],"onlineServices":[],"childCriteriaItemList":[],"clientContextJson":""},{"keyOptionId":"8371","caption":"Chile","isDefault":true,"maskCriteriaOnly":false,"definition":"","keyProductQueryItem":"300051","comparisonOperation":0,"comparisonValue":"54","minimumVersion":"","maximumVersion":"","formOrder":0,"lowerBound":null,"enabled":true,"mask":"","largeMask":"","maskKey":"","keyItemMaskOfField":null,"keyOptionIdReplace":"","relatedOptionIds":[],"onlineServices":[],"childCriteriaItemList":[],"clientContextJson":""},{"keyOptionId":"8372","caption":"Cocos Islands","isDefault":true,"maskCriteriaOnly":false,"definition":"","keyProductQueryItem":"300051","comparisonOperation":0,"comparisonValue":"124","minimumVersion":"","maximumVersion":"","formOrder":0,"lowerBound":null,"enabled":true,"mask":"","largeMask":"","maskKey":"","keyItemMaskOfField":null,"keyOptionIdReplace":"","relatedOptionIds":[],"onlineServices":[],"childCriteriaItemList":[],"clientContextJson":""},{"keyOptionId":"8373","caption":"Colombia","isDefault":true,"maskCriteriaOnly":false,"definition":"","keyProductQueryItem":"300051","comparisonOperation":0,"comparisonValue":"44","minimumVersion":"","maximumVersion":"","formOrder":0,"lowerBound":null,"enabled":true,"mask":"","largeMask":"",</t>
  </si>
  <si>
    <t>"maskKey":"","keyItemMaskOfField":null,"keyOptionIdReplace":"","relatedOptionIds":[],"onlineServices":[],"childCriteriaItemList":[],"clientContextJson":""},{"keyOptionId":"8374","caption":"Costa Rica","isDefault":true,"maskCriteriaOnly":false,"definition":"","keyProductQueryItem":"300051","comparisonOperation":0,"comparisonValue":"14","minimumVersion":"","maximumVersion":"","formOrder":0,"lowerBound":null,"enabled":true,"mask":"","largeMask":"","maskKey":"","keyItemMaskOfField":null,"keyOptionIdReplace":"","relatedOptionIds":[],"onlineServices":[],"childCriteriaItemList":[],"clientContextJson":""},{"keyOptionId":"8375","caption":"Cuba","isDefault":true,"maskCriteriaOnly":false,"definition":"","keyProductQueryItem":"300051","comparisonOperation":0,"comparisonValue":"15","minimumVersion":"","maximumVersion":"","formOrder":0,"lowerBound":null,"enabled":true,"mask":"","largeMask":"","maskKey":"","keyItemMaskOfField":null,"keyOptionIdReplace":"","relatedOptionIds":[],"onlineServices":[],"childCriteriaItemList":[],"clientContextJson":""},{"keyOptionId":"8376","caption":"Curaçao","isDefault":true,"maskCriteriaOnly":false,"definition":"","keyProductQueryItem":"300051","comparisonOperation":0,"comparisonValue":"1118","minimumVersion":"","maximumVersion":"","formOrder":0,"lowerBound":null,"enabled":true,"mask":"","largeMask":"","maskKey":"","keyItemMaskOfField":null,"keyOptionIdReplace":"","relatedOptionIds":[],"onlineServices":[],"childCriteriaItemList":[],"clientContextJson":""},{"keyOptionId":"8377","caption":"Dominica","isDefault":true,"maskCriteriaOnly":false,"definition":"","keyProductQueryItem":"300051","comparisonOperation":0,"comparisonValue":"16","minimumVersion":"","maximumVersion":"","formOrder":0,"lowerBound":null,"enabled":true,"mask":"","largeMask":"","maskKey":"","keyItemMaskOfField":null,"keyOptionIdReplace":"","relatedOptionIds":[],"onlineServices":[],"childCriteriaItemList":[],"clientContextJson":""},{"keyOptionId":"8378","caption":"Dominican Republic","isDefault":true,"maskCriteriaOnly":false,"definition":"","keyProductQueryItem":"300051","comparisonOperation":0,"comparisonValue":"17","minimumVersion":"","maximumVersion":"","formOrder":0,"lowerBound":null,"enabled":true,"mask":"","largeMask":"","maskKey":"","keyItemMaskOfField":null,"keyOptionIdReplace":"","relatedOptionIds":[],"onlineServices":[],"childCriteriaItemList":[],"clientContextJson":""},{"keyOptionId":"8379","caption":"Ecuador","isDefault":true,"maskCriteriaOnly":false,"definition":"","keyProductQueryItem":"300051","comparisonOperation":0,"comparisonValue":"55","minimumVersion":"","maximumVersion":"","formOrder":0,"lowerBound":null,"enabled":true,"mask":"","largeMask":"","maskKey":"","keyItemMaskOfField":null,"keyOptionIdReplace":"","relatedOptionIds":[],"onlineServices":[],"childCriteriaItemList":[],"clientContextJson":""},{"keyOptionId":"8380","caption":"El Salvador","isDefault":true,"maskCriteriaOnly":false,"definition":"","keyProductQueryItem":"300051","comparisonOperation":0,"comparisonValue":"42","minimumVersion":"","maximumVersion":"","formOrder":0,"lowerBound":null,"enabled":true,"mask":"","largeMask":"","maskKey":"","keyItemMaskOfField":null,"keyOptionIdReplace":"","relatedOptionIds":[],"onlineServices":[],"childCriteriaItemList":[],"clientContextJson":""},{"keyOptionId":"8381","caption":"Falkland Islands","isDefault":true,"maskCriteriaOnly":false,"definition":"","keyProductQueryItem":"300051","comparisonOperation":0,"comparisonValue":"45","minimumVersion":"","maximumVersion":"","formOrder":0,"lowerBound":null,"enabled":true,"mask":"","largeMask":"","maskKey":"","keyItemMaskOfField":null,"keyOptionIdReplace":"","relatedOptionIds":[],"onlineServices":[],"childCriteriaItemList":[],"clientContextJson":""},{"keyOptionId":"8382","caption":"French Guiana","isDefault":true,"maskCriteriaOnly":false,"definition":"","keyProductQueryItem":"300051","comparisonOperation":0,"comparisonValue":"46","minimumVersion":"","maximumVersion":"","formOrder":0,"lowerBound":null,"enabled":true,"mask":"","largeMask":"","maskKey":"","keyItemMaskOfField":null,"keyOptionIdReplace":"","relatedOptionIds":[],"onlineServices":[],"childCriteriaItemList":[],"clientContextJson":""},{"keyOptionId":"8383","caption":"Grenada","isDefault":true,"maskCriteriaOnly":false,"definition":"","keyProductQueryItem":"300051","comparisonOperation":0,"comparisonValue":"18","minimumVersion":"","maximumVersion":"","formOrder":0,"lowerBound":null,"enabled":true,"mask":"","largeMask":"","maskKey":"","keyItemMaskOfField":null,"keyOptionIdReplace":"","relatedOptionIds":[],"onlineServices":[],"childCriteriaItemList":[],"clientContextJson":""},{"keyOptionId":"8384","caption":"Guadeloupe","isDefault":true,"maskCriteriaOnly":false,"definition":"","keyProductQueryItem":"300051","comparisonOperation":0,"comparisonValue":"20","minimumVersion":"","maximumVersion":"","formOrder":0,"lowerBound":null,"enabled":true,"mask":"","largeMask":"","maskKey":"","keyItemMaskOfField":null,"keyOptionIdReplace":"","relatedOptionIds":[],"onlineServices":[],"childCriteriaItemList":[],"clientContextJson":""},{"keyOptionId":"8385","caption":"Guatemala","isDefault":true,"maskCriteriaOnly":false,"definition":"","keyProductQueryItem":"300051","comparisonOperation":0,"comparisonValue":"39","minimumVersion":"","maximumVersion":"","formOrder":0,"lowerBound":null,"enabled":true,"mask":"","largeMask":"","maskKey":"","keyItemMaskOfField":null,"keyOptionIdReplace":"","relatedOptionIds":[],"onlineServices":[],"childCriteriaItemList":[],"clientContextJson":""},{"keyOptionId":"8386","caption":"Guyana","isDefault":true,"maskCriteriaOnly":false,"definition":"","keyProductQueryItem":"300051","comparisonOperation":0,"comparisonValue":"47","minimumVersion":"","maximumVersion":"","formOrder":0,"lowerBound":null,"enabled":true,"mask":"","largeMask":"","maskKey":"","keyItemMaskOfField":null,"keyOptionIdReplace":"","relatedOptionIds":[],"onlineServices":[],"childCriteriaItemList":[],"clientContextJson":""},{"keyOptionId":"8387","caption":"Haiti","isDefault":true,"maskCriteriaOnly":false,"definition":"","keyProductQueryItem":"300051","comparisonOperation":0,"comparisonValue":"22","minimumVersion":"","maximumVersion":"","formOrder":0,"lowerBound":null,"enabled":true,"mask":"","largeMask":"","maskKey":"","keyItemMaskOfField":null,"keyOptionIdReplace":"","relatedOptionIds":[],"onlineServices":[],"childCriteriaItemList":[],"clientContextJson":""},{"keyOptionId":"8388","caption":"Honduras","isDefault":true,"maskCriteriaOnly":false,"definition":"","keyProductQueryItem":"300051","comparisonOperation":0,"comparisonValue":"21","minimumVersion":"","maximumVersion":"","formOrder":0,"lowerBound":null,"enabled":true,"mask":"","largeMask":"","maskKey":"","keyItemMaskOfField":null,"keyOptionIdReplace":"","relatedOptionIds":[],"onlineServices":[],"childCriteriaItemList":[],"clientContextJson":""},{"keyOptionId":"8389","caption":"Jamaica","isDefault":true,"maskCriteriaOnly":false,"definition":"","keyProductQueryItem":"300051","comparisonOperation":0,"comparisonValue":"23","minimumVersion":"","maximumVersion":"","formOrder":0,"lowerBound":null,"enabled":true,"mask":"","largeMask":"","maskKey":"","keyItemMaskOfField":null,"keyOptionIdReplace":"","relatedOptionIds":[],"onlineServices":[],"childCriteriaItemList":[],"clientContextJson":""},{"keyOptionId":"8390","caption":"Martinique","isDefault":true,"maskCriteriaOnly":false,"definition":"","keyProductQueryItem":"300051","comparisonOperation":0,"comparisonValue":"25","minimumVersion":"","maximumVersion":"","formOrder":0,"lowerBound":null,"enabled":true,"mask":"","largeMask":"","maskKey":"","keyItemMaskOfField":null,"keyOptionIdReplace":"",</t>
  </si>
  <si>
    <t>"relatedOptionIds":[],"onlineServices":[],"childCriteriaItemList":[],"clientContextJson":""},{"keyOptionId":"8391","caption":"Mexico","isDefault":true,"maskCriteriaOnly":false,"definition":"","keyProductQueryItem":"300051","comparisonOperation":0,"comparisonValue":"27","minimumVersion":"","maximumVersion":"","formOrder":0,"lowerBound":null,"enabled":true,"mask":"","largeMask":"","maskKey":"","keyItemMaskOfField":null,"keyOptionIdReplace":"","relatedOptionIds":[],"onlineServices":[],"childCriteriaItemList":[],"clientContextJson":""},{"keyOptionId":"8392","caption":"Montserrat","isDefault":true,"maskCriteriaOnly":false,"definition":"","keyProductQueryItem":"300051","comparisonOperation":0,"comparisonValue":"26","minimumVersion":"","maximumVersion":"","formOrder":0,"lowerBound":null,"enabled":true,"mask":"","largeMask":"","maskKey":"","keyItemMaskOfField":null,"keyOptionIdReplace":"","relatedOptionIds":[],"onlineServices":[],"childCriteriaItemList":[],"clientContextJson":""},{"keyOptionId":"8393","caption":"Nicaragua","isDefault":true,"maskCriteriaOnly":false,"definition":"","keyProductQueryItem":"300051","comparisonOperation":0,"comparisonValue":"28","minimumVersion":"","maximumVersion":"","formOrder":0,"lowerBound":null,"enabled":true,"mask":"","largeMask":"","maskKey":"","keyItemMaskOfField":null,"keyOptionIdReplace":"","relatedOptionIds":[],"onlineServices":[],"childCriteriaItemList":[],"clientContextJson":""},{"keyOptionId":"8394","caption":"Panama","isDefault":true,"maskCriteriaOnly":false,"definition":"","keyProductQueryItem":"300051","comparisonOperation":0,"comparisonValue":"29","minimumVersion":"","maximumVersion":"","formOrder":0,"lowerBound":null,"enabled":true,"mask":"","largeMask":"","maskKey":"","keyItemMaskOfField":null,"keyOptionIdReplace":"","relatedOptionIds":[],"onlineServices":[],"childCriteriaItemList":[],"clientContextJson":""},{"keyOptionId":"8395","caption":"Paraguay","isDefault":true,"maskCriteriaOnly":false,"definition":"","keyProductQueryItem":"300051","comparisonOperation":0,"comparisonValue":"49","minimumVersion":"","maximumVersion":"","formOrder":0,"lowerBound":null,"enabled":true,"mask":"","largeMask":"","maskKey":"","keyItemMaskOfField":null,"keyOptionIdReplace":"","relatedOptionIds":[],"onlineServices":[],"childCriteriaItemList":[],"clientContextJson":""},{"keyOptionId":"8396","caption":"Peru","isDefault":true,"maskCriteriaOnly":false,"definition":"","keyProductQueryItem":"300051","comparisonOperation":0,"comparisonValue":"48","minimumVersion":"","maximumVersion":"","formOrder":0,"lowerBound":null,"enabled":true,"mask":"","largeMask":"","maskKey":"","keyItemMaskOfField":null,"keyOptionIdReplace":"","relatedOptionIds":[],"onlineServices":[],"childCriteriaItemList":[],"clientContextJson":""},{"keyOptionId":"8397","caption":"Saint Lucia","isDefault":true,"maskCriteriaOnly":false,"definition":"","keyProductQueryItem":"300051","comparisonOperation":0,"comparisonValue":"24","minimumVersion":"","maximumVersion":"","formOrder":0,"lowerBound":null,"enabled":true,"mask":"","largeMask":"","maskKey":"","keyItemMaskOfField":null,"keyOptionIdReplace":"","relatedOptionIds":[],"onlineServices":[],"childCriteriaItemList":[],"clientContextJson":""},{"keyOptionId":"8398","caption":"Saint Vincent","isDefault":true,"maskCriteriaOnly":false,"definition":"","keyProductQueryItem":"300051","comparisonOperation":0,"comparisonValue":"34","minimumVersion":"","maximumVersion":"","formOrder":0,"lowerBound":null,"enabled":true,"mask":"","largeMask":"","maskKey":"","keyItemMaskOfField":null,"keyOptionIdReplace":"","relatedOptionIds":[],"onlineServices":[],"childCriteriaItemList":[],"clientContextJson":""},{"keyOptionId":"8399","caption":"Sint Maarten","isDefault":true,"maskCriteriaOnly":false,"definition":"","keyProductQueryItem":"300051","comparisonOperation":0,"comparisonValue":"1117","minimumVersion":"","maximumVersion":"","formOrder":0,"lowerBound":null,"enabled":true,"mask":"","largeMask":"","maskKey":"","keyItemMaskOfField":null,"keyOptionIdReplace":"","relatedOptionIds":[],"onlineServices":[],"childCriteriaItemList":[],"clientContextJson":""},{"keyOptionId":"8400","caption":"South Georgia","isDefault":true,"maskCriteriaOnly":false,"definition":"","keyProductQueryItem":"300051","comparisonOperation":0,"comparisonValue":"59","minimumVersion":"","maximumVersion":"","formOrder":0,"lowerBound":null,"enabled":true,"mask":"","largeMask":"","maskKey":"","keyItemMaskOfField":null,"keyOptionIdReplace":"","relatedOptionIds":[],"onlineServices":[],"childCriteriaItemList":[],"clientContextJson":""},{"keyOptionId":"8401","caption":"St. Kitts and Nevis","isDefault":true,"maskCriteriaOnly":false,"definition":"","keyProductQueryItem":"300051","comparisonOperation":0,"comparisonValue":"40","minimumVersion":"","maximumVersion":"","formOrder":0,"lowerBound":null,"enabled":true,"mask":"","largeMask":"","maskKey":"","keyItemMaskOfField":null,"keyOptionIdReplace":"","relatedOptionIds":[],"onlineServices":[],"childCriteriaItemList":[],"clientContextJson":""},{"keyOptionId":"8402","caption":"St. Pierre, Miquelon","isDefault":true,"maskCriteriaOnly":false,"definition":"","keyProductQueryItem":"300051","comparisonOperation":0,"comparisonValue":"30","minimumVersion":"","maximumVersion":"","formOrder":0,"lowerBound":null,"enabled":true,"mask":"","largeMask":"","maskKey":"","keyItemMaskOfField":null,"keyOptionIdReplace":"","relatedOptionIds":[],"onlineServices":[],"childCriteriaItemList":[],"clientContextJson":""},{"keyOptionId":"8403","caption":"Suriname","isDefault":true,"maskCriteriaOnly":false,"definition":"","keyProductQueryItem":"300051","comparisonOperation":0,"comparisonValue":"50","minimumVersion":"","maximumVersion":"","formOrder":0,"lowerBound":null,"enabled":true,"mask":"","largeMask":"","maskKey":"","keyItemMaskOfField":null,"keyOptionIdReplace":"","relatedOptionIds":[],"onlineServices":[],"childCriteriaItemList":[],"clientContextJson":""},{"keyOptionId":"8404","caption":"Trinidad and Tobago","isDefault":true,"maskCriteriaOnly":false,"definition":"","keyProductQueryItem":"300051","comparisonOperation":0,"comparisonValue":"32","minimumVersion":"","maximumVersion":"","formOrder":0,"lowerBound":null,"enabled":true,"mask":"","largeMask":"","maskKey":"","keyItemMaskOfField":null,"keyOptionIdReplace":"","relatedOptionIds":[],"onlineServices":[],"childCriteriaItemList":[],"clientContextJson":""},{"keyOptionId":"8405","caption":"Turks &amp; Caicos","isDefault":true,"maskCriteriaOnly":false,"definition":"","keyProductQueryItem":"300051","comparisonOperation":0,"comparisonValue":"31","minimumVersion":"","maximumVersion":"","formOrder":0,"lowerBound":null,"enabled":true,"mask":"","largeMask":"","maskKey":"","keyItemMaskOfField":null,"keyOptionIdReplace":"","relatedOptionIds":[],"onlineServices":[],"childCriteriaItemList":[],"clientContextJson":""},{"keyOptionId":"8406","caption":"Uruguay","isDefault":true,"maskCriteriaOnly":false,"definition":"","keyProductQueryItem":"300051","comparisonOperation":0,"comparisonValue":"51","minimumVersion":"","maximumVersion":"","formOrder":0,"lowerBound":null,"enabled":true,"mask":"","largeMask":"","maskKey":"","keyItemMaskOfField":null,"keyOptionIdReplace":"","relatedOptionIds":[],"onlineServices":[],"childCriteriaItemList":[],"clientContextJson":""},{"keyOptionId":"8407","caption":"Venezuela","isDefault":true,"maskCriteriaOnly":false,"definition":"","keyProductQueryItem":"300051","comparisonOperation":0,"comparisonValue":"56","minimumVersion":"","maximumVersion":"","formOrder":0,"lowerBound":null,"enabled":true,"mask":"","largeMask":"","maskKey":"","keyItemMaskOfField":null,"keyOptionIdReplace":"","relatedOptionIds":[],"onlineSe</t>
  </si>
  <si>
    <t>rvices":[],"childCriteriaItemList":[],"clientContextJson":""}],"clientContextJson":""},{"keyOptionId":"8408","caption":"Afric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8409","caption":"Algeria","isDefault":true,"maskCriteriaOnly":false,"definition":"","keyProductQueryItem":"300051","comparisonOperation":0,"comparisonValue":"73","minimumVersion":"","maximumVersion":"","formOrder":0,"lowerBound":null,"enabled":true,"mask":"","largeMask":"","maskKey":"","keyItemMaskOfField":null,"keyOptionIdReplace":"","relatedOptionIds":[],"onlineServices":[],"childCriteriaItemList":[],"clientContextJson":""},{"keyOptionId":"8410","caption":"Angola","isDefault":true,"maskCriteriaOnly":false,"definition":"","keyProductQueryItem":"300051","comparisonOperation":0,"comparisonValue":"62","minimumVersion":"","maximumVersion":"","formOrder":0,"lowerBound":null,"enabled":true,"mask":"","largeMask":"","maskKey":"","keyItemMaskOfField":null,"keyOptionIdReplace":"","relatedOptionIds":[],"onlineServices":[],"childCriteriaItemList":[],"clientContextJson":""},{"keyOptionId":"8411","caption":"Benin","isDefault":true,"maskCriteriaOnly":false,"definition":"","keyProductQueryItem":"300051","comparisonOperation":0,"comparisonValue":"65","minimumVersion":"","maximumVersion":"","formOrder":0,"lowerBound":null,"enabled":true,"mask":"","largeMask":"","maskKey":"","keyItemMaskOfField":null,"keyOptionIdReplace":"","relatedOptionIds":[],"onlineServices":[],"childCriteriaItemList":[],"clientContextJson":""},{"keyOptionId":"8412","caption":"Botswana","isDefault":true,"maskCriteriaOnly":false,"definition":"","keyProductQueryItem":"300051","comparisonOperation":0,"comparisonValue":"66","minimumVersion":"","maximumVersion":"","formOrder":0,"lowerBound":null,"enabled":true,"mask":"","largeMask":"","maskKey":"","keyItemMaskOfField":null,"keyOptionIdReplace":"","relatedOptionIds":[],"onlineServices":[],"childCriteriaItemList":[],"clientContextJson":""},{"keyOptionId":"8413","caption":"Bouvet Island","isDefault":true,"maskCriteriaOnly":false,"definition":"","keyProductQueryItem":"300051","comparisonOperation":0,"comparisonValue":"58","minimumVersion":"","maximumVersion":"","formOrder":0,"lowerBound":null,"enabled":true,"mask":"","largeMask":"","maskKey":"","keyItemMaskOfField":null,"keyOptionIdReplace":"","relatedOptionIds":[],"onlineServices":[],"childCriteriaItemList":[],"clientContextJson":""},{"keyOptionId":"8414","caption":"Burkina Faso","isDefault":true,"maskCriteriaOnly":false,"definition":"","keyProductQueryItem":"300051","comparisonOperation":0,"comparisonValue":"63","minimumVersion":"","maximumVersion":"","formOrder":0,"lowerBound":null,"enabled":true,"mask":"","largeMask":"","maskKey":"","keyItemMaskOfField":null,"keyOptionIdReplace":"","relatedOptionIds":[],"onlineServices":[],"childCriteriaItemList":[],"clientContextJson":""},{"keyOptionId":"8415","caption":"Burundi","isDefault":true,"maskCriteriaOnly":false,"definition":"","keyProductQueryItem":"300051","comparisonOperation":0,"comparisonValue":"64","minimumVersion":"","maximumVersion":"","formOrder":0,"lowerBound":null,"enabled":true,"mask":"","largeMask":"","maskKey":"","keyItemMaskOfField":null,"keyOptionIdReplace":"","relatedOptionIds":[],"onlineServices":[],"childCriteriaItemList":[],"clientContextJson":""},{"keyOptionId":"8416","caption":"Cameroon","isDefault":true,"maskCriteriaOnly":false,"definition":"","keyProductQueryItem":"300051","comparisonOperation":0,"comparisonValue":"70","minimumVersion":"","maximumVersion":"","formOrder":0,"lowerBound":null,"enabled":true,"mask":"","largeMask":"","maskKey":"","keyItemMaskOfField":null,"keyOptionIdReplace":"","relatedOptionIds":[],"onlineServices":[],"childCriteriaItemList":[],"clientContextJson":""},{"keyOptionId":"8417","caption":"Cape Verde","isDefault":true,"maskCriteriaOnly":false,"definition":"","keyProductQueryItem":"300051","comparisonOperation":0,"comparisonValue":"71","minimumVersion":"","maximumVersion":"","formOrder":0,"lowerBound":null,"enabled":true,"mask":"","largeMask":"","maskKey":"","keyItemMaskOfField":null,"keyOptionIdReplace":"","relatedOptionIds":[],"onlineServices":[],"childCriteriaItemList":[],"clientContextJson":""},{"keyOptionId":"8418","caption":"Central African Rep.","isDefault":true,"maskCriteriaOnly":false,"definition":"","keyProductQueryItem":"300051","comparisonOperation":0,"comparisonValue":"67","minimumVersion":"","maximumVersion":"","formOrder":0,"lowerBound":null,"enabled":true,"mask":"","largeMask":"","maskKey":"","keyItemMaskOfField":null,"keyOptionIdReplace":"","relatedOptionIds":[],"onlineServices":[],"childCriteriaItemList":[],"clientContextJson":""},{"keyOptionId":"8419","caption":"Chad","isDefault":true,"maskCriteriaOnly":false,"definition":"","keyProductQueryItem":"300051","comparisonOperation":0,"comparisonValue":"108","minimumVersion":"","maximumVersion":"","formOrder":0,"lowerBound":null,"enabled":true,"mask":"","largeMask":"","maskKey":"","keyItemMaskOfField":null,"keyOptionIdReplace":"","relatedOptionIds":[],"onlineServices":[],"childCriteriaItemList":[],"clientContextJson":""},{"keyOptionId":"8420","caption":"Comoros","isDefault":true,"maskCriteriaOnly":false,"definition":"","keyProductQueryItem":"300051","comparisonOperation":0,"comparisonValue":"117","minimumVersion":"","maximumVersion":"","formOrder":0,"lowerBound":null,"enabled":true,"mask":"","largeMask":"","maskKey":"","keyItemMaskOfField":null,"keyOptionIdReplace":"","relatedOptionIds":[],"onlineServices":[],"childCriteriaItemList":[],"clientContextJson":""},{"keyOptionId":"8421","caption":"Cote d'Ivoire","isDefault":true,"maskCriteriaOnly":false,"definition":"","keyProductQueryItem":"300051","comparisonOperation":0,"comparisonValue":"69","minimumVersion":"","maximumVersion":"","formOrder":0,"lowerBound":null,"enabled":true,"mask":"","largeMask":"","maskKey":"","keyItemMaskOfField":null,"keyOptionIdReplace":"","relatedOptionIds":[],"onlineServices":[],"childCriteriaItemList":[],"clientContextJson":""},{"keyOptionId":"8422","caption":"Dem. Rep. Congo","isDefault":true,"maskCriteriaOnly":false,"definition":"","keyProductQueryItem":"300051","comparisonOperation":0,"comparisonValue":"115","minimumVersion":"","maximumVersion":"","formOrder":0,"lowerBound":null,"enabled":true,"mask":"","largeMask":"","maskKey":"","keyItemMaskOfField":null,"keyOptionIdReplace":"","relatedOptionIds":[],"onlineServices":[],"childCriteriaItemList":[],"clientContextJson":""},{"keyOptionId":"8423","caption":"Djibouti","isDefault":true,"maskCriteriaOnly":false,"definition":"","keyProductQueryItem":"300051","comparisonOperation":0,"comparisonValue":"72","minimumVersion":"","maximumVersion":"","formOrder":0,"lowerBound":null,"enabled":true,"mask":"","largeMask":"","maskKey":"","keyItemMaskOfField":null,"keyOptionIdReplace":"","relatedOptionIds":[],"onlineServices":[],"childCriteriaItemList":[],"clientContextJson":""},{"keyOptionId":"8424","caption":"Equatorial Guinea","isDefault":true,"maskCriteriaOnly":false,"definition":"","keyProductQueryItem":"300051","comparisonOperation":0,"comparisonValue":"82","minimumVersion":"","maximumVersion":"","formOrder":0,"lowerBound":null,"enabled":true,"mask":"","largeMask":"","maskKey":"","keyItemMaskOfField":null,"keyOptionIdReplace":"","relatedOptionIds":[],"onlineServices":[],"childCriteriaItemList":[],"clientContextJson":</t>
  </si>
  <si>
    <t>""},{"keyOptionId":"8425","caption":"Eritrea","isDefault":true,"maskCriteriaOnly":false,"definition":"","keyProductQueryItem":"300051","comparisonOperation":0,"comparisonValue":"76","minimumVersion":"","maximumVersion":"","formOrder":0,"lowerBound":null,"enabled":true,"mask":"","largeMask":"","maskKey":"","keyItemMaskOfField":null,"keyOptionIdReplace":"","relatedOptionIds":[],"onlineServices":[],"childCriteriaItemList":[],"clientContextJson":""},{"keyOptionId":"8458","caption":"Eswatini","isDefault":true,"maskCriteriaOnly":false,"definition":"","keyProductQueryItem":"300051","comparisonOperation":0,"comparisonValue":"107","minimumVersion":"","maximumVersion":"","formOrder":0,"lowerBound":null,"enabled":true,"mask":"","largeMask":"","maskKey":"","keyItemMaskOfField":null,"keyOptionIdReplace":"","relatedOptionIds":[],"onlineServices":[],"childCriteriaItemList":[],"clientContextJson":""},{"keyOptionId":"8426","caption":"Ethiopia","isDefault":true,"maskCriteriaOnly":false,"definition":"","keyProductQueryItem":"300051","comparisonOperation":0,"comparisonValue":"77","minimumVersion":"","maximumVersion":"","formOrder":0,"lowerBound":null,"enabled":true,"mask":"","largeMask":"","maskKey":"","keyItemMaskOfField":null,"keyOptionIdReplace":"","relatedOptionIds":[],"onlineServices":[],"childCriteriaItemList":[],"clientContextJson":""},{"keyOptionId":"8427","caption":"Gabon","isDefault":true,"maskCriteriaOnly":false,"definition":"","keyProductQueryItem":"300051","comparisonOperation":0,"comparisonValue":"78","minimumVersion":"","maximumVersion":"","formOrder":0,"lowerBound":null,"enabled":true,"mask":"","largeMask":"","maskKey":"","keyItemMaskOfField":null,"keyOptionIdReplace":"","relatedOptionIds":[],"onlineServices":[],"childCriteriaItemList":[],"clientContextJson":""},{"keyOptionId":"8428","caption":"Gambia","isDefault":true,"maskCriteriaOnly":false,"definition":"","keyProductQueryItem":"300051","comparisonOperation":0,"comparisonValue":"80","minimumVersion":"","maximumVersion":"","formOrder":0,"lowerBound":null,"enabled":true,"mask":"","largeMask":"","maskKey":"","keyItemMaskOfField":null,"keyOptionIdReplace":"","relatedOptionIds":[],"onlineServices":[],"childCriteriaItemList":[],"clientContextJson":""},{"keyOptionId":"8429","caption":"Ghana","isDefault":true,"maskCriteriaOnly":false,"definition":"","keyProductQueryItem":"300051","comparisonOperation":0,"comparisonValue":"79","minimumVersion":"","maximumVersion":"","formOrder":0,"lowerBound":null,"enabled":true,"mask":"","largeMask":"","maskKey":"","keyItemMaskOfField":null,"keyOptionIdReplace":"","relatedOptionIds":[],"onlineServices":[],"childCriteriaItemList":[],"clientContextJson":""},{"keyOptionId":"8430","caption":"Guinea","isDefault":true,"maskCriteriaOnly":false,"definition":"","keyProductQueryItem":"300051","comparisonOperation":0,"comparisonValue":"81","minimumVersion":"","maximumVersion":"","formOrder":0,"lowerBound":null,"enabled":true,"mask":"","largeMask":"","maskKey":"","keyItemMaskOfField":null,"keyOptionIdReplace":"","relatedOptionIds":[],"onlineServices":[],"childCriteriaItemList":[],"clientContextJson":""},{"keyOptionId":"8431","caption":"Guinea-Bissau","isDefault":true,"maskCriteriaOnly":false,"definition":"","keyProductQueryItem":"300051","comparisonOperation":0,"comparisonValue":"83","minimumVersion":"","maximumVersion":"","formOrder":0,"lowerBound":null,"enabled":true,"mask":"","largeMask":"","maskKey":"","keyItemMaskOfField":null,"keyOptionIdReplace":"","relatedOptionIds":[],"onlineServices":[],"childCriteriaItemList":[],"clientContextJson":""},{"keyOptionId":"8432","caption":"Kenya","isDefault":true,"maskCriteriaOnly":false,"definition":"","keyProductQueryItem":"300051","comparisonOperation":0,"comparisonValue":"84","minimumVersion":"","maximumVersion":"","formOrder":0,"lowerBound":null,"enabled":true,"mask":"","largeMask":"","maskKey":"","keyItemMaskOfField":null,"keyOptionIdReplace":"","relatedOptionIds":[],"onlineServices":[],"childCriteriaItemList":[],"clientContextJson":""},{"keyOptionId":"8433","caption":"Lesotho","isDefault":true,"maskCriteriaOnly":false,"definition":"","keyProductQueryItem":"300051","comparisonOperation":0,"comparisonValue":"86","minimumVersion":"","maximumVersion":"","formOrder":0,"lowerBound":null,"enabled":true,"mask":"","largeMask":"","maskKey":"","keyItemMaskOfField":null,"keyOptionIdReplace":"","relatedOptionIds":[],"onlineServices":[],"childCriteriaItemList":[],"clientContextJson":""},{"keyOptionId":"8434","caption":"Liberia","isDefault":true,"maskCriteriaOnly":false,"definition":"","keyProductQueryItem":"300051","comparisonOperation":0,"comparisonValue":"85","minimumVersion":"","maximumVersion":"","formOrder":0,"lowerBound":null,"enabled":true,"mask":"","largeMask":"","maskKey":"","keyItemMaskOfField":null,"keyOptionIdReplace":"","relatedOptionIds":[],"onlineServices":[],"childCriteriaItemList":[],"clientContextJson":""},{"keyOptionId":"8435","caption":"Libya","isDefault":true,"maskCriteriaOnly":false,"definition":"","keyProductQueryItem":"300051","comparisonOperation":0,"comparisonValue":"87","minimumVersion":"","maximumVersion":"","formOrder":0,"lowerBound":null,"enabled":true,"mask":"","largeMask":"","maskKey":"","keyItemMaskOfField":null,"keyOptionIdReplace":"","relatedOptionIds":[],"onlineServices":[],"childCriteriaItemList":[],"clientContextJson":""},{"keyOptionId":"8436","caption":"Madagascar","isDefault":true,"maskCriteriaOnly":false,"definition":"","keyProductQueryItem":"300051","comparisonOperation":0,"comparisonValue":"89","minimumVersion":"","maximumVersion":"","formOrder":0,"lowerBound":null,"enabled":true,"mask":"","largeMask":"","maskKey":"","keyItemMaskOfField":null,"keyOptionIdReplace":"","relatedOptionIds":[],"onlineServices":[],"childCriteriaItemList":[],"clientContextJson":""},{"keyOptionId":"8437","caption":"Malawi","isDefault":true,"maskCriteriaOnly":false,"definition":"","keyProductQueryItem":"300051","comparisonOperation":0,"comparisonValue":"93","minimumVersion":"","maximumVersion":"","formOrder":0,"lowerBound":null,"enabled":true,"mask":"","largeMask":"","maskKey":"","keyItemMaskOfField":null,"keyOptionIdReplace":"","relatedOptionIds":[],"onlineServices":[],"childCriteriaItemList":[],"clientContextJson":""},{"keyOptionId":"8438","caption":"Mali","isDefault":true,"maskCriteriaOnly":false,"definition":"","keyProductQueryItem":"300051","comparisonOperation":0,"comparisonValue":"90","minimumVersion":"","maximumVersion":"","formOrder":0,"lowerBound":null,"enabled":true,"mask":"","largeMask":"","maskKey":"","keyItemMaskOfField":null,"keyOptionIdReplace":"","relatedOptionIds":[],"onlineServices":[],"childCriteriaItemList":[],"clientContextJson":""},{"keyOptionId":"8439","caption":"Mauritania","isDefault":true,"maskCriteriaOnly":false,"definition":"","keyProductQueryItem":"300051","comparisonOperation":0,"comparisonValue":"91","minimumVersion":"","maximumVersion":"","formOrder":0,"lowerBound":null,"enabled":true,"mask":"","largeMask":"","maskKey":"","keyItemMaskOfField":null,"keyOptionIdReplace":"","relatedOptionIds":[],"onlineServices":[],"childCriteriaItemList":[],"clientContextJson":""},{"keyOptionId":"8440","caption":"Mauritius","isDefault":true,"maskCriteriaOnly":false,"definition":"","keyProductQueryItem":"300051","comparisonOperation":0,"comparisonValue":"92","minimumVersion":"","maximumVersion":"","formOrder":0,"lowerBound":null,"enabled":true,"mask":"","largeMask":"","maskKey":"","keyItemMaskOfField":null,"keyOptionIdReplace":"","relatedOptionIds":[],"onlineServices":[],"childCriteriaItemList":[],"clientContextJson":""},{"keyOptionId":"8441","caption":"Mayotte","isDefault":true,"maskCriteriaOnly":false,"definition</t>
  </si>
  <si>
    <t>":"","keyProductQueryItem":"300051","comparisonOperation":0,"comparisonValue":"113","minimumVersion":"","maximumVersion":"","formOrder":0,"lowerBound":null,"enabled":true,"mask":"","largeMask":"","maskKey":"","keyItemMaskOfField":null,"keyOptionIdReplace":"","relatedOptionIds":[],"onlineServices":[],"childCriteriaItemList":[],"clientContextJson":""},{"keyOptionId":"8442","caption":"Morocco","isDefault":true,"maskCriteriaOnly":false,"definition":"","keyProductQueryItem":"300051","comparisonOperation":0,"comparisonValue":"88","minimumVersion":"","maximumVersion":"","formOrder":0,"lowerBound":null,"enabled":true,"mask":"","largeMask":"","maskKey":"","keyItemMaskOfField":null,"keyOptionIdReplace":"","relatedOptionIds":[],"onlineServices":[],"childCriteriaItemList":[],"clientContextJson":""},{"keyOptionId":"8443","caption":"Mozambique","isDefault":true,"maskCriteriaOnly":false,"definition":"","keyProductQueryItem":"300051","comparisonOperation":0,"comparisonValue":"94","minimumVersion":"","maximumVersion":"","formOrder":0,"lowerBound":null,"enabled":true,"mask":"","largeMask":"","maskKey":"","keyItemMaskOfField":null,"keyOptionIdReplace":"","relatedOptionIds":[],"onlineServices":[],"childCriteriaItemList":[],"clientContextJson":""},{"keyOptionId":"8444","caption":"Namibia","isDefault":true,"maskCriteriaOnly":false,"definition":"","keyProductQueryItem":"300051","comparisonOperation":0,"comparisonValue":"95","minimumVersion":"","maximumVersion":"","formOrder":0,"lowerBound":null,"enabled":true,"mask":"","largeMask":"","maskKey":"","keyItemMaskOfField":null,"keyOptionIdReplace":"","relatedOptionIds":[],"onlineServices":[],"childCriteriaItemList":[],"clientContextJson":""},{"keyOptionId":"8445","caption":"Niger","isDefault":true,"maskCriteriaOnly":false,"definition":"","keyProductQueryItem":"300051","comparisonOperation":0,"comparisonValue":"96","minimumVersion":"","maximumVersion":"","formOrder":0,"lowerBound":null,"enabled":true,"mask":"","largeMask":"","maskKey":"","keyItemMaskOfField":null,"keyOptionIdReplace":"","relatedOptionIds":[],"onlineServices":[],"childCriteriaItemList":[],"clientContextJson":""},{"keyOptionId":"8446","caption":"Nigeria","isDefault":true,"maskCriteriaOnly":false,"definition":"","keyProductQueryItem":"300051","comparisonOperation":0,"comparisonValue":"97","minimumVersion":"","maximumVersion":"","formOrder":0,"lowerBound":null,"enabled":true,"mask":"","largeMask":"","maskKey":"","keyItemMaskOfField":null,"keyOptionIdReplace":"","relatedOptionIds":[],"onlineServices":[],"childCriteriaItemList":[],"clientContextJson":""},{"keyOptionId":"8447","caption":"Rep. Of the Congo","isDefault":true,"maskCriteriaOnly":false,"definition":"","keyProductQueryItem":"300051","comparisonOperation":0,"comparisonValue":"68","minimumVersion":"","maximumVersion":"","formOrder":0,"lowerBound":null,"enabled":true,"mask":"","largeMask":"","maskKey":"","keyItemMaskOfField":null,"keyOptionIdReplace":"","relatedOptionIds":[],"onlineServices":[],"childCriteriaItemList":[],"clientContextJson":""},{"keyOptionId":"8448","caption":"Reunion","isDefault":true,"maskCriteriaOnly":false,"definition":"","keyProductQueryItem":"300051","comparisonOperation":0,"comparisonValue":"98","minimumVersion":"","maximumVersion":"","formOrder":0,"lowerBound":null,"enabled":true,"mask":"","largeMask":"","maskKey":"","keyItemMaskOfField":null,"keyOptionIdReplace":"","relatedOptionIds":[],"onlineServices":[],"childCriteriaItemList":[],"clientContextJson":""},{"keyOptionId":"8449","caption":"Rwanda","isDefault":true,"maskCriteriaOnly":false,"definition":"","keyProductQueryItem":"300051","comparisonOperation":0,"comparisonValue":"99","minimumVersion":"","maximumVersion":"","formOrder":0,"lowerBound":null,"enabled":true,"mask":"","largeMask":"","maskKey":"","keyItemMaskOfField":null,"keyOptionIdReplace":"","relatedOptionIds":[],"onlineServices":[],"childCriteriaItemList":[],"clientContextJson":""},{"keyOptionId":"8450","caption":"Saint Helena","isDefault":true,"maskCriteriaOnly":false,"definition":"","keyProductQueryItem":"300051","comparisonOperation":0,"comparisonValue":"102","minimumVersion":"","maximumVersion":"","formOrder":0,"lowerBound":null,"enabled":true,"mask":"","largeMask":"","maskKey":"","keyItemMaskOfField":null,"keyOptionIdReplace":"","relatedOptionIds":[],"onlineServices":[],"childCriteriaItemList":[],"clientContextJson":""},{"keyOptionId":"8451","caption":"Sao Tome &amp; Principe","isDefault":true,"maskCriteriaOnly":false,"definition":"","keyProductQueryItem":"300051","comparisonOperation":0,"comparisonValue":"106","minimumVersion":"","maximumVersion":"","formOrder":0,"lowerBound":null,"enabled":true,"mask":"","largeMask":"","maskKey":"","keyItemMaskOfField":null,"keyOptionIdReplace":"","relatedOptionIds":[],"onlineServices":[],"childCriteriaItemList":[],"clientContextJson":""},{"keyOptionId":"8452","caption":"Senegal","isDefault":true,"maskCriteriaOnly":false,"definition":"","keyProductQueryItem":"300051","comparisonOperation":0,"comparisonValue":"104","minimumVersion":"","maximumVersion":"","formOrder":0,"lowerBound":null,"enabled":true,"mask":"","largeMask":"","maskKey":"","keyItemMaskOfField":null,"keyOptionIdReplace":"","relatedOptionIds":[],"onlineServices":[],"childCriteriaItemList":[],"clientContextJson":""},{"keyOptionId":"8453","caption":"Seychelles","isDefault":true,"maskCriteriaOnly":false,"definition":"","keyProductQueryItem":"300051","comparisonOperation":0,"comparisonValue":"100","minimumVersion":"","maximumVersion":"","formOrder":0,"lowerBound":null,"enabled":true,"mask":"","largeMask":"","maskKey":"","keyItemMaskOfField":null,"keyOptionIdReplace":"","relatedOptionIds":[],"onlineServices":[],"childCriteriaItemList":[],"clientContextJson":""},{"keyOptionId":"8454","caption":"Sierra Leone","isDefault":true,"maskCriteriaOnly":false,"definition":"","keyProductQueryItem":"300051","comparisonOperation":0,"comparisonValue":"103","minimumVersion":"","maximumVersion":"","formOrder":0,"lowerBound":null,"enabled":true,"mask":"","largeMask":"","maskKey":"","keyItemMaskOfField":null,"keyOptionIdReplace":"","relatedOptionIds":[],"onlineServices":[],"childCriteriaItemList":[],"clientContextJson":""},{"keyOptionId":"8455","caption":"Somalia","isDefault":true,"maskCriteriaOnly":false,"definition":"","keyProductQueryItem":"300051","comparisonOperation":0,"comparisonValue":"105","minimumVersion":"","maximumVersion":"","formOrder":0,"lowerBound":null,"enabled":true,"mask":"","largeMask":"","maskKey":"","keyItemMaskOfField":null,"keyOptionIdReplace":"","relatedOptionIds":[],"onlineServices":[],"childCriteriaItemList":[],"clientContextJson":""},{"keyOptionId":"8456","caption":"South Africa","isDefault":true,"maskCriteriaOnly":false,"definition":"","keyProductQueryItem":"300051","comparisonOperation":0,"comparisonValue":"118","minimumVersion":"","maximumVersion":"","formOrder":0,"lowerBound":null,"enabled":true,"mask":"","largeMask":"","maskKey":"","keyItemMaskOfField":null,"keyOptionIdReplace":"","relatedOptionIds":[],"onlineServices":[],"childCriteriaItemList":[],"clientContextJson":""},{"keyOptionId":"8457","caption":"Sudan","isDefault":true,"maskCriteriaOnly":false,"definition":"","keyProductQueryItem":"300051","comparisonOperation":0,"comparisonValue":"101","minimumVersion":"","maximumVersion":"","formOrder":0,"lowerBound":null,"enabled":true,"mask":"","largeMask":"","maskKey":"","keyItemMaskOfField":null,"keyOptionIdReplace":"","relatedOptionIds":[],"onlineServices":[],"childCriteriaItemList":[],"clientContextJson":""},{"keyOptionId":"8459","caption":"Tanzania","isDefault":true,"maskCriteriaOnly":false,"definition":"","keyProductQueryItem":"300051","comparisonOperati</t>
  </si>
  <si>
    <t>on":0,"comparisonValue":"111","minimumVersion":"","maximumVersion":"","formOrder":0,"lowerBound":null,"enabled":true,"mask":"","largeMask":"","maskKey":"","keyItemMaskOfField":null,"keyOptionIdReplace":"","relatedOptionIds":[],"onlineServices":[],"childCriteriaItemList":[],"clientContextJson":""},{"keyOptionId":"8460","caption":"Togo","isDefault":true,"maskCriteriaOnly":false,"definition":"","keyProductQueryItem":"300051","comparisonOperation":0,"comparisonValue":"109","minimumVersion":"","maximumVersion":"","formOrder":0,"lowerBound":null,"enabled":true,"mask":"","largeMask":"","maskKey":"","keyItemMaskOfField":null,"keyOptionIdReplace":"","relatedOptionIds":[],"onlineServices":[],"childCriteriaItemList":[],"clientContextJson":""},{"keyOptionId":"8461","caption":"Tunisia","isDefault":true,"maskCriteriaOnly":false,"definition":"","keyProductQueryItem":"300051","comparisonOperation":0,"comparisonValue":"110","minimumVersion":"","maximumVersion":"","formOrder":0,"lowerBound":null,"enabled":true,"mask":"","largeMask":"","maskKey":"","keyItemMaskOfField":null,"keyOptionIdReplace":"","relatedOptionIds":[],"onlineServices":[],"childCriteriaItemList":[],"clientContextJson":""},{"keyOptionId":"8462","caption":"Uganda","isDefault":true,"maskCriteriaOnly":false,"definition":"","keyProductQueryItem":"300051","comparisonOperation":0,"comparisonValue":"112","minimumVersion":"","maximumVersion":"","formOrder":0,"lowerBound":null,"enabled":true,"mask":"","largeMask":"","maskKey":"","keyItemMaskOfField":null,"keyOptionIdReplace":"","relatedOptionIds":[],"onlineServices":[],"childCriteriaItemList":[],"clientContextJson":""},{"keyOptionId":"8463","caption":"Western Sahara","isDefault":true,"maskCriteriaOnly":false,"definition":"","keyProductQueryItem":"300051","comparisonOperation":0,"comparisonValue":"75","minimumVersion":"","maximumVersion":"","formOrder":0,"lowerBound":null,"enabled":true,"mask":"","largeMask":"","maskKey":"","keyItemMaskOfField":null,"keyOptionIdReplace":"","relatedOptionIds":[],"onlineServices":[],"childCriteriaItemList":[],"clientContextJson":""},{"keyOptionId":"8464","caption":"Zambia","isDefault":true,"maskCriteriaOnly":false,"definition":"","keyProductQueryItem":"300051","comparisonOperation":0,"comparisonValue":"114","minimumVersion":"","maximumVersion":"","formOrder":0,"lowerBound":null,"enabled":true,"mask":"","largeMask":"","maskKey":"","keyItemMaskOfField":null,"keyOptionIdReplace":"","relatedOptionIds":[],"onlineServices":[],"childCriteriaItemList":[],"clientContextJson":""},{"keyOptionId":"8465","caption":"Zimbabwe","isDefault":true,"maskCriteriaOnly":false,"definition":"","keyProductQueryItem":"300051","comparisonOperation":0,"comparisonValue":"116","minimumVersion":"","maximumVersion":"","formOrder":0,"lowerBound":null,"enabled":true,"mask":"","largeMask":"","maskKey":"","keyItemMaskOfField":null,"keyOptionIdReplace":"","relatedOptionIds":[],"onlineServices":[],"childCriteriaItemList":[],"clientContextJson":""}],"clientContextJson":""}],"clientContextJson":""}]},{"filterGroupId":"8469","filterGroupIdReplace":"","caption":"Transaction Status","groupType":2,"optionType":1,"formOrder":50,"minimumVersion":"","maximumVersion":"","onlineServicesEnabled":false,"column":0,"columnFormOrder":50,"criteriaIdName":"","required":true,"dateDefaultType":"","criteriaItemList":[{"keyOptionId":"8470","caption":"Announced","isDefault":true,"maskCriteriaOnly":false,"definition":"","keyProductQueryItem":"299103","comparisonOperation":0,"comparisonValue":"0","minimumVersion":"","maximumVersion":"","formOrder":0,"lowerBound":null,"enabled":true,"mask":"","largeMask":"","maskKey":"","keyItemMaskOfField":null,"keyOptionIdReplace":"","relatedOptionIds":[],"onlineServices":[],"childCriteriaItemList":[],"clientContextJson":""},{"keyOptionId":"8471","caption":"Completed","isDefault":true,"maskCriteriaOnly":false,"definition":"","keyProductQueryItem":"299103","comparisonOperation":0,"comparisonValue":"1","minimumVersion":"","maximumVersion":"","formOrder":0,"lowerBound":null,"enabled":true,"mask":"","largeMask":"","maskKey":"","keyItemMaskOfField":null,"keyOptionIdReplace":"","relatedOptionIds":[],"onlineServices":[],"childCriteriaItemList":[],"clientContextJson":""},{"keyOptionId":"8472","caption":"Terminated/Withdrawn","isDefault":false,"maskCriteriaOnly":false,"definition":"","keyProductQueryItem":"299103","comparisonOperation":0,"comparisonValue":"2","minimumVersion":"","maximumVersion":"","formOrder":0,"lowerBound":null,"enabled":true,"mask":"","largeMask":"","maskKey":"","keyItemMaskOfField":null,"keyOptionIdReplace":"","relatedOptionIds":[],"onlineServices":[],"childCriteriaItemList":[],"clientContextJson":""}]},{"filterGroupId":"9696","filterGroupIdReplace":"","caption":"Transaction Feature","groupType":2,"optionType":1,"formOrder":70,"minimumVersion":"","maximumVersion":"","onlineServicesEnabled":false,"column":0,"columnFormOrder":70,"criteriaIdName":"","required":false,"dateDefaultType":"","criteriaItemList":[{"keyOptionId":"9735","caption":"Al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9697","caption":"M&amp;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9698","caption":"Asset Acquisition","isDefault":false,"maskCriteriaOnly":false,"definition":"","keyProductQueryItem":"311833","comparisonOperation":0,"comparisonValue":"0","minimumVersion":"","maximumVersion":"","formOrder":0,"lowerBound":null,"enabled":true,"mask":"","largeMask":"","maskKey":"","keyItemMaskOfField":null,"keyOptionIdReplace":"","relatedOptionIds":[],"onlineServices":[],"childCriteriaItemList":[],"clientContextJson":""},{"keyOptionId":"9699","caption":"Bankruptcy Sale","isDefault":false,"maskCriteriaOnly":false,"definition":"","keyProductQueryItem":"311833","comparisonOperation":0,"comparisonValue":"3","minimumVersion":"","maximumVersion":"","formOrder":0,"lowerBound":null,"enabled":true,"mask":"","largeMask":"","maskKey":"","keyItemMaskOfField":null,"keyOptionIdReplace":"","relatedOptionIds":[],"onlineServices":[],"childCriteriaItemList":[],"clientContextJson":""},{"keyOptionId":"9700","caption":"Government Assisted Deal","isDefault":false,"maskCriteriaOnly":false,"definition":"","keyProductQueryItem":"311833","comparisonOperation":0,"comparisonValue":"4","minimumVersion":"","maximumVersion":"","formOrder":0,"lowerBound":null,"enabled":true,"mask":"","largeMask":"","maskKey":"","keyItemMaskOfField":null,"keyOptionIdReplace":"","relatedOptionIds":[],"onlineServices":[],"childCriteriaItemList":[],"clientContextJson":""},{"keyOptionId":"9701","caption":"Thrift Merger Conversion","isDefault":false,"maskCriteriaOnly":false,"definition":"","keyProductQueryItem":"311833","comparisonOperation":0,"comparisonValue":"5","minimumVersion":"","maximumVersion":"","formOrder":0,"lowerBound":null,"enabled":true,"mask":"","largeMask":"","maskKey":"","keyItemMaskOfField":null,"keyOptionIdReplace":"","relatedOptionIds":[],"onlineServices":[],"childCriteriaItemList":[],"clientContextJson":""},{"keyOptionId":"9702","capt</t>
  </si>
  <si>
    <t>ion":"Merger of Equals","isDefault":false,"maskCriteriaOnly":false,"definition":"","keyProductQueryItem":"311833","comparisonOperation":0,"comparisonValue":"6","minimumVersion":"","maximumVersion":"","formOrder":0,"lowerBound":null,"enabled":true,"mask":"","largeMask":"","maskKey":"","keyItemMaskOfField":null,"keyOptionIdReplace":"","relatedOptionIds":[],"onlineServices":[],"childCriteriaItemList":[],"clientContextJson":""},{"keyOptionId":"9703","caption":"Merger of Mutuals","isDefault":false,"maskCriteriaOnly":false,"definition":"","keyProductQueryItem":"311833","comparisonOperation":0,"comparisonValue":"7","minimumVersion":"","maximumVersion":"","formOrder":0,"lowerBound":null,"enabled":true,"mask":"","largeMask":"","maskKey":"","keyItemMaskOfField":null,"keyOptionIdReplace":"","relatedOptionIds":[],"onlineServices":[],"childCriteriaItemList":[],"clientContextJson":""},{"keyOptionId":"9704","caption":"Reverse Merger","isDefault":false,"maskCriteriaOnly":false,"definition":"","keyProductQueryItem":"311833","comparisonOperation":0,"comparisonValue":"10","minimumVersion":"","maximumVersion":"","formOrder":0,"lowerBound":null,"enabled":true,"mask":"","largeMask":"","maskKey":"","keyItemMaskOfField":null,"keyOptionIdReplace":"","relatedOptionIds":[],"onlineServices":[],"childCriteriaItemList":[],"clientContextJson":""},{"keyOptionId":"9705","caption":"Tender Offer","isDefault":false,"maskCriteriaOnly":false,"definition":"","keyProductQueryItem":"311833","comparisonOperation":0,"comparisonValue":"11","minimumVersion":"","maximumVersion":"","formOrder":0,"lowerBound":null,"enabled":true,"mask":"","largeMask":"","maskKey":"","keyItemMaskOfField":null,"keyOptionIdReplace":"","relatedOptionIds":[],"onlineServices":[],"childCriteriaItemList":[],"clientContextJson":""},{"keyOptionId":"9706","caption":"Reverse Morris Trust","isDefault":false,"maskCriteriaOnly":false,"definition":"","keyProductQueryItem":"311833","comparisonOperation":0,"comparisonValue":"29","minimumVersion":"","maximumVersion":"","formOrder":0,"lowerBound":null,"enabled":true,"mask":"","largeMask":"","maskKey":"","keyItemMaskOfField":null,"keyOptionIdReplace":"","relatedOptionIds":[],"onlineServices":[],"childCriteriaItemList":[],"clientContextJson":""},{"keyOptionId":"9707","caption":"Branch Acquisition","isDefault":false,"maskCriteriaOnly":false,"definition":"","keyProductQueryItem":"311833","comparisonOperation":0,"comparisonValue":"45","minimumVersion":"","maximumVersion":"","formOrder":0,"lowerBound":null,"enabled":true,"mask":"","largeMask":"","maskKey":"","keyItemMaskOfField":null,"keyOptionIdReplace":"","relatedOptionIds":[],"onlineServices":[],"childCriteriaItemList":[],"clientContextJson":""},{"keyOptionId":"9708","caption":"Property Acquisition","isDefault":false,"maskCriteriaOnly":false,"definition":"","keyProductQueryItem":"311833","comparisonOperation":0,"comparisonValue":"46","minimumVersion":"","maximumVersion":"","formOrder":0,"lowerBound":null,"enabled":true,"mask":"","largeMask":"","maskKey":"","keyItemMaskOfField":null,"keyOptionIdReplace":"","relatedOptionIds":[],"onlineServices":[],"childCriteriaItemList":[],"clientContextJson":""},{"keyOptionId":"9709","caption":"Franchise Acquisition","isDefault":false,"maskCriteriaOnly":false,"definition":"","keyProductQueryItem":"311833","comparisonOperation":0,"comparisonValue":"47","minimumVersion":"","maximumVersion":"","formOrder":0,"lowerBound":null,"enabled":true,"mask":"","largeMask":"","maskKey":"","keyItemMaskOfField":null,"keyOptionIdReplace":"","relatedOptionIds":[],"onlineServices":[],"childCriteriaItemList":[],"clientContextJson":""},{"keyOptionId":"9710","caption":"Going Private Transaction","isDefault":false,"maskCriteriaOnly":false,"definition":"","keyProductQueryItem":"311833","comparisonOperation":0,"comparisonValue":"57","minimumVersion":"","maximumVersion":"","formOrder":0,"lowerBound":null,"enabled":true,"mask":"","largeMask":"","maskKey":"","keyItemMaskOfField":null,"keyOptionIdReplace":"","relatedOptionIds":[],"onlineServices":[],"childCriteriaItemList":[],"clientContextJson":""},{"keyOptionId":"9711","caption":"Leveraged Buyout (LBO)","isDefault":false,"maskCriteriaOnly":false,"definition":"","keyProductQueryItem":"311833","comparisonOperation":0,"comparisonValue":"71","minimumVersion":"","maximumVersion":"","formOrder":0,"lowerBound":null,"enabled":true,"mask":"","largeMask":"","maskKey":"","keyItemMaskOfField":null,"keyOptionIdReplace":"","relatedOptionIds":[],"onlineServices":[],"childCriteriaItemList":[],"clientContextJson":""},{"keyOptionId":"9712","caption":"Management Buyout (MBO)","isDefault":false,"maskCriteriaOnly":false,"definition":"","keyProductQueryItem":"311833","comparisonOperation":0,"comparisonValue":"74","minimumVersion":"","maximumVersion":"","formOrder":0,"lowerBound":null,"enabled":true,"mask":"","largeMask":"","maskKey":"","keyItemMaskOfField":null,"keyOptionIdReplace":"","relatedOptionIds":[],"onlineServices":[],"childCriteriaItemList":[],"clientContextJson":""}],"clientContextJson":""},{"keyOptionId":"9713","caption":"Offering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9714","caption":"New Market Listing","isDefault":true,"maskCriteriaOnly":false,"definition":"","keyProductQueryItem":"311834","comparisonOperation":0,"comparisonValue":"90","minimumVersion":"","maximumVersion":"","formOrder":0,"lowerBound":null,"enabled":true,"mask":"","largeMask":"","maskKey":"","keyItemMaskOfField":null,"keyOptionIdReplace":"","relatedOptionIds":[],"onlineServices":[],"childCriteriaItemList":[],"clientContextJson":""},{"keyOptionId":"9715","caption":"At the Market Offering","isDefault":true,"maskCriteriaOnly":false,"definition":"","keyProductQueryItem":"311834","comparisonOperation":0,"comparisonValue":"91","minimumVersion":"","maximumVersion":"","formOrder":0,"lowerBound":null,"enabled":true,"mask":"","largeMask":"","maskKey":"","keyItemMaskOfField":null,"keyOptionIdReplace":"","relatedOptionIds":[],"onlineServices":[],"childCriteriaItemList":[],"clientContextJson":""},{"keyOptionId":"9716","caption":"Best Efforts Basis","isDefault":true,"maskCriteriaOnly":false,"definition":"","keyProductQueryItem":"311834","comparisonOperation":0,"comparisonValue":"92","minimumVersion":"","maximumVersion":"","formOrder":0,"lowerBound":null,"enabled":true,"mask":"","largeMask":"","maskKey":"","keyItemMaskOfField":null,"keyOptionIdReplace":"","relatedOptionIds":[],"onlineServices":[],"childCriteriaItemList":[],"clientContextJson":""},{"keyOptionId":"9717","caption":"Carve Out","isDefault":true,"maskCriteriaOnly":false,"definition":"","keyProductQueryItem":"311834","comparisonOperation":0,"comparisonValue":"97","minimumVersion":"","maximumVersion":"","formOrder":0,"lowerBound":null,"enabled":true,"mask":"","largeMask":"","maskKey":"","keyItemMaskOfField":null,"keyOptionIdReplace":"","relatedOptionIds":[],"onlineServices":[],"childCriteriaItemList":[],"clientContextJson":""},{"keyOptionId":"9718","caption":"Mutual Conversion","isDefault":true,"maskCriteriaOnly":false,"definition":"","keyProductQueryItem":"311834","comparisonOperation":0,"comparisonValue":"98","minimumVersion":"","maximumVersion":"","formOrder":0,"lowerBound":null,"enabled":true,"mask":"","largeMask":"","maskKey":"","keyItemMaskOfField":null,"keyOptionIdReplace":"","relatedOptionIds":[],"onlineServices</t>
  </si>
  <si>
    <t>":[],"childCriteriaItemList":[],"clientContextJson":""},{"keyOptionId":"9719","caption":"Sponsor Backed Offering","isDefault":tru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9720","caption":"Direct Listing","isDefault":true,"maskCriteriaOnly":false,"definition":"","keyProductQueryItem":"311834","comparisonOperation":0,"comparisonValue":"101","minimumVersion":"","maximumVersion":"","formOrder":0,"lowerBound":null,"enabled":true,"mask":"","largeMask":"","maskKey":"","keyItemMaskOfField":null,"keyOptionIdReplace":"","relatedOptionIds":[],"onlineServices":[],"childCriteriaItemList":[],"clientContextJson":""},{"keyOptionId":"9721","caption":"Exchange Offer","isDefault":true,"maskCriteriaOnly":false,"definition":"","keyProductQueryItem":"311834","comparisonOperation":0,"comparisonValue":"104","minimumVersion":"","maximumVersion":"","formOrder":0,"lowerBound":null,"enabled":true,"mask":"","largeMask":"","maskKey":"","keyItemMaskOfField":null,"keyOptionIdReplace":"","relatedOptionIds":[],"onlineServices":[],"childCriteriaItemList":[],"clientContextJson":""},{"keyOptionId":"9722","caption":"Registered Direct Offering","isDefault":true,"maskCriteriaOnly":false,"definition":"","keyProductQueryItem":"311834","comparisonOperation":0,"comparisonValue":"105","minimumVersion":"","maximumVersion":"","formOrder":0,"lowerBound":null,"enabled":true,"mask":"","largeMask":"","maskKey":"","keyItemMaskOfField":null,"keyOptionIdReplace":"","relatedOptionIds":[],"onlineServices":[],"childCriteriaItemList":[],"clientContextJson":""},{"keyOptionId":"9723","caption":"Regulation S","isDefault":true,"maskCriteriaOnly":false,"definition":"","keyProductQueryItem":"311834","comparisonOperation":0,"comparisonValue":"106","minimumVersion":"","maximumVersion":"","formOrder":0,"lowerBound":null,"enabled":true,"mask":"","largeMask":"","maskKey":"","keyItemMaskOfField":null,"keyOptionIdReplace":"","relatedOptionIds":[],"onlineServices":[],"childCriteriaItemList":[],"clientContextJson":""},{"keyOptionId":"9724","caption":"Rights Offering","isDefault":true,"maskCriteriaOnly":false,"definition":"","keyProductQueryItem":"311834","comparisonOperation":0,"comparisonValue":"108","minimumVersion":"","maximumVersion":"","formOrder":0,"lowerBound":null,"enabled":true,"mask":"","largeMask":"","maskKey":"","keyItemMaskOfField":null,"keyOptionIdReplace":"","relatedOptionIds":[],"onlineServices":[],"childCriteriaItemList":[],"clientContextJson":""},{"keyOptionId":"9725","caption":"Rule 144A","isDefault":true,"maskCriteriaOnly":false,"definition":"","keyProductQueryItem":"311834","comparisonOperation":0,"comparisonValue":"109","minimumVersion":"","maximumVersion":"","formOrder":0,"lowerBound":null,"enabled":true,"mask":"","largeMask":"","maskKey":"","keyItemMaskOfField":null,"keyOptionIdReplace":"","relatedOptionIds":[],"onlineServices":[],"childCriteriaItemList":[],"clientContextJson":""},{"keyOptionId":"9726","caption":"Incubation","isDefault":true,"maskCriteriaOnly":false,"definition":"","keyProductQueryItem":"311834","comparisonOperation":0,"comparisonValue":"127","minimumVersion":"","maximumVersion":"","formOrder":0,"lowerBound":null,"enabled":true,"mask":"","largeMask":"","maskKey":"","keyItemMaskOfField":null,"keyOptionIdReplace":"","relatedOptionIds":[],"onlineServices":[],"childCriteriaItemList":[],"clientContextJson":""},{"keyOptionId":"9727","caption":"Bought Deal","isDefault":true,"maskCriteriaOnly":false,"definition":"","keyProductQueryItem":"311834","comparisonOperation":0,"comparisonValue":"143","minimumVersion":"","maximumVersion":"","formOrder":0,"lowerBound":null,"enabled":true,"mask":"","largeMask":"","maskKey":"","keyItemMaskOfField":null,"keyOptionIdReplace":"","relatedOptionIds":[],"onlineServices":[],"childCriteriaItemList":[],"clientContextJson":""},{"keyOptionId":"9728","caption":"Regulation D","isDefault":true,"maskCriteriaOnly":false,"definition":"","keyProductQueryItem":"311834","comparisonOperation":0,"comparisonValue":"145","minimumVersion":"","maximumVersion":"","formOrder":0,"lowerBound":null,"enabled":true,"mask":"","largeMask":"","maskKey":"","keyItemMaskOfField":null,"keyOptionIdReplace":"","relatedOptionIds":[],"onlineServices":[],"childCriteriaItemList":[],"clientContextJson":""},{"keyOptionId":"9729","caption":"Growth Capital","isDefault":true,"maskCriteriaOnly":false,"definition":"","keyProductQueryItem":"311834","comparisonOperation":0,"comparisonValue":"148","minimumVersion":"","maximumVersion":"","formOrder":0,"lowerBound":null,"enabled":true,"mask":"","largeMask":"","maskKey":"","keyItemMaskOfField":null,"keyOptionIdReplace":"","relatedOptionIds":[],"onlineServices":[],"childCriteriaItemList":[],"clientContextJson":""},{"keyOptionId":"9730","caption":"Venture Capital","isDefault":true,"maskCriteriaOnly":false,"definition":"","keyProductQueryItem":"311834","comparisonOperation":0,"comparisonValue":"149","minimumVersion":"","maximumVersion":"","formOrder":0,"lowerBound":null,"enabled":true,"mask":"","largeMask":"","maskKey":"","keyItemMaskOfField":null,"keyOptionIdReplace":"","relatedOptionIds":[],"onlineServices":[],"childCriteriaItemList":[],"clientContextJson":""},{"keyOptionId":"9731","caption":"PIPE","isDefault":true,"maskCriteriaOnly":false,"definition":"","keyProductQueryItem":"311834","comparisonOperation":0,"comparisonValue":"150","minimumVersion":"","maximumVersion":"","formOrder":0,"lowerBound":null,"enabled":true,"mask":"","largeMask":"","maskKey":"","keyItemMaskOfField":null,"keyOptionIdReplace":"","relatedOptionIds":[],"onlineServices":[],"childCriteriaItemList":[],"clientContextJson":""},{"keyOptionId":"9732","caption":"Underwritten Offering","isDefault":tru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keyOptionId":"9733","caption":"Sales Agency Agreement","isDefault":true,"maskCriteriaOnly":false,"definition":"","keyProductQueryItem":"311834","comparisonOperation":0,"comparisonValue":"157","minimumVersion":"","maximumVersion":"","formOrder":0,"lowerBound":null,"enabled":true,"mask":"","largeMask":"","maskKey":"","keyItemMaskOfField":null,"keyOptionIdReplace":"","relatedOptionIds":[],"onlineServices":[],"childCriteriaItemList":[],"clientContextJson":""},{"keyOptionId":"9734","caption":"De Novo Offering","isDefault":true,"maskCriteriaOnly":false,"definition":"","keyProductQueryItem":"311834","comparisonOperation":0,"comparisonValue":"162","minimumVersion":"","maximumVersion":"","formOrder":0,"lowerBound":null,"enabled":true,"mask":"","largeMask":"","maskKey":"","keyItemMaskOfField":null,"keyOptionIdReplace":"","relatedOptionIds":[],"onlineServices":[],"childCriteriaItemList":[],"clientContextJson":""}],"clientContextJson":""}],"clientContextJson":""}]},{"filterGroupId":"8466","filterGroupIdReplace":"","caption":"Announcement Date Range","groupType":2,"optionType":4,"formOrder":40,"minimumVersion":"","maximumVersion":"","onlineServicesEnabled":false,"column":0,"columnFormOrder":40,"criteriaIdName":"","required":false,"dateDefaultType":"","criteri</t>
  </si>
  <si>
    <t>","relatedOptionIds":[],"onlineServices":[],"childCriteriaItemList":[],"clientContextJson":""},{"keyOptionId":"9728","caption":"Regulation D","isDefault":true,"maskCriteriaOnly":false,"definition":"","keyProductQueryItem":"311834","comparisonOperation":0,"comparisonValue":"145","minimumVersion":"","maximumVersion":"","formOrder":0,"lowerBound":null,"enabled":true,"mask":"","largeMask":"","maskKey":"","keyItemMaskOfField":null,"keyOptionIdReplace":"","relatedOptionIds":[],"onlineServices":[],"childCriteriaItemList":[],"clientContextJson":""},{"keyOptionId":"9729","caption":"Growth Capital","isDefault":true,"maskCriteriaOnly":false,"definition":"","keyProductQueryItem":"311834","comparisonOperation":0,"comparisonValue":"148","minimumVersion":"","maximumVersion":"","formOrder":0,"lowerBound":null,"enabled":true,"mask":"","largeMask":"","maskKey":"","keyItemMaskOfField":null,"keyOptionIdReplace":"","relatedOptionIds":[],"onlineServices":[],"childCriteriaItemList":[],"clientContextJson":""},{"keyOptionId":"9730","caption":"Venture Capital","isDefault":true,"maskCriteriaOnly":false,"definition":"","keyProductQueryItem":"311834","comparisonOperation":0,"comparisonValue":"149","minimumVersion":"","maximumVersion":"","formOrder":0,"lowerBound":null,"enabled":true,"mask":"","largeMask":"","maskKey":"","keyItemMaskOfField":null,"keyOptionIdReplace":"","relatedOptionIds":[],"onlineServices":[],"childCriteriaItemList":[],"clientContextJson":""},{"keyOptionId":"9731","caption":"PIPE","isDefault":true,"maskCriteriaOnly":false,"definition":"","keyProductQueryItem":"311834","comparisonOperation":0,"comparisonValue":"150","minimumVersion":"","maximumVersion":"","formOrder":0,"lowerBound":null,"enabled":true,"mask":"","largeMask":"","maskKey":"","keyItemMaskOfField":null,"keyOptionIdReplace":"","relatedOptionIds":[],"onlineServices":[],"childCriteriaItemList":[],"clientContextJson":""},{"keyOptionId":"9732","caption":"Underwritten Offering","isDefault":tru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keyOptionId":"9733","caption":"Sales Agency Agreement","isDefault":true,"maskCriteriaOnly":false,"definition":"","keyProductQueryItem":"311834","comparisonOperation":0,"comparisonValue":"157","minimumVersion":"","maximumVersion":"","formOrder":0,"lowerBound":null,"enabled":true,"mask":"","largeMask":"","maskKey":"","keyItemMaskOfField":null,"keyOptionIdReplace":"","relatedOptionIds":[],"onlineServices":[],"childCriteriaItemList":[],"clientContextJson":""},{"keyOptionId":"9734","caption":"De Novo Offering","isDefault":true,"maskCriteriaOnly":false,"definition":"","keyProductQueryItem":"311834","comparisonOperation":0,"comparisonValue":"162","minimumVersion":"","maximumVersion":"","formOrder":0,"lowerBound":null,"enabled":true,"mask":"","largeMask":"","maskKey":"","keyItemMaskOfField":null,"keyOptionIdReplace":"","relatedOptionIds":[],"onlineServices":[],"childCriteriaItemList":[],"clientContextJson":""}],"clientContextJson":""}],"clientContextJson":""}]},{"filterGroupId":"8466","filterGroupIdReplace":"","caption":"Announcement Date Range","groupType":2,"optionType":4,"formOrder":40,"minimumVersion":"","maximumVersion":"","onlineServicesEnabled":false,"column":0,"columnFormOrder":40,"criteriaIdName":"","required":false,"dateDefaultType":"","criteriaItemList":[{"keyOptionId":"8467","caption":"From","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column":0,"columnFormOrder":60,"criteriaIdName":"","required":false,"dateDefaultType":"","criteriaItemList":[{"keyOptionId":"8474","caption":"From","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queryLineGroups":[{"groupName":"QueryLines","queryLines":[{"beginGroup":false,"connector":0,"displayText":null,"endGroup":false,"field":{"displayName":null,"displayType":null,"displayUnits":null,"fieldKey":"300085","originalRequestField":null,"secondaryKeys":[]},"functionName":null,"invariantValue":null,"mathOperator":0,"mathValue":null,"operator":0,"queryItemId":"00000000-0000-0000-0000-000000000000","relativeOperation":false,"listKey":null,"sortOrder":null,"sortStyle":null,"supressSelect":false,"value":"DUMMY_KEY","valueField":null},{"beginGroup":false,"connector":0,"displayText":null,"endGroup":false,"field":{"displayName":null,"displayType":null,"displayUnits":null,"fieldKey":"300091","originalRequestField":null,"secondaryKeys":[]},"functionName":null,"invariantValue":null,"mathOperator":0,"mathValue":null,"operator":7,"queryItemId":"00000000-0000-0000-0000-000000000000","relativeOperation":false,"listKey":null,"sortOrder":null,"sortStyle":null,"supressSelect":false,"value":"'Senior Debt','Subordinated Debt','Senior Subordinated Debt','Junior Subordinated Debt','Subsidiary Trust Preferred','Subsidiary Pfd Partnership Interest','GIC-backed Note','Covered Bonds','Revenue Bonds','Bond or Note'","valueField":null},{"beginGroup":false,"connector":0,"displayText":null,"endGroup":false,"field":{"displayName":null,"displayType":null,"displayUnits":null,"fieldKey":"301857","originalRequestField":null,"secondaryKeys":[]},"functionName":null,"invariantValue":null,"mathOperator":0,"mathValue":null,"operator":7,"queryItemId":"00000000-0000-0000-0000-000000000000","relativeOperation":false,"listKey":null,"sortOrder":null,"sortStyle":null,"supressSelect":false,"value":"'0'","valueField":null},{"beginGroup":false,"connector":0,"displayText":null,"endGroup":false,"field":{"displayName":null,"displayType":null,"displayUnits":null,"fieldKey":"301818","originalRequestField":null,"secondaryKeys":[]},"functionName":null,"invariantValue":null,"mathOp</t>
  </si>
  <si>
    <t>aItemList":[{"keyOptionId":"8467","caption":"From","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column":0,"columnFormOrder":60,"criteriaIdName":"","required":false,"dateDefaultType":"","criteriaItemList":[{"keyOptionId":"8474","caption":"From","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queryLineGroups":[{"groupName":"QueryLines","queryLines":[{"beginGroup":false,"connector":0,"displayText":null,"endGroup":false,"field":{"displayName":null,"displayType":null,"displayUnits":null,"fieldKey":"300085","originalRequestField":null,"secondaryKeys":[]},"functionName":null,"invariantValue":null,"mathOperator":0,"mathValue":null,"operator":0,"queryItemId":"00000000-0000-0000-0000-000000000000","relativeOperation":false,"sortOrder":null,"sortStyle":null,"supressSelect":false,"value":"DUMMY_KEY","valueField":null},{"beginGroup":false,"connector":0,"displayText":null,"endGroup":false,"field":{"displayName":null,"displayType":null,"displayUnits":null,"fieldKey":"300091","originalRequestField":null,"secondaryKeys":[]},"functionName":null,"invariantValue":null,"mathOperator":0,"mathValue":null,"operator":7,"queryItemId":"00000000-0000-0000-0000-000000000000","relativeOperation":false,"sortOrder":null,"sortStyle":null,"supressSelect":false,"value":"'Preferred Equity','Preferred Security','Depositary Receipt (Preferred Security)'","valueField":null},{"beginGroup":false,"connector":0,"displayText":null,"endGroup":false,"field":{"displayName":null,"displayType":null,"displayUnits":null,"fieldKey":"301857","originalRequestField":null,"secondaryKeys":[]},"functionName":null,"invariantValue":null,"mathOperator":0,"mathValue":null,"operator":7,"queryItemId":"00000000-0000-0000-0000-000000000000","relativeOperation":false,"sortOrder":null,"sortStyle":null,"supressSelect":false,"value":"'0'","valueField":null}]},{"groupName":"WhiteAndBlackListCriteria","queryLines":[]}],"saveQueryType":0,"standardDeviationQuery":false,"version":null},"reports":null,"showProductMagnitude":false,"skip":0,"sortBy":null,"sortDesc":false,"sourceTimeZoneIDItemKey":null,"timeoutOverride":0,"top":0,"useNewOnPremDomain":false}],"saveQueryType":0,"sourceTimeZoneIDItemKey":null}</t>
  </si>
  <si>
    <t>Australia</t>
  </si>
  <si>
    <t>Austria</t>
  </si>
  <si>
    <t>Belgium</t>
  </si>
  <si>
    <t>Brazil</t>
  </si>
  <si>
    <t>Bulgaria</t>
  </si>
  <si>
    <t>Canada</t>
  </si>
  <si>
    <t>China</t>
  </si>
  <si>
    <t>Columbia</t>
  </si>
  <si>
    <t>Czech Republic</t>
  </si>
  <si>
    <t>Denmark</t>
  </si>
  <si>
    <t>Eurozone</t>
  </si>
  <si>
    <t>Finland</t>
  </si>
  <si>
    <t>France</t>
  </si>
  <si>
    <t>Germany</t>
  </si>
  <si>
    <t>Greece</t>
  </si>
  <si>
    <t>Hong Kong</t>
  </si>
  <si>
    <t>Hungary</t>
  </si>
  <si>
    <t>India</t>
  </si>
  <si>
    <t>Indonesia</t>
  </si>
  <si>
    <t>Ireland</t>
  </si>
  <si>
    <t>Israel</t>
  </si>
  <si>
    <t>Italy</t>
  </si>
  <si>
    <t>Japan</t>
  </si>
  <si>
    <t>Kenya</t>
  </si>
  <si>
    <t>Malaysia</t>
  </si>
  <si>
    <t>Mexico</t>
  </si>
  <si>
    <t>Netherlands</t>
  </si>
  <si>
    <t>New Zealand</t>
  </si>
  <si>
    <t>Norway</t>
  </si>
  <si>
    <t>Philippines</t>
  </si>
  <si>
    <t>Poland</t>
  </si>
  <si>
    <t>Portugal</t>
  </si>
  <si>
    <t>Russia</t>
  </si>
  <si>
    <t>Singapore</t>
  </si>
  <si>
    <t>Slovakia</t>
  </si>
  <si>
    <t>South Africa</t>
  </si>
  <si>
    <t>South Korea</t>
  </si>
  <si>
    <t>Spain</t>
  </si>
  <si>
    <t>Sweden</t>
  </si>
  <si>
    <t>Switzerland</t>
  </si>
  <si>
    <t>Taiwan</t>
  </si>
  <si>
    <t>Thailand</t>
  </si>
  <si>
    <t>Turkey</t>
  </si>
  <si>
    <t>United Kingdom</t>
  </si>
  <si>
    <t>Vietnam</t>
  </si>
  <si>
    <t>10y Taiwan Bond</t>
  </si>
  <si>
    <t>10y Thailand Bond</t>
  </si>
  <si>
    <t>10y Switzerland</t>
  </si>
  <si>
    <t>SP_COUNTRY_NAME</t>
  </si>
  <si>
    <t>USA</t>
  </si>
  <si>
    <t>Country / Region Name</t>
  </si>
  <si>
    <t>Chinese - Simplified</t>
  </si>
  <si>
    <t>Chinese - Traditional</t>
  </si>
  <si>
    <t>Japanese</t>
  </si>
  <si>
    <t>Spanish</t>
  </si>
  <si>
    <t>German</t>
  </si>
  <si>
    <t>French</t>
  </si>
  <si>
    <t>Italian</t>
  </si>
  <si>
    <t>Korean</t>
  </si>
  <si>
    <t>Russian</t>
  </si>
  <si>
    <t>Portugese</t>
  </si>
  <si>
    <t>Levered Beta</t>
  </si>
  <si>
    <t>Implied Perp. Growth Rate of Unlevered Free Cash Flow(2)</t>
  </si>
  <si>
    <t>Net Debt(1)</t>
  </si>
  <si>
    <t>D/E</t>
  </si>
  <si>
    <t>P/E</t>
  </si>
  <si>
    <t>Cost of Debt (Rd) - Average of Last 5 Issued Bonds</t>
  </si>
  <si>
    <t>Cost of Preferred (Rp)</t>
  </si>
  <si>
    <t>PV of Terminal Value(1)</t>
  </si>
  <si>
    <t>Country Name</t>
  </si>
  <si>
    <t>Step 3: Select an Index for Market Return.</t>
  </si>
  <si>
    <t>Step 1: Select terminology from dropdown to be used in template.</t>
  </si>
  <si>
    <t>Step 2: Hit "UPDATE TERMINOLOGY" button to update terminology in template.</t>
  </si>
  <si>
    <t xml:space="preserve">第2步：点击“更新术语”按钮以更新模板中的术语。 </t>
  </si>
  <si>
    <t xml:space="preserve">第2步：點擊“更新術語”按鈕更新範本中的術語。 </t>
  </si>
  <si>
    <t>ステップ2：「用語の更新」ボタンを押してテンプレート内の用語を更新します。 テンプレート内の用語を更新します。</t>
  </si>
  <si>
    <t>Paso 2: Presione el botón "ACTUALIZAR TERMINOLOGÍA" para actualizar la terminología en la plantilla.</t>
  </si>
  <si>
    <t>Schritt 2: Klicken Sie auf "Terminologie aktualisieren", um die Terminologie in der Vorlage zu aktualisieren.</t>
  </si>
  <si>
    <t>Étape 2: Appuyez sur le bouton "METTRE À JOUR LA TERMINOLOGIE" pour mettre à jour la terminologie dans le modèle.</t>
  </si>
  <si>
    <t>Passo 2: Premi il pulsante "AGGIORNA TERMINOLOGIA" per aggiornare la terminologia nel modello.</t>
  </si>
  <si>
    <t xml:space="preserve">2 단계 : 템플릿의 용어를 업데이트하려면 "용어 업데이트" 버튼을 누르세요.  </t>
  </si>
  <si>
    <t>Шаг 2: Нажмите кнопку "Обновить терминологию",  чтобы обновить терминологию в шаблоне.</t>
  </si>
  <si>
    <t>第1步：从下拉列表中选择在模版中使用的术语。</t>
  </si>
  <si>
    <t>第1步：從下拉式清單選擇要在範本中使用的術語。</t>
  </si>
  <si>
    <t>ステップ1:テンプレートで使用する用語をドロップダウンリストから選択します。</t>
  </si>
  <si>
    <t>Paso 1: Seleccione en el menú desplegable la terminología que se utilizará en la plantilla.</t>
  </si>
  <si>
    <t>1. Schritt: Wählen Sie aus dem Dropdown-Menü die Terminologie, die in der Vorlage verwendet werden soll.</t>
  </si>
  <si>
    <t>Étape 1 : Dans la liste déroulante, sélectionnez la langue à utiliser dans le modèle.</t>
  </si>
  <si>
    <t>Fase 1: Dal menu a discesa, selezionare la terminologia da utilizzare nel modello.</t>
  </si>
  <si>
    <t>단계 1: 템플릿에 사용할 용어를 드롭다운에서 선택합니다.</t>
  </si>
  <si>
    <t>Шаг 1: Выберите из выпадающего списка терминологию, которую вы хотите использовать в шаблоне.</t>
  </si>
  <si>
    <t>3) For best performance, save this file to your computer, close and then reopen.</t>
  </si>
  <si>
    <t>2) Enable macros while opening the template.</t>
  </si>
  <si>
    <t>Format: FYyyyy</t>
  </si>
  <si>
    <t>Step 5: Select currency and magnitude.</t>
  </si>
  <si>
    <t>Step 6: Select discount factor.</t>
  </si>
  <si>
    <t>Mid-Period Convention</t>
  </si>
  <si>
    <t>End-of-Period Convention</t>
  </si>
  <si>
    <t>Step 7: Select calculation method for Δ working cap.</t>
  </si>
  <si>
    <t>Step 8: Click on "REFRESH SHEET" button.</t>
  </si>
  <si>
    <t>Market Return (Rm) - Yearly for Last 10 Years</t>
  </si>
  <si>
    <t xml:space="preserve">Multiplied by: </t>
  </si>
  <si>
    <t xml:space="preserve"> Bottom-Up Beta</t>
  </si>
  <si>
    <t xml:space="preserve"> Regression Beta</t>
  </si>
  <si>
    <t>P/(D+P+E)</t>
  </si>
  <si>
    <t>PV of</t>
  </si>
  <si>
    <t>Free Cash Flow Stub(1)</t>
  </si>
  <si>
    <t>Free Cash Flows(1)</t>
  </si>
  <si>
    <t>Present Value of Equity at</t>
  </si>
  <si>
    <t>Fiscal Year Ending</t>
  </si>
  <si>
    <t>Total Non-Debt Current LiabilIties</t>
  </si>
  <si>
    <t>净运营资金 / 赤字</t>
  </si>
  <si>
    <t>淨運營資金 / 赤字</t>
  </si>
  <si>
    <t>ネット運転資本</t>
  </si>
  <si>
    <t>Capital de trabajo neto / (Déficit)</t>
  </si>
  <si>
    <t>Nettoarbeitskapital/(Defizit)</t>
  </si>
  <si>
    <t>Fonds de roulement net / (Déficit)</t>
  </si>
  <si>
    <t>Capitale circolante netto/(Disavanzo)</t>
  </si>
  <si>
    <t>순운전자본 / (적자)</t>
  </si>
  <si>
    <t>Чистый оборотный капитал / (Дефицит)</t>
  </si>
  <si>
    <t>, except per share data)</t>
  </si>
  <si>
    <t>In</t>
  </si>
  <si>
    <t>3) The model includes only the securities issued by the Focus company.</t>
  </si>
  <si>
    <t>5Yr Avg</t>
  </si>
  <si>
    <t>Mkt. Val.</t>
  </si>
  <si>
    <t>Equity</t>
  </si>
  <si>
    <t>Change in Inc. Taxes</t>
  </si>
  <si>
    <t>Current Portion of Long Term Debt</t>
  </si>
  <si>
    <t>Net Working Capital/(Deficit)</t>
  </si>
  <si>
    <t>Shares Outstanding</t>
  </si>
  <si>
    <t>Pref/</t>
  </si>
  <si>
    <t>Debt/</t>
  </si>
  <si>
    <t>Unlevered</t>
  </si>
  <si>
    <t>Beta</t>
  </si>
  <si>
    <t>Preferred</t>
  </si>
  <si>
    <t>Present Value of Equity</t>
  </si>
  <si>
    <t>Terminal value equals present value of</t>
  </si>
  <si>
    <t>EBITDA of</t>
  </si>
  <si>
    <t>Terminal Forward EBITDA Multiple.</t>
  </si>
  <si>
    <t>(1) Assumes</t>
  </si>
  <si>
    <t>days remain in</t>
  </si>
  <si>
    <t>for annual cash flows; Terminal value cash flow occurs at</t>
  </si>
  <si>
    <t>终值与预测税息折旧及摊销前利润倍数</t>
  </si>
  <si>
    <t>終值與預測稅息折舊及攤銷前利潤倍數</t>
  </si>
  <si>
    <t>永久EBITDAマルチプル</t>
  </si>
  <si>
    <t>Valor terminal de EBITDA Forward</t>
  </si>
  <si>
    <t>Multiples des Forward-EBITDA des Terminals.</t>
  </si>
  <si>
    <t>Multiple du EBITDA à terme du terminal.</t>
  </si>
  <si>
    <t>Multiplo EBITDA valore finale atteso</t>
  </si>
  <si>
    <t>최종(Terminal) Forward EBITDA 배수</t>
  </si>
  <si>
    <t>Терминальный форвардный  Мультипликатор EBITDA</t>
  </si>
  <si>
    <t>现金流贴现分析</t>
  </si>
  <si>
    <t>現金流貼現分析</t>
  </si>
  <si>
    <t> 割引キャッシュフロー分析</t>
  </si>
  <si>
    <t>Análisis de Flujo de caja descontado</t>
  </si>
  <si>
    <t>DISCOUNTED-CASHFLOW-ANALYSE</t>
  </si>
  <si>
    <t>Analyse des flux de trésorerie actualisés</t>
  </si>
  <si>
    <t>Analisi dei flussi di cassa attualizzati</t>
  </si>
  <si>
    <t>현금흐름할인법 (DCF method)</t>
  </si>
  <si>
    <t>Анализ дисконтированных денежных потоков</t>
  </si>
  <si>
    <t>3）为获得最佳性能，请将此文件保存到您的计算机，关闭然后重新打开。</t>
  </si>
  <si>
    <t>3）為獲得最佳性能，請將此文件保存到您的計算機，關閉然後重新打開。</t>
  </si>
  <si>
    <t>3）最高のパフォーマンスを得るために、このファイルをコンピューターに保存してから閉じてから、再度開きます。</t>
  </si>
  <si>
    <t>3) Para obtener el mejor rendimiento, guarde este archivo en su computadora, cierre y vuelva a abrir.</t>
  </si>
  <si>
    <t>3) Um eine optimale Leistung zu erzielen, speichern Sie diese Datei auf Ihrem Computer, schließen Sie sie und öffnen Sie sie erneut.</t>
  </si>
  <si>
    <t>3) Pour de meilleures performances, enregistrez ce fichier sur votre ordinateur, fermez-le puis rouvrez-le.</t>
  </si>
  <si>
    <t>3) Per prestazioni ottimali, salvare questo file sul computer, chiudere e riaprire.</t>
  </si>
  <si>
    <t>3) 최상의 성능을 위해이 파일을 컴퓨터에 저장하고 닫은 다음 다시 엽니 다.</t>
  </si>
  <si>
    <t>3) Для лучшей производительности сохраните этот файл на своем компьютере, закройте и снова откройте.</t>
  </si>
  <si>
    <t>格式：FYyyyy</t>
  </si>
  <si>
    <t>フォーマット：FYyyyy</t>
  </si>
  <si>
    <t>Formato: FYyyyy</t>
  </si>
  <si>
    <t>Formate: FYyyyy</t>
  </si>
  <si>
    <t>서식: FYyyyy</t>
  </si>
  <si>
    <t>(Формат: FYyyyy</t>
  </si>
  <si>
    <t>注意事项：</t>
  </si>
  <si>
    <t>注意事項：</t>
  </si>
  <si>
    <t>注意：</t>
  </si>
  <si>
    <t>Notas:</t>
  </si>
  <si>
    <t>Erläuterungen:</t>
  </si>
  <si>
    <t>Notes :</t>
  </si>
  <si>
    <t>Note:</t>
  </si>
  <si>
    <t>주의사항:</t>
  </si>
  <si>
    <t>Примечания:</t>
  </si>
  <si>
    <t>格式：mm/dd/yyyy</t>
  </si>
  <si>
    <t>フォーマット：mm/dd/yyyy</t>
  </si>
  <si>
    <t>Formato: mm/dd/aaaa</t>
  </si>
  <si>
    <t>Format: mm/tag/jjjjj</t>
  </si>
  <si>
    <t>Format : mm/jj/aaaa</t>
  </si>
  <si>
    <t>Formato: mm/gg/aaaa</t>
  </si>
  <si>
    <t>형식: mm/dd/yyyy</t>
  </si>
  <si>
    <t>Формат: mm/dd/yyyy</t>
  </si>
  <si>
    <t>1) 시장 인텔리전스는 가장 최근의 연례/분기별 보고 기간을 기준으로 WACC를 계산합니다.</t>
  </si>
  <si>
    <t>除了以下参数：</t>
  </si>
  <si>
    <t>除了以下參數：</t>
  </si>
  <si>
    <t>次のパラメーターを除きます：</t>
  </si>
  <si>
    <t>excepto los siguientes parámetros:</t>
  </si>
  <si>
    <t>mit Ausnahme der folgenden Parameter:</t>
  </si>
  <si>
    <t>sauf les paramètres suivants :</t>
  </si>
  <si>
    <t>con l'eccezione dei seguenti parametri:</t>
  </si>
  <si>
    <t>다음 매개 변수 제외:</t>
  </si>
  <si>
    <t>кроме следующих параметров:</t>
  </si>
  <si>
    <t>步骤3：选择市场回报指数。</t>
  </si>
  <si>
    <t>步驟3：選擇市場回報指數。</t>
  </si>
  <si>
    <t>ステップ3：市場利回り用のインデックスをご選択ください。</t>
  </si>
  <si>
    <t>Paso 3: seleccione un índice de rentabilidad del mercado.</t>
  </si>
  <si>
    <t>Schritt 3: Wählen Sie einen Index für Marktrendite.</t>
  </si>
  <si>
    <t>Étape 3 : Sélectionnez un indice pour le rendement du marché.</t>
  </si>
  <si>
    <t>Fase 3: Seleziona un Indice del rendimento di mercato.</t>
  </si>
  <si>
    <t>3단계: 시장 수익률에 대한 지수를 선택합니다.</t>
  </si>
  <si>
    <t>Шаг 3: Выберите индекс рыночной доходности.</t>
  </si>
  <si>
    <t>A）无风险收益率（Rf）–在最近交易日导出10年/ 5年期美国国债收益率。</t>
  </si>
  <si>
    <t>A）無風險收益率（Rf）–在最近交易日導出10年/ 5年期美國國債收益率。</t>
  </si>
  <si>
    <t>A）リスクフリーレート（Rf）- 直近の取引日の10年物/5年物米国債利回りが使用されます。</t>
  </si>
  <si>
    <t>A) Tasa de rendimiento libre de riesgo (Rf): aumenta el rendimiento de los T-Note estadounidenses a 10/5 años para el día de negociación más reciente.</t>
  </si>
  <si>
    <t>A) Risikofreier Zinssatz (Rf) - Zeigt die Rendite der US-T-Note 10y/5y für den letzten Handelstag.</t>
  </si>
  <si>
    <t>A) Risk-Free Rate of Return (Rf) - Tire le rendement de 10y/5y US T-Note pour le jour de négociation le plus récent.</t>
  </si>
  <si>
    <t>A) Tasso di rendimento privo di rischio (Rf) – Riflette il rendimento dei Treasury USA a 10/5 anni per l'ultimo giorno di negoziazione.</t>
  </si>
  <si>
    <t>A) 무위험 수익률(Rf) – 가장 최근 거래일 동안 10y/5y 미국 T노트 수익률을 대입합니다.</t>
  </si>
  <si>
    <t>A) Безрисковая ставка доходности (Rf) - Повышает доходность 10/5-летних казначейских облигаций США за последний торговый день.</t>
  </si>
  <si>
    <t>B）最近五次发行债券的平均值基于最近发行的债券。</t>
  </si>
  <si>
    <t>B）最近五次發行債券的平均值基於最近發行的債券。</t>
  </si>
  <si>
    <t>B）最新発行された5つの発行債券の平均が使用されます。</t>
  </si>
  <si>
    <t>B) El promedio de los últimos 5 bonos emitidos se basa en la emisión más reciente.</t>
  </si>
  <si>
    <t>B) Der Durchschnitt der letzten 5 ausgegebenen Anleihen ist auf der jüngsten Emission basiert.</t>
  </si>
  <si>
    <t>B) La moyenne des 5 dernières obligations émises est basée sur l'émission la plus récente.</t>
  </si>
  <si>
    <t>B) La media delle ultime 5 obbligazioni emesse è basata sull'ultima emissione.</t>
  </si>
  <si>
    <t>B) 최근 발행된 5개의 채권의 평균은 가장 최근의 발행을 기준으로 합니다.</t>
  </si>
  <si>
    <t>Б) Среднее значение последних 5 выпущенных облигаций основано на самом последнем выпуске.</t>
  </si>
  <si>
    <t>步骤4：选择同业以生成Beta。</t>
  </si>
  <si>
    <t>步驟4：選擇同業以生成Beta。</t>
  </si>
  <si>
    <t>ステップ4：ベータ生成用のピアをご選択ください。</t>
  </si>
  <si>
    <t>Paso 4: seleccione compañeros para la generación Beta.</t>
  </si>
  <si>
    <t>Schritt 4: Peers für die Beta-Generierung auswählen.</t>
  </si>
  <si>
    <t>Étape 4 : Sélection des pairs pour la génération du bêta.</t>
  </si>
  <si>
    <t>Fase 4: Seleziona i pari per la generazione di beta.</t>
  </si>
  <si>
    <t>4단계: 베타 생성을 위해 피어를 선택합니다.</t>
  </si>
  <si>
    <t>Шаг 4: Выберите аналогичные компании для генерирования бета-версии.</t>
  </si>
  <si>
    <t>2）当前市值数据用于权益计算。</t>
  </si>
  <si>
    <t>2）當前市值數據用於權益計算。</t>
  </si>
  <si>
    <t>2）現在の時価総額データは資本の計算に使用されます。</t>
  </si>
  <si>
    <t>2) Los datos de capitalización de mercado actuales se utilizan en el cálculo del capital.</t>
  </si>
  <si>
    <t>2) Aktuelle Marktkapitalisierungsdaten werden bei der Berechnung des Eigenkapitals verwendet.</t>
  </si>
  <si>
    <t>2) Les données sur la capitalisation boursière actuelle sont utilisées dans le calcul des capitaux propres.</t>
  </si>
  <si>
    <t>2) Nel calcolo del patrimonio netto sono utilizzati i dati della capitalizzazione di mercato corrente.</t>
  </si>
  <si>
    <t>2) 현재 시가총액 데이터가 주식 계산에 사용됩니다.</t>
  </si>
  <si>
    <t>2) Данные о текущей рыночной капитализации используются при расчете собственного капитала.</t>
  </si>
  <si>
    <t>3）该模型仅包含目标公司发行的证券。</t>
  </si>
  <si>
    <t>3）該模型僅包含目標公司發行的證券。</t>
  </si>
  <si>
    <t>3）このモデルには、対象企業の発行した有価証券のみが含まれています。</t>
  </si>
  <si>
    <t>3) El modelo incluye únicamente los valores emitidos por la empresa Focus.</t>
  </si>
  <si>
    <t>3) Das Modell enthält nur die von dem Fokus Unternehmen ausgegebenen Wertpapiere.</t>
  </si>
  <si>
    <t>3) Le modèle n'inclut que les titres émis par la société Focus.</t>
  </si>
  <si>
    <t>3) Il modello comprende soltanto i titoli emessi dalla società obiettivo.</t>
  </si>
  <si>
    <t>3) 해당 모델에는 포커스 회사가 발행한 증권만 포함됩니다.</t>
  </si>
  <si>
    <t>3) Модель включает только ценные бумаги, выпущенные рассматриваемой компанией.</t>
  </si>
  <si>
    <t>步骤 5：选择货币和幅度。</t>
  </si>
  <si>
    <t>步驟 5：選擇貨幣和幅度。</t>
  </si>
  <si>
    <t>ステップ5：通貨、規模、変換方法を選択します。</t>
  </si>
  <si>
    <t>Paso 5.: Seleccione Moneda y Escala.</t>
  </si>
  <si>
    <t>Schritt 5: Wählen Sie Währung und Größe.</t>
  </si>
  <si>
    <t>Étape 5. Sélectionnez la devise et la magnitude.</t>
  </si>
  <si>
    <t>Fase 5: Selezionare la valuta e la grandezza.</t>
  </si>
  <si>
    <t>5 단계 : 통화, 단위 및 환율 적용률 선택.</t>
  </si>
  <si>
    <t>Шаг 5. Выберите валюту и размерность</t>
  </si>
  <si>
    <t>步骤6：选择折扣系数。</t>
  </si>
  <si>
    <t>步驟6：選擇折扣係數。</t>
  </si>
  <si>
    <t>ステップ6：割引率をご選択ください。</t>
  </si>
  <si>
    <t>Paso 6: seleccione el factor de descuento.</t>
  </si>
  <si>
    <t>Schritt 6: Wählen Sie den Diskontierungsfaktor.</t>
  </si>
  <si>
    <t>Étape 6 : Sélectionnez le facteur de remise.</t>
  </si>
  <si>
    <t>Fase 6: Seleziona il fattore di sconto.</t>
  </si>
  <si>
    <t>6단계: 할인 계수를 선택합니다.</t>
  </si>
  <si>
    <t>Шаг 6: Выберите коэффициент скидки.</t>
  </si>
  <si>
    <t>贴现率</t>
  </si>
  <si>
    <t>貼現率</t>
  </si>
  <si>
    <t>割引率:</t>
  </si>
  <si>
    <t>Factor de descuento:</t>
  </si>
  <si>
    <t>Diskontierungsfaktor:</t>
  </si>
  <si>
    <t>Facteur d'escompte:</t>
  </si>
  <si>
    <t>Fattore di sconto:</t>
  </si>
  <si>
    <t>할인계수:</t>
  </si>
  <si>
    <t>Коэффициент дисконтирования</t>
  </si>
  <si>
    <t>期中惯例</t>
  </si>
  <si>
    <t>期中慣例</t>
  </si>
  <si>
    <t>期央調整</t>
  </si>
  <si>
    <t>Convenio de mitad de período</t>
  </si>
  <si>
    <t>Halbperiode-Konvention</t>
  </si>
  <si>
    <t>convention de Milieu de période</t>
  </si>
  <si>
    <t>Convenzione di medio periodo</t>
  </si>
  <si>
    <t xml:space="preserve">기중할인 가정 </t>
  </si>
  <si>
    <t>Соглашение на середину периода</t>
  </si>
  <si>
    <t>期末惯例</t>
  </si>
  <si>
    <t>期末慣例</t>
  </si>
  <si>
    <t>期末計算</t>
  </si>
  <si>
    <t>Convenio de fin de período</t>
  </si>
  <si>
    <t>Ende der Periode-Konvention</t>
  </si>
  <si>
    <t>Convention de fin de période</t>
  </si>
  <si>
    <t>Convenzione di fine periodo</t>
  </si>
  <si>
    <t xml:space="preserve">기말할인 가정 </t>
  </si>
  <si>
    <t>Соглашение на конец периода</t>
  </si>
  <si>
    <t>步骤7：选择Δ营运资金的计算方法</t>
  </si>
  <si>
    <t>步驟7：選擇Δ營運資金的計算方法</t>
  </si>
  <si>
    <t>ステップ7：Δ運転資本の計算方法をご選択ください。</t>
  </si>
  <si>
    <t>Paso 7: Seleccione el método de cálculo para Δ capital de trabajo</t>
  </si>
  <si>
    <t>Schritt 7: Wählen Sie die Berechnungsmethode für Δ Betriebskapital</t>
  </si>
  <si>
    <t>Étape 7 : Sélectionner la méthode de calcul de la variation du fonds de roulement</t>
  </si>
  <si>
    <t>Fase 7: Seleziona l metodo di calcolo del Δ capitale circolante.</t>
  </si>
  <si>
    <t>7단계: Δ 작업 캡 계산 방법을 선택합니다.</t>
  </si>
  <si>
    <t>Шаг 7: Выберите метод расчета Δ оборотного капитала</t>
  </si>
  <si>
    <t>Δ营运资金参考：</t>
  </si>
  <si>
    <t>Δ營運資金參考：</t>
  </si>
  <si>
    <t>Δ運転資本の参照：</t>
  </si>
  <si>
    <t>Δ Casquillo de trabajo. Referencia:</t>
  </si>
  <si>
    <t>Δ Betriebskapital Referenz:</t>
  </si>
  <si>
    <t>Référence de la variation du fonds de roulement :</t>
  </si>
  <si>
    <t>Δ Riferimento capitale circolante:</t>
  </si>
  <si>
    <t>Δ 작업 캡. 참조:</t>
  </si>
  <si>
    <t xml:space="preserve">Δ оборотный капитал -- Справка </t>
  </si>
  <si>
    <t>1 = 现金流表原始数据</t>
  </si>
  <si>
    <t>1 = 現金流表原始數據</t>
  </si>
  <si>
    <t>1 = キャッシュフロー実績値で計算</t>
  </si>
  <si>
    <t>1 = Como se informa en el Estado de Flujos de Efectivo</t>
  </si>
  <si>
    <t>1 = Wie in der Kapitalflussrechnung angegeben</t>
  </si>
  <si>
    <t>1 = Comme indiqué sur le flux de trésorerie</t>
  </si>
  <si>
    <t>1 = Come segnalato sul flusso di cassa</t>
  </si>
  <si>
    <t>1 = 현금흐름표에서 보고된 수치</t>
  </si>
  <si>
    <t>1 = как отражено в денежном потоке</t>
  </si>
  <si>
    <t>2 = 按运营资金表计算的数据</t>
  </si>
  <si>
    <t>2 = 按運營資金表計算的數據</t>
  </si>
  <si>
    <t>2 = 運転資本スケジュールで計算</t>
  </si>
  <si>
    <t>2 = Calculado a través del calendario de capital de trabajo</t>
  </si>
  <si>
    <t>2 = Berechnet über das Arbeitskapitalplan</t>
  </si>
  <si>
    <t>2 = calculé via le programme de fonds de roulement</t>
  </si>
  <si>
    <t>2 = Calcolato tramite Schema di CC</t>
  </si>
  <si>
    <t>2 =  운전자본 Schedule에 따라 계산된 수치</t>
  </si>
  <si>
    <t>2 = Рассчитано по графику оборотного капитала</t>
  </si>
  <si>
    <t>步骤8：点击“REFRESH SHEET”按钮。</t>
  </si>
  <si>
    <t>步驟8：點擊“REFRESH SHEET”按鈕。</t>
  </si>
  <si>
    <t>ステップ8：「REFRESH SHEET」のボタンをクリックしてください。</t>
  </si>
  <si>
    <t>Paso 8: Haga clic en el botón "ACTUALIZAR HOJA".</t>
  </si>
  <si>
    <t>Schritt 8: Klicken Sie auf die Schaltfläche "BLATT AKTUALISIEREN".</t>
  </si>
  <si>
    <t>Étape 8 : Cliquez sur le bouton "REFRESH SHEET".</t>
  </si>
  <si>
    <t>Fase 8: Fai clic sul pulsante "RICARICA FOGLIO".</t>
  </si>
  <si>
    <t>8단계: "시트 새로 고침" 버튼을 클릭하세요.</t>
  </si>
  <si>
    <t>Шаг 8: Нажмите кнопку «ОБНОВИТЬ ЛИСТ».</t>
  </si>
  <si>
    <t>贝塔系数选择</t>
  </si>
  <si>
    <t>貝塔係數選擇</t>
  </si>
  <si>
    <t>ベータ選択</t>
  </si>
  <si>
    <t>Selección Beta</t>
  </si>
  <si>
    <t>Beta-Auswahl</t>
  </si>
  <si>
    <t>Sélection Bêta</t>
  </si>
  <si>
    <t>Selezionare Beta</t>
  </si>
  <si>
    <t>베타 선택</t>
  </si>
  <si>
    <t xml:space="preserve">Выбор Бета-коэффициента </t>
  </si>
  <si>
    <t>贝塔系数</t>
  </si>
  <si>
    <t>貝塔係數</t>
  </si>
  <si>
    <t>ベータ</t>
  </si>
  <si>
    <t>Bêta</t>
  </si>
  <si>
    <t>베타</t>
  </si>
  <si>
    <t>假设</t>
  </si>
  <si>
    <t>假設</t>
  </si>
  <si>
    <t>前提条件</t>
  </si>
  <si>
    <t>SUPUESTOS</t>
  </si>
  <si>
    <t>ANNAHMEN</t>
  </si>
  <si>
    <t>HYPOTHÈSES</t>
  </si>
  <si>
    <t>IPOTESI</t>
  </si>
  <si>
    <t>추정치</t>
  </si>
  <si>
    <t xml:space="preserve">ДОПУЩЕНИЯ </t>
  </si>
  <si>
    <t>贝塔系数计算</t>
  </si>
  <si>
    <t>貝塔係數計算</t>
  </si>
  <si>
    <t>ベータ計算</t>
  </si>
  <si>
    <t>CÁLCULO BETA</t>
  </si>
  <si>
    <t>BETA-BERECHNUNG</t>
  </si>
  <si>
    <t>CALCUL BÊTA</t>
  </si>
  <si>
    <t>CALCOLO BETA</t>
  </si>
  <si>
    <t>베타 계산</t>
  </si>
  <si>
    <t>РАСЧЕТ БЕТА-КОЭФФИЦИЕНТА</t>
  </si>
  <si>
    <t>1 = 自下而上贝塔系数</t>
  </si>
  <si>
    <t>1 = 自下而上貝塔係數</t>
  </si>
  <si>
    <t>1 = ボトムアップ・ベータ</t>
  </si>
  <si>
    <t>1 = Beta de abajo hacia arriba</t>
  </si>
  <si>
    <t>1 = Bottom-Up-Beta</t>
  </si>
  <si>
    <t>1 = Bêta ascendante</t>
  </si>
  <si>
    <t xml:space="preserve">1 = Beta bottom-up </t>
  </si>
  <si>
    <t>1 = 바텀업 (Bottom-Up) 베타</t>
  </si>
  <si>
    <t>1 = Восходящий Бета-коэффициент</t>
  </si>
  <si>
    <t>杠杆贝塔系数</t>
  </si>
  <si>
    <t>槓桿貝塔係數</t>
  </si>
  <si>
    <t>レバード・ベータ</t>
  </si>
  <si>
    <t>Beta apalancada</t>
  </si>
  <si>
    <t>Gehebeltes Beta</t>
  </si>
  <si>
    <t xml:space="preserve">Bêta « levered » </t>
  </si>
  <si>
    <t>Beta Levered</t>
  </si>
  <si>
    <t>차입 (Levered) 베타</t>
  </si>
  <si>
    <t>Бета-коэффициент с учетом долгового бремени (Levered Beta)</t>
  </si>
  <si>
    <t>优先股/</t>
  </si>
  <si>
    <t>優先股/</t>
  </si>
  <si>
    <t>優先株/</t>
  </si>
  <si>
    <t>Preferente/</t>
  </si>
  <si>
    <t>VZ/</t>
  </si>
  <si>
    <t>Préf /</t>
  </si>
  <si>
    <t>privilegiato/</t>
  </si>
  <si>
    <t>우선주/</t>
  </si>
  <si>
    <t>Привилегированный акционерный капитал / Собственный капитал</t>
  </si>
  <si>
    <t>债务/</t>
  </si>
  <si>
    <t>債務/</t>
  </si>
  <si>
    <t>有利子負債/</t>
  </si>
  <si>
    <t>Deuda/</t>
  </si>
  <si>
    <t>Schuld/</t>
  </si>
  <si>
    <t>Dette/</t>
  </si>
  <si>
    <t>Indebitamento/</t>
  </si>
  <si>
    <t>부채/</t>
  </si>
  <si>
    <t>Долг / Собственный капитал</t>
  </si>
  <si>
    <t>权益</t>
  </si>
  <si>
    <t>權益</t>
  </si>
  <si>
    <t>株主資本</t>
  </si>
  <si>
    <t>Capital</t>
  </si>
  <si>
    <t>Eigenkapital</t>
  </si>
  <si>
    <t>Capitale</t>
  </si>
  <si>
    <t>자본</t>
  </si>
  <si>
    <t>无杠杆</t>
  </si>
  <si>
    <t>無槓桿</t>
  </si>
  <si>
    <t>アンレバード</t>
  </si>
  <si>
    <t>no apalancada</t>
  </si>
  <si>
    <t>Nicht gehebelt</t>
  </si>
  <si>
    <t>« Unlevered »</t>
  </si>
  <si>
    <t>무차입 (Unlevered)</t>
  </si>
  <si>
    <t>Бета-коэффициент(2) без учета долгового бремени</t>
  </si>
  <si>
    <t>2 = 回归贝塔系数</t>
  </si>
  <si>
    <t>2 = 回歸貝塔係數</t>
  </si>
  <si>
    <t>2 = 回帰ベータ</t>
  </si>
  <si>
    <t>2 = Regresión Beta</t>
  </si>
  <si>
    <t>2 = Regressions-Beta</t>
  </si>
  <si>
    <t>2 = Bêta de régression</t>
  </si>
  <si>
    <t>2 = Beta di regressione</t>
  </si>
  <si>
    <t>2 = 회기분석 Beta</t>
  </si>
  <si>
    <t>2 = Регрессионный Бета-коэффициент</t>
  </si>
  <si>
    <t>パッド：ON</t>
  </si>
  <si>
    <t>PAD: ENCENDIDO</t>
  </si>
  <si>
    <t>PAD: EIN</t>
  </si>
  <si>
    <t>PAD : ON</t>
  </si>
  <si>
    <t>패드: 켜짐</t>
  </si>
  <si>
    <t>PAD: ВКЛ.</t>
  </si>
  <si>
    <t>五年平均税率</t>
  </si>
  <si>
    <t>五年平均稅率</t>
  </si>
  <si>
    <t>税率（5年平均）</t>
  </si>
  <si>
    <t>Tasa impositiva (promedio de 5 años)</t>
  </si>
  <si>
    <t>Steuersatz (5 Jahre Durchschnitt)</t>
  </si>
  <si>
    <t>Taux d'impôt (5 ans en moyenne)</t>
  </si>
  <si>
    <t>Aliquota fiscale (media di 5 anni)</t>
  </si>
  <si>
    <t>법인세율 (5년평균)</t>
  </si>
  <si>
    <t>Налоговая ставка (среднее значение за 5 лет)</t>
  </si>
  <si>
    <t>哥伦比亚</t>
  </si>
  <si>
    <t>哥倫比亞</t>
  </si>
  <si>
    <t>コロンビア</t>
  </si>
  <si>
    <t>Kolumbien</t>
  </si>
  <si>
    <t>Colombie</t>
  </si>
  <si>
    <t>컬럼비아</t>
  </si>
  <si>
    <t>Колумбия</t>
  </si>
  <si>
    <t>规模溢价</t>
  </si>
  <si>
    <t>規模溢價</t>
  </si>
  <si>
    <t>サイズプレミアム</t>
  </si>
  <si>
    <t>Prima de Tamaño</t>
  </si>
  <si>
    <t>Größe Premium</t>
  </si>
  <si>
    <t>Prime de taille</t>
  </si>
  <si>
    <t>Premio di taglia</t>
  </si>
  <si>
    <t>기업 규모에 따른 프리미엄</t>
  </si>
  <si>
    <t>Премия за размер</t>
  </si>
  <si>
    <t>机构名称</t>
  </si>
  <si>
    <t>機構名稱</t>
  </si>
  <si>
    <t>機関名</t>
  </si>
  <si>
    <t>Nombre de la Institución</t>
  </si>
  <si>
    <t>Name der Einrichtung</t>
  </si>
  <si>
    <t>nom de l'institution</t>
  </si>
  <si>
    <t>Nome dell'istituzione</t>
  </si>
  <si>
    <t>기관 이름</t>
  </si>
  <si>
    <t>Название учебного заведения</t>
  </si>
  <si>
    <t>资金类型</t>
  </si>
  <si>
    <t>資金類型</t>
  </si>
  <si>
    <t>資金の種類</t>
  </si>
  <si>
    <t>Tipo de financiación</t>
  </si>
  <si>
    <t>Art der Finanzierung</t>
  </si>
  <si>
    <t>Type de financement</t>
  </si>
  <si>
    <t>Tipo di finanziamento</t>
  </si>
  <si>
    <t>자금 조달 유형</t>
  </si>
  <si>
    <t>Тип финансирования</t>
  </si>
  <si>
    <t>股息率（％）</t>
  </si>
  <si>
    <t>配当率（％）</t>
  </si>
  <si>
    <t>Tasa de dividendo (%)</t>
  </si>
  <si>
    <t>Dividendenrate (%)</t>
  </si>
  <si>
    <t>Taux de dividende (%)</t>
  </si>
  <si>
    <t>Tasso di dividendo (%)</t>
  </si>
  <si>
    <t>배당률 (%)</t>
  </si>
  <si>
    <t>Дивидендная ставка (%)</t>
  </si>
  <si>
    <t>交易日期（mm/dd/yyyy）</t>
  </si>
  <si>
    <t>取引日付（mm/dd/yyyy）</t>
  </si>
  <si>
    <t>Fecha de negociación (mm/dd/aaaa)</t>
  </si>
  <si>
    <t>Handelsdatum (mm/tt/jjjjj)</t>
  </si>
  <si>
    <t>Date de l'échange (mm/jj/aaaa)</t>
  </si>
  <si>
    <t>Data operazione (mm/gg/aaaa)</t>
  </si>
  <si>
    <t>거래일(mm/dd/yyyy)</t>
  </si>
  <si>
    <t>Дата сделки (mm/dd/yyyy)</t>
  </si>
  <si>
    <t>可比公司平均未杠杆贝塔系数</t>
  </si>
  <si>
    <t>可比公司平均未槓桿貝塔係數</t>
  </si>
  <si>
    <t>類似企業平均アンレバード・ベータ</t>
  </si>
  <si>
    <t>Beta promedio no apalancada para fines comparativos</t>
  </si>
  <si>
    <t>Durchschnittliches nicht gehebeltes Beta für Comps</t>
  </si>
  <si>
    <t xml:space="preserve">Bêta « unlevered » moyenne pour sociétés </t>
  </si>
  <si>
    <t>Beta unlevered media per confronto</t>
  </si>
  <si>
    <t>비교 기업 무차입 (Unlevered) 베타 평균치</t>
  </si>
  <si>
    <t xml:space="preserve">Среднее значение Бета-коэффициента без учета долгового бремени (Unlevered Beta) для сравнительного анализа компаний </t>
  </si>
  <si>
    <t>税前债务成本步骤</t>
  </si>
  <si>
    <t>稅前債務成本步驟</t>
  </si>
  <si>
    <t>税前負債コストのステップ</t>
  </si>
  <si>
    <t>Costo de la deuda antes de impuestos - Etapa</t>
  </si>
  <si>
    <t>Fremdkapitalkosten vor Steuern-Schritt</t>
  </si>
  <si>
    <t>Étape du coût de la dette avant impôt</t>
  </si>
  <si>
    <t>Costo del debito ante imposte - Fase</t>
  </si>
  <si>
    <t>세전부채비용 비율간격</t>
  </si>
  <si>
    <t xml:space="preserve">Шаг расчета стоимости долга до налогов </t>
  </si>
  <si>
    <t>债务/(债务+优先股+权益) 步骤</t>
  </si>
  <si>
    <t>債務/(債務+優先股+權益) 步驟</t>
  </si>
  <si>
    <t>有利子負債/（有利子負債+優先株+株主資本）のステップ</t>
  </si>
  <si>
    <t>D / (D + P + C) Etapa</t>
  </si>
  <si>
    <t>S / (S + V + E) Schritt</t>
  </si>
  <si>
    <t xml:space="preserve">Étape D/(D + P + C) </t>
  </si>
  <si>
    <t>D / (D + P + C) - Fase</t>
  </si>
  <si>
    <t>D/(D+P+E) 비율간격</t>
  </si>
  <si>
    <t>Шаг расчета D/(D+P+E)</t>
  </si>
  <si>
    <t>权益成本步骤</t>
  </si>
  <si>
    <t>權益成本步驟</t>
  </si>
  <si>
    <t>株主資本コストのステップ</t>
  </si>
  <si>
    <t>Costo del capital - Etapa</t>
  </si>
  <si>
    <t>Eigenkapitalkosten-Schritt</t>
  </si>
  <si>
    <t>Étape du Coût du capital</t>
  </si>
  <si>
    <t>Costo del capitale - Fase</t>
  </si>
  <si>
    <t>자본비용 비율간격</t>
  </si>
  <si>
    <t>Шаг расчета стоимости собственного капитала</t>
  </si>
  <si>
    <t>权益/(债务+优先股+权益) 步骤</t>
  </si>
  <si>
    <t>權益/(債務+優先股+權益) 步驟</t>
  </si>
  <si>
    <t>株主資本/（有利子負債+優先株+株主資本）のステップ</t>
  </si>
  <si>
    <t>C / (D + P + C) Etapa</t>
  </si>
  <si>
    <t>E / (S + V + E) Schritt</t>
  </si>
  <si>
    <t>Étape E/(D+P+C)</t>
  </si>
  <si>
    <t>E / (D + P + C) - Fase</t>
  </si>
  <si>
    <t xml:space="preserve">E/(D+P+E) </t>
  </si>
  <si>
    <t>Шаг расчета E/(D+P+E)</t>
  </si>
  <si>
    <t>加权平均资本成本敏感性分析</t>
  </si>
  <si>
    <t>加權平均資本成本敏感性分析</t>
  </si>
  <si>
    <t>加重平均資本コスト感応度分析</t>
  </si>
  <si>
    <t xml:space="preserve">ANÁLISIS DE SENSIBILIDAD COSTO MEDIO PONDERADO DEL CAPITAL </t>
  </si>
  <si>
    <t>WACC-EMPFINDLICHKEITSANALYSE</t>
  </si>
  <si>
    <t>ANALYSE DE SENSIBILITÉ DU CMPC (COÛT MOYEN PONDÉRÉ DU CAPITAL)</t>
  </si>
  <si>
    <t>ANALISI DELLA SENSIBILITÀ DEL COSTO MEDIO PONDERATO DEL CAPITALE</t>
  </si>
  <si>
    <t>가중평균자본비용 민감도 분석</t>
  </si>
  <si>
    <t>Анализ чувствительности средневзвешенной стоимости капитала (WACC)</t>
  </si>
  <si>
    <t>债务/(债务+优先股+权益)</t>
  </si>
  <si>
    <t>債務/(債務+優先股+權益)</t>
  </si>
  <si>
    <t>有利子負債/（有利子負債+優先株+株主資本）</t>
  </si>
  <si>
    <t>D/(D+P+C)</t>
  </si>
  <si>
    <t>S/(S+V+E)</t>
  </si>
  <si>
    <t xml:space="preserve">D/(D+P+E) </t>
  </si>
  <si>
    <t>税前债务成本</t>
  </si>
  <si>
    <t>稅前債務成本</t>
  </si>
  <si>
    <t>税前負債コスト</t>
  </si>
  <si>
    <t>Costo de la deuda antes de impuestos</t>
  </si>
  <si>
    <t>Fremdkapitalkosten vor Steuern</t>
  </si>
  <si>
    <t>Coût de la dette avant impôt</t>
  </si>
  <si>
    <t>Costo del debito ante imposte</t>
  </si>
  <si>
    <t>세전부채비용</t>
  </si>
  <si>
    <t xml:space="preserve">Стоимость долга до налогов </t>
  </si>
  <si>
    <t>交易代码及交易所。</t>
  </si>
  <si>
    <t>交易代碼及交易所。</t>
  </si>
  <si>
    <t>証券コード／ID</t>
  </si>
  <si>
    <t>Símbolo bursátil &amp; Bolsa</t>
  </si>
  <si>
    <t>Handelssymbol und Börse</t>
  </si>
  <si>
    <t xml:space="preserve">Symbole boursier &amp; Échange </t>
  </si>
  <si>
    <t>Simbolo di quotazione 
in borsa</t>
  </si>
  <si>
    <t xml:space="preserve">거래 기호 
및 거래소 </t>
  </si>
  <si>
    <t>Торговый Символ &amp; Биржа</t>
  </si>
  <si>
    <t>加权平均资本成本</t>
  </si>
  <si>
    <t>加權平均資本成本</t>
  </si>
  <si>
    <t>加重平均資本コスト(WACC)</t>
  </si>
  <si>
    <t xml:space="preserve">COSTO MEDIO PONDERADO DEL CAPITAL </t>
  </si>
  <si>
    <t>gewichtete durchschnittliche Kapitalkosten</t>
  </si>
  <si>
    <t>COÛT MOYEN PONDÉRÉ DU CAPITAL</t>
  </si>
  <si>
    <t>COSTO MEDIO PONDERATO DEL CAPITALE</t>
  </si>
  <si>
    <t xml:space="preserve">가중평균자본비용 </t>
  </si>
  <si>
    <t>Средневзвешенная стоимость капитала (WACC)</t>
  </si>
  <si>
    <t>SNL机构密钥</t>
  </si>
  <si>
    <t>SNL機構密鑰</t>
  </si>
  <si>
    <t>SNL機関キー</t>
  </si>
  <si>
    <t>Llave de la Institución SNL</t>
  </si>
  <si>
    <t>SNL-Institutionsschlüssel</t>
  </si>
  <si>
    <t>Clé de l'établissement SNL</t>
  </si>
  <si>
    <t>Chiave dell'istituto SNL</t>
  </si>
  <si>
    <t>SNL 기관 키</t>
  </si>
  <si>
    <t>Ключ учреждения SNL</t>
  </si>
  <si>
    <t>市场风险溢价 (Rm - Rf)</t>
  </si>
  <si>
    <t>市場風險溢價 (Rm - Rf)</t>
  </si>
  <si>
    <t>マーケット・リスク・プレミアム (Rm - Rf)</t>
  </si>
  <si>
    <t>Prima de riesgo de mercado (Rm - Rf)</t>
  </si>
  <si>
    <t>Marktrisikoprämie (Rm - Rf)</t>
  </si>
  <si>
    <t>Prime de risque de marché (Rm - Rf)</t>
  </si>
  <si>
    <t>Premio di rischio di mercato (Rm - Rf)</t>
  </si>
  <si>
    <t>시장 위험 프리미엄(Rm - Rf)</t>
  </si>
  <si>
    <t>Премия за рыночный риск (Rm - Rf)</t>
  </si>
  <si>
    <t>公司名称，简称</t>
  </si>
  <si>
    <t>公司名稱，簡稱</t>
  </si>
  <si>
    <t>会社名、略称</t>
  </si>
  <si>
    <t>Nombre de la empresa, abreviado</t>
  </si>
  <si>
    <t>Name der Firma, abgekürzt</t>
  </si>
  <si>
    <t>Nom de la société, en abrégé</t>
  </si>
  <si>
    <t>Nome società, Abbreviato</t>
  </si>
  <si>
    <t>회사 이름, 약어</t>
  </si>
  <si>
    <t>Наименование компании, сокращенное</t>
  </si>
  <si>
    <t>调整后市场风险溢价</t>
  </si>
  <si>
    <t>調整後市場風險溢價</t>
  </si>
  <si>
    <t>調整後マーケット・リスク・プレミアム</t>
  </si>
  <si>
    <t>Prima de riesgo de mercado ajustada</t>
  </si>
  <si>
    <t>Angepasste Marktrisikoprämie</t>
  </si>
  <si>
    <t>Prime de risque de marché ajustée</t>
  </si>
  <si>
    <t>Premio di rischio di mercato rettificato</t>
  </si>
  <si>
    <t>수정된 시장 위험 프리미엄</t>
  </si>
  <si>
    <t>Скорректированная премия за рыночный риск (Rm - Rf)</t>
  </si>
  <si>
    <t>加：无风险回报率 (Rf)</t>
  </si>
  <si>
    <t>加：無風險回報率 (Rf)</t>
  </si>
  <si>
    <t>プラス：リスクフリーレート (Rf)(1)</t>
  </si>
  <si>
    <t>Agregar: Tasa de retorno libre de riesgo (Rf)(1)</t>
  </si>
  <si>
    <t>Hinzufügen: Risikofreie Rendite (Rf)(1)</t>
  </si>
  <si>
    <t>Plus: Taux de rendement sans risque (Rf) (1)</t>
  </si>
  <si>
    <t>Più: Indice reddituale senza rischio (1)</t>
  </si>
  <si>
    <t>+무위험수익률(Rf)(1)</t>
  </si>
  <si>
    <t>Прибавить: Безрисковая ставка доходности (Rf)(1)</t>
  </si>
  <si>
    <t>加：规模溢价</t>
  </si>
  <si>
    <t>加：規模溢價</t>
  </si>
  <si>
    <t>プラス：サイズプレミアム</t>
  </si>
  <si>
    <t>Agregar: Prima de Tamaño</t>
  </si>
  <si>
    <t>Hinzufügen: Size Premium</t>
  </si>
  <si>
    <t>Plus: Prime de taille</t>
  </si>
  <si>
    <t>Più: Dimensione premio</t>
  </si>
  <si>
    <t>+기업 규모에 따른 프리미엄</t>
  </si>
  <si>
    <t>Прибавить: Премия за размер</t>
  </si>
  <si>
    <t>权益成本</t>
  </si>
  <si>
    <t>權益成本</t>
  </si>
  <si>
    <t>資本コスト</t>
  </si>
  <si>
    <t>Costo del capital</t>
  </si>
  <si>
    <t>Eigenkapitalkosten</t>
  </si>
  <si>
    <t>Coût du capital</t>
  </si>
  <si>
    <t>Costo del capitale</t>
  </si>
  <si>
    <t>자본비용</t>
  </si>
  <si>
    <t>Стоимость собственного капитала</t>
  </si>
  <si>
    <t>权益成本部分</t>
  </si>
  <si>
    <t>權益成本部分</t>
  </si>
  <si>
    <t>資本コスト部分</t>
  </si>
  <si>
    <t>Costo de la porción del capital social</t>
  </si>
  <si>
    <t>Kosten des Eigenkapitalanteils</t>
  </si>
  <si>
    <t>Coût de la partie du capital</t>
  </si>
  <si>
    <t>Costo della quota di capitale</t>
  </si>
  <si>
    <t>자본비용 비중</t>
  </si>
  <si>
    <t xml:space="preserve">Стоимость части собственного капитала </t>
  </si>
  <si>
    <t>权益/(债务+优先股+权益)</t>
  </si>
  <si>
    <t>權益/(債務+優先股+權益)</t>
  </si>
  <si>
    <t>株主資本/（有利子負債+優先株+株主資本）</t>
  </si>
  <si>
    <t>C/(D+P+C)</t>
  </si>
  <si>
    <t>E/(S+V+E)</t>
  </si>
  <si>
    <t>税后债务成本</t>
  </si>
  <si>
    <t>稅後債務成本</t>
  </si>
  <si>
    <t>税引後債務コスト</t>
  </si>
  <si>
    <t>Costo de la deuda después de impuestos</t>
  </si>
  <si>
    <t>Fremdkapitalkosten nach Steuern</t>
  </si>
  <si>
    <t>Coût de la dette après impôt</t>
  </si>
  <si>
    <t>Costo del debito dopo imposte</t>
  </si>
  <si>
    <t>세후이자비용</t>
  </si>
  <si>
    <t xml:space="preserve">Стоимость долга после налогов </t>
  </si>
  <si>
    <t>债务成本部分</t>
  </si>
  <si>
    <t>債務成本部分</t>
  </si>
  <si>
    <t>負債コスト部分</t>
  </si>
  <si>
    <t>Costo de la porción de la deuda</t>
  </si>
  <si>
    <t>Anteil an Fremdkapitalkosten</t>
  </si>
  <si>
    <t>Coût de la partie de la dette</t>
  </si>
  <si>
    <t>Costo della quota di debito</t>
  </si>
  <si>
    <t>부채비용 비중</t>
  </si>
  <si>
    <t>Стоимость части долга</t>
  </si>
  <si>
    <t>优先股成本部分</t>
  </si>
  <si>
    <t>優先股成本部分</t>
  </si>
  <si>
    <t>優先株コスト部分</t>
  </si>
  <si>
    <t>Costo de la porción preferente</t>
  </si>
  <si>
    <t>Kosten des Vorzugs-Anteils</t>
  </si>
  <si>
    <t>Coût de la partie préféréntielle</t>
  </si>
  <si>
    <t>Costo della quota privilegiata</t>
  </si>
  <si>
    <t>우선주 비용 비중</t>
  </si>
  <si>
    <t>Стоимость привилегированной части</t>
  </si>
  <si>
    <t>(1) 无杠杆贝塔 = 杠杆贝塔 / ( 1 + ((债务/权益) * (1 - 税率)) + 优先股/权益)</t>
  </si>
  <si>
    <t>(1) 無槓桿貝塔 = 槓桿貝塔 / ( 1 + ((債務/權益) * (1 - 稅率)) + 優先股/權益)</t>
  </si>
  <si>
    <t>(1) アンレバード・ベータ＝レバード・ベータ/（1+（（有利子負債/株主資本）*（1-実効税率））+優先株/株主資本）</t>
  </si>
  <si>
    <t>(1) Beta no apalancada = Beta apalancada / (1 + ((D / C) * (1 - T)) + P / C</t>
  </si>
  <si>
    <t>(1) Nicht gehebeltes Beta = Gehebeltes Beta / (1 + ((S / E) * (1 - T)) + V / E)</t>
  </si>
  <si>
    <t>(1) Bêta « unlevered » = Bêta « levered » / (1 + ((D/E) * (1 - T)) + P/E)</t>
  </si>
  <si>
    <t>(1) Beta unlevered = Beta levered / ( 1 + ((D/C) * (1 - T)) + P/C)</t>
  </si>
  <si>
    <t>(1) 무차입(Unlevered) 베타 = 차입 (Levered) 베타/ ( 1 + ((D/E) * (1 - T)) + P/E)</t>
  </si>
  <si>
    <t>(1) Бета-коэффициент без учета долгового бремени (Unlevered Beta) = Бета-коэффициент с учетом долгового бремени (Levered Beta) / ( 1 + ((D/E) * (1 - T)) + P/E)</t>
  </si>
  <si>
    <t>(2) 杠杆贝塔 = 无杠杆贝塔 * ( 1 + ((债务/权益) * (1 - 税率)) + 优先股/权益)</t>
  </si>
  <si>
    <t>(2) 槓桿貝塔 = 無槓桿貝塔 * ( 1 + ((債務/權益) * (1 - 稅率)) + 優先股/權益)</t>
  </si>
  <si>
    <t>(2) レバード・ベータ＝アンレバード・ベータ*（1+（（有利子負債/株主資本）*（1-実効税率））+優先株/株主資本）</t>
  </si>
  <si>
    <t>(2) Beta apalancada = Beta no apalancada* (1 + ((D / C) * (1 - T)) + P / C</t>
  </si>
  <si>
    <t>(2) Gehebeltes Beta = nicht gehebeltes Beta * (1 + ((S / E) * (1 - T)) + V / E)</t>
  </si>
  <si>
    <t>(2) Bêta « levered » = Bêta « unlevered » * (1 + ((D/E) * (1 - T)) + P / E)</t>
  </si>
  <si>
    <t>(2) Beta levered = Beta unlevered * ( 1 + ((D/C) * (1 - T)) + P/C)</t>
  </si>
  <si>
    <t>(2) 차입(Levered) 베타 = 무차입(Unlevered) 베타 * ( 1 + ((D/E) * (1 - T)) + P/E)</t>
  </si>
  <si>
    <t>(2) Бета-коэффициент с учетом долгового бремени (Levered Beta) = Бета-коэффициент без учета долгового бремени (Unlevered Beta) * ( 1 + ((D/E) * (1 - T)) + P/E)</t>
  </si>
  <si>
    <t>预计现金流量</t>
  </si>
  <si>
    <t>預計現金流量</t>
  </si>
  <si>
    <t>将来キャッシュフロー</t>
  </si>
  <si>
    <t>FLUJOS DE EFECTIVO PROYECTADOS</t>
  </si>
  <si>
    <t>PROGNOSTIZIERTE GELDFLÜSSE</t>
  </si>
  <si>
    <t>FLUX DE TRÉSORERIE PROJETÉS</t>
  </si>
  <si>
    <t>FLUSSI FINANZIARI PREVISTI</t>
  </si>
  <si>
    <t>예상 현금흐름</t>
  </si>
  <si>
    <t>ОЖИДАЕМЫЕ ДЕНЕЖНЫЕ ПОТОКИ</t>
  </si>
  <si>
    <t xml:space="preserve">复合年均增长率 </t>
  </si>
  <si>
    <t>複合年均增長率</t>
  </si>
  <si>
    <t xml:space="preserve">平均年間成長率 </t>
  </si>
  <si>
    <t xml:space="preserve">Tasa de crecimiento anual compuesto </t>
  </si>
  <si>
    <t xml:space="preserve">CAGR [durchschnittliche jährliche Wachstumsrate]
</t>
  </si>
  <si>
    <t>CAGR [taux de croissance annuel composé]</t>
  </si>
  <si>
    <t>Tasso di crescita annuale composto (CAGR)</t>
  </si>
  <si>
    <t>연평균성장률 (CAGR)</t>
  </si>
  <si>
    <t>Совокупный среднегодовой темп роста (CAGR)</t>
  </si>
  <si>
    <t>总收入</t>
  </si>
  <si>
    <t>總收入</t>
  </si>
  <si>
    <t>売上高</t>
  </si>
  <si>
    <t>Total de ingresos</t>
  </si>
  <si>
    <t>Gesamtumsatz</t>
  </si>
  <si>
    <t>Total chiffre d'affaires</t>
  </si>
  <si>
    <t>Ricavi totali</t>
  </si>
  <si>
    <t>총 매출</t>
  </si>
  <si>
    <t xml:space="preserve">Общая выручка </t>
  </si>
  <si>
    <t>年均增长率</t>
  </si>
  <si>
    <t>年均增長率</t>
  </si>
  <si>
    <t xml:space="preserve">年間成長率 </t>
  </si>
  <si>
    <t>Crecimiento anual</t>
  </si>
  <si>
    <t>Jährliches Wachstum</t>
  </si>
  <si>
    <t>Croissance annuelle</t>
  </si>
  <si>
    <t>Crescita annuale</t>
  </si>
  <si>
    <t xml:space="preserve">연간 성장률 </t>
  </si>
  <si>
    <t>Годовой рост</t>
  </si>
  <si>
    <t>收入成本</t>
  </si>
  <si>
    <t>売上原価</t>
  </si>
  <si>
    <t>Costo de los ingresos</t>
  </si>
  <si>
    <t>Kosten des Umsatzes</t>
  </si>
  <si>
    <t>Coût des ventes</t>
  </si>
  <si>
    <t>Costo del ricavo</t>
  </si>
  <si>
    <t>매출원가</t>
  </si>
  <si>
    <t xml:space="preserve">Стоимость выручки </t>
  </si>
  <si>
    <t>占收入百分比(%)</t>
  </si>
  <si>
    <t>佔收入百分比(%)</t>
  </si>
  <si>
    <t>売上総利益率 (%)</t>
  </si>
  <si>
    <t>Margen</t>
  </si>
  <si>
    <t>Marge</t>
  </si>
  <si>
    <t>Margine</t>
  </si>
  <si>
    <t>이익률</t>
  </si>
  <si>
    <t xml:space="preserve">Маржа </t>
  </si>
  <si>
    <t>税息折旧及摊销前利润</t>
  </si>
  <si>
    <t>稅息折舊及攤銷前利潤</t>
  </si>
  <si>
    <t>减：折旧与摊销费用</t>
  </si>
  <si>
    <t>減：折舊與攤銷費用</t>
  </si>
  <si>
    <t>- 減価償却費</t>
  </si>
  <si>
    <t>Menos: Depreciación y amortización</t>
  </si>
  <si>
    <t>Weniger: Abschreibungen und Amortisationen</t>
  </si>
  <si>
    <t>Moins : Dépréciation &amp; Amort.</t>
  </si>
  <si>
    <t>Meno: Ammortamento e svalutazioni</t>
  </si>
  <si>
    <t xml:space="preserve"> - 감가상각비</t>
  </si>
  <si>
    <t>Минус: износ и амортизация</t>
  </si>
  <si>
    <t>步骤</t>
  </si>
  <si>
    <t>步驟</t>
  </si>
  <si>
    <t>増加幅</t>
  </si>
  <si>
    <t>Paso</t>
  </si>
  <si>
    <t>Schritt</t>
  </si>
  <si>
    <t>Fase</t>
  </si>
  <si>
    <t>간격</t>
  </si>
  <si>
    <t>Шаг</t>
  </si>
  <si>
    <t>资本支出百分比 (%)</t>
  </si>
  <si>
    <t>資本支出百分比 (%)</t>
  </si>
  <si>
    <t>設備投資対比 (%)</t>
  </si>
  <si>
    <t>% de gastos de capital</t>
  </si>
  <si>
    <t>% der Investitionen in Sachanlagen</t>
  </si>
  <si>
    <t>% des dépenses en capital</t>
  </si>
  <si>
    <t>% delle spese in conto capitale</t>
  </si>
  <si>
    <t>감가상각비/자본적 지출 %</t>
  </si>
  <si>
    <t>% капитальных затрат</t>
  </si>
  <si>
    <t>息稅前利潤</t>
  </si>
  <si>
    <t>减：所得税</t>
  </si>
  <si>
    <t>減：所得稅</t>
  </si>
  <si>
    <t>- 法人税等</t>
  </si>
  <si>
    <t>Menos: Impuestos sobre la renta</t>
  </si>
  <si>
    <t>Weniger: Ertragsteuern</t>
  </si>
  <si>
    <t>Moins : Impôts sur les revenus</t>
  </si>
  <si>
    <t>Meno: Imposte sul reddito</t>
  </si>
  <si>
    <t xml:space="preserve"> - 법인세비용</t>
  </si>
  <si>
    <t>Минус: подоходный налог</t>
  </si>
  <si>
    <t xml:space="preserve">非杠杆净收入 </t>
  </si>
  <si>
    <t xml:space="preserve">非槓桿淨收入 </t>
  </si>
  <si>
    <t>アンレバード純利益</t>
  </si>
  <si>
    <t>Ingresos netos excluyendo pago de intereses</t>
  </si>
  <si>
    <t>Nettogewinn ohne Schulden</t>
  </si>
  <si>
    <t>Revenu net sans endettement</t>
  </si>
  <si>
    <t>Reddito netto unlevered</t>
  </si>
  <si>
    <t>무차입(Unlevered) 순이익</t>
  </si>
  <si>
    <t>Чистый доход без учета финансовых обязательств</t>
  </si>
  <si>
    <t>加：折旧与摊销费用</t>
  </si>
  <si>
    <t>加：折舊與攤銷費用</t>
  </si>
  <si>
    <t>+ 減価償却費</t>
  </si>
  <si>
    <t>Más: Depreciación y amortización</t>
  </si>
  <si>
    <t>Plus: Abschreibungen und Amortisationen</t>
  </si>
  <si>
    <t>Plus: Dépréciation &amp; Amort.</t>
  </si>
  <si>
    <t>Più: Ammortamento e svalutazioni</t>
  </si>
  <si>
    <t xml:space="preserve"> + 감가상각비</t>
  </si>
  <si>
    <t>Плюс: износ и амортизация</t>
  </si>
  <si>
    <t>减：无形资产增加</t>
  </si>
  <si>
    <t>減：無形資産增加</t>
  </si>
  <si>
    <t>- 無形固定資産</t>
  </si>
  <si>
    <t>Menos: Incorporaciones a los intangibles</t>
  </si>
  <si>
    <t>Weniger: Zugänge zu den immateriellen Vermögenswerten</t>
  </si>
  <si>
    <t>Moins : Ajouts aux actifs incorporels</t>
  </si>
  <si>
    <t>Meno: Incrementi di immobilizzazioni immateriali</t>
  </si>
  <si>
    <t xml:space="preserve"> - 무형자산의 증가액 </t>
  </si>
  <si>
    <t>Минус: дополнения к нематериальным активам</t>
  </si>
  <si>
    <t>减：运营资金增加</t>
  </si>
  <si>
    <t>減：運營資金增加</t>
  </si>
  <si>
    <t>- 運転資本増</t>
  </si>
  <si>
    <t>Menos: Aumento del capital circulante</t>
  </si>
  <si>
    <t>Weniger: Erhöhung des Arbeitskapitals</t>
  </si>
  <si>
    <t>Moins : Augmentation du fonds de roulement</t>
  </si>
  <si>
    <t>Meno: Aumento del capitale circolante</t>
  </si>
  <si>
    <t xml:space="preserve"> - 순영업자산증감</t>
  </si>
  <si>
    <t>Минус: увеличение оборотного капитала</t>
  </si>
  <si>
    <t>交易资产证券变更</t>
  </si>
  <si>
    <t>交易資產證券變更</t>
  </si>
  <si>
    <t>有価証券の増減</t>
  </si>
  <si>
    <t xml:space="preserve">Cambio en los valores de los activos </t>
  </si>
  <si>
    <t>Veränderung bei handelbaren Wertpapieranlagen</t>
  </si>
  <si>
    <t>Variation des titres d'actifs négociables</t>
  </si>
  <si>
    <t>Variazione in titoli di negoziazione</t>
  </si>
  <si>
    <t>거래 자산 증권 변동</t>
  </si>
  <si>
    <t>Изменение в ценных бумагах, используемых для торговли активами</t>
  </si>
  <si>
    <t>应收账款变更</t>
  </si>
  <si>
    <t>應收賬款變更</t>
  </si>
  <si>
    <t>売上債権の増減</t>
  </si>
  <si>
    <t>Cambio en Cuentas por cobrar</t>
  </si>
  <si>
    <t>Veränderung der Forderungen aus LL</t>
  </si>
  <si>
    <t>Variation du compte à recevoir</t>
  </si>
  <si>
    <t>Variazione crediti</t>
  </si>
  <si>
    <t>외상매출금 변동</t>
  </si>
  <si>
    <t>Изменение дебиторской задолженности</t>
  </si>
  <si>
    <t>存货变更</t>
  </si>
  <si>
    <t>存貨變更</t>
  </si>
  <si>
    <t>棚卸資産の増減</t>
  </si>
  <si>
    <t>Cambio en los inventarios</t>
  </si>
  <si>
    <t>Bestandsveränderungen</t>
  </si>
  <si>
    <t>Variation des stocks</t>
  </si>
  <si>
    <t>Variazione scorte</t>
  </si>
  <si>
    <t>재고 변동</t>
  </si>
  <si>
    <t>Изменение в запасах</t>
  </si>
  <si>
    <t>应付帐款变更</t>
  </si>
  <si>
    <t>應付帳款變更</t>
  </si>
  <si>
    <t>仕入債務の増減</t>
  </si>
  <si>
    <t>Cambio en Cuentas a pagar</t>
  </si>
  <si>
    <t>Veränderung der Verbindlichkeiten aus LL</t>
  </si>
  <si>
    <t>Variation du compte à payer</t>
  </si>
  <si>
    <t>Variazione debiti</t>
  </si>
  <si>
    <t>외상매입금 변동</t>
  </si>
  <si>
    <t>Изменение кредиторской задолженности</t>
  </si>
  <si>
    <t>预收收入变更</t>
  </si>
  <si>
    <t>預收收入變更</t>
  </si>
  <si>
    <t>前受収益の増減</t>
  </si>
  <si>
    <t>Cambio en los ingresos no devengados</t>
  </si>
  <si>
    <t>Veränderung der Prämienbestandteile für zukünftige Perioden</t>
  </si>
  <si>
    <t>Variation des revenus non réalisés</t>
  </si>
  <si>
    <t>Variazione ricavi non acquisiti</t>
  </si>
  <si>
    <t>선수수익 변동</t>
  </si>
  <si>
    <t>Изменение незаработанных доходов</t>
  </si>
  <si>
    <t>所得税的变更</t>
  </si>
  <si>
    <t>所得稅的變更</t>
  </si>
  <si>
    <t>未払法人税等、及び未払費用の増減</t>
  </si>
  <si>
    <t>Cambio en Impuestos a las ganancias</t>
  </si>
  <si>
    <t>Veränderung der angefallenen Steuern</t>
  </si>
  <si>
    <t>Variation de l'impôt sur le revenu</t>
  </si>
  <si>
    <t>Variazione imposte sul redd.</t>
  </si>
  <si>
    <t>소득세 변경</t>
  </si>
  <si>
    <t>Изменение подоходного налога</t>
  </si>
  <si>
    <t>今天的日期</t>
  </si>
  <si>
    <t>今日の日付</t>
  </si>
  <si>
    <t>La fecha de hoy</t>
  </si>
  <si>
    <t>Datum Heute</t>
  </si>
  <si>
    <t>Date d'aujourd'hui</t>
  </si>
  <si>
    <t>Data di oggi</t>
  </si>
  <si>
    <t>오늘 날짜</t>
  </si>
  <si>
    <t>Дата Сегодня</t>
  </si>
  <si>
    <t>递延税项变更</t>
  </si>
  <si>
    <t>遞延稅項變更</t>
  </si>
  <si>
    <t>繰延税金資産</t>
  </si>
  <si>
    <t>Cambio en Impuestos Diferidos</t>
  </si>
  <si>
    <t>Veränderung der latenten Steuern</t>
  </si>
  <si>
    <t>Variation des impôts différés</t>
  </si>
  <si>
    <t>Variazione imposte differite</t>
  </si>
  <si>
    <t>이연법인세 변경</t>
  </si>
  <si>
    <t>Изменение в отложенных налогах</t>
  </si>
  <si>
    <t>最近刷新日期</t>
  </si>
  <si>
    <t>最終更新日</t>
  </si>
  <si>
    <t>Fecha de la última actualización</t>
  </si>
  <si>
    <t>Datum der letzten Aktualisierung</t>
  </si>
  <si>
    <t>Date du dernier rafraîchissement</t>
  </si>
  <si>
    <t>Data ultimo aggiornamento</t>
  </si>
  <si>
    <t>마지막 새로 고침 날짜</t>
  </si>
  <si>
    <t>Дата последнего обновления</t>
  </si>
  <si>
    <t>其他净经营资产变更</t>
  </si>
  <si>
    <t>其他淨經營資產變更</t>
  </si>
  <si>
    <t>その他純営業資産の増減</t>
  </si>
  <si>
    <t>Variación de otros activos operativos netos</t>
  </si>
  <si>
    <t>Veränderung des sonstigen Nettobetriebsvermögens</t>
  </si>
  <si>
    <t>Variation des autres actifs nets d'exploitation</t>
  </si>
  <si>
    <t>Variazione altre attività operative nette</t>
  </si>
  <si>
    <t>기타 순 운영 자산 변동</t>
  </si>
  <si>
    <t>Изменение прочих чистых операционных активов</t>
  </si>
  <si>
    <t>非杠杆自由现金流</t>
  </si>
  <si>
    <t>非槓桿自由現金流</t>
  </si>
  <si>
    <t>アンレバードフリーキャッシュフロー</t>
  </si>
  <si>
    <t>Flujo de efectivo libre excluyendo pago de intereses</t>
  </si>
  <si>
    <t>Verfügbarer Geldfluss ohne Schulden</t>
  </si>
  <si>
    <t>Flux de trésorerie disponible sans désendettement</t>
  </si>
  <si>
    <t>Flusso di cassa libero unlevered</t>
  </si>
  <si>
    <t>기업잉여현금흐름 (Unlevered)</t>
  </si>
  <si>
    <t>Свободный денежный поток без учета финансовых обязательств</t>
  </si>
  <si>
    <t>年度现金流现值</t>
  </si>
  <si>
    <t>年度現金流現值</t>
  </si>
  <si>
    <t>キャッシュフロー現在価値</t>
  </si>
  <si>
    <t>Valor actual de flujos de caja anuales</t>
  </si>
  <si>
    <t>Barwert der jährlichen Geldflüsse</t>
  </si>
  <si>
    <t>Valeur actuelle des flux de trésorerie annuels</t>
  </si>
  <si>
    <t>Valore attuale di flussi di cassa annuali</t>
  </si>
  <si>
    <t xml:space="preserve">연간 현금흐름의 현가  </t>
  </si>
  <si>
    <t>Приведенная стоимость (PV) годового денежного потока</t>
  </si>
  <si>
    <t>贴现现金流假设条件</t>
  </si>
  <si>
    <t>貼現現金流假設條件</t>
  </si>
  <si>
    <t>DCF計算仮定</t>
  </si>
  <si>
    <t>Supuestos del modelo de flujo de caja descontado</t>
  </si>
  <si>
    <t>Annahmen von Diskontierung der Geldflüsse</t>
  </si>
  <si>
    <t>Hypothèses Actualisation des flux de trésorerie</t>
  </si>
  <si>
    <t>Ipotesi DCF</t>
  </si>
  <si>
    <t>DCF 가정</t>
  </si>
  <si>
    <t xml:space="preserve">Дисконтированные денежные потоки (DCF) -- Допущения </t>
  </si>
  <si>
    <t>总企业价值百分比 (%)</t>
  </si>
  <si>
    <t>總企業價值百分比 (%)</t>
  </si>
  <si>
    <t>企業価値 %</t>
  </si>
  <si>
    <t>% de Valor de la empresa total</t>
  </si>
  <si>
    <t>% des Unternehmenswertes</t>
  </si>
  <si>
    <t>% du total valeur de l'entreprise</t>
  </si>
  <si>
    <t>% di Valore aziendale totale</t>
  </si>
  <si>
    <t>% общей стоимости предприятия (TEV)</t>
  </si>
  <si>
    <t>股权市值百分比</t>
  </si>
  <si>
    <t>股權市值百分比</t>
  </si>
  <si>
    <t>時価総額 %</t>
  </si>
  <si>
    <t>% del Valor de mercado del patrimonio</t>
  </si>
  <si>
    <t>% des Marktwerts des Eigenkapitals</t>
  </si>
  <si>
    <t>% de valeur marchande des capitaux propres</t>
  </si>
  <si>
    <t>% di valore di mercato di equity</t>
  </si>
  <si>
    <t>% рыночной стоимости акций (MVE)</t>
  </si>
  <si>
    <t>加重平均資本コスト</t>
  </si>
  <si>
    <t>Costo medio ponderado del capital</t>
  </si>
  <si>
    <t>Gewichteter durchschnittlicher Kapitalkosten</t>
  </si>
  <si>
    <t>Coût en capital moyen pondéré</t>
  </si>
  <si>
    <t>Costo medio ponderato del capitale</t>
  </si>
  <si>
    <t>가중평균자본비용</t>
  </si>
  <si>
    <t>Средневзвешенная стоимость капитала</t>
  </si>
  <si>
    <t>终端税息折旧及摊销前利润倍数</t>
  </si>
  <si>
    <t>終端稅息折舊及攤銷前利潤倍數</t>
  </si>
  <si>
    <t>Valor terminal por múltiplos de EBITDA</t>
  </si>
  <si>
    <t>EBITDA terminal multiple</t>
  </si>
  <si>
    <t>Multiplo EBITDA finale</t>
  </si>
  <si>
    <t>최종(Terminal)  EBITDA 배수</t>
  </si>
  <si>
    <t>Терминальный  мультипликатор EBITDA</t>
  </si>
  <si>
    <t>当日收盘价</t>
  </si>
  <si>
    <t>當日收盤價</t>
  </si>
  <si>
    <t>終値</t>
  </si>
  <si>
    <t>Precio de cierre del día</t>
  </si>
  <si>
    <t>Kurs bei Tagesschluss</t>
  </si>
  <si>
    <t>Prix de clôture du jour</t>
  </si>
  <si>
    <t>Prezzo alla chiusura della giornata</t>
  </si>
  <si>
    <t>일일 종가</t>
  </si>
  <si>
    <t>Цена закрытия</t>
  </si>
  <si>
    <t>企业价值</t>
  </si>
  <si>
    <t>企業價值</t>
  </si>
  <si>
    <t>企業価値</t>
  </si>
  <si>
    <t>Valor de la empresa</t>
  </si>
  <si>
    <t>Unternehmenswert</t>
  </si>
  <si>
    <t>Valeur d'entreprise</t>
  </si>
  <si>
    <t>Valore aziendale</t>
  </si>
  <si>
    <t xml:space="preserve">기업가치 (Enterprise Value) </t>
  </si>
  <si>
    <t>Стоимость предприятия</t>
  </si>
  <si>
    <t>减：</t>
  </si>
  <si>
    <t>減：</t>
  </si>
  <si>
    <t>Menos:</t>
  </si>
  <si>
    <t>Weniger:</t>
  </si>
  <si>
    <t>Moins :</t>
  </si>
  <si>
    <t>Meno:</t>
  </si>
  <si>
    <t>Минус:</t>
  </si>
  <si>
    <t>非杠杆现金流的隐含永续增长率 （2）</t>
  </si>
  <si>
    <t>非槓桿現金流的隱含永續增長率 （2）</t>
  </si>
  <si>
    <t>Implied 永久成長率 (アンレバードフリーキャッシュフロー) (2)</t>
  </si>
  <si>
    <t>Tasa de crecimiento perpetuo implícito del flujo de efectivo libre excluyendo pago de intereses (2)</t>
  </si>
  <si>
    <t>Implizite ewige Wachstumsrate des Nettogewinns ohne Schulden (2)</t>
  </si>
  <si>
    <t>Taux de croissance implicite à l'infini des flux de trésorerie disponibles sans endettement (2)</t>
  </si>
  <si>
    <t>Tasso di crescita perpetuo implicito di flusso di cassa libero unlevered (2)</t>
  </si>
  <si>
    <t>기업잉여현금흐름(Unlevered) 내재영구성장률(2)</t>
  </si>
  <si>
    <t>Предполагаемый постоянный темп роста свободного денежного потока без учета финансовых обязательств</t>
  </si>
  <si>
    <t>优先股</t>
  </si>
  <si>
    <t>優先股</t>
  </si>
  <si>
    <t>優先株</t>
  </si>
  <si>
    <t>ACCIONES PREFERENTES</t>
  </si>
  <si>
    <t>Vorzugsaktie</t>
  </si>
  <si>
    <t>Actions de préférence</t>
  </si>
  <si>
    <t>Azioni privilegiate</t>
  </si>
  <si>
    <t>우선주</t>
  </si>
  <si>
    <t>Привилегированные акции</t>
  </si>
  <si>
    <t>总企业价值</t>
  </si>
  <si>
    <t>總企業價值</t>
  </si>
  <si>
    <t>Valor total de la Empresa</t>
  </si>
  <si>
    <t>Gesamtunternehmenswert</t>
  </si>
  <si>
    <t>Valore aziendale totale</t>
  </si>
  <si>
    <t>기업가치 (TEV)</t>
  </si>
  <si>
    <t>Общая стоимость предприятия</t>
  </si>
  <si>
    <t>加：</t>
  </si>
  <si>
    <t>Más:</t>
  </si>
  <si>
    <t>Più:</t>
  </si>
  <si>
    <t>Плюс:</t>
  </si>
  <si>
    <t>指数清单</t>
  </si>
  <si>
    <t>指數清單</t>
  </si>
  <si>
    <t>インデックス・リスト</t>
  </si>
  <si>
    <t>Lista de índice</t>
  </si>
  <si>
    <t>Index-Liste</t>
  </si>
  <si>
    <t>Liste d'index</t>
  </si>
  <si>
    <t>Elenco indici</t>
  </si>
  <si>
    <t>지수 목록</t>
  </si>
  <si>
    <t>Список индексов</t>
  </si>
  <si>
    <t>股权价值</t>
  </si>
  <si>
    <t>股權價值</t>
  </si>
  <si>
    <t>株式価値</t>
  </si>
  <si>
    <t>Valor patrimonial</t>
  </si>
  <si>
    <t>Eigenkapitalwert</t>
  </si>
  <si>
    <t>Valeur par capitaux propres</t>
  </si>
  <si>
    <t>Valore di equity</t>
  </si>
  <si>
    <t>자기자본 가치</t>
  </si>
  <si>
    <t>Стоимость акций</t>
  </si>
  <si>
    <t>最近财政年度</t>
  </si>
  <si>
    <t>最近財政年度</t>
  </si>
  <si>
    <t>直近会計年度末</t>
  </si>
  <si>
    <t>Último cierre del ejercicio</t>
  </si>
  <si>
    <t>Letztes Geschäftsjahresende</t>
  </si>
  <si>
    <t>Dernier exercice</t>
  </si>
  <si>
    <t>Ultimo anno fiscale</t>
  </si>
  <si>
    <t>최근 회계 연도말</t>
  </si>
  <si>
    <t>Последний отчетный год закончившийся:</t>
  </si>
  <si>
    <t>最近财政季度</t>
  </si>
  <si>
    <t>最近財政季度</t>
  </si>
  <si>
    <t>直近四半期末</t>
  </si>
  <si>
    <t xml:space="preserve">Último Trimestre fiscal </t>
  </si>
  <si>
    <t>Letztes FQE</t>
  </si>
  <si>
    <t>Dernier trimestre fiscal</t>
  </si>
  <si>
    <t>Ultimo trimestre fiscale</t>
  </si>
  <si>
    <t>최근 회계 분기말</t>
  </si>
  <si>
    <t>Последний отчетный квартал закончившийся:</t>
  </si>
  <si>
    <t>隐含每股价值</t>
  </si>
  <si>
    <t>隱含每股價值</t>
  </si>
  <si>
    <t>一株当たり株式価値</t>
  </si>
  <si>
    <t>Valor implícito por acción</t>
  </si>
  <si>
    <t>Implizit pro Aktienwert</t>
  </si>
  <si>
    <t>Valeur implicite par action</t>
  </si>
  <si>
    <t>Valore per azione implicito</t>
  </si>
  <si>
    <t>주당 내재가치</t>
  </si>
  <si>
    <t>Предполагаемая стоимость одной акции</t>
  </si>
  <si>
    <t>今天日期</t>
  </si>
  <si>
    <t>本日</t>
  </si>
  <si>
    <t>Hoy</t>
  </si>
  <si>
    <t>Heute</t>
  </si>
  <si>
    <t>Aujourd'hui</t>
  </si>
  <si>
    <t>Oggi</t>
  </si>
  <si>
    <t>금일</t>
  </si>
  <si>
    <t>Сегодня</t>
  </si>
  <si>
    <t>现有价格</t>
  </si>
  <si>
    <t>現有價格</t>
  </si>
  <si>
    <t>株価</t>
  </si>
  <si>
    <t>Precio Actual</t>
  </si>
  <si>
    <t>Aktueller Preis</t>
  </si>
  <si>
    <t>Cours actuel</t>
  </si>
  <si>
    <t>Prezzo Attuale</t>
  </si>
  <si>
    <t>현재주가</t>
  </si>
  <si>
    <t>Текущая цена</t>
  </si>
  <si>
    <t>财政年度剩余天数</t>
  </si>
  <si>
    <t>財政年度剩余天數</t>
  </si>
  <si>
    <t>本会計年度残日数</t>
  </si>
  <si>
    <t>Días restantes del ejercicio fiscal</t>
  </si>
  <si>
    <t>Im Geschäftsjahr verbleibende Tage</t>
  </si>
  <si>
    <t>Jours restant dans l'exercice</t>
  </si>
  <si>
    <t>Giorni rimanenti in anno fiscale</t>
  </si>
  <si>
    <t>회계연도의 잔여일수</t>
  </si>
  <si>
    <t xml:space="preserve">Количество дней оставшихся в отчетном году </t>
  </si>
  <si>
    <t>现有价格的溢价或折价</t>
  </si>
  <si>
    <t>現有價格的溢價或折價</t>
  </si>
  <si>
    <t>直近株価と比較した際のプレミアム/ディスカウント</t>
  </si>
  <si>
    <t>Prima / (Descuento) al Precio Actual</t>
  </si>
  <si>
    <t>Prämie/(Rabatt) auf den aktuellen Preis</t>
  </si>
  <si>
    <t>Prime/(décote) par rapport au prix courant</t>
  </si>
  <si>
    <t>Premium/(Sconto) al prezzo attuale</t>
  </si>
  <si>
    <t xml:space="preserve">현재주가와의 프리미엄(디스카운트) </t>
  </si>
  <si>
    <t>Премиум / (Дисконт) к текущей цене</t>
  </si>
  <si>
    <t>（2）自由现金流的隐含永续增长率 = 【（终端税息折旧及摊销前利润）*（终端税息折旧及摊销前利润倍数）*（加权平均资本成本）-（终端自由现金流）】/【（终端税息折旧及摊销前利润）*（终端税息折旧及摊销前利润倍数）+（终端自由现金流）】</t>
  </si>
  <si>
    <t>（2）自由現金流的隱含永續增長率 = 【（終端稅息折舊及攤銷前利潤）*（終端稅息折舊及攤銷前利潤倍數）*（加權平均資本成本）-（終端自由現金流）】/【（終端稅息折舊及攤銷前利潤）*（終端稅息折舊及攤銷前利潤倍數）+（終端自由現金流）】</t>
  </si>
  <si>
    <t>Implied 永久成長率= [計画期間最終EBITDA*EBITDAマルチプル*WACC - 計画期間最終FCF] / [計画期間最終EBITDA * EBITDAマルチプル+ 計画期間最終FCF</t>
  </si>
  <si>
    <t>(2) Tasa de crecimiento perpetuo implícito de Flujo de caja libre = [(Valor terminal de EBITDA) * (Valor terminal por múltiplos de EBITDA) * (Promedio Ponderado del Costo de Capital) - (Año de valor terminal de flujo de caja libre)] / [(Valor terminal de EBITDA) * (Valor terminal por múltiplos de EBITDA) + (Año de valor terminal de flujo de caja libre) ]</t>
  </si>
  <si>
    <t>(2) Implizite ewige Wachstumsrate des FCF = [(Terminal EBITDA)*(Multiples des Terminal EBITDA)*(WACC) - (Terminal Jahr FCF)] / [(Terminal EBITDA)*(Terminal EBITDA Multiples)+(Terminal Jahr FCF))]</t>
  </si>
  <si>
    <t>(2) Taux de croissance perpétuelle implicite du FCF = [(EBITDA terminal) * (Multiple du EBITDA terminal) * (WACC) - (FCF de l’année terminale)] / [(EBITDA terminal) * (Multiple du EBITDA terminal) + (FCF de l’année terminale) ]</t>
  </si>
  <si>
    <t>(2) Tasso di crescita perpetuo implicito di flusso di cassa libero = [(EBITDA finale) * (Multiplo EBITDA finale) * (WACC) - (Flusso di cassa libero dell’anno finale)]/[(EBITDA finale) * (Multiplo EBITDA finale) + (Flusso di cassa libero dell’anno finale)]</t>
  </si>
  <si>
    <t>(2) Implied Perpetual Growth Rate of FCF(기업잉여현금흐름의 내재영구성장률) = [(Terminal EBITDA)*(Terminal EBITDA Multiple)*(WACC) - (Terminal Year FCF)] / [(Terminal EBITDA)*(Terminal EBITDA Multiple) + (Terminal Year FCF)]</t>
  </si>
  <si>
    <t xml:space="preserve">(2) Предполагаемый постоянный темп роста свободного денежного потока  (FCF) = [(Терминальный показатель EBITDA) * (Терминальный EBITDA Мультипликатор) * (Средневзвешенная стоимость капитала WACC) - (Терминальная стоимость конечного годового свободного денежного  потока FCF)] / [(Терминальный показатель EBITDA) ** (Терминальный  EBITDA Мультипликатор) + (Терминальная стоимость конечного годового свободного денежный потока) </t>
  </si>
  <si>
    <t>敏感性分析</t>
  </si>
  <si>
    <t>感応度分析</t>
  </si>
  <si>
    <t>ANÁLISIS DE SENSIBILIDAD</t>
  </si>
  <si>
    <t>SENSITIVITÄTSANALYSE</t>
  </si>
  <si>
    <t>ANALYSE DE LA SENSIBILITÉ</t>
  </si>
  <si>
    <t>ANALISI DI SENSIBILITÀ</t>
  </si>
  <si>
    <t>민감도 분석</t>
  </si>
  <si>
    <t>АНАЛИЗ ЧУВСТВИТЕЛЬНОСТИ</t>
  </si>
  <si>
    <t>贴现</t>
  </si>
  <si>
    <t>貼現</t>
  </si>
  <si>
    <t>割引</t>
  </si>
  <si>
    <t>Con descuento</t>
  </si>
  <si>
    <t>Diskontiert</t>
  </si>
  <si>
    <t>escompté</t>
  </si>
  <si>
    <t>Scontato</t>
  </si>
  <si>
    <t>할인 된</t>
  </si>
  <si>
    <t xml:space="preserve">Дисконтирование </t>
  </si>
  <si>
    <t>终值的现值</t>
  </si>
  <si>
    <t>終值的現值</t>
  </si>
  <si>
    <t>残存価値の現在価値</t>
  </si>
  <si>
    <t>Valor presente del valor terminal</t>
  </si>
  <si>
    <t>Barwert des Terminalwertes</t>
  </si>
  <si>
    <t>Valeur actuelle de la valeur terminale</t>
  </si>
  <si>
    <t>Valore attuale del valore finale</t>
  </si>
  <si>
    <t>종료가치(Terminal Value)의 현가</t>
  </si>
  <si>
    <t>Приведенная стоимость терминальной стоимости</t>
  </si>
  <si>
    <t>企业价值的现值</t>
  </si>
  <si>
    <t>企業價值的現值</t>
  </si>
  <si>
    <t>Valor presente del valor de la empresa</t>
  </si>
  <si>
    <t>Barwert des Unternehmenswertes</t>
  </si>
  <si>
    <t>Valeur actuelle de la valeur d'entreprise</t>
  </si>
  <si>
    <t>Valore attuale del valore aziendale</t>
  </si>
  <si>
    <t>기업가치의 현가</t>
  </si>
  <si>
    <t>Приведенная стоимость стоимости предприятия</t>
  </si>
  <si>
    <t>现金流</t>
  </si>
  <si>
    <t>現金流</t>
  </si>
  <si>
    <t>キャッシュフロー</t>
  </si>
  <si>
    <t>Flujo de efectivo</t>
  </si>
  <si>
    <t>FF</t>
  </si>
  <si>
    <t>현금 흐름</t>
  </si>
  <si>
    <t>денежных потоков (CF)</t>
  </si>
  <si>
    <t>税息折旧及摊销前利润结束年份倍数</t>
  </si>
  <si>
    <t>稅息折舊及攤銷前利潤結束年份倍數</t>
  </si>
  <si>
    <t>EBITDA Exit マルチプル</t>
  </si>
  <si>
    <t>Múltiplo de salida de EBITDA</t>
  </si>
  <si>
    <t>EBITDA Sortie Multiple</t>
  </si>
  <si>
    <t>Multiplo di uscita EBITDA</t>
  </si>
  <si>
    <t>EBITDA 출구가격배수(exit multiple)</t>
  </si>
  <si>
    <t>Конечный мультипликатор EBITDA</t>
  </si>
  <si>
    <t>加权平均资本成本步骤</t>
  </si>
  <si>
    <t>加權平均資本成本步驟</t>
  </si>
  <si>
    <t>WACC増加幅</t>
  </si>
  <si>
    <t>Costo medio ponderado de capital - Paso</t>
  </si>
  <si>
    <t>WACC-Schritt</t>
  </si>
  <si>
    <t>Étape Coût moyen pondéré du capital</t>
  </si>
  <si>
    <t>Fase CMPC</t>
  </si>
  <si>
    <t>가중평균자본비용 간격</t>
  </si>
  <si>
    <t xml:space="preserve">Шаг в расчете средневзвешенной стоимости капитала (WACC) </t>
  </si>
  <si>
    <t>结束年份倍数步骤</t>
  </si>
  <si>
    <t>結束年份倍數步驟</t>
  </si>
  <si>
    <t>Exitマルチプル増加幅</t>
  </si>
  <si>
    <t>Múltiplo de salida - Paso</t>
  </si>
  <si>
    <t>Beenden des Mehrschrittes</t>
  </si>
  <si>
    <t>Étape Exit Multiple</t>
  </si>
  <si>
    <t>Fase del multiplo di uscita</t>
  </si>
  <si>
    <t>출구가격배수(Exit Multiple) 간격</t>
  </si>
  <si>
    <t>Шаг в расчете конечной стоимости денежных потоков с использованием мультипликатора</t>
  </si>
  <si>
    <t>净债务（１）</t>
  </si>
  <si>
    <t>淨債務（１）</t>
  </si>
  <si>
    <t>純有利子負債(1)</t>
  </si>
  <si>
    <t>Deuda Neta (1)</t>
  </si>
  <si>
    <t>Nettoverschuldung (1)</t>
  </si>
  <si>
    <t>Dette nette (1)</t>
  </si>
  <si>
    <t>Indebitamento netto (1)</t>
  </si>
  <si>
    <t>순 부채(1)</t>
  </si>
  <si>
    <t>Чистый долг (1)</t>
  </si>
  <si>
    <t>股权现值日期</t>
  </si>
  <si>
    <t>股權現值日期</t>
  </si>
  <si>
    <t>Valor presente del patrimonio al</t>
  </si>
  <si>
    <t>Barwert des Eigenkapitals zu</t>
  </si>
  <si>
    <t>Valeur actuelle des capitaux propres à</t>
  </si>
  <si>
    <t>Valore attuale di equity al</t>
  </si>
  <si>
    <t xml:space="preserve">자기자본의 현가 </t>
  </si>
  <si>
    <t>Приведенная стоимость собственного капитала по состоянию на</t>
  </si>
  <si>
    <t>每股股权价值</t>
  </si>
  <si>
    <t>每股股權價值</t>
  </si>
  <si>
    <t>Valor del patrimonio por acción</t>
  </si>
  <si>
    <t>Eigenkapital Wert pro Aktie</t>
  </si>
  <si>
    <t>Valeur de l'équité par action</t>
  </si>
  <si>
    <t>Valore di equity per azione</t>
  </si>
  <si>
    <t>주당 자기자본</t>
  </si>
  <si>
    <t>Акционерная стоимость в расчете на одну акцию</t>
  </si>
  <si>
    <t>於</t>
  </si>
  <si>
    <t>al</t>
  </si>
  <si>
    <t>zu</t>
  </si>
  <si>
    <t>à</t>
  </si>
  <si>
    <t>a</t>
  </si>
  <si>
    <t>에서</t>
  </si>
  <si>
    <t>По состоянию на:</t>
  </si>
  <si>
    <t>除</t>
  </si>
  <si>
    <t>÷</t>
  </si>
  <si>
    <t>Dividido</t>
  </si>
  <si>
    <t>Geteilt</t>
  </si>
  <si>
    <t>Divisé</t>
  </si>
  <si>
    <t>Diviso</t>
  </si>
  <si>
    <t>Разделено</t>
  </si>
  <si>
    <t>Por</t>
  </si>
  <si>
    <t>Von</t>
  </si>
  <si>
    <t>Par</t>
  </si>
  <si>
    <t>Per</t>
  </si>
  <si>
    <t>으로</t>
  </si>
  <si>
    <t xml:space="preserve">на </t>
  </si>
  <si>
    <t>股份</t>
  </si>
  <si>
    <t>発行済み株式数</t>
  </si>
  <si>
    <t>Acciones</t>
  </si>
  <si>
    <t>Aktien</t>
  </si>
  <si>
    <t>Actions</t>
  </si>
  <si>
    <t>Azioni</t>
  </si>
  <si>
    <t xml:space="preserve">주식 수 </t>
  </si>
  <si>
    <t>Акции</t>
  </si>
  <si>
    <t>自由现金流的隐含永续增长率</t>
  </si>
  <si>
    <t>自由現金流的隱含永續增長率</t>
  </si>
  <si>
    <t>Implied 永久成長率 (フリーキャッシュフロー)</t>
  </si>
  <si>
    <t>Tasa de crecimiento perpetuo implícito de Flujos de caja libres</t>
  </si>
  <si>
    <t>Implizite ewige Wachstumsrate des FCF</t>
  </si>
  <si>
    <t>Taux de croissance perpétuelle implicite du FCF</t>
  </si>
  <si>
    <t>Tasso di crescita perpetuo implicito di flusso di cassa libero</t>
  </si>
  <si>
    <t>기업잉여현금흐름의 내재영구성장률</t>
  </si>
  <si>
    <t xml:space="preserve">Предполагаемый постоянный темп роста свободного денежного потока </t>
  </si>
  <si>
    <t>每股当前价格的溢价或折价</t>
  </si>
  <si>
    <t>每股當前價格的溢價或折價</t>
  </si>
  <si>
    <t>Prima / (Descuento) al Precio Actual por Acción</t>
  </si>
  <si>
    <t>Prämie/(Rabatt) zum aktuellen Preis pro Aktie</t>
  </si>
  <si>
    <t>Prime / (remise) au prix actuel par action</t>
  </si>
  <si>
    <t>Premium/(Sconto) al prezzo corrente per azione</t>
  </si>
  <si>
    <t>현재 주가수익비율 대비 프리미엄(디스카운트)</t>
  </si>
  <si>
    <t>Премиум / (Дисконт) к текущей цене  в расчете на одну акцию</t>
  </si>
  <si>
    <t>（1）等于总债务加优先股加少数权益减现金及约当现金</t>
  </si>
  <si>
    <t>（1）等於總債務加優先股加少數權益減現金及約當現金</t>
  </si>
  <si>
    <t>(1) = 総有利子負債 +  優先株式 + 少数株主持分 - 現金同等物</t>
  </si>
  <si>
    <t>(1) Es igual a la deuda total más participación preferente más el interés minoritario, menos efectivo y equivalentes.</t>
  </si>
  <si>
    <t>(1) Entspricht der Gesamtverschuldung zuzüglich des Vorzugskapitals zuzüglich der Minderheitsanteile abzüglich des Bargelds und Zahlungsmitteläquivalente.</t>
  </si>
  <si>
    <t>(1) Correspond au total de la dette, des capitaux propres privilégiés et des intérêts minoritaires, moins la trésorerie et les équivalents</t>
  </si>
  <si>
    <t>(1) Pari il indebitamento totale più equity privilegiato più la partecipazione minoritaria meno disponibilità liquide e mezzi equivalenti.</t>
  </si>
  <si>
    <t>(1)=부채총액+ 우선주 + 비지배지분 - 현금및현금성자산</t>
  </si>
  <si>
    <t>(1) Равен сумме долга плюс привилегированный капитал плюс доля меньшинства за вычетом денежных средств и их эквивалентов.</t>
  </si>
  <si>
    <t>运营资金时间表</t>
  </si>
  <si>
    <t>運營資金時間表</t>
  </si>
  <si>
    <t>運転資本スケジュール</t>
  </si>
  <si>
    <t>Calendario de capital de trabajo</t>
  </si>
  <si>
    <t>ARBEITSKAPITALPLAN</t>
  </si>
  <si>
    <t>CALENDRIER DU FONDS DE ROULEMENT</t>
  </si>
  <si>
    <t>SCHEMA DEL CAPITALE CIRCOLANTE</t>
  </si>
  <si>
    <t>운전자본일정</t>
  </si>
  <si>
    <t>ГРАФИК ОБОРОТНОГО КАПИТАЛА</t>
  </si>
  <si>
    <t>应收账款</t>
  </si>
  <si>
    <t>應收賬款</t>
  </si>
  <si>
    <t>売掛金</t>
  </si>
  <si>
    <t>Cuentas por cobrar</t>
  </si>
  <si>
    <t>Forderungen</t>
  </si>
  <si>
    <t>Comptes d'encaissement créditeurs</t>
  </si>
  <si>
    <t>Crediti verso clienti</t>
  </si>
  <si>
    <t>매출채권</t>
  </si>
  <si>
    <t>Дебиторская задолженность</t>
  </si>
  <si>
    <t>应收账款周转天数</t>
  </si>
  <si>
    <t>應收賬款周轉天數</t>
  </si>
  <si>
    <t>売掛金回転日数</t>
  </si>
  <si>
    <t>Promedio de cobro en días</t>
  </si>
  <si>
    <t>Forderungsdauer Tage</t>
  </si>
  <si>
    <t>Jours de réception</t>
  </si>
  <si>
    <t>Giorni ricevibili</t>
  </si>
  <si>
    <t>매출채권회전일수</t>
  </si>
  <si>
    <t>Оборачиваемость дебиторской задолженности в днях</t>
  </si>
  <si>
    <t>存货</t>
  </si>
  <si>
    <t>存貨</t>
  </si>
  <si>
    <t>棚卸資産</t>
  </si>
  <si>
    <t>Inventario</t>
  </si>
  <si>
    <t>Lagerbestand</t>
  </si>
  <si>
    <t>État des stocks</t>
  </si>
  <si>
    <t>재고자산</t>
  </si>
  <si>
    <t>Запасы</t>
  </si>
  <si>
    <t>存货周转天数</t>
  </si>
  <si>
    <t>存貨周轉天數</t>
  </si>
  <si>
    <t>棚卸資産回転日数</t>
  </si>
  <si>
    <t>Periodo en días de inventario</t>
  </si>
  <si>
    <t>Lagerbestandstage</t>
  </si>
  <si>
    <t>Jours d'inventaire</t>
  </si>
  <si>
    <t>Giorni di inventario</t>
  </si>
  <si>
    <t>재고자산회전일수</t>
  </si>
  <si>
    <t xml:space="preserve">Количество дней оборачиваемости товарных запасов </t>
  </si>
  <si>
    <t>其他流动资产</t>
  </si>
  <si>
    <t>其他流動資産</t>
  </si>
  <si>
    <t>その他流動資産</t>
  </si>
  <si>
    <t>Otros activos corrientes</t>
  </si>
  <si>
    <t>Sonstige kurzfristige Vermögenswerte</t>
  </si>
  <si>
    <t>Autres actifs courants</t>
  </si>
  <si>
    <t>Altre attività correnti</t>
  </si>
  <si>
    <t>기타유동자산</t>
  </si>
  <si>
    <t>Прочие текущие активы</t>
  </si>
  <si>
    <t>流动资产总额</t>
  </si>
  <si>
    <t>流動資産總額</t>
  </si>
  <si>
    <t>流動資産合計</t>
  </si>
  <si>
    <t>Total de activos corrientes</t>
  </si>
  <si>
    <t>Kurzfristige Vermögenswerte insgesamt</t>
  </si>
  <si>
    <t>TOTAL DE L’ACTIF COURANT</t>
  </si>
  <si>
    <t>Totale attività correnti</t>
  </si>
  <si>
    <t>총 유동자산</t>
  </si>
  <si>
    <t>Всего текущих активов</t>
  </si>
  <si>
    <t>现金和短期投资</t>
  </si>
  <si>
    <t>現金和短期投資</t>
  </si>
  <si>
    <t>現金と短期投資</t>
  </si>
  <si>
    <t>Caja e inversiones a corto plazo</t>
  </si>
  <si>
    <t>Barmittel und kurzfristige Investitionen</t>
  </si>
  <si>
    <t>Liquidités et placements à court terme</t>
  </si>
  <si>
    <t>Investimenti in denaro e a breve termine</t>
  </si>
  <si>
    <t>현금 및 단기투자</t>
  </si>
  <si>
    <t>Денежные средства и краткосрочные инвестиции</t>
  </si>
  <si>
    <t>总非现金流动资产</t>
  </si>
  <si>
    <t>總非現金流動資産</t>
  </si>
  <si>
    <t>流動資産（現金以外）</t>
  </si>
  <si>
    <t>Total de activos corrientes no monetarios</t>
  </si>
  <si>
    <t>Nicht liquiditätswirksames Umlaufvermögen insgesamt</t>
  </si>
  <si>
    <t>Total des actifs courants hors trésorerie</t>
  </si>
  <si>
    <t>Totale attività correnti non monetarie</t>
  </si>
  <si>
    <t>비현금유동자산총계</t>
  </si>
  <si>
    <t>Всего неденежных оборотных активов</t>
  </si>
  <si>
    <t>应付账款</t>
  </si>
  <si>
    <t>應付賬款</t>
  </si>
  <si>
    <t>仕入債務</t>
  </si>
  <si>
    <t>Cuentas por pagar</t>
  </si>
  <si>
    <t>Verbindlichkeiten aus Lieferungen und Leistungen</t>
  </si>
  <si>
    <t>Comptes fournisseurs</t>
  </si>
  <si>
    <t>Conti debitori</t>
  </si>
  <si>
    <t>매입채무</t>
  </si>
  <si>
    <t xml:space="preserve">Кредиторская задолженность </t>
  </si>
  <si>
    <t>应付账款周转天数 </t>
  </si>
  <si>
    <t>應付賬款周轉天數</t>
  </si>
  <si>
    <t>仕入債務回転日数</t>
  </si>
  <si>
    <t>Promedio de pago en días</t>
  </si>
  <si>
    <t>Fälligkeitstage</t>
  </si>
  <si>
    <t>Jours payables</t>
  </si>
  <si>
    <t>Giorni pagabili</t>
  </si>
  <si>
    <t>매입채무회전일수</t>
  </si>
  <si>
    <t xml:space="preserve">Количество дней оборачиваемости задолженности </t>
  </si>
  <si>
    <t>应计负债</t>
  </si>
  <si>
    <t>應計負債</t>
  </si>
  <si>
    <t>未払費用</t>
  </si>
  <si>
    <t>Pasivos acumulados</t>
  </si>
  <si>
    <t>Passive Rechnungsabgrenzungsposten</t>
  </si>
  <si>
    <t>Charges à payer</t>
  </si>
  <si>
    <t>Ratei passivi</t>
  </si>
  <si>
    <t>미지급부채</t>
  </si>
  <si>
    <t>Начисленные обязательства</t>
  </si>
  <si>
    <t>其他流动负债</t>
  </si>
  <si>
    <t>其他流動負債</t>
  </si>
  <si>
    <t>その他流動負債</t>
  </si>
  <si>
    <t>Otros pasivos corrientes</t>
  </si>
  <si>
    <t>Sonstige kurzfristige Verbindlichkeiten</t>
  </si>
  <si>
    <t>Autres passifs à court terme</t>
  </si>
  <si>
    <t>Altre passività correnti</t>
  </si>
  <si>
    <t>기타유동부채</t>
  </si>
  <si>
    <t>Прочие текущие обязательства</t>
  </si>
  <si>
    <t> 流动负债总额 </t>
  </si>
  <si>
    <t> 流動負債總額 </t>
  </si>
  <si>
    <t>流動負債合計</t>
  </si>
  <si>
    <t>Total pasivos corrientes</t>
  </si>
  <si>
    <t>Kurzfristige Verbindlichkeiten insgesamt</t>
  </si>
  <si>
    <t>Total des passifs à court terme</t>
  </si>
  <si>
    <t>Totale passività correnti</t>
  </si>
  <si>
    <t>총 유동 부채</t>
  </si>
  <si>
    <t>Всего текущих обязательств</t>
  </si>
  <si>
    <t>短期借贷</t>
  </si>
  <si>
    <t>短期借貸</t>
  </si>
  <si>
    <t>短期借入金</t>
  </si>
  <si>
    <t>Préstamos a corto plazo</t>
  </si>
  <si>
    <t>Kurzfristige Darlehen</t>
  </si>
  <si>
    <t>Emprunts à court terme</t>
  </si>
  <si>
    <t>Finanziamenti a breve termine</t>
  </si>
  <si>
    <t>단기차입금</t>
  </si>
  <si>
    <t>Краткосрочные кредиты</t>
  </si>
  <si>
    <t>长期债务(当期)</t>
  </si>
  <si>
    <t>長期債務(當期)</t>
  </si>
  <si>
    <t>一年内償還予定の長期有利子負債</t>
  </si>
  <si>
    <t>Porción corriente de la deuda a largo plazo</t>
  </si>
  <si>
    <t>Derzeitiger Teil der langfristigen Schulden</t>
  </si>
  <si>
    <t>Tranche à court terme de la dette à long terme</t>
  </si>
  <si>
    <t>Parte corrente del debito a lungo termine</t>
  </si>
  <si>
    <t>유동 장기부채</t>
  </si>
  <si>
    <t>Текущая часть долгосрочной задолженности</t>
  </si>
  <si>
    <t>总非债务流动负债</t>
  </si>
  <si>
    <t>總非債務流動負債</t>
  </si>
  <si>
    <t>流動負債（有利子負債以外）</t>
  </si>
  <si>
    <t>Total de pasivos corrientes no provenientes de la deuda</t>
  </si>
  <si>
    <t>Nicht-verschuldeten kurzfristigen Verbindlichkeiten insgesamt</t>
  </si>
  <si>
    <t>Total des passifs courants non endettés</t>
  </si>
  <si>
    <t>Totale passività finanziarie non debitorie</t>
  </si>
  <si>
    <t>비유이자부채유동부채총계</t>
  </si>
  <si>
    <t>Всего недолговых текущих обязательств</t>
  </si>
  <si>
    <t>运营资金的（增长）/减少</t>
  </si>
  <si>
    <t>運營資金的（增長）/減少</t>
  </si>
  <si>
    <t>運転資本(増)減</t>
  </si>
  <si>
    <t>(Aumento) / Disminución del capital de trabajo</t>
  </si>
  <si>
    <t>(Erhöhung)/Reduzierung des Arbeitskapitals</t>
  </si>
  <si>
    <t>(augmentation) / diminution du fonds de roulement</t>
  </si>
  <si>
    <t>(Aumento)/Diminuzione del capitale circolante</t>
  </si>
  <si>
    <t>운전자본증감</t>
  </si>
  <si>
    <t>(Увеличение) / Уменьшение оборотного капитала</t>
  </si>
  <si>
    <t>市场年度回报率 (Rm) - 最近10年</t>
  </si>
  <si>
    <t>市場年度回報率 (Rm) - 最近10年</t>
  </si>
  <si>
    <t>マーケット・リターン (Rm) - 過去10年平均</t>
  </si>
  <si>
    <t>Retorno de Mercado (Rm) -Anual para los últimos diez años</t>
  </si>
  <si>
    <t>Marktrendite (Rm) - Jährlich für die letzten 10 Jahre</t>
  </si>
  <si>
    <t>Rendement du marché (Rm) - Annuel pour les dernières 10 années</t>
  </si>
  <si>
    <t>Rendimento di mercato (Rm) - Annuale per gli ultimi 10 anni</t>
  </si>
  <si>
    <t>시장수익률 (RM) - 지난 10년 연간수익률</t>
  </si>
  <si>
    <t xml:space="preserve">Рыночная доходность (Rm) - годовая за последние 10 лет </t>
  </si>
  <si>
    <t>债务/权益</t>
  </si>
  <si>
    <t>債務/權益</t>
  </si>
  <si>
    <t>有利子負債/株主資本</t>
  </si>
  <si>
    <t>D/C</t>
  </si>
  <si>
    <t>S/E</t>
  </si>
  <si>
    <t>优先股/权益</t>
  </si>
  <si>
    <t>優先股/權益</t>
  </si>
  <si>
    <t>優先株/株主資本</t>
  </si>
  <si>
    <t>P/C</t>
  </si>
  <si>
    <t>V/E</t>
  </si>
  <si>
    <t>债务成本 (Rd) - 最近发行的5个债券平均值</t>
  </si>
  <si>
    <t>債務成本 (Rd) - 最近發行的5個債券平均值</t>
  </si>
  <si>
    <t>債務コスト (Rd) - 直近発行5債券の平均</t>
  </si>
  <si>
    <t>Costo de Deuda (Rd) - Promedio de los últimos 5 bonos emitidos</t>
  </si>
  <si>
    <t>Fremdkapitalkosten (Rd) - Durchschnitt der letzten 5 ausgegebenen Anleihen</t>
  </si>
  <si>
    <t>Coût de la dette (Rd) - Moyenne des dernières 5 obligations émises</t>
  </si>
  <si>
    <t>Costo del debito (Rd) - Media delle ultime 5 obbligazioni emesse</t>
  </si>
  <si>
    <t>부채 비용 (Rd) - 최근 발행된 5개의 채권 평균 값</t>
  </si>
  <si>
    <t xml:space="preserve">Стоимость долга (Rd) - средний показатель 5 последних эмиссий облигаций </t>
  </si>
  <si>
    <t>优先股成本率 (Rp)</t>
  </si>
  <si>
    <t>優先股成本率 (Rp)</t>
  </si>
  <si>
    <t>優先株コスト (Rp)</t>
  </si>
  <si>
    <t>Costo de Preferente (Rp)</t>
  </si>
  <si>
    <t>Kosten Vorzug (Rp)</t>
  </si>
  <si>
    <t>Coût des actions préférentielles (Rp)</t>
  </si>
  <si>
    <t>Costo del privilegiato (Rp)</t>
  </si>
  <si>
    <t>우선주비용 (Rp)</t>
  </si>
  <si>
    <t>Стоимость привилегированного акционерного капитала (Rp)</t>
  </si>
  <si>
    <t>税率</t>
  </si>
  <si>
    <t>稅率</t>
  </si>
  <si>
    <t>Tasa impositiva</t>
  </si>
  <si>
    <t>Steuersatz</t>
  </si>
  <si>
    <t>Taux d'impôt</t>
  </si>
  <si>
    <t>Aliquota fiscale</t>
  </si>
  <si>
    <t>세율</t>
  </si>
  <si>
    <t>终值现值 （1）</t>
  </si>
  <si>
    <t>終值現值 （1）</t>
  </si>
  <si>
    <t>残存価値の現在価値(1)</t>
  </si>
  <si>
    <t>Valor presente del valor terminal(1)</t>
  </si>
  <si>
    <t>Barwert des Endwertes (1)</t>
  </si>
  <si>
    <t>Valeur actuelle de la valeur finale (1)</t>
  </si>
  <si>
    <t>Valorea attuale del valore finale (1)</t>
  </si>
  <si>
    <t xml:space="preserve">종료가치(Terminal Value)의 현가 </t>
  </si>
  <si>
    <t>Приведенная стоимость (PV) терминальной стоимости (1)</t>
  </si>
  <si>
    <t>财政年度结束</t>
  </si>
  <si>
    <t>財政年度結束</t>
  </si>
  <si>
    <t>会計年度期末(予測値)</t>
  </si>
  <si>
    <t>Ejercicio fiscal terminado</t>
  </si>
  <si>
    <t>Ende des Geschäftsjahres</t>
  </si>
  <si>
    <t>Exercice clos le</t>
  </si>
  <si>
    <t>Anno fiscale chiuso</t>
  </si>
  <si>
    <t>회계연도 종료일</t>
  </si>
  <si>
    <t>Конец отчетного года</t>
  </si>
  <si>
    <t>说明：</t>
  </si>
  <si>
    <t>說明：</t>
  </si>
  <si>
    <t>使用説明:</t>
  </si>
  <si>
    <t>Instrucciones:</t>
  </si>
  <si>
    <t>Anleitung:</t>
  </si>
  <si>
    <t>Instructions :</t>
  </si>
  <si>
    <t>Istruzioni:</t>
  </si>
  <si>
    <t>설명:</t>
  </si>
  <si>
    <t>Инструкции:</t>
  </si>
  <si>
    <t>联系方式：</t>
  </si>
  <si>
    <t>聯絡方式：</t>
  </si>
  <si>
    <t>連絡先:</t>
  </si>
  <si>
    <t>Contacto:</t>
  </si>
  <si>
    <t>Kontakt:</t>
  </si>
  <si>
    <t>Contact :</t>
  </si>
  <si>
    <t>Contatto:</t>
  </si>
  <si>
    <t>연락처:</t>
  </si>
  <si>
    <t>Контактные данные:</t>
  </si>
  <si>
    <t>2）打开模板时启用宏。</t>
  </si>
  <si>
    <t>2）打開模板時啟用宏。</t>
  </si>
  <si>
    <t>2）テンプレートを開くときにマクロを有効にします。</t>
  </si>
  <si>
    <t>2) Habilitar macros al abrir la plantilla.</t>
  </si>
  <si>
    <t>2) Aktivieren Sie Makros beim Öffnen der Vorlage.</t>
  </si>
  <si>
    <t>2) Activer les macros lors de l’ouverture du modèle.</t>
  </si>
  <si>
    <t>2) Abilita le macro durante l'apertura del modello.</t>
  </si>
  <si>
    <t>2) 템플릿을 여는 동안 매크로를 활성화하십시오.</t>
  </si>
  <si>
    <t>2) Включить макросы при открытии шаблона.</t>
  </si>
  <si>
    <t>电话：</t>
  </si>
  <si>
    <t>電話:</t>
  </si>
  <si>
    <t>電話番号：</t>
  </si>
  <si>
    <t>Teléfono:</t>
  </si>
  <si>
    <t>Telefon:</t>
  </si>
  <si>
    <t>Téléphone :</t>
  </si>
  <si>
    <t>Telefono:</t>
  </si>
  <si>
    <t>전화번호:</t>
  </si>
  <si>
    <t>тел.:</t>
  </si>
  <si>
    <t>电子邮箱：</t>
  </si>
  <si>
    <t>電子郵件：</t>
  </si>
  <si>
    <t>メールアドレス:</t>
  </si>
  <si>
    <t>correo electrónico:</t>
  </si>
  <si>
    <t>E-Mail:</t>
  </si>
  <si>
    <t>Adresse e-mail :</t>
  </si>
  <si>
    <t>e-mail:</t>
  </si>
  <si>
    <t>이메일:</t>
  </si>
  <si>
    <t>Электронная почта:</t>
  </si>
  <si>
    <t>放弃:</t>
  </si>
  <si>
    <t>放棄:</t>
  </si>
  <si>
    <t>免責事項:</t>
  </si>
  <si>
    <t>Renuncia:</t>
  </si>
  <si>
    <t>Haftungsausschluss:</t>
  </si>
  <si>
    <t>Avertissement:</t>
  </si>
  <si>
    <t>disconoscimento:</t>
  </si>
  <si>
    <t>기권:</t>
  </si>
  <si>
    <t>отказ:</t>
  </si>
  <si>
    <t>货币</t>
  </si>
  <si>
    <t>貨幣</t>
  </si>
  <si>
    <t>通貨</t>
  </si>
  <si>
    <t>Moneda</t>
  </si>
  <si>
    <t>Währung</t>
  </si>
  <si>
    <t>Devise</t>
  </si>
  <si>
    <t>Valuta</t>
  </si>
  <si>
    <t>통화</t>
  </si>
  <si>
    <t>Валюта</t>
  </si>
  <si>
    <t>幅度</t>
  </si>
  <si>
    <t>規模</t>
  </si>
  <si>
    <t>Escala</t>
  </si>
  <si>
    <t>Größe</t>
  </si>
  <si>
    <t>Grandezza</t>
  </si>
  <si>
    <t>단위</t>
  </si>
  <si>
    <t>Размерность</t>
  </si>
  <si>
    <t>总债务</t>
  </si>
  <si>
    <t>總債務</t>
  </si>
  <si>
    <t>有利子負債合計</t>
  </si>
  <si>
    <t>Deuda total</t>
  </si>
  <si>
    <t>Gesamtverschuldung</t>
  </si>
  <si>
    <t>Dette totale</t>
  </si>
  <si>
    <t>Indebitamento totale</t>
  </si>
  <si>
    <t>총 부채</t>
  </si>
  <si>
    <t>Общая задолженность</t>
  </si>
  <si>
    <t>货币换算方法</t>
  </si>
  <si>
    <t>貨幣轉換方法</t>
  </si>
  <si>
    <t>通貨換算方法</t>
  </si>
  <si>
    <t>Método de conversión de monedas</t>
  </si>
  <si>
    <t>Währungsumrechnungsmethode</t>
  </si>
  <si>
    <t>Méthode de conversion des devises</t>
  </si>
  <si>
    <t>Metodo di conversione della valuta</t>
  </si>
  <si>
    <t>통화 환율 적용률</t>
  </si>
  <si>
    <t>Метод конвертации валют</t>
  </si>
  <si>
    <t>非正常会计周期逻辑</t>
  </si>
  <si>
    <t>非正常財務期間邏輯</t>
  </si>
  <si>
    <t>臨時会計期間ロジック</t>
  </si>
  <si>
    <t>Lógica para un ejercicio dado</t>
  </si>
  <si>
    <t>Logik zu unüblichem Geschäftsjahr</t>
  </si>
  <si>
    <t>Logique de la période d'exercice spéciale</t>
  </si>
  <si>
    <t>Logica periodo di imposta speciale</t>
  </si>
  <si>
    <t>특이 회계기간 처리</t>
  </si>
  <si>
    <t>Выгодная логика отчетного периода</t>
  </si>
  <si>
    <t>公司名称</t>
  </si>
  <si>
    <t>公司名稱</t>
  </si>
  <si>
    <t>企業名</t>
  </si>
  <si>
    <t>Nombre</t>
  </si>
  <si>
    <t>Dénomination</t>
  </si>
  <si>
    <t>Nome</t>
  </si>
  <si>
    <t>회사명</t>
  </si>
  <si>
    <t>Наименование</t>
  </si>
  <si>
    <t>澳大利亚</t>
  </si>
  <si>
    <t>澳大利亞</t>
  </si>
  <si>
    <t>オーストラリア</t>
  </si>
  <si>
    <t>Australien</t>
  </si>
  <si>
    <t>Australie</t>
  </si>
  <si>
    <t>호주</t>
  </si>
  <si>
    <t>Австралия</t>
  </si>
  <si>
    <t>奥地利</t>
  </si>
  <si>
    <t>奧地利</t>
  </si>
  <si>
    <t>オーストリア</t>
  </si>
  <si>
    <t>Österreich</t>
  </si>
  <si>
    <t>Autriche</t>
  </si>
  <si>
    <t>오스트리아</t>
  </si>
  <si>
    <t>Австрия</t>
  </si>
  <si>
    <t>比利时</t>
  </si>
  <si>
    <t>比利時</t>
  </si>
  <si>
    <t>ベルギー</t>
  </si>
  <si>
    <t>Bélgica</t>
  </si>
  <si>
    <t>Belgien</t>
  </si>
  <si>
    <t>Belgique</t>
  </si>
  <si>
    <t>Belgio</t>
  </si>
  <si>
    <t>벨기에</t>
  </si>
  <si>
    <t>Бельгия</t>
  </si>
  <si>
    <t>巴西</t>
  </si>
  <si>
    <t>ブラジル</t>
  </si>
  <si>
    <t>Brasil</t>
  </si>
  <si>
    <t>Brasilien</t>
  </si>
  <si>
    <t>Brésil</t>
  </si>
  <si>
    <t>Brasile</t>
  </si>
  <si>
    <t>브라질</t>
  </si>
  <si>
    <t>Бразилия</t>
  </si>
  <si>
    <t>保加利亚</t>
  </si>
  <si>
    <t>保加利亞</t>
  </si>
  <si>
    <t>ブルガリア</t>
  </si>
  <si>
    <t>Bulgarien</t>
  </si>
  <si>
    <t>Bulgarie</t>
  </si>
  <si>
    <t>불가리아</t>
  </si>
  <si>
    <t>Болгария</t>
  </si>
  <si>
    <t>加拿大</t>
  </si>
  <si>
    <t>カナダ</t>
  </si>
  <si>
    <t>Canadá</t>
  </si>
  <si>
    <t>Kanada</t>
  </si>
  <si>
    <t>캐나다</t>
  </si>
  <si>
    <t>Канада</t>
  </si>
  <si>
    <t>中国</t>
  </si>
  <si>
    <t>中國</t>
  </si>
  <si>
    <t>Chine</t>
  </si>
  <si>
    <t>Cina</t>
  </si>
  <si>
    <t>중국</t>
  </si>
  <si>
    <t>Китай</t>
  </si>
  <si>
    <t>捷克</t>
  </si>
  <si>
    <t>捷克共和國</t>
  </si>
  <si>
    <t>チェコ共和国</t>
  </si>
  <si>
    <t>Republica checa</t>
  </si>
  <si>
    <t>Tschechische Republik</t>
  </si>
  <si>
    <t>République tchèque</t>
  </si>
  <si>
    <t>Repubblica Ceca</t>
  </si>
  <si>
    <t>체코 공화국</t>
  </si>
  <si>
    <t>Чешская Республика</t>
  </si>
  <si>
    <t>丹麦</t>
  </si>
  <si>
    <t>丹麥</t>
  </si>
  <si>
    <t>デンマーク</t>
  </si>
  <si>
    <t>Dinamarca</t>
  </si>
  <si>
    <t>Dänemark</t>
  </si>
  <si>
    <t>Danemark</t>
  </si>
  <si>
    <t>Danimarca</t>
  </si>
  <si>
    <t>덴마크</t>
  </si>
  <si>
    <t>Дания</t>
  </si>
  <si>
    <t>欧元区</t>
  </si>
  <si>
    <t>歐元區</t>
  </si>
  <si>
    <t>ユーロゾーン</t>
  </si>
  <si>
    <t>Zona euro</t>
  </si>
  <si>
    <t>Zone Euro</t>
  </si>
  <si>
    <t>EuroZone</t>
  </si>
  <si>
    <t>유로존</t>
  </si>
  <si>
    <t>Еврозона</t>
  </si>
  <si>
    <t>芬兰</t>
  </si>
  <si>
    <t>芬蘭</t>
  </si>
  <si>
    <t>フィンランド</t>
  </si>
  <si>
    <t>Finlandia</t>
  </si>
  <si>
    <t>Finnland</t>
  </si>
  <si>
    <t>Finlande</t>
  </si>
  <si>
    <t>핀란드</t>
  </si>
  <si>
    <t>Финляндия</t>
  </si>
  <si>
    <t>法国</t>
  </si>
  <si>
    <t>法國</t>
  </si>
  <si>
    <t>フランス</t>
  </si>
  <si>
    <t>Francia</t>
  </si>
  <si>
    <t>Frankreich</t>
  </si>
  <si>
    <t>프랑스</t>
  </si>
  <si>
    <t>Франция</t>
  </si>
  <si>
    <t>德国</t>
  </si>
  <si>
    <t>德國</t>
  </si>
  <si>
    <t>ドイツ</t>
  </si>
  <si>
    <t>Alemania</t>
  </si>
  <si>
    <t>Deutschland</t>
  </si>
  <si>
    <t>Allemagne</t>
  </si>
  <si>
    <t>Germania</t>
  </si>
  <si>
    <t>독일</t>
  </si>
  <si>
    <t>Германия</t>
  </si>
  <si>
    <t>希腊</t>
  </si>
  <si>
    <t>希臘</t>
  </si>
  <si>
    <t> ギリシャ</t>
  </si>
  <si>
    <t>Grecia</t>
  </si>
  <si>
    <t>Griechenland</t>
  </si>
  <si>
    <t>Grèce</t>
  </si>
  <si>
    <t>그리스</t>
  </si>
  <si>
    <t>Греция</t>
  </si>
  <si>
    <t>香港</t>
  </si>
  <si>
    <t>Hongkong</t>
  </si>
  <si>
    <t>홍콩</t>
  </si>
  <si>
    <t>Гонконг</t>
  </si>
  <si>
    <t>匈牙利</t>
  </si>
  <si>
    <t>ハンガリー</t>
  </si>
  <si>
    <t>Hungría</t>
  </si>
  <si>
    <t>Ungarn</t>
  </si>
  <si>
    <t>Hongrie</t>
  </si>
  <si>
    <t>Ungheria</t>
  </si>
  <si>
    <t>헝가리</t>
  </si>
  <si>
    <t>Венгрия</t>
  </si>
  <si>
    <t>印度</t>
  </si>
  <si>
    <t>インド</t>
  </si>
  <si>
    <t>Indien</t>
  </si>
  <si>
    <t>Inde</t>
  </si>
  <si>
    <t>인도</t>
  </si>
  <si>
    <t>Индия</t>
  </si>
  <si>
    <t>印尼</t>
  </si>
  <si>
    <t>インドネシア</t>
  </si>
  <si>
    <t>Indonesien</t>
  </si>
  <si>
    <t>Indonésie</t>
  </si>
  <si>
    <t>인도네시아 공화국</t>
  </si>
  <si>
    <t>Индонезия</t>
  </si>
  <si>
    <t>爱尔兰</t>
  </si>
  <si>
    <t>愛爾蘭</t>
  </si>
  <si>
    <t>アイルランド</t>
  </si>
  <si>
    <t>Irlanda</t>
  </si>
  <si>
    <t>Irland</t>
  </si>
  <si>
    <t>Irlande</t>
  </si>
  <si>
    <t>아일랜드</t>
  </si>
  <si>
    <t>Ирландия</t>
  </si>
  <si>
    <t>以色列</t>
  </si>
  <si>
    <t>イスラエル</t>
  </si>
  <si>
    <t>Israêl</t>
  </si>
  <si>
    <t>Israele</t>
  </si>
  <si>
    <t>이스라엘</t>
  </si>
  <si>
    <t>Израиль</t>
  </si>
  <si>
    <t>意大利</t>
  </si>
  <si>
    <t>イタリア</t>
  </si>
  <si>
    <t>Italia</t>
  </si>
  <si>
    <t>Italien</t>
  </si>
  <si>
    <t>Italie</t>
  </si>
  <si>
    <t>이탈리아</t>
  </si>
  <si>
    <t>Италия</t>
  </si>
  <si>
    <t>日本</t>
  </si>
  <si>
    <t>Japon</t>
  </si>
  <si>
    <t>Giappone</t>
  </si>
  <si>
    <t>일본</t>
  </si>
  <si>
    <t>Япония</t>
  </si>
  <si>
    <t>肯尼亚</t>
  </si>
  <si>
    <t>肯亞</t>
  </si>
  <si>
    <t>ケニア</t>
  </si>
  <si>
    <t>Kenia</t>
  </si>
  <si>
    <t>케냐</t>
  </si>
  <si>
    <t>Кения</t>
  </si>
  <si>
    <t>马来西亚</t>
  </si>
  <si>
    <t>馬來西亞</t>
  </si>
  <si>
    <t>マレーシア</t>
  </si>
  <si>
    <t>Malasia</t>
  </si>
  <si>
    <t>Malaisie</t>
  </si>
  <si>
    <t>말레이시아</t>
  </si>
  <si>
    <t>Малайзия</t>
  </si>
  <si>
    <t>墨西哥</t>
  </si>
  <si>
    <t>メキシコ</t>
  </si>
  <si>
    <t>México</t>
  </si>
  <si>
    <t>Mexiko</t>
  </si>
  <si>
    <t>Messico</t>
  </si>
  <si>
    <t>멕시코</t>
  </si>
  <si>
    <t>Мексика</t>
  </si>
  <si>
    <t>荷兰</t>
  </si>
  <si>
    <t>荷蘭</t>
  </si>
  <si>
    <t>オランダ</t>
  </si>
  <si>
    <t>Holanda</t>
  </si>
  <si>
    <t>Niederlande</t>
  </si>
  <si>
    <t>Pays-Bas</t>
  </si>
  <si>
    <t>Paesi Bassi</t>
  </si>
  <si>
    <t>네덜란드</t>
  </si>
  <si>
    <t>Нидерланды</t>
  </si>
  <si>
    <t>新西兰</t>
  </si>
  <si>
    <t>紐西蘭</t>
  </si>
  <si>
    <t>ニュージーランド</t>
  </si>
  <si>
    <t>Nueva Zelanda</t>
  </si>
  <si>
    <t>Neuseeland</t>
  </si>
  <si>
    <t>Nouvelle-Zélande</t>
  </si>
  <si>
    <t>Nuova Zelanda</t>
  </si>
  <si>
    <t>뉴질랜드</t>
  </si>
  <si>
    <t>Новая Зеландия</t>
  </si>
  <si>
    <t>挪威</t>
  </si>
  <si>
    <t>ノルウェー</t>
  </si>
  <si>
    <t>Noruega</t>
  </si>
  <si>
    <t>Norwegen</t>
  </si>
  <si>
    <t>Norvège</t>
  </si>
  <si>
    <t>Norvegia</t>
  </si>
  <si>
    <t>노르웨이</t>
  </si>
  <si>
    <t>Норвегия</t>
  </si>
  <si>
    <t>菲律宾</t>
  </si>
  <si>
    <t>菲律賓</t>
  </si>
  <si>
    <t>フィリピン</t>
  </si>
  <si>
    <t>Filipinas</t>
  </si>
  <si>
    <t>Philippinen</t>
  </si>
  <si>
    <t>Filippine</t>
  </si>
  <si>
    <t>필리핀</t>
  </si>
  <si>
    <t>Филиппины</t>
  </si>
  <si>
    <t>波兰</t>
  </si>
  <si>
    <t>波蘭</t>
  </si>
  <si>
    <t>ポーランド</t>
  </si>
  <si>
    <t>Polonia</t>
  </si>
  <si>
    <t>Polen</t>
  </si>
  <si>
    <t>Pologne</t>
  </si>
  <si>
    <t>폴란드</t>
  </si>
  <si>
    <t>Польша</t>
  </si>
  <si>
    <t>葡萄牙</t>
  </si>
  <si>
    <t>ポルトガル</t>
  </si>
  <si>
    <t>PT</t>
  </si>
  <si>
    <t>Portogallo</t>
  </si>
  <si>
    <t>포르투갈</t>
  </si>
  <si>
    <t>Португалия</t>
  </si>
  <si>
    <t>俄罗斯</t>
  </si>
  <si>
    <t>俄羅斯</t>
  </si>
  <si>
    <t>ロシア</t>
  </si>
  <si>
    <t>Rusia</t>
  </si>
  <si>
    <t>Russland</t>
  </si>
  <si>
    <t>Russie</t>
  </si>
  <si>
    <t>러시아</t>
  </si>
  <si>
    <t>Россия</t>
  </si>
  <si>
    <t>新加坡</t>
  </si>
  <si>
    <t>シンガポール</t>
  </si>
  <si>
    <t>Singapur</t>
  </si>
  <si>
    <t>Singapour</t>
  </si>
  <si>
    <t>싱가포르</t>
  </si>
  <si>
    <t>Сингапур</t>
  </si>
  <si>
    <t>斯洛伐克</t>
  </si>
  <si>
    <t>スロバキア</t>
  </si>
  <si>
    <t>Eslovaquia</t>
  </si>
  <si>
    <t>Slowakei</t>
  </si>
  <si>
    <t>Slovaquie</t>
  </si>
  <si>
    <t>Slovacchia</t>
  </si>
  <si>
    <t>슬로바키아</t>
  </si>
  <si>
    <t>Словакия</t>
  </si>
  <si>
    <t>南非</t>
  </si>
  <si>
    <t>南アフリカ</t>
  </si>
  <si>
    <t>Sudáfrica</t>
  </si>
  <si>
    <t>Südafrika</t>
  </si>
  <si>
    <t>Afrique du Sud</t>
  </si>
  <si>
    <t>Sud Africa</t>
  </si>
  <si>
    <t>남아프리카 공화국</t>
  </si>
  <si>
    <t>Южная Африка</t>
  </si>
  <si>
    <t>韩国</t>
  </si>
  <si>
    <t>韓國</t>
  </si>
  <si>
    <t>韓国</t>
  </si>
  <si>
    <t>Corea del Sur</t>
  </si>
  <si>
    <t>Südkorea</t>
  </si>
  <si>
    <t>Corée du Sud</t>
  </si>
  <si>
    <t>Corea del Sud</t>
  </si>
  <si>
    <t>한국</t>
  </si>
  <si>
    <t>Южная Корея</t>
  </si>
  <si>
    <t>西班牙</t>
  </si>
  <si>
    <t>スペイン</t>
  </si>
  <si>
    <t>España</t>
  </si>
  <si>
    <t>Spanien</t>
  </si>
  <si>
    <t>Espagne</t>
  </si>
  <si>
    <t>Spagna</t>
  </si>
  <si>
    <t>스페인</t>
  </si>
  <si>
    <t>Испания</t>
  </si>
  <si>
    <t>瑞典</t>
  </si>
  <si>
    <t>スウェーデン</t>
  </si>
  <si>
    <t>Suecia</t>
  </si>
  <si>
    <t>Schweden</t>
  </si>
  <si>
    <t>Suède</t>
  </si>
  <si>
    <t>Svezia</t>
  </si>
  <si>
    <t>스웨덴</t>
  </si>
  <si>
    <t>Швеция</t>
  </si>
  <si>
    <t>瑞士</t>
  </si>
  <si>
    <t>スイス</t>
  </si>
  <si>
    <t>Suiza</t>
  </si>
  <si>
    <t>Schweiz</t>
  </si>
  <si>
    <t>Suisse</t>
  </si>
  <si>
    <t>Svizzera</t>
  </si>
  <si>
    <t>스위스</t>
  </si>
  <si>
    <t>Швейцария</t>
  </si>
  <si>
    <t>中国台湾</t>
  </si>
  <si>
    <t>中國台灣</t>
  </si>
  <si>
    <t>台湾</t>
  </si>
  <si>
    <t>Taiwán</t>
  </si>
  <si>
    <t>대만</t>
  </si>
  <si>
    <t>Тайвань</t>
  </si>
  <si>
    <t>泰国</t>
  </si>
  <si>
    <t>泰國</t>
  </si>
  <si>
    <t>タイ</t>
  </si>
  <si>
    <t>Tailandia</t>
  </si>
  <si>
    <t>Thaïlande</t>
  </si>
  <si>
    <t>태국</t>
  </si>
  <si>
    <t>Таиланд</t>
  </si>
  <si>
    <t>土耳其</t>
  </si>
  <si>
    <t>土庫曼</t>
  </si>
  <si>
    <t>トルコ国</t>
  </si>
  <si>
    <t>Turquía</t>
  </si>
  <si>
    <t>Türkei</t>
  </si>
  <si>
    <t>Turquie</t>
  </si>
  <si>
    <t>Turchia</t>
  </si>
  <si>
    <t>투르크메니스탄</t>
  </si>
  <si>
    <t>Турция</t>
  </si>
  <si>
    <t>英国</t>
  </si>
  <si>
    <t>英國</t>
  </si>
  <si>
    <t>イギリス</t>
  </si>
  <si>
    <t>Reino Unido</t>
  </si>
  <si>
    <t>Großbritannien</t>
  </si>
  <si>
    <t>Royaume-Uni</t>
  </si>
  <si>
    <t>Regno Unito</t>
  </si>
  <si>
    <t>영국</t>
  </si>
  <si>
    <t>Соединенное Королевство</t>
  </si>
  <si>
    <t>美国</t>
  </si>
  <si>
    <t>美國</t>
  </si>
  <si>
    <t>アメリカ合衆国</t>
  </si>
  <si>
    <t>Estados Unidos</t>
  </si>
  <si>
    <t>Vereinigte Staaten von Amerika</t>
  </si>
  <si>
    <t>Stati Uniti d'America</t>
  </si>
  <si>
    <t>미국</t>
  </si>
  <si>
    <t>Соединенные Штаты Америки</t>
  </si>
  <si>
    <t>越南</t>
  </si>
  <si>
    <t>ベトナム</t>
  </si>
  <si>
    <t>베트남</t>
  </si>
  <si>
    <t>Вьетнам</t>
  </si>
  <si>
    <t>编号</t>
  </si>
  <si>
    <t>編號</t>
  </si>
  <si>
    <t>番号</t>
  </si>
  <si>
    <t>N.º</t>
  </si>
  <si>
    <t>Nr.</t>
  </si>
  <si>
    <t>N°</t>
  </si>
  <si>
    <t>N.</t>
  </si>
  <si>
    <t>번호</t>
  </si>
  <si>
    <t>№</t>
  </si>
  <si>
    <t>一月</t>
  </si>
  <si>
    <t>1月</t>
  </si>
  <si>
    <t>Ene</t>
  </si>
  <si>
    <t>Janv.</t>
  </si>
  <si>
    <t>Gen</t>
  </si>
  <si>
    <t>1월</t>
  </si>
  <si>
    <t>Янв.</t>
  </si>
  <si>
    <t>二月</t>
  </si>
  <si>
    <t>2月</t>
  </si>
  <si>
    <t>Févr.</t>
  </si>
  <si>
    <t>2월</t>
  </si>
  <si>
    <t>Фев.</t>
  </si>
  <si>
    <t>三月</t>
  </si>
  <si>
    <t>3月</t>
  </si>
  <si>
    <t>Mrz</t>
  </si>
  <si>
    <t>Mars</t>
  </si>
  <si>
    <t>3월</t>
  </si>
  <si>
    <t>Мар.</t>
  </si>
  <si>
    <t>四月</t>
  </si>
  <si>
    <t>4月</t>
  </si>
  <si>
    <t>Abr</t>
  </si>
  <si>
    <t>Avr.</t>
  </si>
  <si>
    <t>4월</t>
  </si>
  <si>
    <t>Апр.</t>
  </si>
  <si>
    <t>五月</t>
  </si>
  <si>
    <t>5月</t>
  </si>
  <si>
    <t>Mayo</t>
  </si>
  <si>
    <t>Mai</t>
  </si>
  <si>
    <t>maggio</t>
  </si>
  <si>
    <t>5월</t>
  </si>
  <si>
    <t>май</t>
  </si>
  <si>
    <t>六月</t>
  </si>
  <si>
    <t>6月</t>
  </si>
  <si>
    <t>Juni</t>
  </si>
  <si>
    <t>Juin</t>
  </si>
  <si>
    <t>Giu</t>
  </si>
  <si>
    <t>6월</t>
  </si>
  <si>
    <t>Июн.</t>
  </si>
  <si>
    <t>七月</t>
  </si>
  <si>
    <t>7月</t>
  </si>
  <si>
    <t>Juli</t>
  </si>
  <si>
    <t>Juillet</t>
  </si>
  <si>
    <t>Lug</t>
  </si>
  <si>
    <t>7월</t>
  </si>
  <si>
    <t>Июл.</t>
  </si>
  <si>
    <t>八月</t>
  </si>
  <si>
    <t>8月</t>
  </si>
  <si>
    <t>Ago</t>
  </si>
  <si>
    <t>Août</t>
  </si>
  <si>
    <t>8월</t>
  </si>
  <si>
    <t>Авг.</t>
  </si>
  <si>
    <t>九月</t>
  </si>
  <si>
    <t>9月</t>
  </si>
  <si>
    <t>Sept.</t>
  </si>
  <si>
    <t>Sett</t>
  </si>
  <si>
    <t>9월</t>
  </si>
  <si>
    <t>Сен.</t>
  </si>
  <si>
    <t>十月</t>
  </si>
  <si>
    <t>10月</t>
  </si>
  <si>
    <t>Okt</t>
  </si>
  <si>
    <t>Oct.</t>
  </si>
  <si>
    <t>Ott</t>
  </si>
  <si>
    <t>10월</t>
  </si>
  <si>
    <t>Окт.</t>
  </si>
  <si>
    <t>十一月</t>
  </si>
  <si>
    <t>11月</t>
  </si>
  <si>
    <t>Nov.</t>
  </si>
  <si>
    <t>11월</t>
  </si>
  <si>
    <t>Ноя.</t>
  </si>
  <si>
    <t>十二月</t>
  </si>
  <si>
    <t>12月</t>
  </si>
  <si>
    <t>Dic</t>
  </si>
  <si>
    <t>Dez</t>
  </si>
  <si>
    <t>Déc.</t>
  </si>
  <si>
    <t>12월</t>
  </si>
  <si>
    <t>Дек.</t>
  </si>
  <si>
    <t>平均</t>
  </si>
  <si>
    <t>Promedio</t>
  </si>
  <si>
    <t>Durchschnittlich</t>
  </si>
  <si>
    <t>Moyenne</t>
  </si>
  <si>
    <t>Media</t>
  </si>
  <si>
    <t>평균</t>
  </si>
  <si>
    <t>Среднее значение</t>
  </si>
  <si>
    <t>市值</t>
  </si>
  <si>
    <t>時価総額</t>
  </si>
  <si>
    <t>Capitalización Bursátil</t>
  </si>
  <si>
    <t>Marktkapitalisierung</t>
  </si>
  <si>
    <t>Capitalisation boursière</t>
  </si>
  <si>
    <t>Capitalizzazione di mercato</t>
  </si>
  <si>
    <t>시가총액</t>
  </si>
  <si>
    <t>Рыночная капитализация</t>
  </si>
  <si>
    <t>有效税率 (%)</t>
  </si>
  <si>
    <t>有效稅率 (%)</t>
  </si>
  <si>
    <t>実効税率 (%)</t>
  </si>
  <si>
    <t>Tasa Efectiva de Impuestos (%)</t>
  </si>
  <si>
    <t>Effektivsteuersatz (%)</t>
  </si>
  <si>
    <t>Taux d'imposition effectif (%)</t>
  </si>
  <si>
    <t>Aliquota fiscale effettiva (%)</t>
  </si>
  <si>
    <t>실효세율(%)</t>
  </si>
  <si>
    <t>Эффективная налоговая ставка (%)</t>
  </si>
  <si>
    <t>财务报告的货币代码</t>
  </si>
  <si>
    <t>財務報告的貨幣代碼</t>
  </si>
  <si>
    <t>財務報告通貨コード</t>
  </si>
  <si>
    <t>Código de moneda reportado de finanzas</t>
  </si>
  <si>
    <t>Währungscode für gemeldete Finanzdaten</t>
  </si>
  <si>
    <t>Code de la monnaie déclarée</t>
  </si>
  <si>
    <t>Dati finanziari indicati Codice valuta</t>
  </si>
  <si>
    <t>재무보고 된 통화 코드</t>
  </si>
  <si>
    <t>Финансовый отчет Код валюты</t>
  </si>
  <si>
    <t>Nombre de la institución</t>
  </si>
  <si>
    <t>Name der Institution</t>
  </si>
  <si>
    <t>Nom de l'institution</t>
  </si>
  <si>
    <t>Nome dell'ente</t>
  </si>
  <si>
    <t xml:space="preserve">기관 명칭 </t>
  </si>
  <si>
    <t>Наименование организации</t>
  </si>
  <si>
    <t>国家名称</t>
  </si>
  <si>
    <t>國家名稱</t>
  </si>
  <si>
    <t>国名</t>
  </si>
  <si>
    <t>Nombre del País</t>
  </si>
  <si>
    <t>Name des Landes</t>
  </si>
  <si>
    <t>Nom du pays</t>
  </si>
  <si>
    <t>Nome del paese</t>
  </si>
  <si>
    <t>국가명</t>
  </si>
  <si>
    <t>Название Страны</t>
  </si>
  <si>
    <t>少数权益</t>
  </si>
  <si>
    <t>少數權益</t>
  </si>
  <si>
    <t>少数株主持分</t>
  </si>
  <si>
    <t>Participación del interés minoritario</t>
  </si>
  <si>
    <t>Minderheitsanteile</t>
  </si>
  <si>
    <t>Intérêt minoritaire</t>
  </si>
  <si>
    <t>Partecipazione minoritaria</t>
  </si>
  <si>
    <t>비지배지분</t>
  </si>
  <si>
    <t>Доля меньшинства</t>
  </si>
  <si>
    <t>现金及现金等价物</t>
  </si>
  <si>
    <t>現金及現金等價物</t>
  </si>
  <si>
    <t>現金及び現金等価物</t>
  </si>
  <si>
    <t>Efectivo y equivalentes</t>
  </si>
  <si>
    <t>Liquide Mittel</t>
  </si>
  <si>
    <t>Trésorerie et équivalents de trésorerie</t>
  </si>
  <si>
    <t>Disponibilità liquide e mezzi equivalenti</t>
  </si>
  <si>
    <t>현금 및 현금 등가물</t>
  </si>
  <si>
    <t>Денежные средства и их эквиваленты</t>
  </si>
  <si>
    <t>已发行股数 （实际）</t>
  </si>
  <si>
    <t>已發行股數 (實際)</t>
  </si>
  <si>
    <t>発行済株式数（実績値）</t>
  </si>
  <si>
    <t>Acciones en Circulación (reales)</t>
  </si>
  <si>
    <t>Ausstehende Aktien (Ist)</t>
  </si>
  <si>
    <t>Actions en circulation (réel)</t>
  </si>
  <si>
    <t>Azioni in circolazione (effettive)</t>
  </si>
  <si>
    <t>발행주식수 (실제값)</t>
  </si>
  <si>
    <t>Акции в обращении (факт.)</t>
  </si>
  <si>
    <t>现金及约当现金</t>
  </si>
  <si>
    <t>現金及約當現金</t>
  </si>
  <si>
    <t>現金同等物</t>
  </si>
  <si>
    <t>Efectivo y equivalentes al efectivo</t>
  </si>
  <si>
    <t>Bargelt und Zahlungsmitteläquivalente</t>
  </si>
  <si>
    <t>현금 및 현금성자산</t>
  </si>
  <si>
    <t>enero</t>
  </si>
  <si>
    <t>Januar</t>
  </si>
  <si>
    <t>Janvier</t>
  </si>
  <si>
    <t>gennaio</t>
  </si>
  <si>
    <t>январь</t>
  </si>
  <si>
    <t>febrero</t>
  </si>
  <si>
    <t>Februar</t>
  </si>
  <si>
    <t>Fevrier</t>
  </si>
  <si>
    <t>febbraio</t>
  </si>
  <si>
    <t>февраль</t>
  </si>
  <si>
    <t>marzo</t>
  </si>
  <si>
    <t>März</t>
  </si>
  <si>
    <t>марш</t>
  </si>
  <si>
    <t>abril</t>
  </si>
  <si>
    <t>Avril</t>
  </si>
  <si>
    <t>aprile</t>
  </si>
  <si>
    <t>апрель</t>
  </si>
  <si>
    <t>junio</t>
  </si>
  <si>
    <t>giugno</t>
  </si>
  <si>
    <t>июнь</t>
  </si>
  <si>
    <t>julio</t>
  </si>
  <si>
    <t>luglio</t>
  </si>
  <si>
    <t>июль</t>
  </si>
  <si>
    <t>agosto</t>
  </si>
  <si>
    <t>Aout</t>
  </si>
  <si>
    <t>август</t>
  </si>
  <si>
    <t>septiembre</t>
  </si>
  <si>
    <t>Septembre</t>
  </si>
  <si>
    <t>settembre</t>
  </si>
  <si>
    <t>сентябрь</t>
  </si>
  <si>
    <t>octubre</t>
  </si>
  <si>
    <t>Oktober</t>
  </si>
  <si>
    <t>Octobre</t>
  </si>
  <si>
    <t>ottobre</t>
  </si>
  <si>
    <t>октября</t>
  </si>
  <si>
    <t>noviembre</t>
  </si>
  <si>
    <t>Novembre</t>
  </si>
  <si>
    <t>novembre</t>
  </si>
  <si>
    <t>ноябрь</t>
  </si>
  <si>
    <t>diciembre</t>
  </si>
  <si>
    <t>Dezember</t>
  </si>
  <si>
    <t>Decembre</t>
  </si>
  <si>
    <t>dicembre</t>
  </si>
  <si>
    <t>декабрь</t>
  </si>
  <si>
    <t>ピア1</t>
  </si>
  <si>
    <t>ピア2</t>
  </si>
  <si>
    <t>ピア3</t>
  </si>
  <si>
    <t>ピア4</t>
  </si>
  <si>
    <t>ピア5</t>
  </si>
  <si>
    <t>ピア6</t>
  </si>
  <si>
    <t>乘于：</t>
  </si>
  <si>
    <t>乘於：</t>
  </si>
  <si>
    <t>乗ずる:</t>
  </si>
  <si>
    <t xml:space="preserve">Multiplicado por: </t>
  </si>
  <si>
    <t>Multipliziert mit:</t>
  </si>
  <si>
    <t xml:space="preserve">Multiplié par:  </t>
  </si>
  <si>
    <t xml:space="preserve">Moltiplicato per: </t>
  </si>
  <si>
    <t>x</t>
  </si>
  <si>
    <t xml:space="preserve">Умножить на: </t>
  </si>
  <si>
    <t>自下而上贝塔系数</t>
  </si>
  <si>
    <t>自下而上貝塔係數</t>
  </si>
  <si>
    <t>ボトムアップ・ベータ</t>
  </si>
  <si>
    <t>Beta de abajo hacia arriba</t>
  </si>
  <si>
    <t>Bottom-Up Beta</t>
  </si>
  <si>
    <t xml:space="preserve"> Bêta ascendante</t>
  </si>
  <si>
    <t xml:space="preserve"> Beta bottom-up</t>
  </si>
  <si>
    <t>바텀업 (Bottom-up)  베타</t>
  </si>
  <si>
    <t>Восходящий Бета-коэффициент</t>
  </si>
  <si>
    <t>回归贝塔系数</t>
  </si>
  <si>
    <t>回歸貝塔係數</t>
  </si>
  <si>
    <t>回帰ベータ</t>
  </si>
  <si>
    <t>Regresión Beta</t>
  </si>
  <si>
    <t>Regressions-Beta</t>
  </si>
  <si>
    <t xml:space="preserve"> Bêta de régression</t>
  </si>
  <si>
    <t xml:space="preserve"> Beta di regressione</t>
  </si>
  <si>
    <t xml:space="preserve"> 회기분석 베타</t>
  </si>
  <si>
    <t>Регрессионный Бета-коэффициент</t>
  </si>
  <si>
    <t>优先股/(债务+优先股+权益)</t>
  </si>
  <si>
    <t>優先股/(債務+優先股+權益)</t>
  </si>
  <si>
    <t>優先株/（有利子負債+優先株+株主資本）</t>
  </si>
  <si>
    <t>P/(D+P+C)</t>
  </si>
  <si>
    <t>V/(S+V+E)</t>
  </si>
  <si>
    <t>的现值</t>
  </si>
  <si>
    <t>的現值</t>
  </si>
  <si>
    <t>現在価値</t>
  </si>
  <si>
    <t>Valor actual de</t>
  </si>
  <si>
    <t>Barwert der</t>
  </si>
  <si>
    <t>Valeur actuelle de</t>
  </si>
  <si>
    <t>Valore attuale di</t>
  </si>
  <si>
    <t xml:space="preserve">현가: </t>
  </si>
  <si>
    <t>Приведенная стоимость (PV)</t>
  </si>
  <si>
    <t>自有現金流匯報期末段</t>
  </si>
  <si>
    <t>フリーキャッシュフロー年央調整(1)</t>
  </si>
  <si>
    <t>Período roto - Flujo de caja libre (1)</t>
  </si>
  <si>
    <t>Verfügbarer Geldfluss (1)</t>
  </si>
  <si>
    <t>Flux de trésorerie disponible (1)</t>
  </si>
  <si>
    <t>Flusso di cassa libero Stub (1)</t>
  </si>
  <si>
    <t>기업잉여현금흐름(FCF) Stub (1)</t>
  </si>
  <si>
    <t>свободный денежный поток за неполный период (1)</t>
  </si>
  <si>
    <t>自由现金流（1）</t>
  </si>
  <si>
    <t>自由現金流 （1）</t>
  </si>
  <si>
    <t>フリーキャッシュフロー(1)</t>
  </si>
  <si>
    <t>Flujos de efectivo libres (1)</t>
  </si>
  <si>
    <t>Verfügbarer Geldflüsse (1)</t>
  </si>
  <si>
    <t>Flux de trésorerie disponibles (1)</t>
  </si>
  <si>
    <t>Flussi di cassa liberi (1)</t>
  </si>
  <si>
    <t>기업잉여현금흐름(FCF) (1)</t>
  </si>
  <si>
    <t>Свободные денежные потоки (1)</t>
  </si>
  <si>
    <t>，每股数据除外）</t>
  </si>
  <si>
    <t>，每股數據除外）</t>
  </si>
  <si>
    <t>1株当たりデータを除く）</t>
  </si>
  <si>
    <t>, excepto por datos compartidos)</t>
  </si>
  <si>
    <t>(außer Daten pro Aktie)</t>
  </si>
  <si>
    <t>, sauf données par action)</t>
  </si>
  <si>
    <t>, eccetto per dati di condivisione)</t>
  </si>
  <si>
    <t>, 주당 데이터 제외)</t>
  </si>
  <si>
    <t>在</t>
  </si>
  <si>
    <t>に</t>
  </si>
  <si>
    <t>En</t>
  </si>
  <si>
    <t>im</t>
  </si>
  <si>
    <t>dans</t>
  </si>
  <si>
    <t>nella</t>
  </si>
  <si>
    <t>...에서</t>
  </si>
  <si>
    <t>в</t>
  </si>
  <si>
    <t>五年平均</t>
  </si>
  <si>
    <t>5年平均</t>
  </si>
  <si>
    <t>promedio a 5 años</t>
  </si>
  <si>
    <t>5-Jahres-Durchschnitt</t>
  </si>
  <si>
    <t>5 ans en moyenne</t>
  </si>
  <si>
    <t>media di 5 anni</t>
  </si>
  <si>
    <t>5년 평균</t>
  </si>
  <si>
    <t>Средний показатель ставки налога за 5 лет</t>
  </si>
  <si>
    <t>マーケット・バリュー</t>
  </si>
  <si>
    <t>Valor de mercado</t>
  </si>
  <si>
    <t>Mkt. Wert</t>
  </si>
  <si>
    <t>Valeur de marché</t>
  </si>
  <si>
    <t>Valore di mercato</t>
  </si>
  <si>
    <t>시장 가치</t>
  </si>
  <si>
    <t>Рыночная стоимость собственного капитала</t>
  </si>
  <si>
    <t>已发行股数</t>
  </si>
  <si>
    <t>已發行股數</t>
  </si>
  <si>
    <t>発行済株式数（自己株控除）</t>
  </si>
  <si>
    <t>Acciones en circulación</t>
  </si>
  <si>
    <t>Ausstehende Aktien</t>
  </si>
  <si>
    <t>PARTS EN CIRCULATION</t>
  </si>
  <si>
    <t>Azioni in circolazione</t>
  </si>
  <si>
    <t>발행주식총수</t>
  </si>
  <si>
    <t>Акции в обращении</t>
  </si>
  <si>
    <t>Preferente</t>
  </si>
  <si>
    <t>Vorzugs</t>
  </si>
  <si>
    <t>Préférence</t>
  </si>
  <si>
    <t>Privilegiato</t>
  </si>
  <si>
    <t>Привилегирован.</t>
  </si>
  <si>
    <t>股权现值</t>
  </si>
  <si>
    <t>股權現值</t>
  </si>
  <si>
    <t>Valor presente del patrimonio</t>
  </si>
  <si>
    <t>Barwert des Eigenkapitals</t>
  </si>
  <si>
    <t>Valeur actuelle des capitaux propres</t>
  </si>
  <si>
    <t>Valore attuale di equity</t>
  </si>
  <si>
    <t>자기자본의 현가</t>
  </si>
  <si>
    <t>Приведенная стоимость собственного капитала</t>
  </si>
  <si>
    <t>终值等于的现值</t>
  </si>
  <si>
    <t>終值等於的現值</t>
  </si>
  <si>
    <t>残存価値 = 現在価値</t>
  </si>
  <si>
    <t>El valor terminal es igual al valor presente de</t>
  </si>
  <si>
    <t>Terminalwert entspricht dem Barwert von</t>
  </si>
  <si>
    <t>La valeur terminale est égale à la valeur actualisée de</t>
  </si>
  <si>
    <t>Il valore finale è uguale al valore attuale di</t>
  </si>
  <si>
    <t>종료가치는 현재가치와 같습니다</t>
  </si>
  <si>
    <t>Терминальная стоимость равна приведенной стоимости</t>
  </si>
  <si>
    <t>のEBITDA</t>
  </si>
  <si>
    <t>EBITDA de</t>
  </si>
  <si>
    <t>EBITDA von</t>
  </si>
  <si>
    <t>EBITDA di</t>
  </si>
  <si>
    <t>년 EBITDA의 현가</t>
  </si>
  <si>
    <t>EBITDA в размере</t>
  </si>
  <si>
    <t>（1）假设</t>
  </si>
  <si>
    <t>（1）假設</t>
  </si>
  <si>
    <t>仮定</t>
  </si>
  <si>
    <t>(1) Asume</t>
  </si>
  <si>
    <t>(1) Nimmt an</t>
  </si>
  <si>
    <t>(1) Hypothèse</t>
  </si>
  <si>
    <t>(1) Assume</t>
  </si>
  <si>
    <t>(1)가정:</t>
  </si>
  <si>
    <t xml:space="preserve">(1) Предположим, что  </t>
  </si>
  <si>
    <t>年还剩余天</t>
  </si>
  <si>
    <t>年還剩餘天</t>
  </si>
  <si>
    <t>残存日数</t>
  </si>
  <si>
    <t>días restantes en</t>
  </si>
  <si>
    <t>Tage bleiben in</t>
  </si>
  <si>
    <t>jours restent en</t>
  </si>
  <si>
    <t>i giorni rimanenti</t>
  </si>
  <si>
    <t>잔존 일수:</t>
  </si>
  <si>
    <t>дней осталось в</t>
  </si>
  <si>
    <t>年度现金流遵循；终值现金流发生於</t>
  </si>
  <si>
    <t>年度現金流遵循；終值現金流發生於</t>
  </si>
  <si>
    <t>期中キャッシュフローの計算に;  計画期間最終キャッシュフローは</t>
  </si>
  <si>
    <t>para flujos de efectivo anuales; Valor terminal de flujo de efectivo se produce en</t>
  </si>
  <si>
    <t>für jährliche Geldflüsse; der Terminalwert der Geldflüsse liegt bei</t>
  </si>
  <si>
    <t>pour les flux de trésorerie annuels ; le flux de trésorerie de la valeur terminale a lieu au</t>
  </si>
  <si>
    <t>per i flussi di cassa annuali; Il flusso di cassa del valore finale si verifica al</t>
  </si>
  <si>
    <t>연간 현금 흐름; 종료 가치 현금 흐름에서 발생합니다</t>
  </si>
  <si>
    <t>годового денежного потока; Терминальная стоимость денежного потока наступает</t>
  </si>
  <si>
    <t>English</t>
  </si>
  <si>
    <t>Button 9</t>
  </si>
  <si>
    <t>Button 2</t>
  </si>
  <si>
    <t>UPDATE TERMINOLOGY</t>
  </si>
  <si>
    <t>更新术语</t>
  </si>
  <si>
    <t>更新術語</t>
  </si>
  <si>
    <t>用語の更新</t>
  </si>
  <si>
    <t>ACTUALIZAR TERMINOLOGÍA</t>
  </si>
  <si>
    <t>TERMINOLOGIE AKTUALISIEREN</t>
  </si>
  <si>
    <t>METTRE À JOUR LA LANGUE</t>
  </si>
  <si>
    <t>AGGIORNA TERMINOLOGIA</t>
  </si>
  <si>
    <t>용어 업데이트</t>
  </si>
  <si>
    <t>ОБНОВИТЬ ТЕРМИНОЛОГИЮ</t>
  </si>
  <si>
    <t>刷新</t>
  </si>
  <si>
    <t>を更新</t>
  </si>
  <si>
    <t>ACTUALIZAR</t>
  </si>
  <si>
    <t>AKTUALISIEREN</t>
  </si>
  <si>
    <t>ACTUALISER</t>
  </si>
  <si>
    <t>RICARICARE</t>
  </si>
  <si>
    <t>새로 고침</t>
  </si>
  <si>
    <t>ОБНОВИТЬ</t>
  </si>
  <si>
    <t>Valor Presente do Patrimônio em</t>
  </si>
  <si>
    <t>Valor Presente do Patrimônio</t>
  </si>
  <si>
    <t>O valor terminal é igual ao valor presente de</t>
  </si>
  <si>
    <t>Terminal Forward múltiplo de EBITDA.</t>
  </si>
  <si>
    <t>Presume-se que faltem</t>
  </si>
  <si>
    <t>dias em</t>
  </si>
  <si>
    <t>para fluxos de caixa anuais; O fluxo de caixa do valor terminal ocorre em 30 de dezembro de</t>
  </si>
  <si>
    <t>Análise de fluxo de caixa descontado</t>
  </si>
  <si>
    <t>3) Para melhor desempenho, salve este arquivo em seu computador, feche e reabra.</t>
  </si>
  <si>
    <t>Formato: dd/mm/ aaaa</t>
  </si>
  <si>
    <t>exceto os seguintes parâmetros:</t>
  </si>
  <si>
    <t xml:space="preserve">Passo 3: Selecione um índice para retorno do mercado.  </t>
  </si>
  <si>
    <t>A) Taxa de retorno livre de risco (Rf) - retorna o rendimento dos Títulos do Tesouro EUA de 10 a 5 anos para o dia de negociação mais recente.</t>
  </si>
  <si>
    <t>B) A média dos últimos 5 títulos emitidos é baseada na emissão mais recente.</t>
  </si>
  <si>
    <t>Passo 4: Selecione empresas comparáveis para geração Beta.</t>
  </si>
  <si>
    <t>2) Os dados atuais de capitalização de mercado são usados no cálculo do patrimônio líquido.</t>
  </si>
  <si>
    <t>3) O modelo inclui apenas os títulos emitidos da empresa foco.</t>
  </si>
  <si>
    <t>Passo 5: Selecione Moeda e Magnitude.</t>
  </si>
  <si>
    <t>Passo 6:  Selecione o fator de desconto.</t>
  </si>
  <si>
    <t>Factor de desconto:</t>
  </si>
  <si>
    <t>Convenção de Período intermediário</t>
  </si>
  <si>
    <t>Convenção de Fim de Período</t>
  </si>
  <si>
    <t>Δ Capital de giro Referência:</t>
  </si>
  <si>
    <t>1 = Conforme relatado no fluxo de caixa</t>
  </si>
  <si>
    <t>2 = Calculado via WC Schedule</t>
  </si>
  <si>
    <t>Seleção Beta</t>
  </si>
  <si>
    <t>PREMISSAS:</t>
  </si>
  <si>
    <t>1 = Beta de baixo para cima</t>
  </si>
  <si>
    <t>Beta Alavancado</t>
  </si>
  <si>
    <t>Preferencial/</t>
  </si>
  <si>
    <t>Dívida/</t>
  </si>
  <si>
    <t>Patrimo nial</t>
  </si>
  <si>
    <t>Desalavancado</t>
  </si>
  <si>
    <t>2 = Beta de regressão</t>
  </si>
  <si>
    <t>PAD: Liga</t>
  </si>
  <si>
    <t>Alíquota de imposto (média de 5 anos)</t>
  </si>
  <si>
    <t>Tamanho Prêmio</t>
  </si>
  <si>
    <t xml:space="preserve">Nome da Instituição </t>
  </si>
  <si>
    <t xml:space="preserve">Tipo de Financiamento </t>
  </si>
  <si>
    <t>Taxa de dividendos (%)</t>
  </si>
  <si>
    <t>Data de Negociação (dd/mm/aaaa)</t>
  </si>
  <si>
    <t>Beta desalavancado médio para Comps</t>
  </si>
  <si>
    <t>Etapa do custo da dívida antes dos impostos</t>
  </si>
  <si>
    <t>Etapa D/(D+P+E)</t>
  </si>
  <si>
    <t>Etapa de custo de capital próprio</t>
  </si>
  <si>
    <t xml:space="preserve">Etapa E/(D+P+E) </t>
  </si>
  <si>
    <t>ANÁLISE DE SENSIBILIDADE WACC</t>
  </si>
  <si>
    <t>Custo da dívida antes dos impostos</t>
  </si>
  <si>
    <t xml:space="preserve">Símbolo comercial e bolsa </t>
  </si>
  <si>
    <t xml:space="preserve">Identidicador de instituição SNL </t>
  </si>
  <si>
    <t>Prêmio de risco de mercado (Rm - Rf)</t>
  </si>
  <si>
    <t>Nome da empresa, abreviado</t>
  </si>
  <si>
    <t>Prêmio de risco de mercado ajustado</t>
  </si>
  <si>
    <t>Adicionar: Taxa de retorno livre de risco (Rf) (1)</t>
  </si>
  <si>
    <t>Adicionar: Tamanho Prêmio</t>
  </si>
  <si>
    <t>Custo de capital próprio</t>
  </si>
  <si>
    <t>Parcela de custo de capital</t>
  </si>
  <si>
    <t>Custo da dívida após impostos</t>
  </si>
  <si>
    <t>Custo da porção da dívida</t>
  </si>
  <si>
    <t>Custo da porção preferencial</t>
  </si>
  <si>
    <t>(1) Beta não alavancado = Beta alavancado / ( 1 + ((D/E) * (1 - T)) + P/E)</t>
  </si>
  <si>
    <t>(2) Beta alavancado = Beta não alavancado * ( 1 + ((D/E) * (1 - T)) + P/E)</t>
  </si>
  <si>
    <t>FLUXO DE CAIXA PROJETADOS</t>
  </si>
  <si>
    <t>Receita Total</t>
  </si>
  <si>
    <t>Crescimento anual</t>
  </si>
  <si>
    <t>Custo de receita</t>
  </si>
  <si>
    <t>Margem</t>
  </si>
  <si>
    <t>Menos: Depreciações e Amortizações</t>
  </si>
  <si>
    <t>Passo</t>
  </si>
  <si>
    <t>% da despesa de capital</t>
  </si>
  <si>
    <t>EBIT/LAJIR</t>
  </si>
  <si>
    <t>Menos: Tributos sobre a receita</t>
  </si>
  <si>
    <t>Lucro líquido não alavancado</t>
  </si>
  <si>
    <t>Mais: Depreciações e Amortizações</t>
  </si>
  <si>
    <t>Menos: Adições a intangíveis</t>
  </si>
  <si>
    <t>Menos: Aumento do capital de giro</t>
  </si>
  <si>
    <t>Variação na comercialização de títulos de participações</t>
  </si>
  <si>
    <t>Variação no contas a receber</t>
  </si>
  <si>
    <t>Variação em estoques</t>
  </si>
  <si>
    <t>Variação em contas a pagar</t>
  </si>
  <si>
    <t>Variação na receita a apropriar</t>
  </si>
  <si>
    <t>Variação no imposto de renda</t>
  </si>
  <si>
    <t>Data de hoje</t>
  </si>
  <si>
    <t>Variação em impostos diferidos</t>
  </si>
  <si>
    <t>Data da Última Atualização</t>
  </si>
  <si>
    <t>Variação em outros ativos operacionais líquidos</t>
  </si>
  <si>
    <t>Fluxo de caixa livre desalavancado</t>
  </si>
  <si>
    <t>VP (valor presente) de fluxos de caixa anuais</t>
  </si>
  <si>
    <t>Premissas - Fluxos de caixa descontados</t>
  </si>
  <si>
    <t>% de TEV (Valor Total da Empresa)</t>
  </si>
  <si>
    <t>% de MVE (Valor de mercado do patrimônio)</t>
  </si>
  <si>
    <t>Custo médio ponderado de capital</t>
  </si>
  <si>
    <t>Terminal EBITDA múltiplo</t>
  </si>
  <si>
    <t>Preço de fechamento do dia</t>
  </si>
  <si>
    <t>Valor da Empresa</t>
  </si>
  <si>
    <t>Taxa de crescimento perpétuo implícito do fluxo de caixa livre desalavancado (2)</t>
  </si>
  <si>
    <t>Ações preferenciais</t>
  </si>
  <si>
    <t>TEV (Valor Total da Empresa)</t>
  </si>
  <si>
    <t>Mais:</t>
  </si>
  <si>
    <t>Lista de Índice</t>
  </si>
  <si>
    <t>Último fim do exercício</t>
  </si>
  <si>
    <t>Último fim do trimestre</t>
  </si>
  <si>
    <t>Valor implícito por ação</t>
  </si>
  <si>
    <t>Hoje</t>
  </si>
  <si>
    <t>Preço atual</t>
  </si>
  <si>
    <t>Dias restantes no exercício</t>
  </si>
  <si>
    <t>Prêmio / (desconto) para o preço atual</t>
  </si>
  <si>
    <t>(2) Taxa de crescimento perpétuo implícita de Fluxo de Caixa Livre (FCF) = [(EBITDA Terminal ) * (EBITDA Terminal múltiplo) * (WACC) - (Ano Terminal FCF)] / [(EBITDA Terminal ) * (EBITDA Terminal múltiplo) + (Ano Terminal FCF) ]</t>
  </si>
  <si>
    <t>ANÁLISE DE SENSIBILIDADE</t>
  </si>
  <si>
    <t>Descontado</t>
  </si>
  <si>
    <t>Valor Presente do Valor Terminal</t>
  </si>
  <si>
    <t>Valor presente do valor da empresa</t>
  </si>
  <si>
    <t>CF (Fluxo de Caixa)</t>
  </si>
  <si>
    <t>EBITDA Saída Múltiplo de Referência</t>
  </si>
  <si>
    <t>Etapa WACC</t>
  </si>
  <si>
    <t>Etapa Saída  Múltiplo de Referência</t>
  </si>
  <si>
    <t>Dívida Líquida (1)</t>
  </si>
  <si>
    <t>Valor Patrimonial por Ação</t>
  </si>
  <si>
    <t>em</t>
  </si>
  <si>
    <t>Ações</t>
  </si>
  <si>
    <t>Taxa de crescimento perpétuo implícita do Fluxo de Caixa</t>
  </si>
  <si>
    <t>Prêmio / (desconto) ao preço atual por ação</t>
  </si>
  <si>
    <t>(1) Equivale à Dívida Total mais Ações Preferenciais mais Participações Minoritárias menos Caixa e Equivalentes.</t>
  </si>
  <si>
    <t>CRONOGRAMA DE CAPITAL DE GIRO</t>
  </si>
  <si>
    <t>Cortas a Receber</t>
  </si>
  <si>
    <t>Dias de recebíveis</t>
  </si>
  <si>
    <t>Estoques</t>
  </si>
  <si>
    <t>Dias de estoque</t>
  </si>
  <si>
    <t>Outros ativos circulantes</t>
  </si>
  <si>
    <t>Total do ativo circulante</t>
  </si>
  <si>
    <t>Caixa e investimentos de curto prazo</t>
  </si>
  <si>
    <t>Total de ativos circulantes não caixa</t>
  </si>
  <si>
    <t>Contas a pagar</t>
  </si>
  <si>
    <t>Dias a Pagar</t>
  </si>
  <si>
    <t>Passivos provisionados</t>
  </si>
  <si>
    <t>Outras obrigações Circulantes</t>
  </si>
  <si>
    <t>Total Passivo Corrente</t>
  </si>
  <si>
    <t>Empréstimos de curto prazo</t>
  </si>
  <si>
    <t>Porção circulante da dívida a curto prazo</t>
  </si>
  <si>
    <t>Total do passivo circulante não relacionado à dívida</t>
  </si>
  <si>
    <t>(Aumento) / redução no capital de giro</t>
  </si>
  <si>
    <t>Retorno (Rm) - Anual nos últimos 10 anos</t>
  </si>
  <si>
    <t>Custo da dívida (Rd) - média dos últimos 5 títulos emitidos</t>
  </si>
  <si>
    <t>Custo da porção preferencial (Rp)</t>
  </si>
  <si>
    <t>Alíquota de imposto</t>
  </si>
  <si>
    <t>VP do valor terminal (1)</t>
  </si>
  <si>
    <t>Data final do Exercício Financeiro Atual</t>
  </si>
  <si>
    <t>Instruções:</t>
  </si>
  <si>
    <t>Contato:</t>
  </si>
  <si>
    <t>2) Permitir macros ao abrir o modelo.</t>
  </si>
  <si>
    <t>Telefone:</t>
  </si>
  <si>
    <t>Isenção de responsabilidade:</t>
  </si>
  <si>
    <t>Divisas</t>
  </si>
  <si>
    <t>Dívida total</t>
  </si>
  <si>
    <t>Método de conversão de moeda</t>
  </si>
  <si>
    <t>Lógica do período fiscal ímpar</t>
  </si>
  <si>
    <t>Austrália</t>
  </si>
  <si>
    <t>Belgica</t>
  </si>
  <si>
    <t>Bulgária</t>
  </si>
  <si>
    <t>Rep.Checa</t>
  </si>
  <si>
    <t>Zona do Euro</t>
  </si>
  <si>
    <t>Finlândia</t>
  </si>
  <si>
    <t>França</t>
  </si>
  <si>
    <t>Alemanha</t>
  </si>
  <si>
    <t>Grécia</t>
  </si>
  <si>
    <t>Hungria</t>
  </si>
  <si>
    <t>Índia</t>
  </si>
  <si>
    <t>Indonésia</t>
  </si>
  <si>
    <t>Japão</t>
  </si>
  <si>
    <t>Quênia</t>
  </si>
  <si>
    <t>Malásia</t>
  </si>
  <si>
    <t>Nova Zelândia</t>
  </si>
  <si>
    <t>Polónia</t>
  </si>
  <si>
    <t>Rússia</t>
  </si>
  <si>
    <t>Cingapura</t>
  </si>
  <si>
    <t>Eslováquia</t>
  </si>
  <si>
    <t>Coréia do Sul</t>
  </si>
  <si>
    <t>Suiça</t>
  </si>
  <si>
    <t>Tailândia</t>
  </si>
  <si>
    <t>Turquia</t>
  </si>
  <si>
    <t>E. U. A.</t>
  </si>
  <si>
    <t>Vietnã</t>
  </si>
  <si>
    <t>N.°</t>
  </si>
  <si>
    <t>Set</t>
  </si>
  <si>
    <t>Out</t>
  </si>
  <si>
    <t>Medio</t>
  </si>
  <si>
    <t>Capitalização de Mercado</t>
  </si>
  <si>
    <t>Alíquota efetiva (%)</t>
  </si>
  <si>
    <t xml:space="preserve">Código de moeda do relatório financeiro </t>
  </si>
  <si>
    <t>Nome da Instituição</t>
  </si>
  <si>
    <t>Nome do país</t>
  </si>
  <si>
    <t>Participação dos minoritários</t>
  </si>
  <si>
    <t>Caixa e equivalentes de caixa</t>
  </si>
  <si>
    <t>Caixa e equivalentes</t>
  </si>
  <si>
    <t>Janeiro</t>
  </si>
  <si>
    <t>Fevereiro</t>
  </si>
  <si>
    <t>Março</t>
  </si>
  <si>
    <t>Abril</t>
  </si>
  <si>
    <t>Junho</t>
  </si>
  <si>
    <t>Julho</t>
  </si>
  <si>
    <t>Agosto</t>
  </si>
  <si>
    <t>Setembro</t>
  </si>
  <si>
    <t>Outubro</t>
  </si>
  <si>
    <t>Novembro</t>
  </si>
  <si>
    <t>Dezembro</t>
  </si>
  <si>
    <t>Passo 1: Selecione a terminologia na lista suspensa para ser usada no modelo.</t>
  </si>
  <si>
    <t>Passo 2: Clique no botão "UPDATE TERMINOLOGY" para atualizar a terminologia no modelo.</t>
  </si>
  <si>
    <t>Par 1</t>
  </si>
  <si>
    <t>Par 2</t>
  </si>
  <si>
    <t>Par 3</t>
  </si>
  <si>
    <t>Par 4</t>
  </si>
  <si>
    <t>Par 5</t>
  </si>
  <si>
    <t>Par 6</t>
  </si>
  <si>
    <t>Multiplicado por:</t>
  </si>
  <si>
    <t>Beta de baixo para cima</t>
  </si>
  <si>
    <t>Beta de regressão</t>
  </si>
  <si>
    <t>VP de</t>
  </si>
  <si>
    <t>Fluxo de Caixa Livre - Stub (1)</t>
  </si>
  <si>
    <t>Fluxos de Caixa Livre (1)</t>
  </si>
  <si>
    <t>Capital de giro líquido / (déficit)</t>
  </si>
  <si>
    <t>, exceto dados ação)</t>
  </si>
  <si>
    <t>média 5 anos</t>
  </si>
  <si>
    <t>Ações em circulação</t>
  </si>
  <si>
    <t>Total de ações preferenciais</t>
  </si>
  <si>
    <t>ATUALIZAR TERMINOLOGIA</t>
  </si>
  <si>
    <t>Atualizar</t>
  </si>
  <si>
    <t>英语</t>
  </si>
  <si>
    <t>英語</t>
  </si>
  <si>
    <t>Inglés</t>
  </si>
  <si>
    <t>Englisch</t>
  </si>
  <si>
    <t>Anglais</t>
  </si>
  <si>
    <t>Inglese</t>
  </si>
  <si>
    <t>영어</t>
  </si>
  <si>
    <t>Английский</t>
  </si>
  <si>
    <t>简体中文</t>
  </si>
  <si>
    <t>簡體中文</t>
  </si>
  <si>
    <t>中国語 - 簡体字</t>
  </si>
  <si>
    <t>Chino - Simplificado</t>
  </si>
  <si>
    <t>Chinesisch - Vereinfacht</t>
  </si>
  <si>
    <t>Chinois - Simplifié</t>
  </si>
  <si>
    <t>Cinese - semplificato</t>
  </si>
  <si>
    <t>중국어 - 간체</t>
  </si>
  <si>
    <t>Китайский - упрощенный</t>
  </si>
  <si>
    <t>繁体中文</t>
  </si>
  <si>
    <t>繁體中文</t>
  </si>
  <si>
    <t>中国語 - 繁体字</t>
  </si>
  <si>
    <t>Chino - Tradicional</t>
  </si>
  <si>
    <t>Chinesisch - Traditionell</t>
  </si>
  <si>
    <t>Chinois - Traditionnel</t>
  </si>
  <si>
    <t>Cinese - tradizionale</t>
  </si>
  <si>
    <t>중국어 - 번체</t>
  </si>
  <si>
    <t>Китайский - традиционный</t>
  </si>
  <si>
    <t>法语</t>
  </si>
  <si>
    <t>法語</t>
  </si>
  <si>
    <t>フランス語</t>
  </si>
  <si>
    <t>Francés</t>
  </si>
  <si>
    <t>Französisch</t>
  </si>
  <si>
    <t>Français</t>
  </si>
  <si>
    <t>Francese</t>
  </si>
  <si>
    <t>불어</t>
  </si>
  <si>
    <t>Французский</t>
  </si>
  <si>
    <t>德语</t>
  </si>
  <si>
    <t>德語</t>
  </si>
  <si>
    <t>ドイツ語</t>
  </si>
  <si>
    <t>Alemán</t>
  </si>
  <si>
    <t>Deutsch</t>
  </si>
  <si>
    <t>Allemand</t>
  </si>
  <si>
    <t>Tedesco</t>
  </si>
  <si>
    <t>독일어</t>
  </si>
  <si>
    <t>Немецкий</t>
  </si>
  <si>
    <t>意大利语</t>
  </si>
  <si>
    <t>義大利語</t>
  </si>
  <si>
    <t>イタリア語</t>
  </si>
  <si>
    <t>Italiano</t>
  </si>
  <si>
    <t>Italienisch</t>
  </si>
  <si>
    <t>이탈리아어</t>
  </si>
  <si>
    <t>Итальянский</t>
  </si>
  <si>
    <t>日语</t>
  </si>
  <si>
    <t>日語</t>
  </si>
  <si>
    <t>日本語</t>
  </si>
  <si>
    <t>Japonés</t>
  </si>
  <si>
    <t>Japanisch</t>
  </si>
  <si>
    <t>Japonais</t>
  </si>
  <si>
    <t>Giapponese</t>
  </si>
  <si>
    <t>일본어</t>
  </si>
  <si>
    <t>Японский</t>
  </si>
  <si>
    <t>韩语</t>
  </si>
  <si>
    <t>韓語</t>
  </si>
  <si>
    <t>韓国語</t>
  </si>
  <si>
    <t>Coreano</t>
  </si>
  <si>
    <t>Koreanisch</t>
  </si>
  <si>
    <t>Coréen</t>
  </si>
  <si>
    <t>한국어</t>
  </si>
  <si>
    <t>Корейский</t>
  </si>
  <si>
    <t>俄语</t>
  </si>
  <si>
    <t>俄語</t>
  </si>
  <si>
    <t>ロシア語</t>
  </si>
  <si>
    <t>Ruso</t>
  </si>
  <si>
    <t>Russisch</t>
  </si>
  <si>
    <t>Russe</t>
  </si>
  <si>
    <t>Russo</t>
  </si>
  <si>
    <t>러시아어</t>
  </si>
  <si>
    <t>Русский</t>
  </si>
  <si>
    <t>西班牙语</t>
  </si>
  <si>
    <t>西班牙語</t>
  </si>
  <si>
    <t>スペイン語</t>
  </si>
  <si>
    <t>Español</t>
  </si>
  <si>
    <t>Spanisch</t>
  </si>
  <si>
    <t>Espagnol</t>
  </si>
  <si>
    <t>Spagnolo</t>
  </si>
  <si>
    <t>스페인어</t>
  </si>
  <si>
    <t>Испанский</t>
  </si>
  <si>
    <t>乍得</t>
  </si>
  <si>
    <t>查德</t>
  </si>
  <si>
    <t>Tchad</t>
  </si>
  <si>
    <t>차드</t>
  </si>
  <si>
    <t>Chad</t>
  </si>
  <si>
    <t>チャド</t>
  </si>
  <si>
    <t>Tschad</t>
  </si>
  <si>
    <t>Чад</t>
  </si>
  <si>
    <t>Ações em circulação (atual)</t>
  </si>
  <si>
    <t>欧元</t>
  </si>
  <si>
    <t>歐元</t>
  </si>
  <si>
    <t>ユーロ</t>
  </si>
  <si>
    <t>유로</t>
  </si>
  <si>
    <t>Евро</t>
  </si>
  <si>
    <t>英镑</t>
  </si>
  <si>
    <t>英鎊</t>
  </si>
  <si>
    <t>英国ポンド</t>
  </si>
  <si>
    <t>Libra esterlina</t>
  </si>
  <si>
    <t>Britisches Pfund Sterling</t>
  </si>
  <si>
    <t>Livre sterling</t>
  </si>
  <si>
    <t>Sterlina britannica</t>
  </si>
  <si>
    <t>영국 파운드</t>
  </si>
  <si>
    <t>Британский фунт стерлингов</t>
  </si>
  <si>
    <t>日元</t>
  </si>
  <si>
    <t>日圓</t>
  </si>
  <si>
    <t>日本円</t>
  </si>
  <si>
    <t>Yen japonés</t>
  </si>
  <si>
    <t>Japanischer Yen</t>
  </si>
  <si>
    <t>Yen japonais</t>
  </si>
  <si>
    <t>Yen giapponese</t>
  </si>
  <si>
    <t>일본 엔</t>
  </si>
  <si>
    <t>Японская йена</t>
  </si>
  <si>
    <t>阿富汗尼</t>
  </si>
  <si>
    <t>阿富汗阿富汗尼</t>
  </si>
  <si>
    <t>アフガニスタン・アフガニ</t>
  </si>
  <si>
    <t>Afgani afgano</t>
  </si>
  <si>
    <t>Afghanischer Afghani</t>
  </si>
  <si>
    <t>Afghani afghan</t>
  </si>
  <si>
    <t>Afghani afgano</t>
  </si>
  <si>
    <t>아프가니스탄 아프가니</t>
  </si>
  <si>
    <t xml:space="preserve">Афганистанский Афгани </t>
  </si>
  <si>
    <t>阿尔巴尼亚列克</t>
  </si>
  <si>
    <t>阿爾巴尼亞列克</t>
  </si>
  <si>
    <t>アルバニア　レク</t>
  </si>
  <si>
    <t>Lek albanés</t>
  </si>
  <si>
    <t>Albanischer Lek</t>
  </si>
  <si>
    <t>Lek albanais</t>
  </si>
  <si>
    <t>Lek albanese</t>
  </si>
  <si>
    <t>알바니아 렉</t>
  </si>
  <si>
    <t>Албанский лек</t>
  </si>
  <si>
    <t>阿根廷比绍</t>
  </si>
  <si>
    <t>阿根廷披索</t>
  </si>
  <si>
    <t>アルゼンチン・ペソ</t>
  </si>
  <si>
    <t>Peso argentino</t>
  </si>
  <si>
    <t>Argentinischer Peso</t>
  </si>
  <si>
    <t>Peso argentin</t>
  </si>
  <si>
    <t>아르헨티나 페소</t>
  </si>
  <si>
    <t>Аргентинский песо</t>
  </si>
  <si>
    <t>亚美尼亚德拉姆</t>
  </si>
  <si>
    <t>亞美尼亞德拉姆</t>
  </si>
  <si>
    <t>アルメニアドラム</t>
  </si>
  <si>
    <t>Dram armenio</t>
  </si>
  <si>
    <t>Armenischer Dram</t>
  </si>
  <si>
    <t>Dram arménien</t>
  </si>
  <si>
    <t>Dram armeno</t>
  </si>
  <si>
    <t>아르메니아 드람</t>
  </si>
  <si>
    <t>Армянский драм</t>
  </si>
  <si>
    <t>澳大利亚元</t>
  </si>
  <si>
    <t>澳幣</t>
  </si>
  <si>
    <t>豪ドル</t>
  </si>
  <si>
    <t>Dólar australiano</t>
  </si>
  <si>
    <t>Australischer Dollar</t>
  </si>
  <si>
    <t>Dollar australien</t>
  </si>
  <si>
    <t>Dollaro australiano</t>
  </si>
  <si>
    <t>호주 달러</t>
  </si>
  <si>
    <t>Австралийский доллар</t>
  </si>
  <si>
    <t>阿塞拜疆马纳特</t>
  </si>
  <si>
    <t>亞塞拜然馬納特</t>
  </si>
  <si>
    <t>アゼルバイジャン　マナト</t>
  </si>
  <si>
    <t>Manat azerbaiyano</t>
  </si>
  <si>
    <t>Aserbaidschan-Manat</t>
  </si>
  <si>
    <t>Manat azerbaïdjanais</t>
  </si>
  <si>
    <t>Manat azero</t>
  </si>
  <si>
    <t>아제르바이잔 마나트</t>
  </si>
  <si>
    <t>Азербайджанский манат</t>
  </si>
  <si>
    <t>巴哈马元</t>
  </si>
  <si>
    <t>巴哈馬元</t>
  </si>
  <si>
    <t>バハマドル</t>
  </si>
  <si>
    <t>Dólar bahameño</t>
  </si>
  <si>
    <t>Bahama-Dollar</t>
  </si>
  <si>
    <t>Dollar bahaméen</t>
  </si>
  <si>
    <t>Dollaro delle Bahamas</t>
  </si>
  <si>
    <t>바하마 달러</t>
  </si>
  <si>
    <t>Багамский доллар</t>
  </si>
  <si>
    <t>巴林第纳尔</t>
  </si>
  <si>
    <t>巴林第納爾</t>
  </si>
  <si>
    <t>バーレーンディナール</t>
  </si>
  <si>
    <t>Dinar bareiní</t>
  </si>
  <si>
    <t>Bahrain-Dinar</t>
  </si>
  <si>
    <t>Dinar bahreïni</t>
  </si>
  <si>
    <t>Dinaro del Bahrein</t>
  </si>
  <si>
    <t>바레인 디나르</t>
  </si>
  <si>
    <t>Бахрейнский динар</t>
  </si>
  <si>
    <t>孟加拉塔卡</t>
  </si>
  <si>
    <t>バングラディッシュ・タカ</t>
  </si>
  <si>
    <t>Taka bangladesí</t>
  </si>
  <si>
    <t>Bangladeschischer Taka</t>
  </si>
  <si>
    <t>Taka bangladeshi</t>
  </si>
  <si>
    <t>Taka bengalese</t>
  </si>
  <si>
    <t>방글라데시 타카</t>
  </si>
  <si>
    <t>Бангладешский така</t>
  </si>
  <si>
    <t>白俄罗斯卢布</t>
  </si>
  <si>
    <t>白俄羅斯盧布</t>
  </si>
  <si>
    <t>ベラルーシルーブル</t>
  </si>
  <si>
    <t>Rublo bielorruso</t>
  </si>
  <si>
    <t>Weißrussischer Rubel</t>
  </si>
  <si>
    <t>Rouble biélorusse</t>
  </si>
  <si>
    <t>Rublo bielorusso</t>
  </si>
  <si>
    <t>벨라루스 루블</t>
  </si>
  <si>
    <t>Белорусский рубль</t>
  </si>
  <si>
    <t>波斯尼亚可兑换马尔卡</t>
  </si>
  <si>
    <t>波赫馬克</t>
  </si>
  <si>
    <t>ボスニア兌換マルク</t>
  </si>
  <si>
    <t>Marco bosnioherzegovino</t>
  </si>
  <si>
    <t>Bosnishe Konvertible Mark</t>
  </si>
  <si>
    <t>Mark convertible de Bosnie-Herzégovine</t>
  </si>
  <si>
    <t>Marco convertibile bosniaco</t>
  </si>
  <si>
    <t>보스니아 태환 마르카</t>
  </si>
  <si>
    <t>Боснийская конвертируемая марка</t>
  </si>
  <si>
    <t>巴西雷亚尔</t>
  </si>
  <si>
    <t>巴西雷阿爾</t>
  </si>
  <si>
    <t>ブラジル・レアル</t>
  </si>
  <si>
    <t>Real brasileño</t>
  </si>
  <si>
    <t>Brasilianischer Real</t>
  </si>
  <si>
    <t>Réal brésilien</t>
  </si>
  <si>
    <t>Real brasiliano</t>
  </si>
  <si>
    <t>브라질 레알</t>
  </si>
  <si>
    <t>Бразильский реал</t>
  </si>
  <si>
    <t>保加利亚列弗</t>
  </si>
  <si>
    <t>保加利亞列弗</t>
  </si>
  <si>
    <t>ブルガリアレフ</t>
  </si>
  <si>
    <t>Lev búlgaro</t>
  </si>
  <si>
    <t>Lew</t>
  </si>
  <si>
    <t>Lev bulgare</t>
  </si>
  <si>
    <t>Lev bulgaro</t>
  </si>
  <si>
    <t>불가리아 레프</t>
  </si>
  <si>
    <t>Болгарский лев</t>
  </si>
  <si>
    <t>柬埔寨里尔</t>
  </si>
  <si>
    <t>柬埔寨瑞爾</t>
  </si>
  <si>
    <t>カンボジア・リエル</t>
  </si>
  <si>
    <t>Riel camboyano</t>
  </si>
  <si>
    <t>Kambodschanischer Riel</t>
  </si>
  <si>
    <t>Riel cambodgien</t>
  </si>
  <si>
    <t>Riel cambogiano</t>
  </si>
  <si>
    <t>캄보디아 리엘</t>
  </si>
  <si>
    <t>Камбоджийский риель</t>
  </si>
  <si>
    <t>加拿大元</t>
  </si>
  <si>
    <t>加幣</t>
  </si>
  <si>
    <t>カナダ・ドル</t>
  </si>
  <si>
    <t>Dólar canadiense</t>
  </si>
  <si>
    <t>Kanadischer Dollar</t>
  </si>
  <si>
    <t>Dollar canadien</t>
  </si>
  <si>
    <t>Dollaro canadese</t>
  </si>
  <si>
    <t>캐나다 달러</t>
  </si>
  <si>
    <t>Канадский доллар</t>
  </si>
  <si>
    <t>智利比绍</t>
  </si>
  <si>
    <t>智利披索</t>
  </si>
  <si>
    <t>チリ・ペソ</t>
  </si>
  <si>
    <t>Peso chileno</t>
  </si>
  <si>
    <t>Chilenischer Peso</t>
  </si>
  <si>
    <t>Peso chilien</t>
  </si>
  <si>
    <t>Peso cileno</t>
  </si>
  <si>
    <t>칠레 페소</t>
  </si>
  <si>
    <t>Чилийский песо</t>
  </si>
  <si>
    <t>中国人民币元</t>
  </si>
  <si>
    <t>中國人民幣</t>
  </si>
  <si>
    <t>中国元</t>
  </si>
  <si>
    <t>Yuan Chino Renminbi</t>
  </si>
  <si>
    <t>Chinesischer Yuan Renminbi</t>
  </si>
  <si>
    <t>Yuan renminbi chinois</t>
  </si>
  <si>
    <t>Renminbi yuan cinese</t>
  </si>
  <si>
    <t>중국 위안</t>
  </si>
  <si>
    <t>Китайский юань</t>
  </si>
  <si>
    <t>哥伦比亚比绍</t>
  </si>
  <si>
    <t>哥倫比亞披索</t>
  </si>
  <si>
    <t>コロンビア・ペソ</t>
  </si>
  <si>
    <t>Peso colombiano</t>
  </si>
  <si>
    <t>Kolumbianischer Peso</t>
  </si>
  <si>
    <t>Peso colombien</t>
  </si>
  <si>
    <t>콜롬비아 페소</t>
  </si>
  <si>
    <t>Колумбийский песо</t>
  </si>
  <si>
    <t>哥斯达黎加科朗</t>
  </si>
  <si>
    <t>哥斯大黎加科朗</t>
  </si>
  <si>
    <t>コスタリカコロン</t>
  </si>
  <si>
    <t>Colón costarricense</t>
  </si>
  <si>
    <t>Costa-Rica-Colón</t>
  </si>
  <si>
    <t>Colon costaricien</t>
  </si>
  <si>
    <t>Colón costaricano</t>
  </si>
  <si>
    <t>코스타리카 콜론</t>
  </si>
  <si>
    <t>Костариканский колон</t>
  </si>
  <si>
    <t>克罗地亚库纳</t>
  </si>
  <si>
    <t>克羅埃西亞庫納</t>
  </si>
  <si>
    <t>クロアチアクーナ</t>
  </si>
  <si>
    <t>Kuna croata</t>
  </si>
  <si>
    <t>Kroatische Kuna</t>
  </si>
  <si>
    <t>Kuna croate</t>
  </si>
  <si>
    <t>크로아티아 쿠나</t>
  </si>
  <si>
    <t>Хорватская куна</t>
  </si>
  <si>
    <t>捷克克朗</t>
  </si>
  <si>
    <t>チェコ・コルナ</t>
  </si>
  <si>
    <t>Corona checa</t>
  </si>
  <si>
    <t>Tschechische Krone</t>
  </si>
  <si>
    <t>Couronne tchèque</t>
  </si>
  <si>
    <t>Corona ceca</t>
  </si>
  <si>
    <t>체코 코루나</t>
  </si>
  <si>
    <t>Чешская крона</t>
  </si>
  <si>
    <t>丹麦克朗</t>
  </si>
  <si>
    <t>丹麥克朗</t>
  </si>
  <si>
    <t>デンマーク・クローネ</t>
  </si>
  <si>
    <t>Corona danesa</t>
  </si>
  <si>
    <t>Dänische Krone</t>
  </si>
  <si>
    <t>Couronne danoise</t>
  </si>
  <si>
    <t>Corona danese</t>
  </si>
  <si>
    <t>덴마크 크로네</t>
  </si>
  <si>
    <t>Датская крона</t>
  </si>
  <si>
    <t>多米尼加比索</t>
  </si>
  <si>
    <t>多明尼加披索</t>
  </si>
  <si>
    <t>ドミニカペソ</t>
  </si>
  <si>
    <t>Peso dominicano</t>
  </si>
  <si>
    <t>Dominikanischer Peso</t>
  </si>
  <si>
    <t>Peso dominicain</t>
  </si>
  <si>
    <t>도미니카 페소</t>
  </si>
  <si>
    <t>Доминиканский песо</t>
  </si>
  <si>
    <t>埃及镑</t>
  </si>
  <si>
    <t>埃及鎊</t>
  </si>
  <si>
    <t>エジプトポンド</t>
  </si>
  <si>
    <t>Libra egipcia</t>
  </si>
  <si>
    <t>Ägyptisches Pfund</t>
  </si>
  <si>
    <t>Livre égyptienne</t>
  </si>
  <si>
    <t>Sterlina egiziana</t>
  </si>
  <si>
    <t>이집트 파운드</t>
  </si>
  <si>
    <t>Египетский фунт</t>
  </si>
  <si>
    <t>格鲁吉亚拉里</t>
  </si>
  <si>
    <t>喬治亞拉裡</t>
  </si>
  <si>
    <t>ジョージア　ラリ</t>
  </si>
  <si>
    <t>Lari georgiano</t>
  </si>
  <si>
    <t>Georgischer Lari</t>
  </si>
  <si>
    <t>Lari géorgien</t>
  </si>
  <si>
    <t>조지아 라리</t>
  </si>
  <si>
    <t>Грузинский лари</t>
  </si>
  <si>
    <t>危地马拉格查尔</t>
  </si>
  <si>
    <t>瓜地馬拉格查爾</t>
  </si>
  <si>
    <t>グアテマラケツァール</t>
  </si>
  <si>
    <t>Quetzal guatemalteco</t>
  </si>
  <si>
    <t>Guatemaltekischer Quetzal</t>
  </si>
  <si>
    <t>Quetzal guatémaltèque</t>
  </si>
  <si>
    <t>과테말라 케찰</t>
  </si>
  <si>
    <t>Гватемальский кетсаль</t>
  </si>
  <si>
    <t>洪都拉斯伦皮拉</t>
  </si>
  <si>
    <t>洪都拉斯倫皮拉</t>
  </si>
  <si>
    <t>ホンジュラスレンピラ</t>
  </si>
  <si>
    <t>Lempira hondureño</t>
  </si>
  <si>
    <t>Lempira</t>
  </si>
  <si>
    <t>Lempira hondurien</t>
  </si>
  <si>
    <t>Lempira honduregna</t>
  </si>
  <si>
    <t>온두라스 렘피라</t>
  </si>
  <si>
    <t>Гондурасская лемпира</t>
  </si>
  <si>
    <t>港元</t>
  </si>
  <si>
    <t>港幣</t>
  </si>
  <si>
    <t>香港ドル</t>
  </si>
  <si>
    <t>Dólar hongkonés</t>
  </si>
  <si>
    <t>Hongkong-Dollar</t>
  </si>
  <si>
    <t>Dollar de Hong Kong</t>
  </si>
  <si>
    <t>Dollaro di Hong Kong</t>
  </si>
  <si>
    <t>홍콩 달러</t>
  </si>
  <si>
    <t>Гонконгский доллар</t>
  </si>
  <si>
    <t>匈牙利福林</t>
  </si>
  <si>
    <t>ハンガリーフォリント</t>
  </si>
  <si>
    <t>Florín húngaro</t>
  </si>
  <si>
    <t>Forint</t>
  </si>
  <si>
    <t>Forint hongrois</t>
  </si>
  <si>
    <t>Fiorino ungherese</t>
  </si>
  <si>
    <t>헝가리 포린트</t>
  </si>
  <si>
    <t>Венгерский форинт</t>
  </si>
  <si>
    <t>冰岛克朗</t>
  </si>
  <si>
    <t>冰島克朗</t>
  </si>
  <si>
    <t>アイスランドクローナ</t>
  </si>
  <si>
    <t>Corona islandesa</t>
  </si>
  <si>
    <t>Isländische Krone</t>
  </si>
  <si>
    <t>Couronne islandaise</t>
  </si>
  <si>
    <t>Corona islandese</t>
  </si>
  <si>
    <t>아이슬란드 크로나</t>
  </si>
  <si>
    <t>Исландская крона</t>
  </si>
  <si>
    <t>印度卢比</t>
  </si>
  <si>
    <t>印度盧比</t>
  </si>
  <si>
    <t>インド・ルピー</t>
  </si>
  <si>
    <t>Rupia india</t>
  </si>
  <si>
    <t>Indische Rupie</t>
  </si>
  <si>
    <t>Roupie indienne</t>
  </si>
  <si>
    <t>Rupia indiana</t>
  </si>
  <si>
    <t>인도 루피</t>
  </si>
  <si>
    <t>Индийская рупия</t>
  </si>
  <si>
    <t>印度尼西亚盾</t>
  </si>
  <si>
    <t>印尼盾</t>
  </si>
  <si>
    <t>インドネシア・ルピア</t>
  </si>
  <si>
    <t>Rupia indonesia</t>
  </si>
  <si>
    <t>Indonesische Rupiah</t>
  </si>
  <si>
    <t>Roupie indonésienne</t>
  </si>
  <si>
    <t>Rupia indonesiana</t>
  </si>
  <si>
    <t>인도네시아 루피아</t>
  </si>
  <si>
    <t>Индонезийская рупия</t>
  </si>
  <si>
    <t>约旦第纳尔</t>
  </si>
  <si>
    <t>約旦第納爾</t>
  </si>
  <si>
    <t>ヨルダンディナール</t>
  </si>
  <si>
    <t>Dinar jordano</t>
  </si>
  <si>
    <t>Jordanischer Dinar</t>
  </si>
  <si>
    <t>Dinar jordanien</t>
  </si>
  <si>
    <t>Dinaro giordano</t>
  </si>
  <si>
    <t>요르단 디나르</t>
  </si>
  <si>
    <t>Иорданский динар</t>
  </si>
  <si>
    <t>哈萨克斯坦坚戈</t>
  </si>
  <si>
    <t>哈薩克坦吉</t>
  </si>
  <si>
    <t>カザフスタンテンゲ</t>
  </si>
  <si>
    <t>Tenge kazajo</t>
  </si>
  <si>
    <t>Tenge</t>
  </si>
  <si>
    <t>Tenge kazakh</t>
  </si>
  <si>
    <t>Tenge kazako</t>
  </si>
  <si>
    <t>카자흐스탄 텡게</t>
  </si>
  <si>
    <t>Казахстанский тенге</t>
  </si>
  <si>
    <t>肯尼亚先令</t>
  </si>
  <si>
    <t>肯亞先令</t>
  </si>
  <si>
    <t>ケニアシリング</t>
  </si>
  <si>
    <t>Chelín keniano</t>
  </si>
  <si>
    <t>Kenia-Schilling</t>
  </si>
  <si>
    <t>Shilling kenyan</t>
  </si>
  <si>
    <t>Scellino keniota</t>
  </si>
  <si>
    <t>케냐 실링</t>
  </si>
  <si>
    <t>Кенийский шиллинг</t>
  </si>
  <si>
    <t>科威特第纳尔</t>
  </si>
  <si>
    <t>科威特第納爾</t>
  </si>
  <si>
    <t>クウェートディナール</t>
  </si>
  <si>
    <t>Dinar kuwaití</t>
  </si>
  <si>
    <t>Kuwait-Dinar</t>
  </si>
  <si>
    <t>Dinar koweïtien</t>
  </si>
  <si>
    <t>Dinaro kuwaitiano</t>
  </si>
  <si>
    <t>쿠웨이트 디나르</t>
  </si>
  <si>
    <t>Кувейтский динар</t>
  </si>
  <si>
    <t>吉尔吉斯斯坦索姆</t>
  </si>
  <si>
    <t>吉爾吉斯斯坦索姆</t>
  </si>
  <si>
    <t>キルギス　ソム</t>
  </si>
  <si>
    <t>Som kirguís</t>
  </si>
  <si>
    <t>Kirgistan-Som</t>
  </si>
  <si>
    <t>Som du Kirghizistan</t>
  </si>
  <si>
    <t>Som kirghiso</t>
  </si>
  <si>
    <t>키르기스스탄 솜</t>
  </si>
  <si>
    <t>Киргизский сом</t>
  </si>
  <si>
    <t>马其顿代纳尔</t>
  </si>
  <si>
    <t>馬其頓第納爾</t>
  </si>
  <si>
    <t>マケドニアディナール</t>
  </si>
  <si>
    <t>Denar macedonio</t>
  </si>
  <si>
    <t>Mazedonischer Denar</t>
  </si>
  <si>
    <t>Denar macédonien</t>
  </si>
  <si>
    <t>Denaro macedone</t>
  </si>
  <si>
    <t>마케도니아 데나르</t>
  </si>
  <si>
    <t>Македонский денар</t>
  </si>
  <si>
    <t>马来西亚令吉</t>
  </si>
  <si>
    <t>馬來西亞林吉特</t>
  </si>
  <si>
    <t>マレーシア・リンギット</t>
  </si>
  <si>
    <t>Ringgit malayo</t>
  </si>
  <si>
    <t>Malaysischer Ringgit</t>
  </si>
  <si>
    <t>Ringgit malaisien</t>
  </si>
  <si>
    <t>Ringgit malaysiano</t>
  </si>
  <si>
    <t>말레이시아 링깃</t>
  </si>
  <si>
    <t>Малазийский ринггит</t>
  </si>
  <si>
    <t>墨西哥比索</t>
  </si>
  <si>
    <t>墨西哥披索</t>
  </si>
  <si>
    <t>メキシコ・ペソ</t>
  </si>
  <si>
    <t>Peso mexicano</t>
  </si>
  <si>
    <t>Mexikanischer Peso</t>
  </si>
  <si>
    <t>Peso mexicain</t>
  </si>
  <si>
    <t>Peso messicano</t>
  </si>
  <si>
    <t>멕시코 페소</t>
  </si>
  <si>
    <t>Мексиканский песо</t>
  </si>
  <si>
    <t>摩尔多瓦列伊</t>
  </si>
  <si>
    <t>莫爾達瓦列伊</t>
  </si>
  <si>
    <t>モルドバ　レウ</t>
  </si>
  <si>
    <t>Leu moldavo</t>
  </si>
  <si>
    <t>Moldau-Leu</t>
  </si>
  <si>
    <t>Leu moldave</t>
  </si>
  <si>
    <t>몰도바 레우</t>
  </si>
  <si>
    <t>Молдавский лей</t>
  </si>
  <si>
    <t>蒙古图格里克</t>
  </si>
  <si>
    <t>蒙古圖格裡克</t>
  </si>
  <si>
    <t>モンゴル・トゥグルグ</t>
  </si>
  <si>
    <t>Tugrik mongol</t>
  </si>
  <si>
    <t>Mongolischer Tugrik</t>
  </si>
  <si>
    <t>Tugrik mongolien</t>
  </si>
  <si>
    <t>Tugrik mongolo</t>
  </si>
  <si>
    <t>몽고 투그릭</t>
  </si>
  <si>
    <t>Монгольский тугрик</t>
  </si>
  <si>
    <t>摩洛哥迪拉姆</t>
  </si>
  <si>
    <t>モロッコ　ディルハム</t>
  </si>
  <si>
    <t>Dirham marroquí</t>
  </si>
  <si>
    <t>Marokkanischer Dirham</t>
  </si>
  <si>
    <t>Dirham marocain</t>
  </si>
  <si>
    <t>Dirham marocchino</t>
  </si>
  <si>
    <t>모로코 디르함</t>
  </si>
  <si>
    <t>Марокканский дирхам</t>
  </si>
  <si>
    <t>以色列新谢克尔</t>
  </si>
  <si>
    <t>以色列新謝克爾</t>
  </si>
  <si>
    <t>イスラエル新シェケル</t>
  </si>
  <si>
    <t>Nuevo shéquel israelí</t>
  </si>
  <si>
    <t>Schekel</t>
  </si>
  <si>
    <t>Nouveau shekel israélien</t>
  </si>
  <si>
    <t>Nuovo shekel israeliano</t>
  </si>
  <si>
    <t>이스라엘 신 셰켈</t>
  </si>
  <si>
    <t>Новый израильский шекель</t>
  </si>
  <si>
    <t>新台币</t>
  </si>
  <si>
    <t>新臺幣</t>
  </si>
  <si>
    <t>ニュー台湾ドル</t>
  </si>
  <si>
    <t>Nuevo dólar taiwanés</t>
  </si>
  <si>
    <t>Neuer Taiwan-Dollar</t>
  </si>
  <si>
    <t>Nouveau dollar taïwanais</t>
  </si>
  <si>
    <t>Nuovo dollaro taiwanese</t>
  </si>
  <si>
    <t>뉴타이완달러</t>
  </si>
  <si>
    <t>Новый тайваньский доллар</t>
  </si>
  <si>
    <t>新西兰元</t>
  </si>
  <si>
    <t>紐幣</t>
  </si>
  <si>
    <t>ニュージーランド・ドル</t>
  </si>
  <si>
    <t>Nuevo dólar neozelandés</t>
  </si>
  <si>
    <t>Neuseeländischer Dollar</t>
  </si>
  <si>
    <t>Dollar néo-zélandais</t>
  </si>
  <si>
    <t>Dollaro neozelandese</t>
  </si>
  <si>
    <t>뉴질랜드 달러</t>
  </si>
  <si>
    <t>Новозеландский доллар</t>
  </si>
  <si>
    <t>挪威克朗</t>
  </si>
  <si>
    <t>ノルウェー・クローネ</t>
  </si>
  <si>
    <t>Corona noruega</t>
  </si>
  <si>
    <t>Norwegische Krone</t>
  </si>
  <si>
    <t>Couronne norvégienne</t>
  </si>
  <si>
    <t>Corona norvegese</t>
  </si>
  <si>
    <t>노르웨이 크로네</t>
  </si>
  <si>
    <t>Норвежская крона</t>
  </si>
  <si>
    <t>阿曼里亚尔</t>
  </si>
  <si>
    <t>阿曼裡亞爾</t>
  </si>
  <si>
    <t>オマーン　リアル</t>
  </si>
  <si>
    <t>Rial omaní</t>
  </si>
  <si>
    <t>Omanischer Rial</t>
  </si>
  <si>
    <t>Rial omanais</t>
  </si>
  <si>
    <t>Rial dell'Oman</t>
  </si>
  <si>
    <t>오만 리알</t>
  </si>
  <si>
    <t>Оманский риал</t>
  </si>
  <si>
    <t>巴基斯坦卢比</t>
  </si>
  <si>
    <t>巴基斯坦盧比</t>
  </si>
  <si>
    <t>パキスタンルピー</t>
  </si>
  <si>
    <t>Rupia paquistaní</t>
  </si>
  <si>
    <t>Pakistanische Rupie</t>
  </si>
  <si>
    <t>Roupie pakistanaise</t>
  </si>
  <si>
    <t>Rupia pakistana</t>
  </si>
  <si>
    <t>파키스탄 루피</t>
  </si>
  <si>
    <t>Пакистанская рупия</t>
  </si>
  <si>
    <t>巴拿马巴波亚</t>
  </si>
  <si>
    <t>巴拿馬巴爾波</t>
  </si>
  <si>
    <t>パナマバルボア</t>
  </si>
  <si>
    <t>Balboa panameño</t>
  </si>
  <si>
    <t>Panamaischer Balboa</t>
  </si>
  <si>
    <t>Balboa panaméen</t>
  </si>
  <si>
    <t>Balboa panamense</t>
  </si>
  <si>
    <t>파나마 발보아</t>
  </si>
  <si>
    <t>Панамский бальбоа</t>
  </si>
  <si>
    <t>秘鲁索尔</t>
  </si>
  <si>
    <t>秘魯索爾</t>
  </si>
  <si>
    <t>ペルー　ソル</t>
  </si>
  <si>
    <t>Sol peruano</t>
  </si>
  <si>
    <t>Peruanischer Sol</t>
  </si>
  <si>
    <t>Sol péruvien</t>
  </si>
  <si>
    <t>Sol peruviano</t>
  </si>
  <si>
    <t>페루 솔</t>
  </si>
  <si>
    <t>Перуанский соль</t>
  </si>
  <si>
    <t>菲律宾比绍</t>
  </si>
  <si>
    <t>菲律賓披索</t>
  </si>
  <si>
    <t>フィリピン・ペソ</t>
  </si>
  <si>
    <t>Peso filipino</t>
  </si>
  <si>
    <t>Philippinischer Peso</t>
  </si>
  <si>
    <t>Peso philippin</t>
  </si>
  <si>
    <t>Peso filippino</t>
  </si>
  <si>
    <t>필리핀 페소</t>
  </si>
  <si>
    <t>Филиппинский песо</t>
  </si>
  <si>
    <t>波兰兹罗提</t>
  </si>
  <si>
    <t>波蘭茲羅提</t>
  </si>
  <si>
    <t>ポーランド・ズウォティ</t>
  </si>
  <si>
    <t>Zloty polaco</t>
  </si>
  <si>
    <t>Polnischer Zloty</t>
  </si>
  <si>
    <t>Zloty polonais</t>
  </si>
  <si>
    <t>Zloty polacco</t>
  </si>
  <si>
    <t>폴란드 즐로티</t>
  </si>
  <si>
    <t>Польский злотый</t>
  </si>
  <si>
    <t>卡塔尔里亚尔</t>
  </si>
  <si>
    <t>卡達裡亞爾</t>
  </si>
  <si>
    <t>カタールリヤル</t>
  </si>
  <si>
    <t>Rial qatarí</t>
  </si>
  <si>
    <t>Katar-Riyal</t>
  </si>
  <si>
    <t>riyal du Qatar</t>
  </si>
  <si>
    <t>Riyal del Qatar</t>
  </si>
  <si>
    <t>카타르 리알</t>
  </si>
  <si>
    <t>Катарский риал</t>
  </si>
  <si>
    <t>罗马尼亚列伊</t>
  </si>
  <si>
    <t>羅馬尼亞列伊</t>
  </si>
  <si>
    <t>ルーマニアレウ</t>
  </si>
  <si>
    <t>Leu rumano</t>
  </si>
  <si>
    <t>Rumänischer Leu</t>
  </si>
  <si>
    <t>Leu roumain</t>
  </si>
  <si>
    <t>Leu romeno</t>
  </si>
  <si>
    <t>루마니아 레우</t>
  </si>
  <si>
    <t>Румынский лей</t>
  </si>
  <si>
    <t>俄罗斯卢布</t>
  </si>
  <si>
    <t>俄羅斯盧布</t>
  </si>
  <si>
    <t>ロシアルーブル</t>
  </si>
  <si>
    <t>Rublo Ruso</t>
  </si>
  <si>
    <t>Russischer Rubel</t>
  </si>
  <si>
    <t>Rouble russe</t>
  </si>
  <si>
    <t>Rublo russo</t>
  </si>
  <si>
    <t>러시아 루블</t>
  </si>
  <si>
    <t>Российский рубль</t>
  </si>
  <si>
    <t>萨摩亚塔拉</t>
  </si>
  <si>
    <t>薩摩亞塔拉</t>
  </si>
  <si>
    <t>サモア　タラ</t>
  </si>
  <si>
    <t>Tala samoano</t>
  </si>
  <si>
    <t>Samoanischer Tala</t>
  </si>
  <si>
    <t>Tala de Samoa</t>
  </si>
  <si>
    <t>사모아 탈라</t>
  </si>
  <si>
    <t>Самоанская тала</t>
  </si>
  <si>
    <t>沙特阿拉伯里亚尔</t>
  </si>
  <si>
    <t>沙烏地里亞爾</t>
  </si>
  <si>
    <t>サウジアラビアリヤル</t>
  </si>
  <si>
    <t>Riyal saudí</t>
  </si>
  <si>
    <t>Saudi-Riyal</t>
  </si>
  <si>
    <t>Riyal saoudien</t>
  </si>
  <si>
    <t>Riyal saudita</t>
  </si>
  <si>
    <t>사우디아라비아 리얄</t>
  </si>
  <si>
    <t>Саудовский риал</t>
  </si>
  <si>
    <t>塞尔维亚第纳尔</t>
  </si>
  <si>
    <t>塞爾維亞第納爾</t>
  </si>
  <si>
    <t>セルビアディナール</t>
  </si>
  <si>
    <t>Dinar serbio</t>
  </si>
  <si>
    <t>Serbischer Dinar</t>
  </si>
  <si>
    <t>Dinar serbe</t>
  </si>
  <si>
    <t>Dinaro serbo</t>
  </si>
  <si>
    <t>세르비아 디나르</t>
  </si>
  <si>
    <t>Сербский динар</t>
  </si>
  <si>
    <t>新加坡元</t>
  </si>
  <si>
    <t>新加坡幣</t>
  </si>
  <si>
    <t>シンガポール・ドル</t>
  </si>
  <si>
    <t>Dólar de Singapur</t>
  </si>
  <si>
    <t>Singapur-Dollar</t>
  </si>
  <si>
    <t>Dollar singapourien</t>
  </si>
  <si>
    <t>Dollaro di Singapore</t>
  </si>
  <si>
    <t>싱가포르 달러</t>
  </si>
  <si>
    <t>Сингапурский доллар</t>
  </si>
  <si>
    <t>南非兰特</t>
  </si>
  <si>
    <t>南非蘭特</t>
  </si>
  <si>
    <t>南アフリカ・ランド</t>
  </si>
  <si>
    <t>Rand sudafricano</t>
  </si>
  <si>
    <t>Südafrikanischer Rand</t>
  </si>
  <si>
    <t>Rand sud-africain</t>
  </si>
  <si>
    <t>남아프리카 랜드</t>
  </si>
  <si>
    <t>Южноафриканский ранд</t>
  </si>
  <si>
    <t>韩元</t>
  </si>
  <si>
    <t>韓圜</t>
  </si>
  <si>
    <t>韓国ウォン</t>
  </si>
  <si>
    <t>Won surcoreano</t>
  </si>
  <si>
    <t>Südkoreanischer Won</t>
  </si>
  <si>
    <t>Won sud-coréen</t>
  </si>
  <si>
    <t>Won sudcoreano</t>
  </si>
  <si>
    <t>대한민국 원</t>
  </si>
  <si>
    <t>Южнокорейская вона</t>
  </si>
  <si>
    <t>斯里兰卡卢比</t>
  </si>
  <si>
    <t>斯里蘭卡盧比</t>
  </si>
  <si>
    <t>スリランカ・ルピー</t>
  </si>
  <si>
    <t>Rupia de Sri Lanka</t>
  </si>
  <si>
    <t>Sri Lanka Rupie</t>
  </si>
  <si>
    <t>Roupie du Sri Lanka</t>
  </si>
  <si>
    <t>Rupia dello Sri Lanka</t>
  </si>
  <si>
    <t>스리랑카 루피</t>
  </si>
  <si>
    <t>Шри-Ланкийская рупия</t>
  </si>
  <si>
    <t>瑞典克朗</t>
  </si>
  <si>
    <t>スウェーデン・クローナ</t>
  </si>
  <si>
    <t>Corona sueca</t>
  </si>
  <si>
    <t>Schwedische Krone</t>
  </si>
  <si>
    <t>Couronne suédoise</t>
  </si>
  <si>
    <t>Corona svedese</t>
  </si>
  <si>
    <t>스웨덴 크로네</t>
  </si>
  <si>
    <t>Шведская крона</t>
  </si>
  <si>
    <t>瑞士法郎</t>
  </si>
  <si>
    <t>スイス・フラン</t>
  </si>
  <si>
    <t>Franco suizo</t>
  </si>
  <si>
    <t>Schweizer Franken</t>
  </si>
  <si>
    <t>Franc suisse</t>
  </si>
  <si>
    <t>Franco svizzero</t>
  </si>
  <si>
    <t>스위스 프랑</t>
  </si>
  <si>
    <t>Швейцарский франк</t>
  </si>
  <si>
    <t>塔吉克索莫尼</t>
  </si>
  <si>
    <t>タジキスタン　ソモニ</t>
  </si>
  <si>
    <t>Somoni tayiko</t>
  </si>
  <si>
    <t>Tadschikischer Somoni</t>
  </si>
  <si>
    <t>Somoni tadjik</t>
  </si>
  <si>
    <t>Somoni tagiko</t>
  </si>
  <si>
    <t>타지크 소모니</t>
  </si>
  <si>
    <t>Таджикский сомони</t>
  </si>
  <si>
    <t>泰铢</t>
  </si>
  <si>
    <t>泰銖</t>
  </si>
  <si>
    <t>タイ・バーツ</t>
  </si>
  <si>
    <t>Baht tailandés</t>
  </si>
  <si>
    <t>Thailändischer Baht</t>
  </si>
  <si>
    <t>Baht thaïlandais</t>
  </si>
  <si>
    <t>Baht thailandese</t>
  </si>
  <si>
    <t>태국 바트</t>
  </si>
  <si>
    <t>Тайский бат</t>
  </si>
  <si>
    <t>突尼斯第纳尔</t>
  </si>
  <si>
    <t>突尼斯第納爾</t>
  </si>
  <si>
    <t>チュニジア　ディナール</t>
  </si>
  <si>
    <t>Dinar tunecino</t>
  </si>
  <si>
    <t>Tunesischer Dinar</t>
  </si>
  <si>
    <t>Dinar tunisien</t>
  </si>
  <si>
    <t>Dinaro tunisino</t>
  </si>
  <si>
    <t>튀니지 디나르</t>
  </si>
  <si>
    <t>Тунисский динар</t>
  </si>
  <si>
    <t>土耳其里拉</t>
  </si>
  <si>
    <t>トルコリラ</t>
  </si>
  <si>
    <t>Lira turca</t>
  </si>
  <si>
    <t>Türkische Lira</t>
  </si>
  <si>
    <t>Livre turque</t>
  </si>
  <si>
    <t>터키 리라</t>
  </si>
  <si>
    <t>Турецкая лира</t>
  </si>
  <si>
    <t>土库曼斯坦马纳特</t>
  </si>
  <si>
    <t>土庫曼斯坦馬納特</t>
  </si>
  <si>
    <t>トルクメニスタン　マナト</t>
  </si>
  <si>
    <t>Manat turcomano</t>
  </si>
  <si>
    <t>Turkmenistan-Manat</t>
  </si>
  <si>
    <t>Manat turkmène</t>
  </si>
  <si>
    <t>Manat turkmeno</t>
  </si>
  <si>
    <t>투르크메니스탄 마나트</t>
  </si>
  <si>
    <t>Туркменский манат</t>
  </si>
  <si>
    <t>UAE Dirham</t>
  </si>
  <si>
    <t>阿联酋迪拉姆</t>
  </si>
  <si>
    <t>阿拉伯聯合大公國迪拉姆</t>
  </si>
  <si>
    <t>UAEディルハム</t>
  </si>
  <si>
    <t>Dirham de los Emiratos Árabes Unidos</t>
  </si>
  <si>
    <t>VAE-Dirham</t>
  </si>
  <si>
    <t>Dirham émirati</t>
  </si>
  <si>
    <t>Dirham degli Emirati Arabi Uniti</t>
  </si>
  <si>
    <t>아랍에미리트 디르함</t>
  </si>
  <si>
    <t>Дирхам ОАЭ</t>
  </si>
  <si>
    <t>乌克兰格里夫纳</t>
  </si>
  <si>
    <t>烏克蘭赫伐尼亞</t>
  </si>
  <si>
    <t>ウクライナフリヴニャ</t>
  </si>
  <si>
    <t>Grivna ucraniana</t>
  </si>
  <si>
    <t>Hrywnja</t>
  </si>
  <si>
    <t>Hryvnia ukrainienne</t>
  </si>
  <si>
    <t>Grivnia ucraina</t>
  </si>
  <si>
    <t>우크라이나 흐리브냐</t>
  </si>
  <si>
    <t>Украинская гривна</t>
  </si>
  <si>
    <t>乌兹别克斯坦索姆</t>
  </si>
  <si>
    <t>烏茲別克斯坦蘇姆</t>
  </si>
  <si>
    <t>ウズベキスタン　ソム</t>
  </si>
  <si>
    <t>Som Uzbeko</t>
  </si>
  <si>
    <t>Usbekischer Som</t>
  </si>
  <si>
    <t>Som d'Ouzbékistan</t>
  </si>
  <si>
    <t>Som uzbeko</t>
  </si>
  <si>
    <t>우즈베키스탄 솜</t>
  </si>
  <si>
    <t>Узбекский сум</t>
  </si>
  <si>
    <t>Venezuelan Bolívar</t>
  </si>
  <si>
    <t>委内瑞拉玻利瓦尔</t>
  </si>
  <si>
    <t>委內瑞拉玻利瓦爾</t>
  </si>
  <si>
    <t>ベネズエラボリバル</t>
  </si>
  <si>
    <t>Bolívar Venezolano</t>
  </si>
  <si>
    <t>Venezolanischer Bolívar</t>
  </si>
  <si>
    <t>Bolivar vénézuélien</t>
  </si>
  <si>
    <t>Bolívar venezuelano</t>
  </si>
  <si>
    <t>베네수엘라 볼리바르</t>
  </si>
  <si>
    <t>Венесуэльский боливар</t>
  </si>
  <si>
    <t>越南盾</t>
  </si>
  <si>
    <t>ベトナム・ドン</t>
  </si>
  <si>
    <t>Dong vietnamita</t>
  </si>
  <si>
    <t>Vietnamesischer Dong</t>
  </si>
  <si>
    <t>Dong vietnamien</t>
  </si>
  <si>
    <t>베트남 동</t>
  </si>
  <si>
    <t>Вьетнамский дун</t>
  </si>
  <si>
    <t>Venezuelan Bolivar</t>
  </si>
  <si>
    <t>美元</t>
  </si>
  <si>
    <t>米国ドル</t>
  </si>
  <si>
    <t>Dólar estadounidense</t>
  </si>
  <si>
    <t>US-Dollar</t>
  </si>
  <si>
    <t>Dollar américain</t>
  </si>
  <si>
    <t>Dollaro statunitense</t>
  </si>
  <si>
    <t>미국 달러</t>
  </si>
  <si>
    <t>Доллар США</t>
  </si>
  <si>
    <t>实际值</t>
  </si>
  <si>
    <t>實際值</t>
  </si>
  <si>
    <t>現物</t>
  </si>
  <si>
    <t>Valores reales</t>
  </si>
  <si>
    <t>Ist-Werte</t>
  </si>
  <si>
    <t>Résultats réels</t>
  </si>
  <si>
    <t>Effettivi</t>
  </si>
  <si>
    <t>실제</t>
  </si>
  <si>
    <t>Фактические данные</t>
  </si>
  <si>
    <t>千</t>
  </si>
  <si>
    <t>Millares</t>
  </si>
  <si>
    <t>in Tausend</t>
  </si>
  <si>
    <t>Milliers</t>
  </si>
  <si>
    <t>Migliaia</t>
  </si>
  <si>
    <t>천</t>
  </si>
  <si>
    <t>Тысячи</t>
  </si>
  <si>
    <t>百万</t>
  </si>
  <si>
    <t>百萬</t>
  </si>
  <si>
    <t>Millones</t>
  </si>
  <si>
    <t>in Millionen</t>
  </si>
  <si>
    <t>Milioni</t>
  </si>
  <si>
    <t>백만</t>
  </si>
  <si>
    <t>Миллионы</t>
  </si>
  <si>
    <t>十亿</t>
  </si>
  <si>
    <t>十億</t>
  </si>
  <si>
    <t>Miles de millones</t>
  </si>
  <si>
    <t>in Milliarden</t>
  </si>
  <si>
    <t>Milliards</t>
  </si>
  <si>
    <t>Miliardi</t>
  </si>
  <si>
    <t>십억</t>
  </si>
  <si>
    <t>Миллиарды</t>
  </si>
  <si>
    <t>万亿</t>
  </si>
  <si>
    <t>萬億</t>
  </si>
  <si>
    <t>兆</t>
  </si>
  <si>
    <t>Billones</t>
  </si>
  <si>
    <t>in Billionen</t>
  </si>
  <si>
    <t>Migliaia di miliardi</t>
  </si>
  <si>
    <t>조</t>
  </si>
  <si>
    <t>Триллионы</t>
  </si>
  <si>
    <t>MI标准</t>
  </si>
  <si>
    <t>MI 標準</t>
  </si>
  <si>
    <t>MI標準</t>
  </si>
  <si>
    <t>Estándar de MI</t>
  </si>
  <si>
    <t>MI-Standard</t>
  </si>
  <si>
    <t>Standard MI</t>
  </si>
  <si>
    <t>MI 표준</t>
  </si>
  <si>
    <t>Стандарт MI</t>
  </si>
  <si>
    <t>MIstandard</t>
  </si>
  <si>
    <t>Passo 7: Selecione o método de cálculo para Δ de capital de giro</t>
  </si>
  <si>
    <t>Passo 8: Clique no botão «ATUALIZAR FOLHA".</t>
  </si>
  <si>
    <t>Всего собственного капитала</t>
  </si>
  <si>
    <t>кроме данных на акцию</t>
  </si>
  <si>
    <t>REFRESH SHEET</t>
  </si>
  <si>
    <t>Libra esterlina britânica</t>
  </si>
  <si>
    <t>Iene japonês</t>
  </si>
  <si>
    <t>Dólar americano</t>
  </si>
  <si>
    <t>Afegão de afegão</t>
  </si>
  <si>
    <t>Lek albanês</t>
  </si>
  <si>
    <t>Dram armênio</t>
  </si>
  <si>
    <t>Dolar australiano</t>
  </si>
  <si>
    <t>Manat do Azerbaijão</t>
  </si>
  <si>
    <t>Dólar das Bahamas</t>
  </si>
  <si>
    <t>Dinar do Bahrein</t>
  </si>
  <si>
    <t>Taka de Bangladesh</t>
  </si>
  <si>
    <t>Rublo bielorrusso</t>
  </si>
  <si>
    <t>Marcos conversíveis da Bósnia</t>
  </si>
  <si>
    <t>Real  Brasileiro</t>
  </si>
  <si>
    <t>Riel cambojano</t>
  </si>
  <si>
    <t>Dólar canadense</t>
  </si>
  <si>
    <t>Pesos chilenos</t>
  </si>
  <si>
    <t>Yuan Renminbi Chinês</t>
  </si>
  <si>
    <t>Colón costa-riquenho</t>
  </si>
  <si>
    <t>Coroa Tcheca</t>
  </si>
  <si>
    <t>Coroa dinamarquesa</t>
  </si>
  <si>
    <t>Peso Dominicano</t>
  </si>
  <si>
    <t>Quetzal da Guatemala</t>
  </si>
  <si>
    <t>Lempira hondurenha</t>
  </si>
  <si>
    <t>Dólar de Hong Kong</t>
  </si>
  <si>
    <t>Forint hungaro</t>
  </si>
  <si>
    <t>Krona islandesa</t>
  </si>
  <si>
    <t>Rupia Indiana</t>
  </si>
  <si>
    <t>Rúpia da Indonésia</t>
  </si>
  <si>
    <t>Dinar jordaniano</t>
  </si>
  <si>
    <t>Cazaquistão Tenge</t>
  </si>
  <si>
    <t>Xelim queniano</t>
  </si>
  <si>
    <t>Dinar Koweitiano</t>
  </si>
  <si>
    <t>Denar macedônio</t>
  </si>
  <si>
    <t>Ringgit da Malásia</t>
  </si>
  <si>
    <t>Peso Mexico</t>
  </si>
  <si>
    <t>Leu da Moldávia</t>
  </si>
  <si>
    <t>Tugrik da Mongólia</t>
  </si>
  <si>
    <t>Dirham marroquino</t>
  </si>
  <si>
    <t>Novo Shekel Israelita</t>
  </si>
  <si>
    <t>Novo dólar taiwanês</t>
  </si>
  <si>
    <t>Dólar da Nova Zelândia</t>
  </si>
  <si>
    <t>Coroa norueguesa</t>
  </si>
  <si>
    <t>Rial de Omã</t>
  </si>
  <si>
    <t>Rúpia do Paquistão</t>
  </si>
  <si>
    <t>Balboa panamenho</t>
  </si>
  <si>
    <t>Rial Catariano</t>
  </si>
  <si>
    <t>Rial saudita</t>
  </si>
  <si>
    <t>Dinar sérvio</t>
  </si>
  <si>
    <t>Dólar de Singapura</t>
  </si>
  <si>
    <t>Rands Sul-Africanos</t>
  </si>
  <si>
    <t>Won sul-coreano</t>
  </si>
  <si>
    <t>Rúpia do Sri Lanka</t>
  </si>
  <si>
    <t>Franco suiço</t>
  </si>
  <si>
    <t>Tadjique somoni</t>
  </si>
  <si>
    <t>Baht tailandês</t>
  </si>
  <si>
    <t>Dinar tunisino</t>
  </si>
  <si>
    <t xml:space="preserve">Manat de Turcomenistão </t>
  </si>
  <si>
    <t>Dirham dos EAU</t>
  </si>
  <si>
    <t xml:space="preserve">Hryvnia da Ucrânia </t>
  </si>
  <si>
    <t>Som do Uzbequistão</t>
  </si>
  <si>
    <t>Dong da Vietnã</t>
  </si>
  <si>
    <t>Efetivos</t>
  </si>
  <si>
    <t>Milhares</t>
  </si>
  <si>
    <t>Milhões</t>
  </si>
  <si>
    <t>Bilhões</t>
  </si>
  <si>
    <t>Trilhões</t>
  </si>
  <si>
    <t>Source: S&amp;P Capital IQ Pro</t>
  </si>
  <si>
    <t>来源：S&amp;P Capital IQ Pro</t>
  </si>
  <si>
    <t>來源：S&amp;P Capital IQ Pro</t>
  </si>
  <si>
    <t>出典：S&amp;P Capital IQ Pro</t>
  </si>
  <si>
    <t>Fuente: S&amp;P Capital IQ Pro</t>
  </si>
  <si>
    <t>Quelle: S&amp;P Capital IQ Pro</t>
  </si>
  <si>
    <t>Source : S&amp;P Capital IQ Pro </t>
  </si>
  <si>
    <t>Fonte: S&amp;P Capital IQ Pro</t>
  </si>
  <si>
    <t>출처 : S&amp;P Capital IQ Pro</t>
  </si>
  <si>
    <t>Источник: Данные предоставлены компанией S&amp;P Capital IQ Pro</t>
  </si>
  <si>
    <t>Fonte : S&amp;P Capital IQ Pro</t>
  </si>
  <si>
    <t>Step 1: Enter Trading Symbol-Exchange / Entity ID / CIQ ID in Cell L13.</t>
  </si>
  <si>
    <t>步骤1：在单元格L13中输入交易符号 - 交换/ Entity ID / CIQ ID。</t>
  </si>
  <si>
    <t>步驟1：在儲存格L13中輸入交易符號 - 交換/ Entity ID / CIQ ID。</t>
  </si>
  <si>
    <t>ステップ1：セルL13に取引シンボル交換/ Entity ID / CIQ IDを入力します。</t>
  </si>
  <si>
    <t>Paso 1: Ingrese Trading Symbol-Exchange / Entity ID / CIQ ID en la celda L13.</t>
  </si>
  <si>
    <t>1 단계 : 셀 L13에 종목 코드 / Entity ID / CIQ ID를 입력합니다.</t>
  </si>
  <si>
    <t>Passo 1: Digite o símbolo de negociação-bolsa / Entity ID / CIQ ID na Célula L13.</t>
  </si>
  <si>
    <t>Schritt 1: Geben Sie in Zelle L13 die Handelssymbol-Börse / Entity-ID / CIQ-ID ein.</t>
  </si>
  <si>
    <t>Étape 1: Entrez l'ID de symbole de négociation / d'échange / Entity / CIQ dans la cellule L13.</t>
  </si>
  <si>
    <t>Passaggio 1: immettere lo scambio di simboli / ID Entity / ID CIQ nella cella L13.</t>
  </si>
  <si>
    <t>Шаг 1: Введите торговый символ компании Focus-Exchange / идентификатор Entity / идентификатор CIQ.</t>
  </si>
  <si>
    <t>Please contact S&amp;P Capital IQ Pro Support with any questions or comments:</t>
  </si>
  <si>
    <t>如有任何问题或意见，请联系 S&amp;P Capital IQ Pro 支持部门：</t>
  </si>
  <si>
    <t>如有任何問題或意見，請聯絡 S&amp;P Capital IQ Pro 支援部門：</t>
  </si>
  <si>
    <t>質問やコメントがあればS&amp;P Capital IQ Proサポートにご連絡ください。</t>
  </si>
  <si>
    <t>Por favor, póngase en contacto con el Servicio de asistencia técnica de S&amp;P Capital IQ Pro si tiene alguna pregunta o comentario:</t>
  </si>
  <si>
    <t>Bei Fragen oder Anregungen wenden Sie sich bitte an den S&amp;P Capital IQ Pro Support:</t>
  </si>
  <si>
    <t>Pour toute question ou remarque, contactez le support de S&amp;P Capital IQ Pro:</t>
  </si>
  <si>
    <t>Si prega di contattare il supporto S&amp;P Capital IQ Pro per qualsiasi domanda o commento:</t>
  </si>
  <si>
    <t>문의 사항이나 의견이 있으면 아래 S&amp;P Capital IQ Pro 지원 부서로 연락하십시오.</t>
  </si>
  <si>
    <t>Пожалуйста, свяжитесь со службой поддержки S&amp;P Capital IQ Pro по любым вопросам или комментариям:</t>
  </si>
  <si>
    <t>Por favor, entre em contato com o Suporte de S&amp;P Capital IQ Pro em caso de dúvidas ou comentários:</t>
  </si>
  <si>
    <t>1) Select S&amp;P Capital IQ Pro Add-In manual refresh option.</t>
  </si>
  <si>
    <t>1）选择S&amp;P Capital IQ Pro加载项手动刷新选项。</t>
  </si>
  <si>
    <t>1）選擇S&amp;P Capital IQ Pro加載項手動刷新選項。</t>
  </si>
  <si>
    <t>1）S&amp;P Capital IQ Proアドインの手動更新オプションを選択します。</t>
  </si>
  <si>
    <t>1) Seleccione la opción de actualización manual de S&amp;P Capital IQ Pro Add-In.</t>
  </si>
  <si>
    <t>1) Wählen Sie die manuelle Aktualisierungsoption für das S&amp;P Capital IQ Pro-Add-In.</t>
  </si>
  <si>
    <t>1) Sélectionnez l'option d'actualisation manuelle du complément S&amp;P Capital IQ Pro.</t>
  </si>
  <si>
    <t>1) S&amp;P Capital IQ Pro Add-In 수동 새로 고침 옵션을 선택하십시오.</t>
  </si>
  <si>
    <t>1) Выберите вариант обновления вручную надстройки S&amp;P Capital IQ Pro.</t>
  </si>
  <si>
    <t>1) Selecione a opção de atualização manual do suplemento do S&amp;P Capital IQ Pro.</t>
  </si>
  <si>
    <t>1) Selezionare l'opzione di aggiornamento manuale del componente aggiuntivo di S&amp;P Capital IQ Pro.</t>
  </si>
  <si>
    <t>1) S&amp;P Capital IQ Pro calculates WACC based on the most recent annual/quarterly reporting period,</t>
  </si>
  <si>
    <t>1）S&amp;P Capital IQ Pro根据最近的年度/季度报告期计算加权平均资本成本，</t>
  </si>
  <si>
    <t>1）S&amp;P Capital IQ Pro根據最近的年度/季度報告期計算加權平均資本成本，</t>
  </si>
  <si>
    <t>1）S&amp;P Capital IQ Pro は直近年度・四半期の報告に基づいてWACCを算出し、</t>
  </si>
  <si>
    <t>1) S&amp;P Capital IQ Pro calcula el costo de capital medio ponderado en función del período de informe anual / trimestral más reciente,</t>
  </si>
  <si>
    <t>1) S&amp;P Capital IQ Pro berechnet den WACC auf der Grundlage des letzten Jahres-/Quartalsberichtszeitraums,</t>
  </si>
  <si>
    <t>1) S&amp;P Capital IQ Pro calcule le WACC sur la base de la période de rapport annuel/trimestriel la plus récente,</t>
  </si>
  <si>
    <t>1) S&amp;P Capital IQ Pro calcola il WACC sulla base dell'ultimo periodo di riferimetno annuale/trimestrale</t>
  </si>
  <si>
    <t>1) S&amp;P Capital IQ Pro рассчитывает Средневзвешенную стоимость капитала (WACC) на основе последнего годового/квартального отчетного периода,</t>
  </si>
  <si>
    <t>1) A S&amp;P Capital IQ Pro calcula o WACC com base no Exercício Financeiro anual/trimestral mais recente,</t>
  </si>
  <si>
    <t>support.CapIQPro@spglobal.com</t>
  </si>
  <si>
    <t>(Format: FYyyyy - FY2012; FQqyyyy - FQ32013)</t>
  </si>
  <si>
    <t>（格式：FYyyyy - FY2012; FQqyyyy - FQ32013）</t>
  </si>
  <si>
    <t>（格式：FYyyyy - FY2012; FQqyyyy - FQ32013)</t>
  </si>
  <si>
    <t>(フォーマット：FYyyyy - FY2012; FQqyyyy - FQ32013)</t>
  </si>
  <si>
    <t>(Formato: FYyyyy - FY2012; FQqyyyy - FQ32013)</t>
  </si>
  <si>
    <t>(Formate: FYyyyy - FY2012; FQqyyyy - FQ32013)</t>
  </si>
  <si>
    <t>(서식: FYyyyy - FY2012; FQqyyyy - FQ32013)</t>
  </si>
  <si>
    <t>(Формат: FYyyyy - FY2012; FQqyyyy - FQ32013)</t>
  </si>
  <si>
    <t>Bursa Malaysia Finance Index</t>
  </si>
  <si>
    <t>Israel TA-35</t>
  </si>
  <si>
    <t>IQ_EBITDA_LEASE_ADJUSTED</t>
  </si>
  <si>
    <t>IQ_LEASE_ADJUSTMENT_EBITDA</t>
  </si>
  <si>
    <t>IQ_RUA_GROSS</t>
  </si>
  <si>
    <t>IQ_RUA_OPERATING_LEASE_GROSS</t>
  </si>
  <si>
    <t>Lease Adjustment for EBITDA</t>
  </si>
  <si>
    <t>Capital Expenditure</t>
  </si>
  <si>
    <t>Right-of-Use Assets: Gross</t>
  </si>
  <si>
    <t>Operating Lease Right-of-Use Assets: Gross</t>
  </si>
  <si>
    <t>EBITDA, Lease Adjusted</t>
  </si>
  <si>
    <t>息税折旧摊销前利润,已调整租赁</t>
  </si>
  <si>
    <t>息稅折舊攤銷前利潤 ,已調整租賃</t>
  </si>
  <si>
    <t>EBITDA, ajusté au bail</t>
  </si>
  <si>
    <t>EBITDA, mietbereinigt</t>
  </si>
  <si>
    <t>EBITDA, rettificato per locazioni</t>
  </si>
  <si>
    <t>EBITDA(リース調整後)</t>
  </si>
  <si>
    <t>EBITDA, Скорректированная на лизинг</t>
  </si>
  <si>
    <t>EBITDA, Ajustado por el arrendamiento</t>
  </si>
  <si>
    <t>EBITDA, 리스 조정</t>
  </si>
  <si>
    <t>EBITDA, ajuste de leasing</t>
  </si>
  <si>
    <t>Less: Capital Expenditures and Additional Lease</t>
  </si>
  <si>
    <t>减：资本支出和额外租赁</t>
  </si>
  <si>
    <t>減：資本支出和額外租賃</t>
  </si>
  <si>
    <t>Dépenses d'Investissement et Bail Supplémentaire</t>
  </si>
  <si>
    <t>Abzüglich: Investitionsausgaben und zusätzliche Leasingverträge</t>
  </si>
  <si>
    <t>Meno: Spese in conto capitale e leasing aggiuntivi</t>
  </si>
  <si>
    <t>-設備投資及び追加リース</t>
  </si>
  <si>
    <t>Минус: капитальные затраты и дополнительная аренда</t>
  </si>
  <si>
    <t>Menos: Gastos de Capital y Arrendamiento Adicional</t>
  </si>
  <si>
    <t>감소: 자본 지출 및 추가 임대</t>
  </si>
  <si>
    <t>Menos: Despesas de Capital e Arrendamento Adicional</t>
  </si>
  <si>
    <t>IQ_EBIT</t>
  </si>
  <si>
    <t xml:space="preserve">Copyright © </t>
  </si>
  <si>
    <t xml:space="preserve">版权所有 © </t>
  </si>
  <si>
    <t xml:space="preserve">著作權 © </t>
  </si>
  <si>
    <t xml:space="preserve">著作権 © </t>
  </si>
  <si>
    <t xml:space="preserve">Derechos de autor © </t>
  </si>
  <si>
    <t xml:space="preserve">Urheberrecht © </t>
  </si>
  <si>
    <t xml:space="preserve">Droit d'auteur © </t>
  </si>
  <si>
    <t xml:space="preserve">Diritto d’autore © </t>
  </si>
  <si>
    <t xml:space="preserve">저작권 © </t>
  </si>
  <si>
    <t xml:space="preserve">Авторские права © </t>
  </si>
  <si>
    <t>Copyright ©</t>
  </si>
  <si>
    <t>S&amp;P Global Market Intelligence LLC (y sus afiliados, según corresponda): todos los derechos reservados</t>
  </si>
  <si>
    <t>S&amp;P Global Market Intelligence LLC (and its affiliates as applicable) – All rights reserved.</t>
  </si>
  <si>
    <t>S&amp;P Global Market Intelligence LLC（及其附属公司，如适用） - 保留所有权利。</t>
  </si>
  <si>
    <t>S&amp;P Global Market Intelligence LLC（當可適用時，包括其關係企業） – 保留所有權利。 </t>
  </si>
  <si>
    <t>S&amp;P Global Market Intelligence LLC (および該当する場合はその関連会社) – 無断複写・転載を禁じます。  </t>
  </si>
  <si>
    <t>S&amp;P Global Market Intelligence LLC (und seine verbundenen Unternehmen, falls zutreffend) - Alle Rechte vorbehalten</t>
  </si>
  <si>
    <t>S&amp;P Global Market Intelligence LLC (et ses filiales, le cas échéant) - Tous droits réservés</t>
  </si>
  <si>
    <t>S&amp;P Global Market Intelligence LLC (e le sue affiliate a seconda dei casi) - Tutti i diritti riservati</t>
  </si>
  <si>
    <t>S&amp;P Global Market Intelligence LLC (및 그의 계열사) – 모든 권리 본사 소유</t>
  </si>
  <si>
    <t>S&amp;P Global Market Intelligence LLC (и его ассоциированные общества, если применимо) - Все права защищены</t>
  </si>
  <si>
    <t>S&amp;P Global Market Intelligence LLC (e suas afiliadas conforme aplicável) - Todos os direitos reservados.</t>
  </si>
  <si>
    <t>This model and/or any data in it are provided subject to the written agreement of S&amp;P Global Market Intelligence LLC governing the subscription service to which this model is applied.</t>
  </si>
  <si>
    <t>S&amp;P Global Market Intelligence LLC 就应用本模型的订阅服务签订了书面协议，本模型和/或其中的任何数据均依据这些协议提供。</t>
  </si>
  <si>
    <t>此模型及 / 或其內所含任何資料之提供，係依據 S&amp;P Global Market Intelligence LLC 針對此模型所應用訂閱服務而簽訂之書面協議為之。</t>
  </si>
  <si>
    <t>本モデルおよび/またはモデル内のあらゆるデータは、本モデルが適用される定期購読サービスを管理するS&amp;P Global Market Intelligence LLCの書面契約書に従って提供されます。</t>
  </si>
  <si>
    <t>Este modelo y/o cualquier dato que contenga están sujetos al acuerdo por escrito de S&amp;P Global Market Intelligence LLC que rige el servicio de suscripción al que se aplica este modelo.</t>
  </si>
  <si>
    <t>Dieses Modell und/oder alle darin enthaltenen Daten werden vorbehaltlich der schriftlichen Vereinbarung von S&amp;P Global Market Intelligence LLC über den Abonnementdienst, auf den dieses Modell angewendet wird, bereitgestellt.</t>
  </si>
  <si>
    <t>Ce modèle et / ou toutes les données qu'il contient sont fournis sous réserve de l'accord écrit de S&amp;P Global Market Intelligence LLC régissant le service d'abonnement auquel ce modèle est appliqué.</t>
  </si>
  <si>
    <t>Questo modello e/o qualsiasi dato in esso contenuto sono forniti previo accordo scritto di S&amp;P Global Market Intelligence LLC che disciplina il servizio di abbonamento a cui questo modello è applicato.</t>
  </si>
  <si>
    <t>본 모델 또는 관련 데이터는 본 모델의 구독 서비스를 관리하는 S&amp;P Global Market Intelligence LLC와 맺은 서면 계약에 따라 제공됩니다.</t>
  </si>
  <si>
    <t>Эта модель и/или любые данные в ней предоставляются при наличии письменного соглашения S&amp;P Global Market Intelligence LLC, регулирующего службу подписки, к которой применяется эта модель.</t>
  </si>
  <si>
    <t>Este modelo e/ou quaisquer dados nele contidos são fornecidos de acordo com o contrato por escrito da S&amp;P Global Market Intelligence LLC que rege o serviço de assinatura ao qual este modelo é aplicado.</t>
  </si>
  <si>
    <t>Step 4: Enter peers for beta generation.</t>
  </si>
  <si>
    <t>FY0</t>
  </si>
  <si>
    <t>FY-1</t>
  </si>
  <si>
    <t>FY-2</t>
  </si>
  <si>
    <t>FY-3</t>
  </si>
  <si>
    <t>FY-4</t>
  </si>
  <si>
    <t>FY-5</t>
  </si>
  <si>
    <t>IQ_FISCAL_Y</t>
  </si>
  <si>
    <t>FQ0</t>
  </si>
  <si>
    <t>Step 2: Enter date for analysis.</t>
  </si>
  <si>
    <t>步骤 2：输入分析日期。</t>
  </si>
  <si>
    <t>步驟 2：輸入分析日期。</t>
  </si>
  <si>
    <t>ステップ 2: 分析する日付を入力します。</t>
  </si>
  <si>
    <t>Paso 2: Ingrese la fecha para el análisis.</t>
  </si>
  <si>
    <t>Schritt 2: Geben Sie das Datum für die Analyse ein.</t>
  </si>
  <si>
    <t>Étape 2 : Saisissez la date d'analyse.</t>
  </si>
  <si>
    <t>Passaggio 2: inserire la data per l'analisi.</t>
  </si>
  <si>
    <t>2단계: 분석 날짜를 입력합니다.</t>
  </si>
  <si>
    <t>Шаг 2: Введите дату анализа.</t>
  </si>
  <si>
    <t>Passo 2: Insira a data para análise.</t>
  </si>
  <si>
    <t>NYSE:ORCL</t>
  </si>
  <si>
    <t>Cost of Preferred Equity, and Market Return.</t>
  </si>
  <si>
    <t>优先股成本和市场回报。</t>
  </si>
  <si>
    <t>優先股成本和市場回報。</t>
  </si>
  <si>
    <t>優先株式のコストと市場収益。</t>
  </si>
  <si>
    <t>Costo de acciones preferentes y rentabilidad del mercado.</t>
  </si>
  <si>
    <t>Kosten des Vorzugskapitals und Marktrendite.</t>
  </si>
  <si>
    <t>Coût des actions privilégiées et rendement du marché.</t>
  </si>
  <si>
    <t>Costo dell'equità privilegiata e rendimento di mercato.</t>
  </si>
  <si>
    <t>우선주 비용 및 시장 수익률.</t>
  </si>
  <si>
    <t>Стоимость привилегированного капитала и рыночная доходность.</t>
  </si>
  <si>
    <t>Custo de ações preferenciais e retorno de mercado.</t>
  </si>
  <si>
    <t>Risk-free Rate Manual Overide ►</t>
  </si>
  <si>
    <t>无风险利率手动覆盖 ►</t>
  </si>
  <si>
    <t>無風險利率手動覆蓋 ►</t>
  </si>
  <si>
    <t>リスクフリーレートの手動オーバーライド ►</t>
  </si>
  <si>
    <t>Cambio manual de tasa libre de riesgo ►</t>
  </si>
  <si>
    <t>Manuelle Überschreibung des risikofreien Zinssatzes ►</t>
  </si>
  <si>
    <t>Annulation manuelle du taux sans risque ►</t>
  </si>
  <si>
    <t>Overide manuale del tasso privo di rischio ►</t>
  </si>
  <si>
    <t>무위험 비율 수동 오버라이드 ►</t>
  </si>
  <si>
    <t>Ручной обход безрисковой ставки ►</t>
  </si>
  <si>
    <t>Substituição manual de taxa sem risco ►</t>
  </si>
  <si>
    <t>Market Return Manual Overide ►</t>
  </si>
  <si>
    <t>市场回报手动覆盖 ►</t>
  </si>
  <si>
    <t>市場回報手動覆蓋 ►</t>
  </si>
  <si>
    <t>マーケットリターンマニュアルオーバーライド ►</t>
  </si>
  <si>
    <t>Reemplazo manual de retorno de mercado ►</t>
  </si>
  <si>
    <t>Marktrendite-Handbuch überschreiben ►</t>
  </si>
  <si>
    <t>Remplacement manuel du rendement du marché ►</t>
  </si>
  <si>
    <t>Rendimento di mercato Overide manuale ►</t>
  </si>
  <si>
    <t>시장 수익률 수동 오버라이드 ►</t>
  </si>
  <si>
    <t>Рыночная доходность вручную ►</t>
  </si>
  <si>
    <t>Substituição manual de retorno de mercado ►</t>
  </si>
  <si>
    <t>Cost of Debt Manual Overide ►</t>
  </si>
  <si>
    <t>债务成本手动覆盖 ►</t>
  </si>
  <si>
    <t>債務成本手動覆蓋 ►</t>
  </si>
  <si>
    <t>負債コストの手動上書き ►</t>
  </si>
  <si>
    <t>Anulación del Manual del Costo de la Deuda ►</t>
  </si>
  <si>
    <t>Manuelle Überschreibung der Schuldenkosten ►</t>
  </si>
  <si>
    <t>Annulation manuelle du coût de la dette ►</t>
  </si>
  <si>
    <t>Overide manuale del costo del debito ►</t>
  </si>
  <si>
    <t>부채 수동 재정의 비용 ►</t>
  </si>
  <si>
    <t>Стоимость долга в ручном режиме ►</t>
  </si>
  <si>
    <t>Custo da Dívida Substituição Manual ►</t>
  </si>
  <si>
    <t>Cost of Preferred Equity Manual Overide ►</t>
  </si>
  <si>
    <t>优先股成本手动覆盖 ►</t>
  </si>
  <si>
    <t>優先股成本手動覆蓋 ►</t>
  </si>
  <si>
    <t>優先株式のコストの手動上書き ►</t>
  </si>
  <si>
    <t>Costo de anulación del manual de capital preferente ►</t>
  </si>
  <si>
    <t>Kosten des Vorzugsaktienhandbuchs ►</t>
  </si>
  <si>
    <t>Remplacement manuel du coût des actions privilégiées ►</t>
  </si>
  <si>
    <t>Costo dell'equità privilegiata Overide manuale ►</t>
  </si>
  <si>
    <t>우선주 비용 수동 대체 ►</t>
  </si>
  <si>
    <t>Ручная корректировка стоимости привилегированных акций ►</t>
  </si>
  <si>
    <t>Custo de Substituição Manual de Capital Preferencial ►</t>
  </si>
  <si>
    <t>IQ_CURRENT_PORT_LEASES</t>
  </si>
  <si>
    <t>FY-6</t>
  </si>
  <si>
    <t>Current Portion of Leases</t>
  </si>
  <si>
    <t>目前部分租賃</t>
  </si>
  <si>
    <t>Текущая часть аренды</t>
  </si>
  <si>
    <t>当前部分租赁</t>
  </si>
  <si>
    <t>リースの1年以内の部分</t>
  </si>
  <si>
    <t>Porción actual de arrendamientos</t>
  </si>
  <si>
    <t>Aktueller Anteil der Mietverträge</t>
  </si>
  <si>
    <t>Portion actuelle des baux</t>
  </si>
  <si>
    <t>Porzione attuale di locazioni</t>
  </si>
  <si>
    <t>현재 임대 부분</t>
  </si>
  <si>
    <t>Parcela Atual de Locações</t>
  </si>
  <si>
    <t>Peer 1</t>
  </si>
  <si>
    <t>同行 1</t>
  </si>
  <si>
    <t>Pares 1</t>
  </si>
  <si>
    <t>Vergleichsunternehmen 1</t>
  </si>
  <si>
    <t>homologues 1</t>
  </si>
  <si>
    <t>pari 1</t>
  </si>
  <si>
    <t>경쟁사 1</t>
  </si>
  <si>
    <t>Аналогичные компании 1</t>
  </si>
  <si>
    <t>Peer 2</t>
  </si>
  <si>
    <t>同行 2</t>
  </si>
  <si>
    <t>Pares 2</t>
  </si>
  <si>
    <t>Vergleichsunternehmen 2</t>
  </si>
  <si>
    <t>homologues 2</t>
  </si>
  <si>
    <t>pari 2</t>
  </si>
  <si>
    <t>경쟁사 2</t>
  </si>
  <si>
    <t>Аналогичные компании 2</t>
  </si>
  <si>
    <t>Peer 3</t>
  </si>
  <si>
    <t>同行 3</t>
  </si>
  <si>
    <t>Pares 3</t>
  </si>
  <si>
    <t>Vergleichsunternehmen 3</t>
  </si>
  <si>
    <t>homologues 3</t>
  </si>
  <si>
    <t>pari 3</t>
  </si>
  <si>
    <t>경쟁사 3</t>
  </si>
  <si>
    <t>Аналогичные компании 3</t>
  </si>
  <si>
    <t>Peer 4</t>
  </si>
  <si>
    <t>同行 4</t>
  </si>
  <si>
    <t>Pares 4</t>
  </si>
  <si>
    <t>Vergleichsunternehmen 4</t>
  </si>
  <si>
    <t>homologues 4</t>
  </si>
  <si>
    <t>pari 4</t>
  </si>
  <si>
    <t>경쟁사 4</t>
  </si>
  <si>
    <t>Аналогичные компании 4</t>
  </si>
  <si>
    <t>Peer 5</t>
  </si>
  <si>
    <t>同行 5</t>
  </si>
  <si>
    <t>Pares 5</t>
  </si>
  <si>
    <t>Vergleichsunternehmen 5</t>
  </si>
  <si>
    <t>homologues 5</t>
  </si>
  <si>
    <t>pari 5</t>
  </si>
  <si>
    <t>경쟁사 5</t>
  </si>
  <si>
    <t>Аналогичные компании 5</t>
  </si>
  <si>
    <t>Peer 6</t>
  </si>
  <si>
    <t>同行 6</t>
  </si>
  <si>
    <t>Pares 6</t>
  </si>
  <si>
    <t>Vergleichsunternehmen 6</t>
  </si>
  <si>
    <t>homologues 6</t>
  </si>
  <si>
    <t>pari 6</t>
  </si>
  <si>
    <t>경쟁사 6</t>
  </si>
  <si>
    <t>Аналогичные компании 6</t>
  </si>
  <si>
    <t>Auto-generated Peers</t>
  </si>
  <si>
    <t>自动生成的可比公司</t>
  </si>
  <si>
    <t>自動產生的可比公司</t>
  </si>
  <si>
    <t>自動生成されたピア</t>
  </si>
  <si>
    <t>Pares generados automáticamente</t>
  </si>
  <si>
    <t>Automatisch generierte Peers</t>
  </si>
  <si>
    <t>Pairs générés automatiquement</t>
  </si>
  <si>
    <t>Peer generati automaticamente</t>
  </si>
  <si>
    <t>자동 생성된 피어</t>
  </si>
  <si>
    <t>Автоматически сгенерированные пиры</t>
  </si>
  <si>
    <t>Pares gerados automaticamente</t>
  </si>
  <si>
    <t>Exclude or Override Peers</t>
  </si>
  <si>
    <t>排除或覆盖可比公司</t>
  </si>
  <si>
    <t>排除或覆蓋可比公司</t>
  </si>
  <si>
    <t>ピアを除外または上書き</t>
  </si>
  <si>
    <t>Excluir o anular pares</t>
  </si>
  <si>
    <t>Peers ausschließen oder überschreiben</t>
  </si>
  <si>
    <t>Exclure ou remplacer des pairs</t>
  </si>
  <si>
    <t>Escludi o sostituisci i peer</t>
  </si>
  <si>
    <t>피어 제외 또는 재정의</t>
  </si>
  <si>
    <t>Исключить или переопределить пиры</t>
  </si>
  <si>
    <t>Excluir ou substituir pares</t>
  </si>
  <si>
    <t>&gt;To exclude, put an asterisk (*) in their corresponding adjacent yellow cells.</t>
  </si>
  <si>
    <t>&gt;若要排除，请在其对应的相邻黄色单元格中输入星号 (*)。</t>
  </si>
  <si>
    <t>&gt;若要排除，請在其對應的相鄰黃色單元格中輸入星號 (*)。</t>
  </si>
  <si>
    <t>&gt;除外するには、対応する隣接する黄色のセルにアスタリスク (*) を入力します。</t>
  </si>
  <si>
    <t>&gt;Para excluir, coloque un asterisco (*) en las celdas amarillas adyacentes correspondientes.</t>
  </si>
  <si>
    <t>&gt;Zum Ausschließen setzen Sie ein Sternchen (*) in die entsprechenden angrenzenden gelben Zellen.</t>
  </si>
  <si>
    <t>&gt;Pour exclure, mettez un astérisque (*) dans les cellules jaunes adjacentes correspondantes.</t>
  </si>
  <si>
    <t>&gt;Per escludere, inserisci un asterisco (*) nelle celle gialle adiacenti corrispondenti.</t>
  </si>
  <si>
    <t>&gt;제외하려면 해당 인접한 노란색 셀에 별표(*)를 입력합니다.</t>
  </si>
  <si>
    <t>&gt;Чтобы исключить, поставьте звездочку (*) в соответствующих им соседних желтых ячейках.</t>
  </si>
  <si>
    <t>&gt;Para excluir, coloque um asterisco (*) nas células amarelas adjacentes correspondentes.</t>
  </si>
  <si>
    <t>&gt;To override, enter Trading Symbol &amp; Exchange of desired peers in their corresponding adjacent yellow cells.</t>
  </si>
  <si>
    <t>&gt;若要覆盖，请在其对应的相邻黄色单元格中输入所需同行的交易代码和交易所。</t>
  </si>
  <si>
    <t>&gt;若要覆蓋，請在其對應的相鄰黃色單元格中輸入所需同業的交易代碼和交易所。</t>
  </si>
  <si>
    <t>&gt;上書きするには、対応する隣接する黄色のセルに希望するピアの取引シンボルと取引所を入力します。</t>
  </si>
  <si>
    <t>&gt;Para anular, ingrese el símbolo comercial y la bolsa de los pares deseados en las celdas amarillas adyacentes correspondientes.</t>
  </si>
  <si>
    <t>&gt;Zum Überschreiben geben Sie das Handelssymbol und die Börse der gewünschten Peers in die entsprechenden angrenzenden gelben Zellen ein.</t>
  </si>
  <si>
    <t>&gt;Pour remplacer, entrez le symbole boursier et la bourse des pairs souhaités dans les cellules jaunes adjacentes correspondantes.</t>
  </si>
  <si>
    <t>&gt;Per sostituirli, inserisci il simbolo di trading e la borsa dei peer desiderati nelle celle gialle adiacenti corrispondenti.</t>
  </si>
  <si>
    <t>&gt;재정의하려면 해당 인접한 노란색 셀에 원하는 피어의 거래 기호 및 거래소를 입력합니다.</t>
  </si>
  <si>
    <t>&gt;Чтобы переопределить, введите торговый символ и биржу желаемых пиров в соответствующих им соседних желтых ячейках.</t>
  </si>
  <si>
    <t>&gt;Para substituir, insira o símbolo de negociação e a bolsa dos pares desejados nas células amarelas adjacentes correspondentes.</t>
  </si>
  <si>
    <t>(Sample format: NYSE:ORCL or BARC-LSE)</t>
  </si>
  <si>
    <t>（格式：NYSE:ORCL 或 BARC-LSE）</t>
  </si>
  <si>
    <t>(形式: NYSE:ORCL または BARC-LSE)</t>
  </si>
  <si>
    <t>(Formato: NYSE:ORCL o BARC-LSE)</t>
  </si>
  <si>
    <t>(Format: NYSE:ORCL oder BARC-LSE)</t>
  </si>
  <si>
    <t>(Format : NYSE:ORCL ou BARC-LSE)</t>
  </si>
  <si>
    <t>(형식: NYSE:ORCL 또는 BARC-LSE)</t>
  </si>
  <si>
    <t>(формата: NYSE:ORCL или BARC-LSE)</t>
  </si>
  <si>
    <t>(Formato: NYSE:ORCL ou BARC-LSE)</t>
  </si>
  <si>
    <t>Cost of Preferred Equity Manual Override ►</t>
  </si>
  <si>
    <t>Costo dell'equità privilegiata Override manuale ►</t>
  </si>
  <si>
    <t>&gt;Automatic peers are generated in Cells L22:L27.</t>
  </si>
  <si>
    <t>&gt;自动可比公司在单元格 L22:L27 中生成。</t>
  </si>
  <si>
    <t>&gt;自動可比公司在單元格 L22:L27 中產生。</t>
  </si>
  <si>
    <t>&gt;自動ピアはセル L22:L27 に生成されます。</t>
  </si>
  <si>
    <t>&gt;Los pares automáticos se generan en las celdas L22:L27.</t>
  </si>
  <si>
    <t>&gt;Automatische Peers werden in den Zellen L22:L27 generiert.</t>
  </si>
  <si>
    <t>&gt;Les pairs automatiques sont générés dans les cellules L22:L27.</t>
  </si>
  <si>
    <t>&gt;I peer automatici vengono generati nelle celle L22:L27.</t>
  </si>
  <si>
    <t>&gt;자동 피어는 셀 L22:L27에 생성됩니다.</t>
  </si>
  <si>
    <t>&gt;Автоматически пиры генерируются в ячейках L22:L27.</t>
  </si>
  <si>
    <t>&gt;Os pares automáticos são gerados nas células L22:L27.</t>
  </si>
  <si>
    <t>SPT2633671</t>
  </si>
  <si>
    <t>%</t>
  </si>
  <si>
    <t>5Y Australian Benchmark Note</t>
  </si>
  <si>
    <t>%SPT368</t>
  </si>
  <si>
    <t>5Y Austria Benchmark</t>
  </si>
  <si>
    <t>%SPT377</t>
  </si>
  <si>
    <t>5Y Belgium Benchmark Note</t>
  </si>
  <si>
    <t>%SPT389</t>
  </si>
  <si>
    <t>5Y Brazilian Benchmark Bond</t>
  </si>
  <si>
    <t>%SPT2602</t>
  </si>
  <si>
    <t>5Y Canadian Benchmark Note</t>
  </si>
  <si>
    <t>%SPT415</t>
  </si>
  <si>
    <t>5Y China Benchmark Bond</t>
  </si>
  <si>
    <t>%SPT427</t>
  </si>
  <si>
    <t>5Y Colombian Fixed Benchmark Bond</t>
  </si>
  <si>
    <t>%SPT434</t>
  </si>
  <si>
    <t>5Y Czech Republic Benchmark</t>
  </si>
  <si>
    <t>%SPT443</t>
  </si>
  <si>
    <t>5Y Denmark Benchmark Note</t>
  </si>
  <si>
    <t>%SPT455</t>
  </si>
  <si>
    <t>5Y Eurozone Benchmark</t>
  </si>
  <si>
    <t>%SPT467</t>
  </si>
  <si>
    <t>5Y Finland Benchmark</t>
  </si>
  <si>
    <t>%SPT479</t>
  </si>
  <si>
    <t>5Y French Benchmark Note</t>
  </si>
  <si>
    <t>%SPT491</t>
  </si>
  <si>
    <t>5Y German Benchmark Note</t>
  </si>
  <si>
    <t>%SPT506</t>
  </si>
  <si>
    <t>5Y Greece Benchmark</t>
  </si>
  <si>
    <t>%SPT516</t>
  </si>
  <si>
    <t>5Y Holland Benchmark Note</t>
  </si>
  <si>
    <t>%SPT642</t>
  </si>
  <si>
    <t>5Y Hong Kong Benchmark Bond</t>
  </si>
  <si>
    <t>%SPT529</t>
  </si>
  <si>
    <t>5Y India Benchmark Bond</t>
  </si>
  <si>
    <t>%SPT545</t>
  </si>
  <si>
    <t>5Y Indonesia Benchmark Bond</t>
  </si>
  <si>
    <t>%SPT555</t>
  </si>
  <si>
    <t>5Y Irish Benchmark Note</t>
  </si>
  <si>
    <t>%SPT562</t>
  </si>
  <si>
    <t>5Y Israel Benchmark</t>
  </si>
  <si>
    <t>%SPT569</t>
  </si>
  <si>
    <t>5Y Italian Benchmark Note</t>
  </si>
  <si>
    <t>%SPT578</t>
  </si>
  <si>
    <t>5Y Japanese Benchmark Note</t>
  </si>
  <si>
    <t>%SPT592</t>
  </si>
  <si>
    <t>5Y Kenya Benchmark</t>
  </si>
  <si>
    <t>%SPT605</t>
  </si>
  <si>
    <t>5Y Malaysia Benchmark Bond</t>
  </si>
  <si>
    <t>%SPT622</t>
  </si>
  <si>
    <t>5Y Mexican Benchmark Bond</t>
  </si>
  <si>
    <t>%SPT631</t>
  </si>
  <si>
    <t>5Y New Zealand Benchmark Note</t>
  </si>
  <si>
    <t>%SPT653</t>
  </si>
  <si>
    <t>5Y Norwegian Benchmark Note</t>
  </si>
  <si>
    <t>%SPT659</t>
  </si>
  <si>
    <t>5Y Philippines Benchmark Bond</t>
  </si>
  <si>
    <t>%SPT668</t>
  </si>
  <si>
    <t>5Y Portuguese Benchmark Bond</t>
  </si>
  <si>
    <t>%SPT685</t>
  </si>
  <si>
    <t>5Y Russia Benchmark</t>
  </si>
  <si>
    <t>%SPT696</t>
  </si>
  <si>
    <t>5Y Singapore Benchmark Bond</t>
  </si>
  <si>
    <t>%SPT703</t>
  </si>
  <si>
    <t>5Y South Korea Benchmark Bond</t>
  </si>
  <si>
    <t>%SPT617</t>
  </si>
  <si>
    <t>5Y Spanish Benchmark Note</t>
  </si>
  <si>
    <t>%SPT727</t>
  </si>
  <si>
    <t>5Y Swedish Benchmark Note</t>
  </si>
  <si>
    <t>%SPT741</t>
  </si>
  <si>
    <t>5Y Switzerland</t>
  </si>
  <si>
    <t>%SPT747</t>
  </si>
  <si>
    <t>5Y Taiwan Bond</t>
  </si>
  <si>
    <t>%SPT757</t>
  </si>
  <si>
    <t>5Y Thailand Bond</t>
  </si>
  <si>
    <t>%SPT761</t>
  </si>
  <si>
    <t>5Y Turkey Benchmark</t>
  </si>
  <si>
    <t>%SPT769</t>
  </si>
  <si>
    <t>5Y UK Benchmark Note</t>
  </si>
  <si>
    <t>%SPT777</t>
  </si>
  <si>
    <t>5Y US T-Note</t>
  </si>
  <si>
    <t>%SPT6</t>
  </si>
  <si>
    <t>5Y Vietnam Benchmark</t>
  </si>
  <si>
    <t>%SPT801</t>
  </si>
  <si>
    <t>10y Australian Benchmark Note</t>
  </si>
  <si>
    <t>%SPT371</t>
  </si>
  <si>
    <t>10y Austria Benchmark</t>
  </si>
  <si>
    <t>%SPT382</t>
  </si>
  <si>
    <t>10y Belgium Benchmark Note</t>
  </si>
  <si>
    <t>%SPT394</t>
  </si>
  <si>
    <t>10y Brazilian Benchmark Bond</t>
  </si>
  <si>
    <t>%SPT402</t>
  </si>
  <si>
    <t>10y Canadian Benchmark Note</t>
  </si>
  <si>
    <t>%SPT417</t>
  </si>
  <si>
    <t>10y China Benchmark Bond</t>
  </si>
  <si>
    <t>%SPT429</t>
  </si>
  <si>
    <t>10y Colombian Fixed Benchmark Bond</t>
  </si>
  <si>
    <t>%SPT435</t>
  </si>
  <si>
    <t>10y Czech Republic Benchmark</t>
  </si>
  <si>
    <t>%SPT447</t>
  </si>
  <si>
    <t>10y Denmark Benchmark Note</t>
  </si>
  <si>
    <t>%SPT457</t>
  </si>
  <si>
    <t>10y Eurozone Benchmark</t>
  </si>
  <si>
    <t>%SPT472</t>
  </si>
  <si>
    <t>10y Finland Benchmark</t>
  </si>
  <si>
    <t>%SPT482</t>
  </si>
  <si>
    <t>10y French Benchmark Note</t>
  </si>
  <si>
    <t>%SPT496</t>
  </si>
  <si>
    <t>10y German Benchmark Note</t>
  </si>
  <si>
    <t>%SPT511</t>
  </si>
  <si>
    <t>10y Greek Benchmark Note</t>
  </si>
  <si>
    <t>%SPT517</t>
  </si>
  <si>
    <t>10y Holland Benchmark Note</t>
  </si>
  <si>
    <t>%SPT647</t>
  </si>
  <si>
    <t>10y Hong Kong Benchmark Bond</t>
  </si>
  <si>
    <t>%SPT531</t>
  </si>
  <si>
    <t>10y India Benchmark Bond</t>
  </si>
  <si>
    <t>%SPT550</t>
  </si>
  <si>
    <t>10y Indonesia Benchmark Bond</t>
  </si>
  <si>
    <t>%SPT556</t>
  </si>
  <si>
    <t>10y Irish Benchmark Bond</t>
  </si>
  <si>
    <t>%SPT564</t>
  </si>
  <si>
    <t>10y Israel Benchmark</t>
  </si>
  <si>
    <t>%SPT570</t>
  </si>
  <si>
    <t>10y Italian Benchmark Note</t>
  </si>
  <si>
    <t>%SPT583</t>
  </si>
  <si>
    <t>10y Japanese Benchmark Note</t>
  </si>
  <si>
    <t>%SPT597</t>
  </si>
  <si>
    <t>10y Kenya Benchmark</t>
  </si>
  <si>
    <t>%SPT610</t>
  </si>
  <si>
    <t>10y Malaysia Benchmark Bond</t>
  </si>
  <si>
    <t>%SPT623</t>
  </si>
  <si>
    <t>10y Mexican Benchmark Bond</t>
  </si>
  <si>
    <t>%SPT633</t>
  </si>
  <si>
    <t>10y New Zealand Benchmark Note</t>
  </si>
  <si>
    <t>%SPT655</t>
  </si>
  <si>
    <t>10y Norwegian Benchmark Note</t>
  </si>
  <si>
    <t>%SPT660</t>
  </si>
  <si>
    <t>10y Philippines Benchmark Bond</t>
  </si>
  <si>
    <t>%SPT670</t>
  </si>
  <si>
    <t>10y Portuguese Benchmark Bond</t>
  </si>
  <si>
    <t>%SPT689</t>
  </si>
  <si>
    <t>10y Russia Benchmark</t>
  </si>
  <si>
    <t>%SPT697</t>
  </si>
  <si>
    <t>10y Singapore Benchmark Bond</t>
  </si>
  <si>
    <t>%SPT704</t>
  </si>
  <si>
    <t>10y South Korea Benchmark Bond</t>
  </si>
  <si>
    <t>%SPT618</t>
  </si>
  <si>
    <t>10y Spanish Benchmark Note</t>
  </si>
  <si>
    <t>%SPT732</t>
  </si>
  <si>
    <t>10y Swedish Benchmark Note</t>
  </si>
  <si>
    <t>%SPT742</t>
  </si>
  <si>
    <t>%SPT752</t>
  </si>
  <si>
    <t>%SPT758</t>
  </si>
  <si>
    <t>%SPT763</t>
  </si>
  <si>
    <t>10y Turkey Benchmark</t>
  </si>
  <si>
    <t>%SPT770</t>
  </si>
  <si>
    <t>10y UK Benchmark Note</t>
  </si>
  <si>
    <t>%SPT782</t>
  </si>
  <si>
    <t>%SPT7</t>
  </si>
  <si>
    <t>10y Vietnam Benchmark</t>
  </si>
  <si>
    <t>%SPT803</t>
  </si>
  <si>
    <t>BONDS</t>
  </si>
  <si>
    <t>PREFERRED</t>
  </si>
  <si>
    <t>As of today</t>
  </si>
  <si>
    <t>As of input date</t>
  </si>
  <si>
    <t>Final Cost of Debt</t>
  </si>
  <si>
    <t>Final Cost of Pref</t>
  </si>
  <si>
    <t>Issue Date</t>
  </si>
  <si>
    <t>Rank</t>
  </si>
  <si>
    <t>SPT313329942</t>
  </si>
  <si>
    <t>SPT32199760</t>
  </si>
  <si>
    <t>SPT46518931</t>
  </si>
  <si>
    <t>SPT20246648</t>
  </si>
  <si>
    <t>SPT50960038</t>
  </si>
  <si>
    <t>SPT313329945</t>
  </si>
  <si>
    <t>SPT128679647</t>
  </si>
  <si>
    <t>SPT316513090</t>
  </si>
  <si>
    <t>SPT20246501</t>
  </si>
  <si>
    <t>SPT50959996</t>
  </si>
  <si>
    <t>SPT36315062</t>
  </si>
  <si>
    <t>SPT316510417</t>
  </si>
  <si>
    <t>SPT313329951</t>
  </si>
  <si>
    <t>SPT54808132</t>
  </si>
  <si>
    <t>Cyprus General Index</t>
  </si>
  <si>
    <t>SPT61940193</t>
  </si>
  <si>
    <t>^DJIA</t>
  </si>
  <si>
    <t>SPT714907055</t>
  </si>
  <si>
    <t>SPT267186009</t>
  </si>
  <si>
    <t>SPT50960014</t>
  </si>
  <si>
    <t>SPT49951630</t>
  </si>
  <si>
    <t>SPT39658826</t>
  </si>
  <si>
    <t>SPT20923777</t>
  </si>
  <si>
    <t>SPT183805277</t>
  </si>
  <si>
    <t>SPT59644231</t>
  </si>
  <si>
    <t>Ghana GSE Composite Index</t>
  </si>
  <si>
    <t>SPT133201717</t>
  </si>
  <si>
    <t>SPT32199814</t>
  </si>
  <si>
    <t>SPT20246513</t>
  </si>
  <si>
    <t>SPT20246537</t>
  </si>
  <si>
    <t>^IBrX</t>
  </si>
  <si>
    <t>SPT20246462</t>
  </si>
  <si>
    <t>IGBC General Index</t>
  </si>
  <si>
    <t>SPT45746929</t>
  </si>
  <si>
    <t>SPT20246531</t>
  </si>
  <si>
    <t>SPT20246636</t>
  </si>
  <si>
    <t>ISE National All Shares 100</t>
  </si>
  <si>
    <t>SPT61995469</t>
  </si>
  <si>
    <t>SPT20246504</t>
  </si>
  <si>
    <t>SPT32199976</t>
  </si>
  <si>
    <t>Jamaica JSE All Share Index</t>
  </si>
  <si>
    <t>SPT333998460</t>
  </si>
  <si>
    <t>Jordan General</t>
  </si>
  <si>
    <t>SPT50960044</t>
  </si>
  <si>
    <t>Kenya NSE 20</t>
  </si>
  <si>
    <t>SPT50960035</t>
  </si>
  <si>
    <t>SPT33154426</t>
  </si>
  <si>
    <t>SPT316748793</t>
  </si>
  <si>
    <t>SPT62097165</t>
  </si>
  <si>
    <t>SPT228282419</t>
  </si>
  <si>
    <t>SPT50960008</t>
  </si>
  <si>
    <t>SPT316748545</t>
  </si>
  <si>
    <t>SPT380400690</t>
  </si>
  <si>
    <t>SPT380401372</t>
  </si>
  <si>
    <t>SPT380401515</t>
  </si>
  <si>
    <t>SPT380326020</t>
  </si>
  <si>
    <t>SPT380401179</t>
  </si>
  <si>
    <t>SPT50960026</t>
  </si>
  <si>
    <t>SPT2632568</t>
  </si>
  <si>
    <t>NASDAQ Financial</t>
  </si>
  <si>
    <t>SPT2632586</t>
  </si>
  <si>
    <t>Nigeria Stock Exchange All Shares Index</t>
  </si>
  <si>
    <t>SPT50960032</t>
  </si>
  <si>
    <t>SPT2634362</t>
  </si>
  <si>
    <t>SPT9777507</t>
  </si>
  <si>
    <t>SPT62111226</t>
  </si>
  <si>
    <t>SPT20246492</t>
  </si>
  <si>
    <t>SPT20246585</t>
  </si>
  <si>
    <t>SPT49951591</t>
  </si>
  <si>
    <t>SPT20246639</t>
  </si>
  <si>
    <t>SPT49951588</t>
  </si>
  <si>
    <t>SPT20246627</t>
  </si>
  <si>
    <t>SPT62504296</t>
  </si>
  <si>
    <t>SPT316748991</t>
  </si>
  <si>
    <t>SPT61940088</t>
  </si>
  <si>
    <t>SPT20246555</t>
  </si>
  <si>
    <t>SPT273484572</t>
  </si>
  <si>
    <t>SPT50960050</t>
  </si>
  <si>
    <t>SPT50026349</t>
  </si>
  <si>
    <t>SPT7653251</t>
  </si>
  <si>
    <t>SPT2596108</t>
  </si>
  <si>
    <t>SPT7674218</t>
  </si>
  <si>
    <t>SPT2589761</t>
  </si>
  <si>
    <t>SPT2653595</t>
  </si>
  <si>
    <t>SPT2596138</t>
  </si>
  <si>
    <t>SPT20246597</t>
  </si>
  <si>
    <t>SPT2658555</t>
  </si>
  <si>
    <t>SPT50026361</t>
  </si>
  <si>
    <t>SPT38807259</t>
  </si>
  <si>
    <t>SPT38807262</t>
  </si>
  <si>
    <t>SPT20246573</t>
  </si>
  <si>
    <t>SPT50959999</t>
  </si>
  <si>
    <t>SPT50960005</t>
  </si>
  <si>
    <t>SPT140310543</t>
  </si>
  <si>
    <t>SPT36315065</t>
  </si>
  <si>
    <t>SPT226680644</t>
  </si>
  <si>
    <t>SPT20246540</t>
  </si>
  <si>
    <t>SPT20246522</t>
  </si>
  <si>
    <t>SPT313322890</t>
  </si>
  <si>
    <t>SPT316748687</t>
  </si>
  <si>
    <t>TUNINDEX</t>
  </si>
  <si>
    <t>SPT545618100</t>
  </si>
  <si>
    <t>SPT228282347</t>
  </si>
  <si>
    <t>SPT50960047</t>
  </si>
  <si>
    <t>SPT20246534</t>
  </si>
  <si>
    <t>SPT316510882</t>
  </si>
  <si>
    <t>SPT50959981</t>
  </si>
  <si>
    <t>SPT274615812</t>
  </si>
  <si>
    <t>Initial check:</t>
  </si>
  <si>
    <t>初步检查：</t>
  </si>
  <si>
    <t>初步檢查：</t>
  </si>
  <si>
    <t>初期確認:</t>
  </si>
  <si>
    <t>Comprobación inicial:</t>
  </si>
  <si>
    <t>Erstkontrolle:</t>
  </si>
  <si>
    <t>Vérification initiale:</t>
  </si>
  <si>
    <t>Controllo iniziale:</t>
  </si>
  <si>
    <t>초기 확인:</t>
  </si>
  <si>
    <t>Первичная проверка:</t>
  </si>
  <si>
    <t>Verificação inicial:</t>
  </si>
  <si>
    <t>Final Peer List:</t>
  </si>
  <si>
    <t>最终可比公司名单：</t>
  </si>
  <si>
    <t>最終可比公司名單：</t>
  </si>
  <si>
    <t>最終ピアリスト:</t>
  </si>
  <si>
    <t>Lista final de pares:</t>
  </si>
  <si>
    <t>Endgültige Peer-Liste:</t>
  </si>
  <si>
    <t>Liste finale des pairs :</t>
  </si>
  <si>
    <t>Elenco finale dei pari:</t>
  </si>
  <si>
    <t>최종 피어 리스트:</t>
  </si>
  <si>
    <t>Окончательный список коллег:</t>
  </si>
  <si>
    <t>Bottom-Up-Beta</t>
  </si>
  <si>
    <t>Bêta ascendante</t>
  </si>
  <si>
    <t xml:space="preserve">Beta bottom-up </t>
  </si>
  <si>
    <t>바텀업 (Bottom-Up) 베타</t>
  </si>
  <si>
    <t>Regression Beta</t>
  </si>
  <si>
    <t>Bêta de régression</t>
  </si>
  <si>
    <t>Beta di regressione</t>
  </si>
  <si>
    <t>회기분석 Beta</t>
  </si>
  <si>
    <t>DAX (Performance)</t>
  </si>
  <si>
    <t>SPT20923780</t>
  </si>
  <si>
    <t>YTW/YTM</t>
  </si>
  <si>
    <t>YTW</t>
  </si>
  <si>
    <t>YTM</t>
  </si>
  <si>
    <t>Coupon</t>
  </si>
  <si>
    <t>Sensitivity Analysis Steps</t>
  </si>
  <si>
    <t xml:space="preserve">债务/(债务+优先股+权益) </t>
  </si>
  <si>
    <t xml:space="preserve">权益/(债务+优先股+权益) </t>
  </si>
  <si>
    <t xml:space="preserve">債務/(債務+優先股+權益) </t>
  </si>
  <si>
    <t xml:space="preserve">權益/(債務+優先股+權益) </t>
  </si>
  <si>
    <t>税引前負債コスト</t>
  </si>
  <si>
    <t>有利子負債／（有利子負債＋優先株式＋株主資本）</t>
  </si>
  <si>
    <t>自己資本コスト</t>
  </si>
  <si>
    <t>株主資本 / (有利子負債 + 優先株式 + 株主資本)</t>
  </si>
  <si>
    <t>D / (D + P + C)</t>
  </si>
  <si>
    <t>C / (D + P + C)</t>
  </si>
  <si>
    <t>S / (S + V + E)</t>
  </si>
  <si>
    <t>E / (S + V + E)</t>
  </si>
  <si>
    <t xml:space="preserve">D/(D + P + C) </t>
  </si>
  <si>
    <t>E/(D+P+C)</t>
  </si>
  <si>
    <t>E / (D + P + C)</t>
  </si>
  <si>
    <t xml:space="preserve">세전부채비용 </t>
  </si>
  <si>
    <t xml:space="preserve">자본비용 </t>
  </si>
  <si>
    <t>стоимость заемного капитала до уплаты налогов.</t>
  </si>
  <si>
    <t>стоимости собственного капитала</t>
  </si>
  <si>
    <t>敏感性分析步骤</t>
  </si>
  <si>
    <t>敏感度分析步驟</t>
  </si>
  <si>
    <t>Pasos del análisis de sensibilidad</t>
  </si>
  <si>
    <t>Schritte der Sensitivitätsanalyse</t>
  </si>
  <si>
    <t>Étapes de l'analyse de sensibilité</t>
  </si>
  <si>
    <t>Fasi dell'analisi di sensibilità</t>
  </si>
  <si>
    <t>민감도 분석 단계</t>
  </si>
  <si>
    <t>Etapas da Análise de Sensibilidade</t>
  </si>
  <si>
    <t>感度分析のステップ</t>
  </si>
  <si>
    <t>Шаг анализа чувствительности</t>
  </si>
  <si>
    <t>Portuguese</t>
  </si>
  <si>
    <t>Inglês</t>
  </si>
  <si>
    <t>Chinês simplificado</t>
  </si>
  <si>
    <t>Chinês tradicional</t>
  </si>
  <si>
    <t>Japonês</t>
  </si>
  <si>
    <t>Espanhol</t>
  </si>
  <si>
    <t>Alemão</t>
  </si>
  <si>
    <t>Francês</t>
  </si>
  <si>
    <t>Russa</t>
  </si>
  <si>
    <t>Português</t>
  </si>
  <si>
    <t>This model contains VBA macros, which require specific settings to be enabled to function.</t>
  </si>
  <si>
    <t>此模型包含 VBA 宏，需要启用特定设置才能正常运行。</t>
  </si>
  <si>
    <t>此模型包含 VBA 巨集，需要啟用特定設定才能正常運作。</t>
  </si>
  <si>
    <t>このモデルには VBA マクロが含まれており、機能させるには特定の設定を有効にする必要があります。</t>
  </si>
  <si>
    <t>Este modelo contiene macros de VBA, que requieren que se habiliten configuraciones específicas para funcionar.</t>
  </si>
  <si>
    <t>Dieses Modell enthält VBA-Makros, für deren Funktion bestimmte Einstellungen aktiviert werden müssen.</t>
  </si>
  <si>
    <t>Ce modèle contient des macros VBA, qui nécessitent l’activation de paramètres spécifiques pour fonctionner.</t>
  </si>
  <si>
    <t>Questo modello contiene macro VBA, che richiedono l’abilitazione di impostazioni specifiche per funzionare.</t>
  </si>
  <si>
    <t>이 모델에는 VBA 매크로가 포함되어 있으며, 정상적으로 작동하려면 특정 설정을 활성화해야 합니다.</t>
  </si>
  <si>
    <t>Эта модель содержит макросы VBA, для работы которых необходимо включить определённые параметры.</t>
  </si>
  <si>
    <t>Este modelo contém macros VBA, que exigem que configurações específicas sejam habilitadas para funcionar.</t>
  </si>
  <si>
    <t>This model contains ActiveX components, which require specific settings to be enabled to function.</t>
  </si>
  <si>
    <t>此模型包含 ActiveX 组件，需要启用特定设置才能正常运行。</t>
  </si>
  <si>
    <t>此模型包含 ActiveX 元件，需要啟用特定設定才能正常運作。</t>
  </si>
  <si>
    <t>このモデルには ActiveX コンポーネントが含まれており、機能させるには特定の設定を有効にする必要があります</t>
  </si>
  <si>
    <t>Este modelo contiene componentes ActiveX, que requieren que se habiliten configuraciones específicas para funcionar.</t>
  </si>
  <si>
    <t>Dieses Modell enthält ActiveX-Komponenten, für deren Funktion bestimmte Einstellungen aktiviert werden müssen.</t>
  </si>
  <si>
    <t>Ce modèle contient des composants ActiveX, qui nécessitent l’activation de paramètres spécifiques pour fonctionner.</t>
  </si>
  <si>
    <t>Questo modello contiene componenti ActiveX, che richiedono l’abilitazione di impostazioni specifiche per funzionare.</t>
  </si>
  <si>
    <t>이 모델에는 ActiveX 구성 요소가 포함되어 있으며, 정상적으로 작동하려면 특정 설정을 활성화해야 합니다.</t>
  </si>
  <si>
    <t>Эта модель содержит компоненты ActiveX, для работы которых необходимо включить определённые параметры.</t>
  </si>
  <si>
    <t>Este modelo contém componentes ActiveX, que exigem que configurações específicas sejam habilitadas para funcionar.</t>
  </si>
  <si>
    <t>This model contains ActiveX components and VBA macros, which require specific settings to be enabled to function.</t>
  </si>
  <si>
    <t>此模型包含 ActiveX 组件和 VBA 宏，需要启用特定设置才能正常运行。</t>
  </si>
  <si>
    <t>此模型包含 ActiveX 元件和 VBA 巨集，需要啟用特定設定才能正常運作。</t>
  </si>
  <si>
    <t>このモデルには ActiveX コンポーネントと VBA マクロが含まれており、機能させるには特定の設定を有効にする必要があります。</t>
  </si>
  <si>
    <t>Este modelo contiene componentes ActiveX y macros de VBA, que requieren que se habiliten configuraciones específicas para funcionar.</t>
  </si>
  <si>
    <t>Dieses Modell enthält ActiveX-Komponenten und VBA-Makros, für deren Funktion bestimmte Einstellungen aktiviert werden müssen.</t>
  </si>
  <si>
    <t>Ce modèle contient des composants ActiveX et des macros VBA, qui nécessitent l’activation de paramètres spécifiques pour fonctionner.</t>
  </si>
  <si>
    <t>Questo modello contiene componenti ActiveX e macro VBA, che richiedono l’abilitazione di impostazioni specifiche per funzionare.</t>
  </si>
  <si>
    <t>이 모델에는 ActiveX 구성 요소와 VBA 매크로가 포함되어 있으며, 정상적으로 작동하려면 특정 설정을 활성화해야 합니다.</t>
  </si>
  <si>
    <t>Эта модель содержит компоненты ActiveX и макросы VBA, для работы которых необходимо включить определённые параметры.</t>
  </si>
  <si>
    <t>Este modelo contém componentes ActiveX e macros VBA, que exigem que configurações específicas sejam habilitadas para funcionar.</t>
  </si>
  <si>
    <r>
      <t xml:space="preserve">Go to </t>
    </r>
    <r>
      <rPr>
        <b/>
        <sz val="8"/>
        <color rgb="FF000000"/>
        <rFont val="Arial"/>
        <family val="2"/>
      </rPr>
      <t>File → Options → Trust Center → Trust Center Settings → Macro Settings</t>
    </r>
    <r>
      <rPr>
        <sz val="8"/>
        <color rgb="FF000000"/>
        <rFont val="Arial"/>
        <family val="2"/>
      </rPr>
      <t xml:space="preserve">, select </t>
    </r>
    <r>
      <rPr>
        <b/>
        <sz val="8"/>
        <color rgb="FF000000"/>
        <rFont val="Arial"/>
        <family val="2"/>
      </rPr>
      <t>Enable VBA macros</t>
    </r>
    <r>
      <rPr>
        <sz val="8"/>
        <color rgb="FF000000"/>
        <rFont val="Arial"/>
        <family val="2"/>
      </rPr>
      <t xml:space="preserve"> </t>
    </r>
    <r>
      <rPr>
        <b/>
        <sz val="8"/>
        <color rgb="FF000000"/>
        <rFont val="Arial"/>
        <family val="2"/>
      </rPr>
      <t>→ OK</t>
    </r>
    <r>
      <rPr>
        <sz val="8"/>
        <color rgb="FF000000"/>
        <rFont val="Arial"/>
        <family val="2"/>
      </rPr>
      <t>, then restart Excel and reopen the file.</t>
    </r>
  </si>
  <si>
    <t>Total Revenue % Growth</t>
  </si>
  <si>
    <t>Operating Margin</t>
  </si>
  <si>
    <t>Capex as % Sales</t>
  </si>
  <si>
    <t>Indicator►</t>
  </si>
  <si>
    <t>Reverse Discounted Cash Flow</t>
  </si>
  <si>
    <t xml:space="preserve">             </t>
  </si>
  <si>
    <t>Operating Income</t>
  </si>
  <si>
    <t>Less:Taxes</t>
  </si>
  <si>
    <t>NOPAT</t>
  </si>
  <si>
    <t>D&amp;A % Capex</t>
  </si>
  <si>
    <t>Less:Capex</t>
  </si>
  <si>
    <t>Less: Increase in Net Working Capital</t>
  </si>
  <si>
    <t>Free Cash Flow</t>
  </si>
  <si>
    <t>Discount Factor</t>
  </si>
  <si>
    <t>Present Value of Free Cash Flow</t>
  </si>
  <si>
    <t>Accounts Recievable</t>
  </si>
  <si>
    <t xml:space="preserve">Receivable Days </t>
  </si>
  <si>
    <t>COGS</t>
  </si>
  <si>
    <t xml:space="preserve">  </t>
  </si>
  <si>
    <t>WACC Rate</t>
  </si>
  <si>
    <t>FCF Terminal Growth Rate</t>
  </si>
  <si>
    <t xml:space="preserve">Present Value </t>
  </si>
  <si>
    <t>FCFF Terminal Growth Rate</t>
  </si>
  <si>
    <t>Final Year FCF*(1+g)</t>
  </si>
  <si>
    <t>Terminal Value</t>
  </si>
  <si>
    <t>PV of terminal Value</t>
  </si>
  <si>
    <t xml:space="preserve">Equity value </t>
  </si>
  <si>
    <t xml:space="preserve">Outstanding Diluted shares </t>
  </si>
  <si>
    <t>Implied Share price</t>
  </si>
  <si>
    <t>The growth rate updates based on the indicator selected.</t>
  </si>
  <si>
    <t>Based on this:</t>
  </si>
  <si>
    <t>REVERSE DISCOUNTED CASH FLOWS OVERVEIW</t>
  </si>
  <si>
    <t xml:space="preserve">Reverse Discounted Cash Flows </t>
  </si>
  <si>
    <t>MSFT</t>
  </si>
  <si>
    <t>NASDAQGS:GOOGL</t>
  </si>
  <si>
    <t>NASDAQGS:NVDA</t>
  </si>
  <si>
    <t>NASDAQGS:ADBE</t>
  </si>
  <si>
    <t>NASDAQGS:META</t>
  </si>
  <si>
    <t>NASDAQGS:AAPL</t>
  </si>
  <si>
    <t>SPS384093299</t>
  </si>
  <si>
    <t>SPS1859817340</t>
  </si>
  <si>
    <t>SPS1859817339</t>
  </si>
  <si>
    <t>SPS1859279478</t>
  </si>
  <si>
    <t>SPS1859277727</t>
  </si>
  <si>
    <t>SPS418495085</t>
  </si>
  <si>
    <t>SPS1859277728</t>
  </si>
  <si>
    <t>SPS1859279479</t>
  </si>
  <si>
    <t>SPS1859817342</t>
  </si>
  <si>
    <t>SPS431859132</t>
  </si>
  <si>
    <t>SPS252435093</t>
  </si>
  <si>
    <t>SPS1859279480</t>
  </si>
  <si>
    <t>SPS1859817343</t>
  </si>
  <si>
    <t>SPS682212371</t>
  </si>
  <si>
    <t>SPS1859277729</t>
  </si>
  <si>
    <t>SPS1859817344</t>
  </si>
  <si>
    <t>SPS237632041</t>
  </si>
  <si>
    <t>SPS284695193</t>
  </si>
  <si>
    <t>SPS315524436</t>
  </si>
  <si>
    <t>SPS378529618</t>
  </si>
  <si>
    <t>SPS418495086</t>
  </si>
  <si>
    <t>SPS59044246</t>
  </si>
  <si>
    <t>SPS113680599</t>
  </si>
  <si>
    <t>SPS119133222</t>
  </si>
  <si>
    <t>SPS223932660</t>
  </si>
  <si>
    <t>SPS237631262</t>
  </si>
  <si>
    <t>SPS252494420</t>
  </si>
  <si>
    <t>SPS284695194</t>
  </si>
  <si>
    <t>SPS315524437</t>
  </si>
  <si>
    <t>SPS378529621</t>
  </si>
  <si>
    <t>SPS418495084</t>
  </si>
  <si>
    <t>SPS1859817345</t>
  </si>
  <si>
    <t>SPS1859817346</t>
  </si>
  <si>
    <t>SPS1859277730</t>
  </si>
  <si>
    <t>SPS431859180</t>
  </si>
  <si>
    <t>SPS1859279481</t>
  </si>
  <si>
    <t>SPS666635733</t>
  </si>
  <si>
    <t>SPS1859279482</t>
  </si>
  <si>
    <t>SPS1859277731</t>
  </si>
  <si>
    <t>SPS1859817348</t>
  </si>
  <si>
    <t>SPS682212372</t>
  </si>
  <si>
    <t>SPS704712755</t>
  </si>
  <si>
    <t>SPS284695195</t>
  </si>
  <si>
    <t>SPS315524411</t>
  </si>
  <si>
    <t>SPS378529622</t>
  </si>
  <si>
    <t>SPS418495087</t>
  </si>
  <si>
    <t>SPS666635734</t>
  </si>
  <si>
    <t>SPS704712747</t>
  </si>
  <si>
    <t>SPS109697187</t>
  </si>
  <si>
    <t>FCFF= NOPAT+ Depreciation &amp; Amortization- Capex-Change in Net working Capital.</t>
  </si>
  <si>
    <t>Discount Factor = Prior Year Discounted Factor / (1 + WACC).</t>
  </si>
  <si>
    <t>Each year's FCFF is discounted using a discount factor :</t>
  </si>
  <si>
    <t>The first step calculates the free cash flow as -</t>
  </si>
  <si>
    <t>Terminal FCFF:Final Year FCFF × (1 + Terminal Growth Rate) (Cell O24)</t>
  </si>
  <si>
    <t>Terminal value in the final year = Terminal FCFF/ (WACC- FCFF terminal growth rate) (cell O25).</t>
  </si>
  <si>
    <t>Present Value of Terminal Value = Terminal Value / (1 + WACC) ^ Discount Factor (cell O26)</t>
  </si>
  <si>
    <t>Enterprise Value = Present value of FCFFs+ Present value of Terminal value (Cell O27)</t>
  </si>
  <si>
    <t>Equity Value = Enterprise Value- Net Debt ( Cell O28)</t>
  </si>
  <si>
    <t>Implied Share Price= Equity Value/ Outstanding Diluted shares ( Cell O34)</t>
  </si>
  <si>
    <t>After selection, the model automatically works out the implied value for that indicator. The Impute button runs a Goal Seek analysis to solve for the growth rate or margin implied by the current stock price.</t>
  </si>
  <si>
    <t xml:space="preserve">The indicators include-:a) Total Revenue % Growth </t>
  </si>
  <si>
    <t xml:space="preserve">                                     b) Operating Margin</t>
  </si>
  <si>
    <t xml:space="preserve">                                     c) Capex as % of Sales </t>
  </si>
  <si>
    <t>Reverse DCF is a valuation approach used to estimate the growth rate implied by the current stock price. In simple terms, the growth rate or margins are derived by equating the implied valuation to the current market price, while a standard DCF gives the intrinsic value based on projected future cash flows.</t>
  </si>
  <si>
    <t>Reverse DCF is a valuation approach used to estimate the growth rate implied by the current stock price.</t>
  </si>
  <si>
    <t>In simple terms, the growth rate or margins are derived by equating the implied valuation to the current market price, while a standard DCF gives the intrinsic value based on projected future cash flows.</t>
  </si>
  <si>
    <t>Step 1: Modify the highlighted inputs below, as desired.</t>
  </si>
  <si>
    <t>Step 2:Select Indicator to be Adjusted by Imputation and REFRESH in the DCF tab.</t>
  </si>
  <si>
    <t>Step 3: Click on the IMPUTE button to get the Growth Rate/Margin.</t>
  </si>
  <si>
    <t>Other Assets</t>
  </si>
  <si>
    <t>Accrued Liablities</t>
  </si>
  <si>
    <t>Other Liablities</t>
  </si>
  <si>
    <t>Total Non-Debt Current Liablities</t>
  </si>
  <si>
    <t>Net Working Capital</t>
  </si>
  <si>
    <t>Present Value</t>
  </si>
  <si>
    <t>Stock Price</t>
  </si>
  <si>
    <t>Outstanding Diluted shares</t>
  </si>
  <si>
    <t>Net Debt</t>
  </si>
  <si>
    <t>步骤 1：根据需要修改下方突出显示的输入项。</t>
  </si>
  <si>
    <t>步驟 1：根據需要修改下方突出顯示的輸入項。</t>
  </si>
  <si>
    <t>ステップ 1：必要に応じて、以下のハイライトされた入力項目を変更します。</t>
  </si>
  <si>
    <t>Paso 1: Modifique las entradas resaltadas a continuación, según sea necesario.</t>
  </si>
  <si>
    <t>Schritt 1: Ändern Sie die hervorgehobenen Eingaben unten nach Bedarf.</t>
  </si>
  <si>
    <t>Étape 1 : Modifiez les entrées surlignées ci-dessous, selon vos besoins.</t>
  </si>
  <si>
    <t>Passo 1: Modificare gli input evidenziati qui sotto, come desiderato.</t>
  </si>
  <si>
    <t>1단계: 필요에 따라 아래 강조 표시된 입력값을 수정합니다.</t>
  </si>
  <si>
    <t>Шаг 1: Измените выделенные исходные данные ниже по своему усмотрению.</t>
  </si>
  <si>
    <t>Passo 1: Modifique as entradas destacadas abaixo, conforme desejar.</t>
  </si>
  <si>
    <t>步骤 2：选择要通过插补法调整的指标并刷新 DCF 工作表。</t>
  </si>
  <si>
    <t>步驟 2：選擇要透過插補法調整的指標並刷新 DCF 工作表。</t>
  </si>
  <si>
    <t>ステップ 2：DCF タブで、補完により調整する指標を選択し、更新します。</t>
  </si>
  <si>
    <t>Paso 2: Seleccione el indicador que se ajustará por imputación y ACTUALICE en la pestaña DCF.</t>
  </si>
  <si>
    <t>Schritt 2: Wählen Sie im DCF-Tab den Indikator aus, der durch Imputation angepasst werden soll, und klicken Sie auf „REFRESH“.</t>
  </si>
  <si>
    <t>Étape 2 : Sélectionnez l'indicateur à ajuster par imputation et ACTUALISEZ dans l'onglet DCF.</t>
  </si>
  <si>
    <t>Passo 2:Selezionare l’indicatore da adeguare tramite imputazione e AGGIORNARE nella scheda DCF.</t>
  </si>
  <si>
    <t>2단계: DCF 탭에서 보간으로 조정할 지표를 선택하고 새로 고침합니다.</t>
  </si>
  <si>
    <t>Шаг 2: Выберите показатель, корректируемый методом вменения, и нажмите ОБНОВИТЬ на вкладке DCF.</t>
  </si>
  <si>
    <t>Passo 2: Selecione o Indicador a ser Ajustado por Imputação e ATUALIZAR na aba DCF.</t>
  </si>
  <si>
    <t>步骤 3：点击 【估算】 按钮以获取增长率/利润率。</t>
  </si>
  <si>
    <t>步驟 3：點擊 【估算】 按鈕以取得成長率/利潤率。</t>
  </si>
  <si>
    <t>ステップ 3：IMPUTE ボタンをクリックして、成長率/マージンを取得します。</t>
  </si>
  <si>
    <t>Paso 3: Haga clic en el botón IMPUTAR para obtener la tasa de crecimiento/el margen.</t>
  </si>
  <si>
    <t>Schritt 3: Klicken Sie auf die Schaltfläche „IMPUTE“, um die Wachstumsrate/Spanne zu erhalten.</t>
  </si>
  <si>
    <t>Étape 3 : Cliquez sur le bouton IMPUTER pour obtenir le taux de croissance/la marge.</t>
  </si>
  <si>
    <t>Passo 3: Fare clic sul pulsante IMPUTE per ottenere il Tasso di Crescita/ Margine.</t>
  </si>
  <si>
    <t>3단계: IMPUTE 버튼을 클릭하여 성장률/마진을 가져옵니다.</t>
  </si>
  <si>
    <t>Шаг 3: Нажмите кнопку ВМЕНИТЬ, чтобы получить темп роста/маржу.</t>
  </si>
  <si>
    <t>Passo 3: Clique no botão INSERE para obter a Taxa de Crescimento/Margem.</t>
  </si>
  <si>
    <t>总收入增长率 %</t>
  </si>
  <si>
    <t>總收入成長率 %</t>
  </si>
  <si>
    <t>総収益成長率 %</t>
  </si>
  <si>
    <t>Crecimiento porcentual de los ingresos totales</t>
  </si>
  <si>
    <t>Umsatzwachstum insgesamt in %</t>
  </si>
  <si>
    <t>Croissance du chiffre d'affaires total en %</t>
  </si>
  <si>
    <t>Crescita % dei ricavi Totali</t>
  </si>
  <si>
    <t>총수익 성장률 %</t>
  </si>
  <si>
    <t>Темп роста совокупной выручки, %</t>
  </si>
  <si>
    <t>Crescimento percentual de receita total</t>
  </si>
  <si>
    <t>营业收入</t>
  </si>
  <si>
    <t xml:space="preserve">營業收入 </t>
  </si>
  <si>
    <t xml:space="preserve">営業収益 </t>
  </si>
  <si>
    <t>Ingresos Operativos</t>
  </si>
  <si>
    <t>Operatives Ergebnis</t>
  </si>
  <si>
    <t>Bénéfice d'exploitation</t>
  </si>
  <si>
    <t>Proventi operativi</t>
  </si>
  <si>
    <t xml:space="preserve">영업이익 </t>
  </si>
  <si>
    <t>Операционный доход</t>
  </si>
  <si>
    <t>Receita Operacional</t>
  </si>
  <si>
    <t>营业利润率</t>
  </si>
  <si>
    <t>營業利潤率</t>
  </si>
  <si>
    <t>営業利益率(%)</t>
  </si>
  <si>
    <t>Margen de explotación</t>
  </si>
  <si>
    <t>operative Gewinnmarge</t>
  </si>
  <si>
    <t>Marge d'exploitation</t>
  </si>
  <si>
    <t>Margine operativo</t>
  </si>
  <si>
    <t>엉업이익률</t>
  </si>
  <si>
    <t xml:space="preserve">Операционная маржа </t>
  </si>
  <si>
    <t>Margem Operacional</t>
  </si>
  <si>
    <t>减：税费</t>
  </si>
  <si>
    <t>減：稅費</t>
  </si>
  <si>
    <t>控除：税金</t>
  </si>
  <si>
    <t>Menos: impuestos</t>
  </si>
  <si>
    <t>Abzüglich: Steuern</t>
  </si>
  <si>
    <t>Moins : impôts</t>
  </si>
  <si>
    <t>Meno:Imposte</t>
  </si>
  <si>
    <t>차감: 세금</t>
  </si>
  <si>
    <t>За вычетом: налоги</t>
  </si>
  <si>
    <t>Menos: Impostos</t>
  </si>
  <si>
    <t>税后净营业利润 (NOPAT)</t>
  </si>
  <si>
    <t>稅後淨營業利潤 (NOPAT)</t>
  </si>
  <si>
    <t>Nettogewinn aus dem operativen Geschäft nach Steuern</t>
  </si>
  <si>
    <t>Utile operativo netto dopo le imposte</t>
  </si>
  <si>
    <t>чистая операционная прибыль после налогообложения</t>
  </si>
  <si>
    <t>折旧与摊销占资本支出 %</t>
  </si>
  <si>
    <t>折舊與攤銷占資本支出 %</t>
  </si>
  <si>
    <t>設備投資に対するD&amp;A比率 %</t>
  </si>
  <si>
    <t>D&amp;A como % de Capex</t>
  </si>
  <si>
    <t>Abschreibungen &amp; Amortisation in % Capex</t>
  </si>
  <si>
    <t>D&amp;A en % des Capex</t>
  </si>
  <si>
    <t>Ammortamento e Depreciation % Capex</t>
  </si>
  <si>
    <t>D&amp;A 대비 CAPEX %</t>
  </si>
  <si>
    <t>Амортизация в % от капитальных затрат</t>
  </si>
  <si>
    <t>资本支出占销售额 %</t>
  </si>
  <si>
    <t>資本支出占銷售額 %</t>
  </si>
  <si>
    <t>売上高に対する設備投資比率 %</t>
  </si>
  <si>
    <t>Capex como % de ventas</t>
  </si>
  <si>
    <t>Capex als % des Umsatzes</t>
  </si>
  <si>
    <t>Capex en % des ventes</t>
  </si>
  <si>
    <t>Capex come % dei Ricavi</t>
  </si>
  <si>
    <t>매출 대비 CAPEX%</t>
  </si>
  <si>
    <t>Капитальные затраты в % от продаж</t>
  </si>
  <si>
    <t>Capex como % de vendas</t>
  </si>
  <si>
    <t>减：资本支出</t>
  </si>
  <si>
    <t>減：資本支出</t>
  </si>
  <si>
    <t>控除：設備投資</t>
  </si>
  <si>
    <t>Menos: Capex</t>
  </si>
  <si>
    <t>Abzüglich: Capex</t>
  </si>
  <si>
    <t>Moins : Capex</t>
  </si>
  <si>
    <t>Meno:Capex</t>
  </si>
  <si>
    <t>차감: CAPEX</t>
  </si>
  <si>
    <t>За вычетом: капитальные затраты</t>
  </si>
  <si>
    <t>减：净营运资本增加</t>
  </si>
  <si>
    <t>減：淨營運資本增加</t>
  </si>
  <si>
    <t>控除：純運転資本増加</t>
  </si>
  <si>
    <t>Menos: aumento del capital de trabajo neto</t>
  </si>
  <si>
    <t>Abzüglich: Zunahme des Nettoumlaufvermögens</t>
  </si>
  <si>
    <t>Moins : augmentation du fonds de roulement net</t>
  </si>
  <si>
    <t>Meno: Aumento del Capitale Circolante Netto</t>
  </si>
  <si>
    <t>차감: 순운전자본 증가</t>
  </si>
  <si>
    <t>За вычетом: увеличение чистого оборотного капитала</t>
  </si>
  <si>
    <t>Menos: Aumento do Capital de Giro Líquido</t>
  </si>
  <si>
    <t>自由现金流</t>
  </si>
  <si>
    <t>自由現金流</t>
  </si>
  <si>
    <t>フリーキャッシュフロー</t>
  </si>
  <si>
    <t>Flujo de caja libre</t>
  </si>
  <si>
    <t>Verfügbarer Geldfluss</t>
  </si>
  <si>
    <t>Flux de trésorerie disponibles</t>
  </si>
  <si>
    <t>Flusso di cassa libero</t>
  </si>
  <si>
    <t>잉여현금흐름</t>
  </si>
  <si>
    <t>Свободный денежный поток</t>
  </si>
  <si>
    <t>Fluxo de Caixa Livre</t>
  </si>
  <si>
    <t>割引率</t>
  </si>
  <si>
    <t>Factor de descuento</t>
  </si>
  <si>
    <t>Diskontierungsfaktor</t>
  </si>
  <si>
    <t>Facteur d'escompte</t>
  </si>
  <si>
    <t>Fattore di sconto</t>
  </si>
  <si>
    <t>할인계수</t>
  </si>
  <si>
    <t>fator de desconto</t>
  </si>
  <si>
    <t>自由现金流现值</t>
  </si>
  <si>
    <t>自由現金流現值</t>
  </si>
  <si>
    <t>フリーキャッシュフローの現在価値</t>
  </si>
  <si>
    <t>Valor actual del flujo de caja libre</t>
  </si>
  <si>
    <t xml:space="preserve">Barwert des Free Cash Flow </t>
  </si>
  <si>
    <t>Valeur actuelle du flux de trésorerie disponible</t>
  </si>
  <si>
    <t>Valore attuale del Flusso di Cassa Libero</t>
  </si>
  <si>
    <t>잉여현금흐름의 현재가치</t>
  </si>
  <si>
    <t>Приведённая стоимость свободного денежного потока</t>
  </si>
  <si>
    <t>Valor Presente do Fluxo de Caixa Livre</t>
  </si>
  <si>
    <t>應收帳款</t>
  </si>
  <si>
    <t>Forderungen aus Lieferungen und Leistungen</t>
  </si>
  <si>
    <t>Comptes clients</t>
  </si>
  <si>
    <t>Contas Recebíveis</t>
  </si>
  <si>
    <t>應收帳款周轉天數</t>
  </si>
  <si>
    <t>Días de cobro</t>
  </si>
  <si>
    <t xml:space="preserve">Forderungstage </t>
  </si>
  <si>
    <t>Jours de créances</t>
  </si>
  <si>
    <t>Giorni di incasso</t>
  </si>
  <si>
    <t>매출채권 회전일수</t>
  </si>
  <si>
    <t>Период оборота дебиторской задолженности</t>
  </si>
  <si>
    <t>Dias a receber</t>
  </si>
  <si>
    <t>销货成本</t>
  </si>
  <si>
    <t>銷貨成本</t>
  </si>
  <si>
    <t>Себестоимость реализованной продукции</t>
  </si>
  <si>
    <t>其他资产</t>
  </si>
  <si>
    <t xml:space="preserve">其他資產 </t>
  </si>
  <si>
    <t xml:space="preserve">その他資産 </t>
  </si>
  <si>
    <t>Otros Activos</t>
  </si>
  <si>
    <t>Weitere Aktiva</t>
  </si>
  <si>
    <t>Autres actifs</t>
  </si>
  <si>
    <t>Altre attività</t>
  </si>
  <si>
    <t xml:space="preserve">기타 자산 </t>
  </si>
  <si>
    <t>Прочие активы</t>
  </si>
  <si>
    <t>Outros Ativos</t>
  </si>
  <si>
    <t>未払負債</t>
  </si>
  <si>
    <t>Abgegrenzte Verbindlichkeiten</t>
  </si>
  <si>
    <t>Responsabilidades Acumuladas</t>
  </si>
  <si>
    <t>其他负债</t>
  </si>
  <si>
    <t>其他負債</t>
  </si>
  <si>
    <t>その他負債</t>
  </si>
  <si>
    <t>Otros pasivos</t>
  </si>
  <si>
    <t>Sonstige Verbindlichkeiten</t>
  </si>
  <si>
    <t>Autres passifs</t>
  </si>
  <si>
    <t>Altre passività</t>
  </si>
  <si>
    <t>기타 부채</t>
  </si>
  <si>
    <t>Прочие обязательства</t>
  </si>
  <si>
    <t>Outras Responsabilidades</t>
  </si>
  <si>
    <t>(aumento) / diminuição do capital de giro</t>
  </si>
  <si>
    <t>非债务流动负债总额</t>
  </si>
  <si>
    <t>非債務流動負債總額</t>
  </si>
  <si>
    <t>Total de pasivos corrientes sin deuda</t>
  </si>
  <si>
    <t xml:space="preserve">Gesamte kurzfristige Nicht-Schuldenverbindlichkeiten </t>
  </si>
  <si>
    <t>Total des passifs courants hors dette</t>
  </si>
  <si>
    <t>Totale passività a breve termine non finanziarie</t>
  </si>
  <si>
    <t>비부채 유동부채 총계</t>
  </si>
  <si>
    <t>Итого недолговые краткосрочные обязательства</t>
  </si>
  <si>
    <t>Total de Responsabilidades Correntes Não Relacionadas à Dívida</t>
  </si>
  <si>
    <t>净营运资金</t>
  </si>
  <si>
    <t>淨營運資金</t>
  </si>
  <si>
    <t>純運転資本</t>
  </si>
  <si>
    <t>Capital de trabajo neto</t>
  </si>
  <si>
    <t>Nettobetriebskapital</t>
  </si>
  <si>
    <t>Fonds de roulement net</t>
  </si>
  <si>
    <t>Capitale circolante netto</t>
  </si>
  <si>
    <t>순운영자본</t>
  </si>
  <si>
    <t>Чистый оборотный капитал</t>
  </si>
  <si>
    <t>Capital de Giro Líquido</t>
  </si>
  <si>
    <t>现值</t>
  </si>
  <si>
    <t>現值</t>
  </si>
  <si>
    <t>Valor actual</t>
  </si>
  <si>
    <t xml:space="preserve">Barwert </t>
  </si>
  <si>
    <t>Valeur actuelle</t>
  </si>
  <si>
    <t>Valore attuale</t>
  </si>
  <si>
    <t>현재가치</t>
  </si>
  <si>
    <t>Приведённая стоимость</t>
  </si>
  <si>
    <t>Valor Presente</t>
  </si>
  <si>
    <t>加权平均资本成本率（WACC 率）</t>
  </si>
  <si>
    <t>加權平均資本成本率（WACC 率）</t>
  </si>
  <si>
    <t>WACC 率</t>
  </si>
  <si>
    <t>Tasa WACC</t>
  </si>
  <si>
    <t>Gewichteter durchschnittlicher Kapitalkostensatz</t>
  </si>
  <si>
    <t>Taux WACC</t>
  </si>
  <si>
    <t>Tasso WACC</t>
  </si>
  <si>
    <t>WACC 비율</t>
  </si>
  <si>
    <t>Ставка WACC (средневзвешенная стоимость капитала)</t>
  </si>
  <si>
    <t>Taxa WACC</t>
  </si>
  <si>
    <t>公司自由现金流终值增长率</t>
  </si>
  <si>
    <t>公司自由現金流終值成長率</t>
  </si>
  <si>
    <t>FCFF ターミナル成長率</t>
  </si>
  <si>
    <t>Tasa de crecimiento terminal del FCFF</t>
  </si>
  <si>
    <t>Freier Cashflow für das Unternehmen Endwachstumsrate</t>
  </si>
  <si>
    <t>Taux de croissance terminal du FCFF</t>
  </si>
  <si>
    <t>Tasso di crescita terminale del Flusso di cassa libero per l’impresa</t>
  </si>
  <si>
    <t>FCFF 터미널 성장률</t>
  </si>
  <si>
    <t>Свободный денежный поток фирмы (Терминальный темп роста)</t>
  </si>
  <si>
    <t>Taxa de Crescimento Terminal FCFF</t>
  </si>
  <si>
    <t>最终年度自由现金流*(1+g)</t>
  </si>
  <si>
    <t>最終年度自由現金流*(1+g)</t>
  </si>
  <si>
    <t>最終年度 FCF*(1+g)</t>
  </si>
  <si>
    <t>FCF del año final*(1+g)</t>
  </si>
  <si>
    <t>Freier Cashflow im Endjahr × (1 + Wachstumsrate)</t>
  </si>
  <si>
    <t>FCF de l'année finale*(1+g)</t>
  </si>
  <si>
    <t>Flusso di cassa libero dell’ultimo anno * (1 + tasso di crescita)</t>
  </si>
  <si>
    <t>최종 연도 FCF*(1+g)</t>
  </si>
  <si>
    <t>СДП последнего года*(1+темп роста)</t>
  </si>
  <si>
    <t>Ano Final FCF*(1+g)</t>
  </si>
  <si>
    <t>权益价值</t>
  </si>
  <si>
    <t>權益價值</t>
  </si>
  <si>
    <t>株主資本価値</t>
  </si>
  <si>
    <t>Valor del patrimonio</t>
  </si>
  <si>
    <t xml:space="preserve">Unternehmenswert zum Eigenkapital </t>
  </si>
  <si>
    <t>Valeur des capitaux propres</t>
  </si>
  <si>
    <t>Valore dell’equity</t>
  </si>
  <si>
    <t>Valor acionário</t>
  </si>
  <si>
    <t>终值</t>
  </si>
  <si>
    <t>終值</t>
  </si>
  <si>
    <t>ターミナルバリュー</t>
  </si>
  <si>
    <t>Valor terminal</t>
  </si>
  <si>
    <t>Endwert</t>
  </si>
  <si>
    <t>Valeur terminale</t>
  </si>
  <si>
    <t>Valore terminale</t>
  </si>
  <si>
    <t>터미널 가치</t>
  </si>
  <si>
    <t>Терминальная стоимость</t>
  </si>
  <si>
    <t>Valor Terminal</t>
  </si>
  <si>
    <t>ターミナルバリューの現在価値</t>
  </si>
  <si>
    <t>VA del valor terminal</t>
  </si>
  <si>
    <t>Barwert des Endwerts</t>
  </si>
  <si>
    <t>VA de la valeur terminale</t>
  </si>
  <si>
    <t>Valore attuale del valore terminale</t>
  </si>
  <si>
    <t>터미널 가치의 현재가치</t>
  </si>
  <si>
    <t>Приведённая стоимость терминальной стоимости</t>
  </si>
  <si>
    <t>Valor presente do valor terminal</t>
  </si>
  <si>
    <t>股价</t>
  </si>
  <si>
    <t>股價</t>
  </si>
  <si>
    <t>Precio de la acción</t>
  </si>
  <si>
    <t>Aktienkurs</t>
  </si>
  <si>
    <t>Cours de l'action</t>
  </si>
  <si>
    <t>Prezzo delle azioni</t>
  </si>
  <si>
    <t>주가</t>
  </si>
  <si>
    <t>Цена акций</t>
  </si>
  <si>
    <t>Preço das Ações</t>
  </si>
  <si>
    <t>稀释后流通股数</t>
  </si>
  <si>
    <t>稀釋後流通股數</t>
  </si>
  <si>
    <t>希薄化後発行済株式数</t>
  </si>
  <si>
    <t>Acciones diluidas en circulación</t>
  </si>
  <si>
    <t>Ausstehende verwässerte Aktienanzah</t>
  </si>
  <si>
    <t>Actions diluées en circulation</t>
  </si>
  <si>
    <t>Azioni diluite in circolazione</t>
  </si>
  <si>
    <t>희석 후 유통주식수</t>
  </si>
  <si>
    <t>Разводнённое количество акций в обращении</t>
  </si>
  <si>
    <t>Ações em circulação diluídas</t>
  </si>
  <si>
    <t>自由现金流终值增长率</t>
  </si>
  <si>
    <t>自由現金流終值成長率</t>
  </si>
  <si>
    <t>FCF ターミナル成長率</t>
  </si>
  <si>
    <t>Tasa de crecimiento terminal del FCF</t>
  </si>
  <si>
    <t>Freier Cashflow Endwachstumsrate</t>
  </si>
  <si>
    <t>Taux de croissance terminal du FCF</t>
  </si>
  <si>
    <t>Tasso di crescita terminale dell’FCF</t>
  </si>
  <si>
    <t>FCF 터미널 성장률</t>
  </si>
  <si>
    <t>Терминальный темп роста СДП</t>
  </si>
  <si>
    <t>Taxa de Crescimento Terminal do FCF</t>
  </si>
  <si>
    <t>Ausstehende verwässerte Aktienanzahl</t>
  </si>
  <si>
    <t>市場第一志向</t>
  </si>
  <si>
    <t>Capitalización de mercado</t>
  </si>
  <si>
    <t>Capitalisation du marché</t>
  </si>
  <si>
    <t>시가 총액</t>
  </si>
  <si>
    <t>Capitalização de mercado</t>
  </si>
  <si>
    <t>并购目标净债务</t>
  </si>
  <si>
    <t>併購目標淨債務</t>
  </si>
  <si>
    <t>純有利子負債</t>
  </si>
  <si>
    <t>Deuda Neta</t>
  </si>
  <si>
    <t>Nettoverschuldung</t>
  </si>
  <si>
    <t>Dette nette</t>
  </si>
  <si>
    <t>Debito netto</t>
  </si>
  <si>
    <t>순부채</t>
  </si>
  <si>
    <t>Чистая Задолженность</t>
  </si>
  <si>
    <t>Dívida líquida</t>
  </si>
  <si>
    <t>隐含股价</t>
  </si>
  <si>
    <t>隱含股價</t>
  </si>
  <si>
    <t>インプライド株価</t>
  </si>
  <si>
    <t>Precio implícito de la acción</t>
  </si>
  <si>
    <t>Implizierter Kurs je Aktie</t>
  </si>
  <si>
    <t>Prix implicite de l'action</t>
  </si>
  <si>
    <t>Prezzo implicito per azione</t>
  </si>
  <si>
    <t>내재 주가</t>
  </si>
  <si>
    <t>Подразумеваемая цена акции</t>
  </si>
  <si>
    <t>Preço Implícito da Ação</t>
  </si>
  <si>
    <t>反向现金流贴现概述</t>
  </si>
  <si>
    <t>反向現金流貼現概述</t>
  </si>
  <si>
    <t>リバース割引キャッシュフローの概要</t>
  </si>
  <si>
    <t>RESUMEN DE FLUJOS DE CAJA DESCONTADOS INVERSOS</t>
  </si>
  <si>
    <t>Überblick über Reverse Diskontierte Cash Flows</t>
  </si>
  <si>
    <t>APERÇU DES FLUX DE TRÉSORERIE ACTUALISÉS INVERSÉS</t>
  </si>
  <si>
    <t>PANORAMICA DEI FLUSSI DI CASSA SCONTATI INVERSI</t>
  </si>
  <si>
    <t>역할인현금흐름 개요</t>
  </si>
  <si>
    <t>ОБЗОР ОБРАТНОГО ДИСКОНТИРОВАНИЯ ДЕНЕЖНЫХ ПОТОКОВ</t>
  </si>
  <si>
    <t>VISÃO GERAL DOS FLUXOS DE CAIXA DESCONTADOS REVERSOS</t>
  </si>
  <si>
    <t>反向现金流贴现（反向 DCF）</t>
  </si>
  <si>
    <t>反向現金流貼現（反向 DCF）</t>
  </si>
  <si>
    <t>リバース割引キャッシュフロー</t>
  </si>
  <si>
    <t>Flujos de caja descontados inversos</t>
  </si>
  <si>
    <t>Reverse-Diskontierte-Cashflow-Modelle</t>
  </si>
  <si>
    <t>Flux de trésorerie actualisés inversés</t>
  </si>
  <si>
    <t>Flussi di cassa scontati inversi</t>
  </si>
  <si>
    <t>역할인현금흐름</t>
  </si>
  <si>
    <t>Обратное дисконтирование денежных потоков</t>
  </si>
  <si>
    <t>Fluxos de Caixa Descontados Reversos</t>
  </si>
  <si>
    <t>反向 DCF 是一种估值方法，用于估算当前股价所隐含的增长率。简单来说，这种做法会通过让「推算出来的估值」等于「目前的市场价格」来反推出增长率或利润率；而一般的 DCF 则是根据未来预测的现金流计算出企业的内在价值。</t>
  </si>
  <si>
    <t>反向 DCF 是一種估值方法，用於估算目前股價所隱含的成長率。簡單來說，這種做法會透過讓「推算出來的估值」等於「目前的市場價格」來反推出成長率或利潤率；而一般的 DCF 則是根據未來預測的現金流計算出企業的內在價值。</t>
  </si>
  <si>
    <t>リバース DCF は、現在の株価に織り込まれた成長率を推定するために使用される評価手法です。簡単に言えば、インプライド評価額を現在の市場価格と一致させることで成長率またはマージンを導き出す一方、標準的な DCF は予測される将来キャッシュフローに基づいて本源的価値を算出します。</t>
  </si>
  <si>
    <t>El DCF inverso es un enfoque de valoración utilizado para estimar la tasa de crecimiento implícita en el precio actual de la acción. En términos simples, la tasa de crecimiento o los márgenes se derivan igualando la valoración implícita al precio de mercado actual, mientras que un DCF estándar proporciona el valor intrínseco basado en los flujos de caja futuros proyectados.</t>
  </si>
  <si>
    <t>Reverse DCF ist ein Bewertungsansatz zur Schätzung der Wachstumsrate, die im aktuellen Aktienkurs impliziert ist. Vereinfacht ausgedrückt werden die Wachstumsrate oder die Margen daraus abgeleitet, indem man die sich ergebende Bewertung mit dem aktuellen Marktpreis gleichsetzt. Im Gegensatz dazu ermittelt ein klassisches DCF den inneren Wert auf Basis prognostizierter zukünftiger Cashflows.</t>
  </si>
  <si>
    <t>Le DCF inversé est une approche d'évaluation utilisée pour estimer le taux de croissance implicite dans le cours actuel de l'action. En termes simples, le taux de croissance ou les marges sont déterminés en égalant la valorisation implicite au prix de marché actuel, tandis qu'un DCF standard donne la valeur intrinsèque sur la base des flux de trésorerie futurs projetés.</t>
  </si>
  <si>
    <t>Il Reverse DCF è un approccio di valutazione usato per stimare il tasso di crescita implicito dall’attuale prezzo delle azioni. In termini semplici, il tasso di crescita o i margini sono derivati mettendo in uguaglianza la valutazione implicita con il prezzo di mercato corrente, mentre un DCF standard fornisce il valore intrinseco basandosi sui flussi di cassa futuri previsti.</t>
  </si>
  <si>
    <t>역 DCF는 현재 주가에 내재된 성장률을 추정하는 데 사용되는 가치평가 접근법입니다. 간단히 말해, 내재 가치평가액을 현재 시장 가격과 일치시켜 성장률 또는 마진을 도출하는 반면, 표준 DCF는 예상 미래 현금흐름을 기반으로 내재가치를 산출합니다.</t>
  </si>
  <si>
    <t xml:space="preserve">Обратный DCF — это метод оценки, используемый для определения темпа роста, подразумеваемого текущей ценой акций.Проще говоря, темпы роста или маржа рассчитываются путём приравнивания подразумеваемой оценки к текущей рыночной цене, тогда как стандартный DCF даёт внутреннюю (справедливую) стоимость на основе прогнозируемых будущих денежных потоков. </t>
  </si>
  <si>
    <t>DCF reversa é uma abordagem de avaliação usada para estimar a taxa de crescimento implícita pelo preço presente da ação. Em termos simples, a taxa de crescimento ou margens são derivadas equiparando a avaliação implícita ao preço presente de mercado, enquanto um DCF padrão fornece o valor intrínseco com base nos fluxos de caixa futuros projetados.</t>
  </si>
  <si>
    <t>反向 DCF 的工作原理</t>
  </si>
  <si>
    <t>反向 DCF 的運作原理</t>
  </si>
  <si>
    <t>リバース DCF の仕組み</t>
  </si>
  <si>
    <t>Funcionamiento del DCF inverso</t>
  </si>
  <si>
    <t>Funktionsweise von Reverse DCF</t>
  </si>
  <si>
    <t>Fonctionnement du DCF inversé</t>
  </si>
  <si>
    <t>Funzionamento del DCF inverso</t>
  </si>
  <si>
    <t>역 DCF의 작동 방식</t>
  </si>
  <si>
    <t>Принцип работы обратного DCF</t>
  </si>
  <si>
    <t>Funcionamento do DCF Reverso</t>
  </si>
  <si>
    <t>增长率根据所选指标更新。</t>
  </si>
  <si>
    <t>成長率根據所選指標更新。</t>
  </si>
  <si>
    <t>成長率は、選択された指標に基づいて更新されます。</t>
  </si>
  <si>
    <t>La tasa de crecimiento se actualiza en función del indicador seleccionado.</t>
  </si>
  <si>
    <t>Die in das Modell einzuspeisende Wachstumsrate aktualisiert sich auf Grundlage des ausgewählten Indikators.</t>
  </si>
  <si>
    <t>Le taux de croissance se met à jour en fonction de l'indicateur sélectionné.</t>
  </si>
  <si>
    <t>Il tasso di crescita si aggiorna in base all’indicatore selezionato.</t>
  </si>
  <si>
    <t>성장률은 선택한 지표에 따라 업데이트됩니다.</t>
  </si>
  <si>
    <t>Темп роста обновляется в зависимости от выбранного показателя. </t>
  </si>
  <si>
    <t>A taxa de crescimento é atualizada com base no indicador selecionado.</t>
  </si>
  <si>
    <t>指标包括：a) 总收入增长率 %</t>
  </si>
  <si>
    <t>指標包括：a) 總收入成長率 %</t>
  </si>
  <si>
    <t>指標には以下が含まれます：a) 総収益成長率 %</t>
  </si>
  <si>
    <t>Los indicadores incluyen: a) Crecimiento porcentual de los ingresos totales</t>
  </si>
  <si>
    <t>Die Indikatoren umfassen: a) Umsatzwachstum insgesamt in %</t>
  </si>
  <si>
    <t>Les indicateurs incluent : a) Croissance du chiffre d'affaires total en %</t>
  </si>
  <si>
    <t>Gli indicatori includono-:a) Crescita % dei ricavi Totali</t>
  </si>
  <si>
    <t>지표에는 다음이 포함됩니다: a) 총수익 성장률 %</t>
  </si>
  <si>
    <t>К показателям относятся-: a) Общий рост выручки в %</t>
  </si>
  <si>
    <t>Os indicadores incluem-:a) Crescimento Percentual de Receita Total</t>
  </si>
  <si>
    <t xml:space="preserve">                                     b) 经营利润率</t>
  </si>
  <si>
    <t xml:space="preserve">                                     b) 營業利潤率</t>
  </si>
  <si>
    <t xml:space="preserve">                                     b) 営業利益率</t>
  </si>
  <si>
    <t xml:space="preserve">                                     b) Margen operativo</t>
  </si>
  <si>
    <t>b) Operative Marge</t>
  </si>
  <si>
    <t xml:space="preserve">                                     b) Marge opérationnelle</t>
  </si>
  <si>
    <t>b) Margine operativo</t>
  </si>
  <si>
    <t xml:space="preserve">                                     b) 영업이익률</t>
  </si>
  <si>
    <t>b) Операционная маржа</t>
  </si>
  <si>
    <t>b) Margem Operacional</t>
  </si>
  <si>
    <t xml:space="preserve">                                     c) 资本支出占销售额 %</t>
  </si>
  <si>
    <t xml:space="preserve">                                     c) 資本支出占銷售額 %</t>
  </si>
  <si>
    <t xml:space="preserve">                                     c) 売上高に対する設備投資比率 %</t>
  </si>
  <si>
    <t xml:space="preserve">                                     c) Capex como % de ventas</t>
  </si>
  <si>
    <t>c) Capex als % des Umsatzes</t>
  </si>
  <si>
    <t xml:space="preserve">                                     c) Capex en % des ventes</t>
  </si>
  <si>
    <t>c) Capex come % dei Ricavi</t>
  </si>
  <si>
    <t xml:space="preserve">                                     c) 매출 대비 CAPEX 비율 %</t>
  </si>
  <si>
    <t>c) Капитальные затраты как % от продаж</t>
  </si>
  <si>
    <t>c) Capex como % das vendas</t>
  </si>
  <si>
    <t>选择后，模型将自动计算该指标的隐含值。【估算】按钮将运行单变量求解分析以计算当前股价所隐含的增长率或利润率。</t>
  </si>
  <si>
    <t>選擇後，模型將自動計算該指標的隱含值。【估算】 按鈕將執行目標尋覓分析以計算目前股價所隱含的成長率或利潤率。</t>
  </si>
  <si>
    <t>選択後、モデルはその指標のインプライド値を自動的に算出します。Impute ボタンはゴールシーク分析を実行し、現在の株価に織り込まれた成長率またはマージンを求めます。</t>
  </si>
  <si>
    <t>Después de la selección, el modelo calcula automáticamente el valor implícito para ese indicador. El botón Imputar ejecuta un análisis de búsqueda de objetivo para resolver la tasa de crecimiento o el margen implícito en el precio actual de la acción.</t>
  </si>
  <si>
    <t>Nach der Auswahl berechnet das Modell automatisch den implizierten Wert für diesen Indikator. Die Schaltfläche „Impute“ führt eine Zielwertsuche aus, um die vom aktuellen Aktienkurs implizierte Wachstumsrate bzw. Marge zu lösen.</t>
  </si>
  <si>
    <t>Après la sélection, le modèle calcule automatiquement la valeur implicite de cet indicateur. Le bouton Imputer exécute une analyse de recherche d'objectif pour résoudre le taux de croissance ou la marge implicite dans le cours actuel de l'action.</t>
  </si>
  <si>
    <t xml:space="preserve">Dopo la selezione, il modello calcola automaticamente il valore implicito per quell’indicatore. Il pulsante Impute esegue un’analisi di Goal Seek per risolvere il tasso di crescita o il margine implicito dal prezzo corrente dell’azione. </t>
  </si>
  <si>
    <t>선택 후 모델은 해당 지표의 내재 값을 자동으로 계산합니다. Impute 버튼은 목표값 찾기 분석을 실행하여 현재 주가에 내재된 성장률 또는 마진을 구합니다.</t>
  </si>
  <si>
    <t>После выбора показателя модель автоматически рассчитывает подразумеваемое значение для данного показателя. Кнопка «Impute» (Вычислить) запускает анализ методом подбора параметра (Goal Seek) для нахождения темпа роста или маржи, подразумеваемых текущей ценой акций.</t>
  </si>
  <si>
    <t>Após a seleção, o modelo automaticamente calcula o valor implícito para esse indicador. O botão Impute executa uma análise de Busca de Objetivos para determinar a taxa de crescimento ou margem implícita pelo preço presente da ação.</t>
  </si>
  <si>
    <t>第一步计算自由现金流如下：</t>
  </si>
  <si>
    <t>第一步計算自由現金流如下：</t>
  </si>
  <si>
    <t>最初のステップでは、フリーキャッシュフローを次のように計算します：</t>
  </si>
  <si>
    <t>El primer paso calcula el flujo de caja libre de la siguiente manera:</t>
  </si>
  <si>
    <t>Der erste Schritt berechnet den Free Cash Flow wie folgt:</t>
  </si>
  <si>
    <t>La première étape calcule le flux de trésorerie disponible comme suit :</t>
  </si>
  <si>
    <t>Il primo passaggio calcola il flusso di cassa libero come -</t>
  </si>
  <si>
    <t>첫 번째 단계에서는 잉여현금흐름을 다음과 같이 계산합니다:</t>
  </si>
  <si>
    <t>На первом этапе рассчитывается свободный денежный поток по формуле-</t>
  </si>
  <si>
    <t>O primeiro passo calcula o fluxo de caixa livre como -</t>
  </si>
  <si>
    <t>公司自由现金流（FCFF） = NOPAT + 折旧及摊销 - 资本支出 - 净营运资本变动。</t>
  </si>
  <si>
    <t>公司自由現金流（FCFF）= NOPAT + 折舊及攤銷 - 資本支出 - 淨營運資本變動。</t>
  </si>
  <si>
    <t>FCFF = NOPAT + 減価償却費及び償却費 - 設備投資-純運転資本の増減額</t>
  </si>
  <si>
    <t>FCFF = NOPAT + depreciación y amortización - Capex - variación del capital de trabajo neto.</t>
  </si>
  <si>
    <t xml:space="preserve">Freier Cashflow für das Unternehmen(FCFF) = Nettogewinn aus dem operativen Geschäft nach Steuern(NOPAT) + Abschreibungen – Investitionen (Capex) – Veränderung des Netto-Umlaufvermögens.
</t>
  </si>
  <si>
    <t>FCFF = NOPAT + dépréciation et amortissement - Capex - variation du fonds de roulement net.</t>
  </si>
  <si>
    <t xml:space="preserve">FCFF= NOPAT+ Ammortamento e Depreciation - Capex- Variazione nel Capitale Circolante Netto. </t>
  </si>
  <si>
    <t>FCFF = NOPAT + 감가상각 및 상각비 - CAPEX - 순운전자본 변동.</t>
  </si>
  <si>
    <t>FCFF = NOPAT + Амортизация основных средств и нематериальных активов − Капитальные затраты − Изменение чистого оборотного капитала.</t>
  </si>
  <si>
    <t>FCFF= NOPAT+ Depreciação e Amortização - Capex - Variação do Capital de Giro Líquido.</t>
  </si>
  <si>
    <t>每年的 FCFF 使用折现因子进行折现：</t>
  </si>
  <si>
    <t>每年的 FCFF 使用折現因子進行折現：</t>
  </si>
  <si>
    <t>各年の FCFF は、割引係数を使用して割り引かれます：</t>
  </si>
  <si>
    <t>El FCFF de cada año se descuenta utilizando un factor de descuento:</t>
  </si>
  <si>
    <t>Jährliche FCFF werden mithilfe eines Abzinsungsfaktors diskontiert:</t>
  </si>
  <si>
    <t>Le FCFF de chaque année est actualisé à l'aide d'un facteur d'actualisation :</t>
  </si>
  <si>
    <t>Ogni anno, il FCFF viene attualizzato usando un fattore di sconto:</t>
  </si>
  <si>
    <t>각 연도의 FCFF는 할인계수를 사용하여 할인됩니다:</t>
  </si>
  <si>
    <t xml:space="preserve">FCFF каждого года дисконтируется с использованием коэффициента дисконтирования: </t>
  </si>
  <si>
    <t>O FCFF de cada ano é descontado usando um fator de desconto:</t>
  </si>
  <si>
    <t>折现因子 = 上一年折现因子 / (1 + WACC)。</t>
  </si>
  <si>
    <t>折現因子 = 上一年折現因子 / (1 + WACC)。</t>
  </si>
  <si>
    <t>割引係数 = 前年の割引係数 / (1 + WACC)。</t>
  </si>
  <si>
    <t>Factor de descuento = factor de descuento del año anterior / (1 + WACC).</t>
  </si>
  <si>
    <t>Abzinsungsfaktor = Abzinsungsfaktor des Vorjahres / (1 + gewichtete durchschnittliche Kapitalkosten)</t>
  </si>
  <si>
    <t>Facteur d'actualisation = facteur d'actualisation de l'année précédente / (1 + WACC).</t>
  </si>
  <si>
    <t>Fattore di sconto = Fattore di sconto dell’anno precedente / (1 + WACC).</t>
  </si>
  <si>
    <t>할인계수 = 전년도 할인계수 / (1 + WACC).</t>
  </si>
  <si>
    <t> Коэффициент дисконтирования = Коэффициент дисконтирования предыдущего года / (1 + WACC)</t>
  </si>
  <si>
    <t>Fator de Desconto = Fator Descontado do Ano Anterior / (1 + WACC).</t>
  </si>
  <si>
    <t>在终值计算中，模型采用永续增长法：</t>
  </si>
  <si>
    <t>在終值計算中，模型採用永續成長法：</t>
  </si>
  <si>
    <t>ターミナルバリューの計算では、モデルは永続成長法を適用します：</t>
  </si>
  <si>
    <t>Para el cálculo del valor terminal, el modelo aplica el método de crecimiento a perpetuidad:</t>
  </si>
  <si>
    <t>Für die Berechnung des Endwerts wendet das Modell die Perpetuity-Growth-Methode an:</t>
  </si>
  <si>
    <t>Pour le calcul de la valeur terminale, le modèle applique la méthode de croissance à perpétuité :</t>
  </si>
  <si>
    <t>Per il calcolo del valore terminale, il modello applica il metodo della crescita perpetua:</t>
  </si>
  <si>
    <t>터미널 가치 계산에서 모델은 영구성장법을 적용합니다:</t>
  </si>
  <si>
    <t>Для расчета терминальной стоимости модель применяет метод бессрочного роста:</t>
  </si>
  <si>
    <t>Para o cálculo do valor terminal, o modelo aplica o método de crescimento de perpetuidade:</t>
  </si>
  <si>
    <t>终值 FCFF：最终年度 FCFF × (1 + 终值增长率)（单元格 O24）</t>
  </si>
  <si>
    <t>終值 FCFF：最終年度 FCFF × (1 + 終值成長率)（儲存格 O24）</t>
  </si>
  <si>
    <t>ターミナル FCFF：最終年度 FCFF × (1 + ターミナル成長率)（セル O24）</t>
  </si>
  <si>
    <t>FCFF terminal: FCFF del año final × (1 + tasa de crecimiento terminal) (celda O24)</t>
  </si>
  <si>
    <t>Terminale FCFF = FCFF des letztes jahr × (1 + Terminalwachstumsrate) (Zelle O24)</t>
  </si>
  <si>
    <t>FCFF terminal : FCFF de l'année finale × (1 + taux de croissance terminal) (cellule O24)</t>
  </si>
  <si>
    <t>Terminal FCFF:FCFF dell’ultimo anno × (1 + Tasso di crescita terminale) (Cell O24)</t>
  </si>
  <si>
    <t>터미널 FCFF: 최종 연도 FCFF × (1 + 터미널 성장률) (셀 O24)</t>
  </si>
  <si>
    <t>Терминальный FCFF: FCFF последнего года × (1 + Терминальный темп роста) (Ячейка O24)</t>
  </si>
  <si>
    <t>FCFF Terminal: Ano Final FCFF × (1 + Taxa de Crescimento Terminal) (Célula O24)</t>
  </si>
  <si>
    <t>最终年度终值 = 终值 FCFF / (WACC - FCFF 终值增长率)（单元格 O25）。</t>
  </si>
  <si>
    <t>最終年度終值 = 終值 FCFF / (WACC - FCFF 終值成長率)（儲存格 O25）。</t>
  </si>
  <si>
    <t>最終年度のターミナルバリュー = ターミナル FCFF / (WACC - FCFF ターミナル成長率)（セル O25）。</t>
  </si>
  <si>
    <t>Valor terminal en el año final = FCFF terminal / (WACC - tasa de crecimiento terminal del FCFF) (celda O25).</t>
  </si>
  <si>
    <t>Terminalwert im letzten Prognosejahr = Terminale FCFF / (WACC – Terminalwachstumsrate) (Zelle O25)</t>
  </si>
  <si>
    <t>Valeur terminale dans l'année finale = FCFF terminal / (WACC - taux de croissance terminal du FCFF) (cellule O25).</t>
  </si>
  <si>
    <t>Valore terminale nell’anno finale = Terminale FCFF/ (WACC- Tasso di crescita terminale del FCFF) (cell O25).</t>
  </si>
  <si>
    <t>최종 연도의 터미널 가치 = 터미널 FCFF / (WACC - FCFF 터미널 성장률) (셀 O25).</t>
  </si>
  <si>
    <t>Терминальная стоимость в последнем году = Терминальный FCFF / (WACC − терминальный темп роста FCFF) (Ячейка O25).</t>
  </si>
  <si>
    <t>Valor terminal no último ano = FCFF Terminal / (taxa de crescimento terminal WACC-FCFF) (célula O25).</t>
  </si>
  <si>
    <t>终值的现值 = 终值 / (1 + WACC) ^ 折现因子（单元格 O26）</t>
  </si>
  <si>
    <t>終值的現值 = 終值 / (1 + WACC) ^ 折現因子（儲存格 O26）</t>
  </si>
  <si>
    <t>ターミナルバリューの現在価値 = ターミナルバリュー / (1 + WACC) ^ 割引係数（セル O26）</t>
  </si>
  <si>
    <t>Valor actual del valor terminal = valor terminal / (1 + WACC) ^ factor de descuento (celda O26)</t>
  </si>
  <si>
    <t>Barwert des Terminalwerts = Terminalwert / (1 + WACC) ^ Abzinsungsfaktor (Zelle O26)</t>
  </si>
  <si>
    <t>Valeur actuelle de la valeur terminale = valeur terminale / (1 + WACC) ^ facteur d'actualisation (cellule O26)</t>
  </si>
  <si>
    <t>Valore attuale del Valore Terminale = Valore Terminale / (1 + WACC) ^ Fattore di sconto (cell O26)</t>
  </si>
  <si>
    <t>터미널 가치의 현재가치 = 터미널 가치 / (1 + WACC) ^ 할인계수 (셀 O26)</t>
  </si>
  <si>
    <t>Приведённая стоимость терминальной стоимости = Терминальная стоимость / (1 + WACC) ^ Коэффициент дисконтирования (Ячейка O26)</t>
  </si>
  <si>
    <t>Valor Presente do Valor Terminal = Valor Terminal / (1 + WACC) ^ Fator de Desconto (célula O26)</t>
  </si>
  <si>
    <t>基于此：</t>
  </si>
  <si>
    <t>基於此：</t>
  </si>
  <si>
    <t>これに基づき：</t>
  </si>
  <si>
    <t>Sobre esta base:</t>
  </si>
  <si>
    <t>Auf Basis dessen gilt:</t>
  </si>
  <si>
    <t>Sur cette base :</t>
  </si>
  <si>
    <t>In base a questo:</t>
  </si>
  <si>
    <t>이를 바탕으로:</t>
  </si>
  <si>
    <t>На основании этого:</t>
  </si>
  <si>
    <t>Com base nisso:</t>
  </si>
  <si>
    <t>企业价值 = FCFF 现值 + 终值的现值（单元格 O27）</t>
  </si>
  <si>
    <t>企業價值 = FCFF 現值 + 終值的現值（儲存格 O27）</t>
  </si>
  <si>
    <t>企業価値 = FCFF の現在価値 + ターミナルバリューの現在価値（セル O27）</t>
  </si>
  <si>
    <t>Valor de empresa = valor actual de los FCFF + valor actual del valor terminal (celda O27)</t>
  </si>
  <si>
    <t>Unternehmenswert = Barwert der FCFFs + Barwert des Terminalwerts (Zelle O27)</t>
  </si>
  <si>
    <t>Valeur d'entreprise = valeur actuelle des FCFF + valeur actuelle de la valeur terminale (cellule O27)</t>
  </si>
  <si>
    <t>Valore d’Impresa = Valore attuale dei FCFFs+ Valore attuale del Valore Terminale (Cell O27)</t>
  </si>
  <si>
    <t>기업가치 = FCFF의 현재가치 + 터미널 가치의 현재가치 (셀 O27)</t>
  </si>
  <si>
    <t>Стоимость предприятия = Приведённая стоимость FCFF + Приведённая стоимость терминальной стоимости (Ячейка O27)</t>
  </si>
  <si>
    <t>Valor Empresarial = Valor presente dos FCFFs+ Valor presente do valor terminal (Célula O27)</t>
  </si>
  <si>
    <t>权益价值 = 企业价值 - 净债务（单元格 O28）</t>
  </si>
  <si>
    <t>權益價值 = 企業價值 - 淨債務（儲存格 O28）</t>
  </si>
  <si>
    <t>株主資本価値 = 企業価値 - 純有利子負債（セル O28）</t>
  </si>
  <si>
    <t>Valor del patrimonio = valor de empresa - deuda neta (celda O28)</t>
  </si>
  <si>
    <t>Eigenkapitalwert = Unternehmenswert − Netto-Schulden(Zelle O28)</t>
  </si>
  <si>
    <t>Valeur des capitaux propres = valeur d'entreprise - dette nette (cellule O28)</t>
  </si>
  <si>
    <t>Valore del Capitale Netto = Valore d’Impresa - Debito Netto ( Cell O28)</t>
  </si>
  <si>
    <t>자기자본 가치 = 기업가치 - 순부채 (셀 O28)</t>
  </si>
  <si>
    <t>Стоимость собственного капитала = Стоимость предприятия − Чистый долг (Ячейка O28)</t>
  </si>
  <si>
    <t>Valor Patrimônio = Valor Empresarial - Dívida Líquida (Cell O28)</t>
  </si>
  <si>
    <t>隐含股价 = 权益价值 / 稀释后流通股数（单元格 O34）</t>
  </si>
  <si>
    <t>隱含股價 = 權益價值 / 稀釋後流通股數（儲存格 O34）</t>
  </si>
  <si>
    <t>インプライド株価 = 株主資本価値 / 希薄化後発行済株式数（セル O34）</t>
  </si>
  <si>
    <t>Precio implícito de la acción = valor del patrimonio / acciones diluidas en circulación (celda O34)</t>
  </si>
  <si>
    <t xml:space="preserve">Implizierter Aktienkurs = Eigenkapitalwert / Ausstehende verwässerte Aktienanzahl (Zelle O34)
</t>
  </si>
  <si>
    <t>Prix implicite de l'action = valeur des capitaux propres / actions diluées en circulation (cellule O34)</t>
  </si>
  <si>
    <t>Prezzo implicito per azione= Valore del Capitale Netto/ Azioni Diluite in circolazione (Cell O34)</t>
  </si>
  <si>
    <t>내재 주가 = 자기자본 가치 / 희석 후 유통주식수 (셀 O34)</t>
  </si>
  <si>
    <t>Подразумеваемая цена акции = Стоимость собственного капитала / Разводнённое количество акций в обращении (Ячейка O34)</t>
  </si>
  <si>
    <t>Preço Implícito da Ação = Valor da Ação / Ações Diluídas em circulação (Cell O34)</t>
  </si>
  <si>
    <t>反向 DCF 是一种估值方法，用于估算当前股价所隐含的增长率。</t>
  </si>
  <si>
    <t>反向 DCF 是一種估值方法，用於估算目前股價所隱含的成長率。</t>
  </si>
  <si>
    <t>リバース DCF は、現在の株価に織り込まれた成長率を推定するために使用される評価手法です。</t>
  </si>
  <si>
    <t>El DCF inverso es un enfoque de valoración utilizado para estimar la tasa de crecimiento implícita en el precio actual de la acción.</t>
  </si>
  <si>
    <t xml:space="preserve">Reverse DCF ist ein Bewertungsansatz, mit dem die Wachstumsrate abgeleitet wird, die in der aktuellen Aktie eingepreist ist.
</t>
  </si>
  <si>
    <t>Le DCF inversé est une approche d'évaluation utilisée pour estimer le taux de croissance implicite dans le cours actuel de l'action.</t>
  </si>
  <si>
    <t>Il Reverse DCF è un approccio di valutazione usato per stimare il tasso di crescita implicito dall’attuale prezzo delle azioni.</t>
  </si>
  <si>
    <t>역 DCF는 현재 주가에 내재된 성장률을 추정하는 데 사용되는 가치평가 접근법입니다.</t>
  </si>
  <si>
    <t>Обратный DCF — это метод оценки, используемый для определения темпа роста, подразумеваемого текущей ценой акций.</t>
  </si>
  <si>
    <t>DCF reversa é uma abordagem de avaliação usada para estimar a taxa de crescimento implícita pelo preço presente da ação.</t>
  </si>
  <si>
    <t>简单来说，这种做法会通过让「推算出来的估值」等于「目前的市场价格」来反推出增长率或利润率；而一般的 DCF 则是根据未来预测的现金流计算出企业的内在价值。</t>
  </si>
  <si>
    <t>簡單來說，這種做法會透過讓「推算出來的估值」等於「目前的市場價格」來反推出成長率或利潤率；而一般的 DCF 則是根據未來預測的現金流計算出企業的內在價值。</t>
  </si>
  <si>
    <t>簡単に言えば、インプライド評価額を現在の市場価格と一致させることで成長率またはマージンを導き出す一方、標準的な DCF は予測される将来キャッシュフローに基づいて本源的価値を算出します。</t>
  </si>
  <si>
    <t>En términos simples, la tasa de crecimiento o los márgenes se derivan igualando la valoración implícita al precio de mercado actual, mientras que un DCF estándar proporciona el valor intrínseco basado en los flujos de caja futuros proyectados.</t>
  </si>
  <si>
    <t>Vereinfacht gesagt werden die Wachstumsrate oder die Margen daraus gewonnen, indem man die implizierte Bewertung dem aktuellen Marktpreis gleichsetzt; ein Standard-DCF liefert den inneren Wert anhand projizierter zukünftiger Cash Flows.</t>
  </si>
  <si>
    <t>En termes simples, le taux de croissance ou les marges sont déterminés en égalant la valorisation implicite au prix de marché actuel, tandis qu'un DCF standard donne la valeur intrinsèque sur la base des flux de trésorerie futurs projetés.</t>
  </si>
  <si>
    <t>In termini semplici, il tasso di crescita o i margini vengono ricavati uguagliando la valutazione implicita al prezzo di mercato corrente, mentre un DCF standard fornisce il valore intrinseco basandosi sui flussi di cassa futuri previsti.</t>
  </si>
  <si>
    <t>간단히 말해, 내재 가치평가액을 현재 시장 가격과 일치시켜 성장률 또는 마진을 도출하는 반면, 표준 DCF는 예상 미래 현금흐름을 기반으로 내재가치를 산출합니다.</t>
  </si>
  <si>
    <t>Проще говоря, темпы роста или маржа рассчитываются путём приравнивания подразумеваемой оценки к текущей рыночной цене, тогда как стандартный DCF даёт внутреннюю (справедливую) стоимость на основе прогнозируемых будущих денежных потоков.</t>
  </si>
  <si>
    <t>Em termos simples, a taxa de crescimento ou margens são derivadas equiparando a avaliação implícita ao preço presente de mercado, enquanto um DCF padrão fornece o valor intrínseco com base nos fluxos de caixa futuros projetados.</t>
  </si>
  <si>
    <t>SPS2012255296</t>
  </si>
  <si>
    <t>SPS2012554751</t>
  </si>
  <si>
    <t>Free Cash Flow - Calculation</t>
  </si>
  <si>
    <t>Change in Net Working Capital - Calculation</t>
  </si>
  <si>
    <t>自由现金流 - 计算</t>
  </si>
  <si>
    <t>自由現金流 - 計算</t>
  </si>
  <si>
    <t>フリーキャッシュフロー - 計算</t>
  </si>
  <si>
    <t>Flujo de caja libre - Cálculo</t>
  </si>
  <si>
    <t>Verfügbarer Geldfluss - Berechnung</t>
  </si>
  <si>
    <t>Flux de trésorerie disponibles - Calcul</t>
  </si>
  <si>
    <t>Flusso di cassa libero - Calcolo</t>
  </si>
  <si>
    <t>잉여현금흐름 - 계산</t>
  </si>
  <si>
    <t>Свободный денежный поток - Расчет</t>
  </si>
  <si>
    <t>Fluxo de Caixa Livre - Cálculo</t>
  </si>
  <si>
    <t>净营运资金变动 - 计算</t>
  </si>
  <si>
    <t>淨營運資金變動 - 計算</t>
  </si>
  <si>
    <t>純運転資本の増減額 - 計算</t>
  </si>
  <si>
    <t>Variación del capital de trabajo neto - Cálculo</t>
  </si>
  <si>
    <t>Veränderung des Nettoumlaufvermögens - Berechnung</t>
  </si>
  <si>
    <t>Variation du fonds de roulement net - Calcul</t>
  </si>
  <si>
    <t>Variazione capitale circolante netto - Calcolo</t>
  </si>
  <si>
    <t>순운영자본 변동 - 계산</t>
  </si>
  <si>
    <t>Изменение чистого оборотного капитала - Расчет</t>
  </si>
  <si>
    <t>Variação Líquida no Capital de Giro - Cálculo</t>
  </si>
  <si>
    <t>隐含 股价 - 计算</t>
  </si>
  <si>
    <t>隱含 股價 - 計算</t>
  </si>
  <si>
    <t>インプライド  株価 - 計算</t>
  </si>
  <si>
    <t>implícito Precio de la acción - Cálculo</t>
  </si>
  <si>
    <t>Implizites Aktienkurs - Berechnung</t>
  </si>
  <si>
    <t>Implicite Prix ​​de l'action - Calcul</t>
  </si>
  <si>
    <t>Implicito Prezzo azioni - Calcolo</t>
  </si>
  <si>
    <t>묵시적 주식 가격 - 계산</t>
  </si>
  <si>
    <t>Подразумеваемая Цена акции - Расчет</t>
  </si>
  <si>
    <t>Implied Share price - Calculation</t>
  </si>
  <si>
    <t>Workings of Reverse DCF</t>
  </si>
  <si>
    <t xml:space="preserve">For the terminal value calculation, the model applies the perpetuity growth method: </t>
  </si>
  <si>
    <t>Enterprise value</t>
  </si>
  <si>
    <t>Equity value</t>
  </si>
  <si>
    <t>允䅁䡁䥫䅁潁䅁䅁睉䩂䕁䄴杖䉂䕁䅷兓䕂䍁䅁睑偂䕁䄰䅕䉂䕁䄴兗杁䕁䅫䅒䅁乁䅑䅁捁䅁䅁睕兂䙁䅍免㑁䑁䅉睍㑁䑁䅫䅏睁䑁䅁免䅁佁䙫䅁允䅁䅁兊呂䙁䅁䅖ぁ䑁䅣兏䅁䙁䙉䅁允䅁䅁杒剂䑁䅑杍睁䑁䅅䅏䅁䑁䍉䅁奂䅁䅁睊扂䕁䄰兓時䕁䅑睑䝂䕁䅅杢桂䝁䅷入穂䝁䅫督時䡁䅙免杁䍁䄰䅉䑂䝁䄸䅣㕂䍁䄴䅥獂䡁䅍兢摂䕁䅑睑䝂䍁䅣光歁䕁䅉䅊祁䑁䅁杍䅁䱁䍣䅁浂䅁䅁睊扂䕁䅑睑䝂䍁䅁睑療䝁䄴杤求䡁䅉督灂䝁䄸杢杁䍁䅧杤求䡁䅉督灂䝁䄸杢杁䑁䅅克畁䡁䅧䅢穂䝁䅉兘䕂䕁䅍杒湁䍁䅅䅊卂䍁䅑䅏㕁䑁䅯䅊坂䍁䅑䅏㕁䅁䅁光䅅䝁䅉䅁湁䙁䅳睕兂䕁䅣睘䕂䕁䅍杒䉂䝁䄴兙獂䡁䅫督灂䡁䅍睘㉂䑁䅅䅉潁䑁䅍克畁䡁䅧䅢穂䝁䄰兘䕂䕁䅍杒湁䍁䅅䅊䙂䍁䅑杍硁䑁䅍杏歁䕁䅕䅊祁䑁䅍睍䅁䝁䐸䅁奁䅁䅁䅖偂䙁䅑兑䵂䙁䅉兒啂䙁䅕杕佂䅁䅁兆䅁䅁䅉䅁䅁䍁䅁䅁允䅁䅁兊呂䙁䅁䅖ぁ䑁䅣杍䅁䡁䙑䅁慁䅁䅁杔䉂䙁䅍䅒䉂䙁䅅睒呂䑁䅯睖乂䕁䅣䅁祃杂䅁杕䅁䍁䅣睗䕂䕁䅍杒杁䕁䅍睢畂䡁䅙党祂䡁䅍兡療䝁䄴杌㑂䝁䅷督瑂䙁䄰䅒䑂䕁䅙睊桁䍁䅑兑䡂䍁䅑䅎ㅁ䑁䅯䅊䉂䕁䅣䅊ㅁ䑁䅙䅁歁允䅁杊䅁䍁䅍杔偂䍁䅁䅒䉂䙁䅑兑杁䕁䅅杖䉂䕁䅫䅔䉂䕁䅉䅔䙂䅁䅁党䅙䝁䅉䅁扂䕁䄰兓時䕁䅫杔呂䙁䄸睒䵂䕁䄸村䉂䕁䅷睘塂䕁䅅睑䑂䍁䄴兑畂䝁䅅䅢㕂䡁䅍兡穂䙁䄸杤硁䍁䄴䅥獂䡁䅍兢摂䙁䅣兑䑂䕁䅍光歁䕁䅅兒歁䑁䅑䅍䅁䱁䅅䅁卂䅁䅁睊扂䕁䄰兓時䕁䅑睑䝂䕁䅅杢桂䝁䅷入穂䝁䅫督時䡁䅙免杁䍁䅧杍灁䍁䄴䅥獂䡁䅍兢摂䕁䅑睑䝂䍁䅣光歁䕁䅍兖歁䑁䅕免䅁䅁䐸䅁捁䅁䅁兓剂䙁䅑免㍁䑁䅫杍㉁䑁䅁李㑁䑁䅙䅎䅁䅁䔴䅁浂䅁䅁睊扂䕁䄰兓時䕁䅑睑䝂䕁䅅杢桂䝁䅷入穂䝁䅫督時䡁䅙免杁䍁䄰䅉䑂䝁䄸䅣㕂䍁䄴䅥獂䡁䅍兢摂䕁䅑睑䝂䍁䅣光歁䙁䅧䅊硁䑁䅑睍㙁䍁䅑䅗歁䑁䅅䅎㑁䅁䅁兴䅉䅁䄴䅁橁䕁䅕杕卂䕁䄸杕䅁乁䅉䅁杂䅁䅁睊扂䕁䄰兓時䕁䅑睑䝂䕁䅅杢桂䝁䅷入穂䝁䅫督時䡁䅙免杁䍁䅧杍灁䍁䄴䅥獂䡁䅍兢摂䕁䅑睑䝂䍁䅣光歁䕁䅣䅊硁䑁䅁睍㙁䍁䅑睒歁䑁䅅睍睁䅁䅁杆䅍䍁䄴䅁橁䕁䅑兖兂䕁䅷兓䑂䕁䅅䅖䙂䍁䅁睔兂䙁䅑兓偂䕁䄴䅉䱂䕁䅕兗呂䅁䅁䄹䅑䕁䅙䅁湁䙁䅳䅒䑂䕁䅙䅉䑂䝁䄸杢㉂䝁䅕杣穂䝁䅫睢畂䍁䄴䅥獂䡁䅍兢摂䙁䅣兑䑂䕁䅍睊桁䍁䅑兑䙂䍁䅑䅎睁䅁䅁睅䅅䉁䅁䅁汁䙁䅍䅕啂䑁䅙兎ㅁ䅁䅁睏䅕䙁䅑䅁扂䕁䄰兓時䕁䅑睑䝂䕁䅅杢桂䝁䅷入穂䝁䅫督時䡁䅙免畁䡁䅧䅢穂䝁䄰兘䕂䕁䅍杒桁䍁䅑兗歁䑁䅅䅎ㅁ䑁䅯䅊婂䍁䅑免ㅁ䑁䅁䅁奂杁䅁杇䅁䙁䅍䅕呂䑁䅉䅏㑁䑁䅣免㑁䑁䅫兏睁䅁䅁朸䅙䉁䅁䅁汁䙁䅍䅕啂䑁䅑兎㍁䅁䅁睔䅕䉁䅁䅁汁䙁䅍䅕啂䑁䅕杍㕁䅁䅁睑䅕䉁䅷䅁䩂䙁䅅䅖硁䑁䅧䅎㍁䑁䅫兏ㅁ䑁䅉李穁䅁䅁兎䅑䙁䅁䅁湁䙁䅳兔䩂䙁䄸䅒䑂䕁䅙兑畂䝁䅅䅢㕂䡁䅍兡穂䙁䄸杤硁䍁䅁䅋祁䍁䅫杌㑂䝁䅷督瑂䙁䄰䅒䑂䕁䅙睊桁䍁䅑杖歁䑁䅑睎䅁䅁䑯䅁奁䅁䅁睕兂䙁䅍䅎睁䑁䅕兎㕁䑁䅁睍祁䅁䅁䅔䅣䉁䅉䅁汁䙁䅍䅕啂䑁䅉李睁䑁䅉䅁㑁兂䅁䅅䅁䍁䅕睕兂䙁䅑兎㕁䑁䅉䅁摂兂䅁䅒䅁䍁䅣睗䕂䕁䅍杒杁䕁䅍睢畂䡁䅙党祂䡁䅍兡療䝁䄴杌㑂䝁䅷督瑂䙁䄰䅒䑂䕁䅙睊桁䍁䅑䅗歁䑁䅅免㍁䅁䅁兣䅅䍁䅁䅁䩂䙁䅅睘啂䕁䄸䅖䉂䕁䅷睘卂䕁䅕睑䙂䕁䅫杖䅁䥁䝕䅁慁䅁䅁睕兂䙁䅍睎睁䑁䅉兏祁䑁䅅李㍁䑁䅉䅁䱂䅃䅁䅅䅁䍁䅕睕兂䙁䅑睍㕁䑁䅑䅁慂兂䅁䅖䅁䙁䅳兔䩂䙁䄸䅒䑂䕁䅙兑畂䝁䅅䅢㕂䡁䅍兡穂䙁䄸杤硁䍁䄴䅥獂䡁䅍兢摂䕁䅑睑䝂䍁䅅䅊䕂䕁䄴䅊ぁ䑁䅫杏歁䕁䅑杔歁䑁䅕䅎䅁䑁䍫䅁䵁䅁䅁睉兂䕁䅕杔䕂䅁䅁关䅍䉁䅷䅁䩂䙁䅅䅖硁䑁䅧䅎㍁䑁䅫兏ㅁ䑁䅉免ぁ䅁䅁䅌䅑䉁䅯䅁呂䙁䅁睕ㅁ䑁䅫䅎ㅁ䑁䅁睍穁䑁䅧兏䅁乁䝯䅁兂䅁䅁睊扂䕁䅑睑䝂䍁䅁睑療䝁䄴杤求䡁䅉督灂䝁䄸杢畁䡁䅧䅢穂䝁䄰兘呂䝁䅧党求䡁䅑免湁䍁䅅䅊乂䍁䅑䅎㙁䍁䅑睔歁䑁䅑䅁䱂允䅁杇䅁䙁䅍䅕呂䑁䅉䅏㑁䑁䅣免㑁䑁䅫兏穁䅁䅁儹䅙䉁䅁䅁汁䙁䅍䅕啂䑁䅕免硁䅁䅁睢䅕䙁䅧䅁湁䙁䅳兔䩂䙁䄸䅒䑂䕁䅙兑畂䝁䅅䅢㕂䡁䅍兡穂䙁䄸杤硁䍁䅁兌杁䕁䅍睢睂䡁䅫杌㑂䝁䅷督瑂䙁䄰䅒䑂䕁䅙睊桁䍁䅑兗歁䑁䅅杍㍁䅁䅁睲䅉䕁䅑䅁湁䙁䅳䅒䑂䕁䅙䅉䑂䝁䄸杢㉂䝁䅕杣穂䝁䅫睢畂䍁䄴䅥獂䡁䅍兢摂䕁䅑睑䝂䍁䅣光歁䙁䅍䅊硁䑁䅧李䅁䑁䉫䅁捁䅁䅁兓剂䙁䅑免㑁䑁䅍睎ぁ䑁䅕杍睁䑁䅅䅎䅁䅁䕙䅁允䅁䅁兊呂䙁䅁䅖穁䑁䅙䅏䅁䑁䙁䅁䥂䅁䅁睗呂䙁䅁睒時䕁䅑睑䝂䕁䅅杢桂䝁䅷入穂䝁䅫督時䡁䅙免畁䡁䅧䅢穂䝁䄰兘䕂䕁䅍杒桁䍁䅑兑䡂䍁䅑䅎㍁䅁䅁䅎䅍䉁䅷䅁䩂䙁䅅䅖硁䑁䅧李ぁ䑁䅁䅎ㅁ䑁䅑睎祁䅁䅁䅴䅑䉁䅷䅁呂䙁䅁睕硁䑁䅣兏祁䑁䅣睎ㅁ䑁䅑睍睁䅁䅁兆䅙䙁䅉䅁湁䙁䅳兔䩂䙁䄸䅒䑂䕁䅙兑畂䝁䅅䅢㕂䡁䅍兡穂䙁䄸杤硁䍁䅁䅋祁䍁䅫杌㑂䝁䅷督瑂䙁䄰䅒䑂䕁䅙睊桁䍁䅑䅒佂䍁䅑䅎㑁䅁䅁儯䅉䉁䅷䅁䩂䙁䅅䅖硁䑁䅧䅎㍁䑁䅫兏ㅁ䑁䅉䅎祁䅁䅁杹䅑䉁䅯䅁佂䕁䅅睕䕂䕁䅅兕䡂䙁䅍杏塂䕁䅉䅒䅁䭁䝧䅁坂䅁䅁睗乂䕁䅫睘䡂䕁䅷睔䍂䕁䅅䅔時䙁䅣兑䑂䕁䅍兑畂䝁䅅䅢㕂䡁䅍兡穂䙁䄸杤硁䍁䄴䅥獂䡁䅍兢摂䙁䅣兑䑂䕁䅍光歁䙁䅁䅊穁䑁䅉䅁⽃䅁䅁䅣䅁䕁䄸䅣あ䝁䅫睢畂䡁䅍杏䑂䡁䅕杣祂䑁䄰兖呂䕁䅑䅌乂䝁䅅睚㥁䙁䅑䅡療䡁䅕督桂䝁䄴䅚穂䍁䅷睑療䝁䄴杤乂䝁䅕䅤潂䝁䄸䅚㥁䕁䄰兓祂䝁䅕睙療䝁䄰兢求䝁䄴䅚求䝁䅑䅁剁睁䅁杒䅁䍁䅣睗䕂䕁䅍杒杁䕁䅍睢畂䡁䅙党祂䡁䅍兡療䝁䄴杌㑂䝁䅷督瑂䙁䄰睕潂䝁䅕党あ䑁䅅睊桁䍁䅑杒歁䑁䅕䅁䅂允䅁䅅䅁䍁䅕睕兂䙁䅑睍㍁䑁䅅䅁穂兂䅁䅈䅁䕁䅫兕啂䑁䅅睎㕁䑁䅉睎㍁䑁䅕䅎㉁䑁䅫䅁敃䅂䅁杒䅁䙁䅳兔䩂䙁䄸䅒䑂䕁䅙兑畂䝁䅅䅢㕂䡁䅍兡穂䙁䄸杤硁䍁䄴䅥獂䡁䅍兢摂䕁䅑睑䝂䍁䅅䅊婂䍁䅑免祁䑁䅫䅁剂杁䅁䅖䅁䍁䅣睗呂䙁䅁睒時䕁䅑睑䝂䕁䅅杢桂䝁䅷入穂䝁䅫督時䡁䅙免杁䍁䅧睍灁䍁䄴䅥獂䡁䅍兢摂䕁䅑睑䝂䍁䅣光歁䙁䅫䅊硁䑁䅍杍䅁䝁䑕䅁允䅁䅁兊呂䙁䅁䅖穁䑁䅣睎䅁䑁䙯䅁䕂䅁䅁睊扂䙁䅣兑䑂䕁䅍䅉呂䕁䄴䅔畁䡁䅧䅢穂䝁䄰兘塂䕁䅅睑䑂䍁䅣光歁䕁䅷䅊穁䑁䅕杏歁䕁䅷䅊ぁ䑁䅫䅁桃䅁䅁䅂䅁䕁䅍䅁䩂䅂䅁村䅁䍁䅣睗䕂䕁䅍杒杁䕁䅍睢畂䡁䅙党祂䡁䅍兡療䝁䄴杌㑂䝁䅷督瑂䙁䄰䅒䑂䕁䅙睊桁䍁䅑睕歁䑁䅫杍䅁䭁䉫䅁允䅁䅁兊呂䙁䅁䅖穁䑁䅧杍䅁䙁䙫䅁䕂䅁䅁睊扂䕁䅑睑䝂䍁䅁睑療䝁䄴杤求䡁䅉督灂䝁䄸杢畁䡁䅧䅢穂䝁䄰兘䕂䕁䅍杒湁䍁䅅䅊婂䍁䅑免祁䑁䅉䅁祂允䅁杙䅁䍁䅣睗呂䙁䅁睒時䕁䅑睑䝂䕁䅅杢桂䝁䅷入穂䝁䅫督時䡁䅙免杁䍁䅧睍灁䍁䄴䅥獂䡁䅍兢摂䕁䅑睑䝂䍁䅣光歁䕁䅑䅕歁䑁䅑兏㙁䍁䅑䅒剂䍁䅑䅎㕁䅁䅁杔䅍䝁䅉䅁湁䙁䅳睕兂䕁䅣睘䕂䕁䅍杒䉂䝁䄴兙獂䡁䅫督灂䡁䅍睘㉂䑁䅅䅉潁䑁䅍克畁䡁䅧䅢穂䝁䄰兘䕂䕁䅍杒湁䍁䅅䅊奂䍁䅑免ぁ䑁䅧杏歁䙁䅧䅊硁䑁䅕睍䅁䝁䑳䅁睂䅁䅁睔睂䡁䅑兡療䝁䄴督㙁䕁䅍兤祂䡁䅉児噂䙁䅍䅒獁䕁䄰兙湂䑁䄰兔灂䝁䅷䅢灂䝁䄸杢穂䍁䅷睑療䝁䄴杤乂䝁䅕䅤潂䝁䄸䅚㥁䙁䅍杔䵂䡁䅉党橂䝁䄸兢瑂䝁䅕杢歂䝁䅕䅚䅁䩁䄸䅁允䅁䅁兊呂䙁䅁䅖ㅁ䑁䅣䅏䅁䕁䙉䅁允䅁䅁兊呂䙁䅁䅖穁䑁䅧兏䅁䑁䙕䅁䕂䅁䅁睊扂䕁䅑睑䝂䍁䅁睑療䝁䄴杤求䡁䅉督灂䝁䄸杢畁䡁䅧䅢穂䝁䄰兘䕂䕁䅍杒湁䍁䅅䅊坂䍁䅑免硁䑁䅫䅁ㅂ允䅁䅅䅁䍁䅕睕兂䙁䅑䅎睁䑁䅉䅁ㅂ兂䅁䅖䅁䍁䅣睗呂䙁䅁睒時䕁䅑睑䝂䕁䅅杢桂䝁䅷入穂䝁䅫督時䡁䅙免杁䍁䅧睍灁䍁䄴䅥獂䡁䅍兢摂䕁䅑睑䝂䍁䅣光歁䙁䅣䅊硁䑁䅑䅍䅁䝁䑙䅁允䅁䅁兊呂䙁䅁䅖㉁䑁䅅睎䅁䕁䙕䅁杁䅁䅁䅒求䝁䅕杣求䍁䅁杊杁䕁䅍睢瑂䡁䅁兙畂䡁䅫䅁塄䅂䅁䅅䅁䍁䅕睕兂䙁䅑䅎硁䑁䅕䅁䕂兂䅁䅖䅁䙁䅳睕兂䕁䅣睘䕂䕁䅍杒時䕁䅅杢桂䝁䅷入穂䝁䅫督時䡁䅙免時䕁䅳兡求䝁䅷杌㑂䝁䅷督瑂䙁䄰䅒䑂䕁䅙光歁䕁䅅䅗歁䑁䅕睎䅁䡁䥑䅁捁䅁䅁睕兂䙁䅍免㑁䑁䅑睎㕁䑁䅫兎穁䑁䅣兏䅁䅁䝅䅁慁䅁䅁村療䝁䄴䅚杁䝁䄸杣杁䕁䄴睢あ䝁䅕䅁敂杁䅁杗䅁䍁䅣睗呂䙁䅁睒時䕁䅑睑䝂䙁䄸兑畂䝁䅅䅢㕂䡁䅍兡穂䙁䄸杤硁䍁䅁杒灂䝁䄴兙獂䍁䄴䅥獂䡁䅍兢摂䕁䅑睑䝂䍁䅣光歁䕁䅅䅗歁䑁䅕睎䅁䵁䡍䅁奁䅁䅁睕兂䙁䅍免ぁ䑁䅁兎硁䑁䅉兏睁䅁䅁眵䅕䙁䅁䅁湁䙁䅳睕兂䕁䅣睘䕂䕁䅍杒䉂䝁䄴兙獂䡁䅫督灂䡁䅍睘㉂䑁䅅䅉ぁ䍁䄴䅥獂䡁䅍兢摂䕁䅑睑䝂䍁䅣光歁䙁䅣䅊硁䑁䅍免䅁䅁䘰䅁浂䅁䅁睊扂䕁䄰兓時䕁䅑睑䝂䕁䅅杢桂䝁䅷入穂䝁䅫督時䡁䅙免杁䍁䄰䅉䑂䝁䄸䅣㕂䍁䄴䅥獂䡁䅍兢摂䕁䅑睑䝂䍁䅣光歁䕁䅕䅊祁䑁䅁䅏㙁䍁䅑兒歁䑁䅉杍㑁䅁䅁兵䅉䉁䅁䅁汁䙁䅍䅕啂䑁䅕兎睁䅁䅁睥䅕䉁䅷䅁䩂䙁䅅䅖硁䑁䅣兏祁䑁䅙䅍㉁䑁䅧李ㅁ䅁䅁睰䅑䝁䅁䅁湁䙁䅳兔䩂䙁䄸䅒䑂䕁䅙兑畂䝁䅅䅢㕂䡁䅍兡穂䙁䄸杤硁䍁䅁䅋祁䍁䅫杌㑂䝁䅷督瑂䙁䄰䅒䑂䕁䅙睊桁䍁䅑兑乂䍁䅑兎㕁䑁䅯䅊䉂䕁䄰䅊㍁䑁䅉䅁䙁睁䅁䅈䅁䙁䅍䅕呂䑁䅅䅏㑁䑁䅣䅏㑁䑁䅣兎㕁䑁䅣䅁䅂睂䅁䅅䅁䍁䅕睕兂䙁䅑睎ㅁ䑁䅉䅁䉃兂䅁䅅䅁䍁䅕睕兂䙁䅑兎㉁䑁䅫䅁䡂兂䅁杇䅁䙁䅍䅕啂䙁䅉睔硁䑁䅙兏祁䑁䅙睍穁䅁䅁䅘䅉䉁䅁䅁汁䙁䅍䅕啂䑁䅑免㍁䅁䅁兕䅕䉁䅁䅁汁䙁䅍䅕啂䑁䅑杍㍁䅁䅁䅎䅕䙁䄴䅁湁䙁䅳睕兂䕁䅣睘䕂䕁䅍杒䉂䝁䄴兙獂䡁䅫督灂䡁䅍睘㉂䑁䅅䅉ぁ䍁䄴䅥獂䡁䅍兢摂䕁䅑睑䝂䍁䅣光歁䙁䅫䅊硁䑁䅕杍㙁䍁䅑兗歁䑁䅅兎穁䅁䅁䅇䅕䝁䅉䅁湁䙁䅳兔䩂䙁䄸䅒䑂䕁䅙兑畂䝁䅅䅢㕂䡁䅍兡穂䙁䄸杤硁䍁䅁兌杁䕁䅍睢睂䡁䅫杌㑂䝁䅷督瑂䙁䄰䅒䑂䕁䅙睊桁䍁䅑䅓歁䑁䅫睍㙁䍁䅑兔歁䑁䅫睍䅁䭁䍫䅁䭁䅁䅁睕兂䕁䅣兓䅁䙁䡣䅁允䅁䅁兊呂䙁䅁䅖ㅁ䑁䅍免䅁䙁䙧䅁奂䅁䅁睖桂䡁䅉杢求䡁䅉䅉䍂䡁䅉睢穂䍁䄴䅉䕂䝁䅫督橂䝁䄸杤求䡁䅉入獁䍁䅁兓畂䝁䅍杌杁䍁䅧杔䉂䙁䅍䅒䉂䙁䅅睒呂䑁䅯睖䍂䕁䅑克䅁䱁䝕䅁捁䅁䅁睕兂䙁䅍免㍁䑁䅫杍㍁䑁䅣兎ぁ䑁䅍杍䅁䱁䘰䅁允䅁䅁兊呂䙁䅁䅖ぁ䑁䅉兏䅁䡁䙙䅁兂䅁䅁睊扂䕁䅑睑䝂䍁䅁睑療䝁䄴杤求䡁䅉督灂䝁䄸杢畁䡁䅧䅢穂䝁䄰兘呂䝁䅧党求䡁䅑免湁䍁䅅䅊佂䍁䅑睍㙁䍁䅑兕歁䑁䅍䅁佂允䅁䅈䅁䙁䅍䅕呂䑁䅅䅏祁䑁䅅䅎硁䑁䅁杍㕁䑁䅕䅁䅃睂䅁䅅䅁䍁䅕睕兂䙁䅑䅎穁䑁䅑䅁䭂兂䅁杙䅁䍁䅣睗呂䙁䅁睒時䕁䅑睑䝂䕁䅅杢桂䝁䅷入穂䝁䅫督時䡁䅙免杁䍁䅧免灁䍁䄴䅥獂䡁䅍兢摂䕁䅑睑䝂䍁䅣光歁䕁䅉䅗歁䑁䅕睍㙁䍁䅑睑䉂䍁䅑兎穁䅁䅁杮䅍䉁䅁䅁汁䙁䅍䅕啂䑁䅕睎睁䅁䅁䅥䅕䉁䅯䅁偂䡁䅁䅤灂䝁䄸杢穂䑁䅯杔䉂䑁䄰䅍䅁偁䕅䅁卂䅁䅁睊扂䕁䄰兓時䕁䅑睑䝂䕁䅅杢桂䝁䅷入穂䝁䅫督時䡁䅙免杁䍁䅧杍灁䍁䄴䅥獂䡁䅍兢摂䕁䅑睑䝂䍁䅣光歁䙁䅫䅊硁䑁䅍杍䅁䉁䑳䅁捁䅁䅁睕兂䙁䅍免㑁䑁䅧睎睁䑁䅍䅍㕁䑁䅕兏䅁偁䘴䅁捁䅁䅁兓剂䙁䅑免㑁䑁䅑睎㕁䑁䅫兎ぁ䑁䅁睎䅁䅁䔸䅁䕂䅁䅁睊扂䕁䅑睑䝂䍁䅁睑療䝁䄴杤求䡁䅉督灂䝁䄸杢畁䡁䅧䅢穂䝁䄰兘䕂䕁䅍杒湁䍁䅅䅊啂䍁䅑免㑁䑁䅙䅁㉁允䅁杒䅁䙁䅳兔䩂䙁䄸䅒䑂䕁䅙兑畂䝁䅅䅢㕂䡁䅍兡穂䙁䄸杤硁䍁䄴䅥獂䡁䅍兢摂䕁䅑睑䝂䍁䅅䅊婂䍁䅑免穁䑁䅅䅁婄杁䅁杙䅁䍁䅣睗呂䙁䅁睒時䕁䅑睑䝂䕁䅅杢桂䝁䅷入穂䝁䅫督時䡁䅙免杁䍁䅧睍灁䍁䄴䅥獂䡁䅍兢摂䕁䅑睑䝂䍁䅣光歁䕁䅑䅒歁䑁䅕睍㙁䍁䅑䅒䝂䍁䅑兎穁䅁䅁兘䅍䉁䅁䅁汁䙁䅍䅕啂䑁䅑睍ㅁ䅁䅁材䅕䉁䅷䅁呂䙁䅁睕硁䑁䅧杍穁䑁䅧睎㑁䑁䅅睎睁䅁䅁䄶䅕䉁䅷䅁䩂䙁䅅䅖硁䑁䅧李ぁ䑁䅁䅎㉁䑁䅑兎ㅁ䅁䅁䅐䅑䉁䅁䅁汁䙁䅍䅕啂䑁䅑兏㉁䅁䅁入䅕䙁䅙䅁扂䙁䅍䅕䡂䙁䄸䅒䑂䕁䅙兑畂䝁䅅䅢㕂䡁䅍兡穂䙁䄸杤硁䍁䄴䅥獂䡁䅍兢摂䕁䅑睑䝂䍁䅅䅊䕂䙁䅁䅊ぁ䑁䅫杏歁䕁䅑兕歁䑁䅑兏䅁䍁䑫䅁允䅁䅁兊呂䙁䅁䅖ぁ䑁䅑睍䅁䕁䙷䅁捁䅁䅁睕兂䙁䅍免㑁䑁䅑睎㕁䑁䅫兎穁䑁䅣李䅁䍁䝧䅁捁䅁䅁兓剂䙁䅑免㑁䑁䅧睎睁䑁䅍䅍㕁䑁䅣杍䅁䅁䕉䅁䝂䅁䅁睗乂䕁䅫睘䕂䕁䅍杒䉂䝁䄴兙獂䡁䅫督灂䡁䅍睘㉂䑁䅅杌㑂䝁䅷督瑂䙁䄰䅒䑂䕁䅙光歁䙁䅯䅊硁䑁䅑䅍䅁䅁䍑䅁兂䅁䅁睗乂䕁䅫睘䕂䕁䅍杒䉂䝁䄴兙獂䡁䅫督灂䡁䅍睘㉂䑁䅅杌㑂䝁䅷督瑂䙁䄰䅒䑂䕁䅙光歁䕁䅧䅊㕁䑁䅫杏歁䕁䄰䅊㕁䑁䅫䅁塄杁䅁䅅䅁䍁䅕睕兂䙁䅑李硁䑁䅧䅁牂兂䅁杒䅁䍁䅣睗䕂䕁䅍杒杁䕁䅍睢畂䡁䅙党祂䡁䅍兡療䝁䄴杌㑂䝁䅷督瑂䙁䄰睕潂䝁䅕党あ䑁䅅睊桁䍁䅑睓歁䑁䅉䅁䩂允䅁䅅䅁䍁䅕睕兂䙁䅑䅎ぁ䑁䅣䅁䉂兂䅁䅅䅁䍁䅕睕兂䙁䅑兎㉁䑁䅑䅁時兂䅁杇䅁䙁䅍䅕呂䑁䅉䅏㑁䑁䅣免㑁䑁䅫兏祁䅁䅁䄹䅙䉁䅁䅁汁䙁䅍䅕啂䑁䅑兎ㅁ䅁䅁杔䅕䉁䅯䅁呂䙁䅁睕祁䑁䅧䅏㍁䑁䅅䅏㕁䑁䅧杍䅁䵁䝉䅁敂䅁䅁睊扂䙁䅍䅕䡂䙁䄸䅒䑂䕁䅙兑畂䝁䅅䅢㕂䡁䅍兡穂䙁䄸杤硁䍁䅁䅋穁䍁䅫杌㑂䝁䅷督瑂䙁䄰䅒䑂䕁䅙睊桁䍁䅑䅓歁䑁䅫䅏㙁䍁䅑兔歁䑁䅫䅏䅁䙁䐸䅁允䅁䅁兊呂䙁䅁䅖ぁ䑁䅙睎䅁䕁䙙䅁䝂䅁䅁睊扂䕁䅑睑䝂䍁䅁睑療䝁䄴杤求䡁䅉督灂䝁䄸杢畁䡁䅧䅢穂䝁䄰兘呂䝁䅧党求䡁䅑免湁䍁䅅䅊䥂䍁䅑睍䅁䕁䉅䅁允䅁䅁兊呂䙁䅁䅖ㅁ䑁䅧睍䅁䝁䙫䅁䭁䅁䅁杒婂䍁䄰李䅁䝁䝧䅁允䅁䅁兊呂䙁䅁䅖ぁ䑁䅧杍䅁䙁䙑䅁敂䅁䅁睊扂䙁䅍䅕䡂䙁䄸䅒䑂䕁䅙兑畂䝁䅅䅢㕂䡁䅍兡穂䙁䄸杤硁䍁䅁䅎畁䡁䅧䅢穂䝁䄰兘䕂䕁䅍杒湁䍁䅅䅊䡂䍁䅑杍ぁ䑁䅧杏歁䕁䄰䅊祁䑁䅑䅏䅁䅁䙯䅁允䅁䅁兊呂䙁䅁䅖ぁ䑁䅫免䅁䙁䙕䅁允䅁䅁兊呂䙁䅁䅖ㅁ䑁䅁李䅁䕁䙫䅁捁䅁䅁杒ㅂ䝁䄴䅚灂䝁䄴睚杁䙁䅑入睂䝁䅕䅉䅁䍁䅫䅁慁䅁䅁睕兂䙁䅍杍㑁䑁䅧睎硁䑁䅧兏㑁䑁䅑䅁䕄杂䅁䅈䅁䕁䅫兕啂䑁䅅䅏ぁ䑁䅣兏㕁䑁䅕杍睁䑁䅧䅁睄睁䅁杖䅁䙁䅳兔䩂䙁䄸睖䉂䕁䅍睑䉂䝁䄴兙獂䡁䅫督灂䡁䅍睘㉂䑁䅅杌㑂䝁䅷督瑂䙁䄰睖䉂䕁䅍睑桁䍁䅑兕歁䑁䅍睍㙁䍁䅑兑䉂䍁䅑睍穁䅁䅁兄䅅䍁䅙䅁扂䕁䅉睢療䝁䅳免摂䙁䅍䅡求䝁䅕䅤硁䍁䅅䅊䉂䍁䅑免䅁䉁䅁䅁允䅁䅁兊呂䙁䅁䅖㍁䑁䅁䅎䅁䥁䙁䅁杁䅁䅁免瑂䍁䅁睕睂䝁䅅杢灂䡁䅍䅡杁䕁䅉兡獂䝁䅷䅁䱄杁䅁杇䅁䙁䅍䅕呂䑁䅉䅏㑁䑁䅣免㑁䑁䅫兏ぁ䅁䅁朹䅙䉁䅁䅁汁䙁䅍䅕啂䑁䅕免㉁䅁䅁睖䅕䉁䅯䅁䩂䙁䅅䅖祁䑁䅕䅎㕁䑁䅍兎睁䑁䅫䅏䅁䅁䕫䅁慁䅁䅁睕兂䙁䅍杍㑁䑁䅧睎硁䑁䅧兏㕁䑁䅕䅁㍄杂䅁䅅䅁䍁䅕睕兂䙁䅑兎硁䑁䅣䅁䅂兂䅁䅅䅁䍁䅕睕兂䙁䅑睎ぁ䑁䅣䅁煂兂䅁杔䅁䕁䅯兙牂䝁䅅杣あ䝁䅅䅉呂䡁䅑睢橂䝁䅳䅉䙂䡁䅧睙潂䝁䅅杢湂䝁䅕䅉䑂䝁䄸兢睂䝁䄸督灂䡁䅑党杁䕁䅫杢歂䝁䅕䅥䅁䙁䅅䅁䕂䅁䅁睗乂䕁䅫睘䕂䕁䅍杒䉂䝁䄴兙獂䡁䅫督灂䡁䅍睘㉂䑁䅅杌㑂䝁䅷督瑂䙁䄰䅒䑂䕁䅙光歁䙁䅙䅊ぁ䑁䅙䅁汄杁䅁䅅䅁䍁䅕睕兂䙁䅑兎ぁ䑁䅕䅁㥁兂䅁䅈䅁䕁䅫兕啂䑁䅅睎㕁䑁䅉李睁䑁䅙䅏ㅁ䑁䅉䅁硃䅂䅁䅅䅁䍁䅕睕兂䙁䅑兎ㅁ䑁䅕䅁㕁兂䅁䅈䅁䕁䅫兕啂䑁䅅睎㕁䑁䅉李睁䑁䅙䅏㉁䑁䅁䅁偃䅂䅁䅅䅁䍁䅕睕兂䙁䅑睎ㅁ䑁䅣䅁歂兂䅁䅅䅁䍁䅕睕兂䙁䅑兎ㅁ䑁䅙䅁潂兂䅁䅈䅁䕁䅫兕啂䑁䅅睎㕁䑁䅉李睁䑁䅙䅏㉁䑁䅍䅁呂䅂䅁杈䅁䕁䅫兕時䙁䅁杕䙂䕁䅙睘䙂䙁䅅兖䩂䙁䅑兗䅁䕁䕙䅁歂䅁䅁睔睂䡁䅑兡療䝁䄴督㙁䕁䅍兤祂䡁䅉児噂䙁䅍䅒獁䍁䅁兔桂䝁䅣児㉁䍁䅷䅉䑂䝁䄸杢㉂䕁䄰党あ䝁䅧睢歂䑁䄰兔䩂䡁䅉党橂䝁䄸兢瑂䝁䅕杢歂䝁䅕䅚䅁乁䅫䅁奁䅁䅁睕兂䙁䅍免ぁ䑁䅁睍㑁䑁䅣䅍ㅁ䅁䅁眳䅕䉁䅷䅁䩂䙁䅅䅖硁䑁䅧李ぁ䑁䅁䅎㉁䑁䅑兎㑁䅁䅁条䅑䙁䅑䅁扂䕁䄰兓時䕁䅑睑䝂䕁䅅杢桂䝁䅷入穂䝁䅫督時䡁䅙免畁䡁䅧䅢穂䝁䄰兘䕂䕁䅍杒桁䍁䅑䅗歁䑁䅅䅎穁䑁䅯䅊奂䍁䅑免ぁ䑁䅧䅁千杁䅁䅅䅁䍁䅕睕兂䙁䅑兎㉁䑁䅉䅁扂兂䅁杕䅁䍁䅣睗䕂䕁䅍杒杁䕁䅍睢畂䡁䅙党祂䡁䅍兡療䝁䄴杌㑂䝁䅷督瑂䙁䄰䅒䑂䕁䅙睊桁䍁䅑兑䥂䍁䅑兎祁䑁䅯䅊䉂䕁䅧䅊㉁䑁䅍䅁权允䅁䅅䅁䍁䅕睕兂䙁䅑兎㕁䑁䅣䅁㡂兂䅁䅅䅁䍁䅕睕兂䙁䅑李祁䑁䅉䅁穁兂䅁䅕䅁䍁䅣睗呂䙁䅁睒時䕁䅑睑䝂䕁䅅杢桂䝁䅷入穂䝁䅫督時䡁䅙免杁䑁䅑杌㑂䝁䅷督瑂䙁䄰䅒䑂䕁䅙睊桁䍁䅑睖歁䑁䅅䅎睁䅁䅁充䅕䉁䅯䅁呂䙁䅁睕祁䑁䅧䅏㍁䑁䅅䅏㕁䑁䅧免䅁䵁䝅䅁䵁䅁䅁兊呂䙁䅁䅖㉁䅁䅁兢䅕䉁䅁䅁汁䙁䅍䅕啂䑁䅙䅍ㅁ䅁䅁睓䅕䉁䅁䅁汁䙁䅍䅕啂䑁䅙免睁䅁䅁杙䅕䝁䄴䅁偂䡁䅁䅤灂䝁䄸杢穂䑁䅯睑ㅂ䡁䅉杣㥁䙁䅕睕䕂䍁䅷兔桂䝁䅣児乂䝁䅫䅢獂䝁䅫睢畂䡁䅍䅌䑂䝁䄸杢㉂䕁䄰党あ䝁䅧睢歂䑁䄰兔䩂䡁䅉党橂䝁䄸兢瑂䝁䅕杢歂䝁䅕䅚䅁佁䅍䅁䭂䅁䅁睗乂䕁䅫睘塂䕁䅅睑䑂䕁䅅杢桂䝁䅷入穂䝁䅫督時䡁䅙免畁䡁䅧䅢穂䝁䄰兘塂䕁䅅睑䑂䍁䅅䅊䑂䙁䅧䅊穁䑁䅣䅁剁允䅁䅕䅁䍁䅣睗䕂䕁䅍杒杁䕁䅍睢畂䡁䅙党祂䡁䅍兡療䝁䄴杌㑂䝁䅷督瑂䙁䄰睕潂䝁䅕党あ䑁䅅睊桁䍁䅑杔歁䑁䅑杏歁䙁䅕䅊ぁ䅁䅁杖䅅䉁䅉䅁佂䙁䅫睕䙂䑁䅯兓䍂䕁䄰䅁祄䅂䅁杇䅁䙁䅍䅕呂䑁䅑睍硁䑁䅅兎㑁䑁䅫兏㍁䅁䅁睌䅙䉁䅁䅁汁䙁䅍䅕啂䑁䅙杍穁䅁䅁兦䅕䉁䅯䅁呂䙁䅁睕祁䑁䅧䅏㍁䑁䅅䅏㕁䑁䅧䅍䅁䵁䝁䅁䵁䅁䅁兊呂䙁䅁䅖㍁䅁䅁杚䅕䝁䅉䅁湁䙁䅳睕兂䕁䅣睘䕂䕁䅍杒䉂䝁䄴兙獂䡁䅫督灂䡁䅍睘㉂䑁䅅䅉硁䍁䅁䅋硁䍁䅫杌㑂䝁䅷督瑂䙁䄰䅒䑂䕁䅙睊桁䍁䅑杖歁䑁䅕免㙁䍁䅑杖歁䑁䅕李䅁䵁䑍䅁慁䅁䅁兓剂䙁䅑杍ぁ䑁䅙睎ぁ䑁䅍李穁䑁䅣䅁牂䅂䅁䅈䅁䙁䅍䅕呂䑁䅅䅏硁䑁䅅兏祁䑁䅕睍祁䑁䅁䅁汁䅃䅁杙䅁䍁䅣睗乂䕁䅫睘䕂䕁䅍杒䉂䝁䄴兙獂䡁䅫督灂䡁䅍睘㉂䑁䅅䅉瑁䍁䅁睑療䡁䅁入畁䡁䅧䅢穂䝁䄰兘䕂䕁䅍杒湁䍁䅅䅊坂䍁䅑䅎㉁䑁䅯䅊坂䍁䅑兎硁䅁䅁睮䅉䉁䅁䅁汁䙁䅍䅕啂䑁䅙睍硁䅁䅁䅙䅕䝁䅁䅁湁䙁䅳睕兂䕁䅣睘䕂䕁䅍杒䉂䝁䄴兙獂䡁䅫督灂䡁䅍睘㉂䑁䅅䅉潁䑁䅅克畁䡁䅧䅢穂䝁䄰兘䕂䕁䅍杒湁䍁䅅䅊奂䍁䅑䅎㍁䑁䅯䅊䉂䕁䅕䅊ぁ䑁䅣䅁婃睁䅁䅅䅁䍁䅕睕兂䙁䅑李穁䑁䅍䅁⭂兂䅁䅅䅁䍁䅕睕兂䙁䅑李ぁ䑁䅉䅁⽁兂䅁䅅䅁䕁䄴兗呂䕁䅕杏䕂䕁䅕䅁慁䅂䅁杒䅁䙁䅳兔䩂䙁䄸䅒䑂䕁䅙兑畂䝁䅅䅢㕂䡁䅍兡穂䙁䄸杤硁䍁䄴䅥獂䡁䅍兢摂䕁䅑睑䝂䍁䅅䅊䑂䙁䅣䅊ぁ䑁䅕䅁䭁杁䅁杇䅁䕁䅫兕啂䑁䅉䅎㉁䑁䅣䅎穁䑁䅙䅍ㅁ䅁䅁䅱䅑䉁䅁䅁汁䙁䅍䅕啂䑁䅙䅎㍁䅁䅁睤䅕䅁䄴䅁䉂䕁䅍杔瑁䙁䅕睕䅁佁䅕䅁奁䅁䅁睕兂䙁䅍睎㕁䑁䅅䅎硁䑁䅉兏穁䅁䅁六䅕䉁䅯䅁呂䙁䅁睕祁䑁䅧䅏㍁䑁䅅䅏㕁䑁䅫李䅁偁䝧䅁䭂䅁䅁睑療䝁䄰睙桂䡁䅍䅤杁䕁䅍睢祂䡁䅁睢祂䝁䅅䅤灂䝁䄸杢杁䍁䅧杔䉂䙁䅍䅒䉂䙁䅅睒呂䑁䅯睑乂䕁䅍睕䉂䍁䅫䅁睃杂䅁䅕䅁䙁䅳兔䩂䙁䄸睖塂䙁䄸睖䉂䕁䅍睑䉂䝁䄴兙獂䡁䅫督灂䡁䅍睘㉂䑁䅅杌㑂䝁䅷督瑂䙁䄰睖䉂䕁䅍睑桁䍁䅑睑奂䍁䅑睍㍁䅁䅁术䅁䙁䅧䅁湁䙁䅳兔䩂䙁䄸䅒䑂䕁䅙兑畂䝁䅅䅢㕂䡁䅍兡穂䙁䄸杤硁䍁䅁兌杁䕁䅍睢睂䡁䅫杌㑂䝁䅷督瑂䙁䄰䅒䑂䕁䅙睊桁䍁䅑睖歁䑁䅅睍ㅁ䅁䅁䅳䅉䉁䅁䅁汁䙁䅍䅕啂䑁䅙兎穁䅁䅁兙䅕䉁䅁䅁汁䙁䅍䅕啂䑁䅙兎㕁䅁䅁李䅕䅁䅧䅁䵂䕁䅙杕䅁䕁䕣䅁杂䅁䅁睊扂䕁䄰兓時䕁䅑睑䝂䕁䅅杢桂䝁䅷入穂䝁䅫督時䡁䅙免杁䍁䅧杍灁䍁䄴䅥獂䡁䅍兢摂䕁䅑睑䝂䍁䅣光歁䙁䅧䅊硁䑁䅍䅎㙁䍁䅑䅗歁䑁䅅睍ㅁ䅁䅁杇䅍䕁䅑䅁扂䕁䄰兓時䕁䅑睑䝂䕁䅅杢桂䝁䅷入穂䝁䅫督時䡁䅙免畁䡁䅧䅢穂䝁䄰兘䕂䕁䅍杒桁䍁䅑杖歁䑁䅑杍䅁䥁䍅䅁捁䅁䅁睕兂䙁䅍免㍁䑁䅫杍㉁䑁䅁李㍁䑁䅧䅏䅁䩁䘸䅁捁䅁䅁兓剂䙁䅑免㍁䑁䅫杍㉁䑁䅁李㑁䑁䅕李䅁䉁䔰䅁捁䅁䅁睕兂䙁䅍免㉁䑁䅣免㍁䑁䅍䅎硁䑁䅍兏䅁䙁䝕䅁允䅁䅁兊呂䙁䅁䅖㉁䑁䅙䅍䅁䑁䙷䅁䕂䅁䅁睊扂䕁䅑睑䝂䍁䅁睑療䝁䄴杤求䡁䅉督灂䝁䄸杢畁䡁䅧䅢穂䝁䄰兘䕂䕁䅍杒湁䍁䅅䅊呂䍁䅑免硁䑁䅉䅁㑂允䅁䅅䅁䍁䅕睕兂䙁䅑李㉁䑁䅧䅁橂兂䅁杕䅁䍁䅣睗乂䕁䅫睘䕂䕁䅍杒䉂䝁䄴兙獂䡁䅫督灂䡁䅍睘㉂䑁䅅䅉潁䑁䅉克畁䡁䅧䅢穂䝁䄰兘䕂䕁䅍杒湁䍁䅅䅊婂䍁䅑免穁䑁䅅䅁婁睁䅁䅅䅁䍁䅕睕兂䙁䅑李㍁䑁䅁䅁⽂兂䅁杕䅁䍁䅣睗乂䕁䅫睘䕂䕁䅍杒䉂䝁䄴兙獂䡁䅫督灂䡁䅍睘㉂䑁䅅䅉潁䑁䅉克畁䡁䅧䅢穂䝁䄰兘䕂䕁䅍杒湁䍁䅅䅊塂䍁䅑免ぁ䑁䅁䅁捁睁䅁䅈䅁䕁䅫兕啂䑁䅅䅏ぁ䑁䅣兏㕁䑁䅕䅎睁䑁䅑䅁䭂䅂䅁杒䅁䕁䄴杖䩂䕁䅑兓䉂䍁䅁睑療䡁䅉䅣療䡁䅉兙あ䝁䅫睢畂䍁䅁䅋佂䕁䅅睕䕂䕁䅅兕䡂䙁䅍杏佂䙁䅙䅒䉂䍁䅫䅁⭃睂䅁䅅䅁䍁䅕睕兂䙁䅑李㑁䑁䅕䅁乂兂䅁杙䅁䕁䄸䅣あ䝁䅫睢畂䡁䅍杏䑂䡁䅕杣祂䑁䄰兖呂䕁䅑䅌乂䝁䅅睚㥁䑁䅙䅌䑂䝁䄸杢㉂䕁䄰党あ䝁䅧睢歂䑁䄰睕佂䕁䅷杣求䝁䅍睢瑂䝁䄰党畂䝁䅑党歂䅁䅁眱䅁䉁䅁䅁汁䙁䅍䅕啂䑁䅙䅏㕁䅁䅁杘䅕䉁䅁䅁䝂䙁䅅杍祁䑁䅁杍睁䅁䅁睎䅉䉁䅷䅁呂䙁䅁睕硁䑁䅧杍穁䑁䅧睎㑁䑁䅅睎祁䅁䅁睖䅙䉁䅁䅁汁䙁䅍䅕啂䑁䅙兏㉁䅁䅁党䅕䙁䅉䅁湁䙁䅳䅒䑂䕁䅙䅉䑂䝁䄸杢㉂䝁䅕杣穂䝁䅫睢畂䍁䄴䅥獂䡁䅍兢摂䕁䅑睑䝂䍁䅣光歁䕁䅑兑歁䑁䅍兏㙁䍁䅑䅒䑂䍁䅑睍㕁䅁䅁兌䅅䉁䅷䅁䩂䙁䅅䅖硁䑁䅧李ぁ䑁䅁䅎㉁䑁䅑兎㍁䅁䅁睷䅑䉁䅷䅁呂䙁䅁睕硁䑁䅧杍穁䑁䅧睎㑁䑁䅅睎穁䅁䅁睸䅕䉁䅁䅁汁䙁䅍䅕啂䑁䅙兏㍁䅁䅁䅕䅕䉁䅯䅁呂䙁䅁睕ぁ䑁䅁杍睁䑁䅣䅍㑁䑁䅣䅎䅁䡁䡁䅁兂䅁䅁睊扂䕁䄰兓時䕁䅑睑䝂䕁䅅杢桂䝁䅷入穂䝁䅫督時䡁䅙免杁䍁䅧杍灁䍁䄴䅥獂䡁䅍兢摂䕁䅑睑䝂䍁䅣光歁䕁䅉䅊㕁䑁䅧䅁啁睁䅁杒䅁䙁䅳兔䩂䙁䄸䅒䑂䕁䅙兑畂䝁䅅䅢㕂䡁䅍兡穂䙁䄸杤硁䍁䄴䅥獂䡁䅍兢摂䕁䅑睑䝂䍁䅅䅊塂䍁䅑免穁䑁䅕䅁乃杁䅁杔䅁䍁䅣睗䕂䕁䅍杒杁䕁䅍睢畂䡁䅙党祂䡁䅍兡療䝁䄴杌㑂䝁䅷督瑂䙁䄰䅒䑂䕁䅙睊桁䍁䅑杕歁䑁䅑睍㙁䍁䅑杕歁䑁䅑䅏䅁䭁䉍䅁允䅁䅁村䙂䕁䅷兒奂䑁䅅兎䅁䑁䅷䅁流䅁䅁免㕂䍁䅁兑ㅂ䡁䅍䅤祂䝁䅅䅢灂䝁䅅杢杁䕁䄴睢あ䝁䅕䅁䑄杁䅁杒䅁䍁䅣睗䕂䕁䅍杒杁䕁䅍睢畂䡁䅙党祂䡁䅍兡療䝁䄴杌㑂䝁䅷督瑂䙁䄰睕潂䝁䅕党あ䑁䅅睊桁䍁䅑䅓歁䑁䅉䅁⽁允䅁䅅䅁䍁䅕睕兂䙁䅑睎睁䑁䅍䅁坂兂䅁䅗䅁䍁䅣睗乂䕁䅫睘䕂䕁䅍杒䉂䝁䄴兙獂䡁䅫督灂䡁䅍睘㉂䑁䅅䅉瑁䍁䅁睑療䡁䅁入畁䡁䅧䅢穂䝁䄰兘䕂䕁䅍杒湁䍁䅅䅊塂䍁䅑免祁䑁䅙䅁獃杁䅁䅅䅁䍁䅕睕兂䙁䅑睎祁䑁䅣䅁獂兂䅁杉䅁䙁䅍党畂䝁䅫睢祂䍁䅁兖畂䡁䅍党橂䡁䅕杣求䝁䅑䅁癄睁䅁杇䅁䕁䅫兕時䙁䅉兖䉂䙁䄸睒卂䕁䄸睕呂䅁䅁䅨䅍䉁䅷䅁呂䙁䅁睕硁䑁䅧䅎㍁䑁䅫兏ㅁ䑁䅍䅏㑁䅁䅁儰䅕䉁䅧䅁呂䙁䅁睕穁䑁䅉杍硁䑁䅍睍睁䑁䅙䅁汁杂䅁䅅䅁䍁䅕睕兂䙁䅑睎穁䑁䅉䅁䥂兂䅁䅒䅁䙁䅳兔䩂䙁䄸䅒䑂䕁䅙兑畂䝁䅅䅢㕂䡁䅍兡穂䙁䄸杤硁䍁䄴䅥獂䡁䅍兢摂䕁䅑睑䝂䍁䅅䅊坂䍁䅑䅎睁䅁䅁睂䅉䉁䅷䅁䩂䙁䅅䅖硁䑁䅣兏祁䑁䅙䅍㉁䑁䅧兎ぁ䅁䅁兄䅑䉁䅁䅁汁䙁䅍䅕啂䑁䅣䅎硁䅁䅁杢䅕䉁䅧䅁偂䡁䅁䅤灂䝁䄸杢穂䑁䅯杔䉂䑁䄰䅁楃睂䅁䅓䅁䙁䅳兔䩂䙁䄸睖䉂䕁䅍睑䉂䝁䄴兙獂䡁䅫督灂䡁䅍睘㉂䑁䅅杌㑂䝁䅷督瑂䙁䄰睖䉂䕁䅍睑桁䍁䅑䅕歁䑁䅍杍䅁䅁䉳䅁䕂䅁䅁睊扂䙁䅣兑䑂䕁䅍䅉呂䕁䄴䅔畁䡁䅧䅢穂䡁䅧兘塂䕁䅅睑䑂䍁䅣光歁䕁䅷䅊穁䑁䅑杏歁䕁䅷䅊ぁ䑁䅕䅁㉁䅁䅁䅈䅁䕁䄴兑呂䕁䅑兑剂䕁䅣睕㙁䕁䅍䅓啂䙁䅉䅁煃杂䅁杇䅁䙁䅍䅕呂䑁䅉杍穁䑁䅫睍祁䑁䅙李睁䅁䅁眶䅣䉁䅷䅁䩂䙁䅅䅖硁䑁䅧䅎㍁䑁䅫兏ㅁ䑁䅑免ㅁ䅁䅁兘䅑䕁䅑䅁扂䕁䄰兓時䕁䅑睑䝂䕁䅅杢桂䝁䅷入穂䝁䅫督時䡁䅙免畁䡁䅧䅢穂䝁䄰兘䕂䕁䅍杒桁䍁䅑杖歁䑁䅑睍䅁䕁䍁䅁捁䅁䅁睕兂䙁䅍免㍁䑁䅫杍㉁䑁䅁李㍁䑁䅧兏䅁䑁䝑䅁捁䅁䅁兓剂䙁䅑免㍁䑁䅫杍㉁䑁䅁李㑁䑁䅕睎䅁佁䑧䅁佁䅁䅁䅖䑂䕁䄸兌噂䙁䅍䅁䙁允䅁䅈䅁䙁䅍䅕呂䑁䅅李㍁䑁䅅睎穁䑁䅑免穁䑁䅧䅁煃兂䅁䅅䅁䍁䅕睕兂䙁䅑睎ぁ䑁䅉䅁㙂兂䅁杒䅁䙁䅳兔䩂䙁䄸䅒䑂䕁䅙兑畂䝁䅅䅢㕂䡁䅍兡穂䙁䄸杤硁䍁䄴䅥獂䡁䅍兢摂䕁䅑睑䝂䍁䅅䅊塂䍁䅑免穁䑁䅣䅁卂杁䅁杕䅁䍁䅣睗䕂䕁䅍杒杁䕁䅍睢畂䡁䅙党祂䡁䅍兡療䝁䄴杌㑂䝁䅷督瑂䙁䄰䅒䑂䕁䅙睊桁䍁䅑䅖歁䑁䅅杍ぁ䑁䅯䅊啂䍁䅑免祁䑁䅕䅁祃允䅁䅈䅁䙁䅍䅕呂䑁䅅䅏祁䑁䅍䅏㍁䑁䅧免㍁䑁䅅䅁睃兂䅁䅅䅁䍁䅕睕兂䙁䅑睎ㅁ䑁䅧䅁湂兂䅁杇䅁䙁䅍䅕呂䑁䅕兏ぁ䑁䅕䅍穁䑁䅑免㕁䅁䅁杉䅣䉁䅁䅁汁䙁䅍䅕啂䑁䅣李硁䅁䅁䅣䅕䅁䅯䅁祁䑁䅁杍祁䅁䅁䅣䅙䍁䅉䅁呂䙁䅁睘䵂䕁䅅睕啂䙁䅍兑䵂䕁䅕䅕卂䕁䅫睑䙂䅁䅁睌䅕䉁䅯䅁䩂䙁䅅䅖祁䑁䅕䅎㕁䑁䅉䅏ㅁ䑁䅉睍䅁䅁䕑䅁慁䅁䅁睕兂䙁䅍兎㕁䑁䅑李祁䑁䅁杍㍁䑁䅫䅁睄杂䅁䅅䅁䍁䅕睕兂䙁䅑睎㉁䑁䅍䅁呂兂䅁权䅁䑁䅉䅍祁䑁䅁䅁獂杂䅁䅅䅁䕁䅫村䙂䙁䅧䅉穁䑁䅕䅁佂䅁䅁䅖䅁䙁䅳睕兂䕁䅣睘䕂䕁䅍杒時䕁䅅杢桂䝁䅷入穂䝁䅫督時䡁䅙免時䕁䅙兡畂䝁䅅䅢畁䡁䅧䅢穂䝁䄰兘䕂䕁䅍杒桁䍁䅑䅔歁䑁䅅睍䅁偁䡣䅁卂䅁䅁睊扂䕁䅑睑䝂䍁䅁睑療䝁䄴杤求䡁䅉督灂䝁䄸杢畁䡁䅧䅢穂䝁䄰兘䕂䕁䅍杒湁䍁䅅䅊啂䍁䅑免㕁䑁䅁杏歁䙁䅑䅊祁䑁䅁免䅁䩁䉷䅁慁䅁䅁睕兂䙁䅍兎㕁䑁䅑兎睁䑁䅍䅎硁䑁䅅䅁扁睂䅁杇䅁䙁䅍䅕呂䑁䅕兏ぁ䑁䅙杍睁䑁䅉睎穁䅁䅁䄷䅙䕁䅑䅁湁䙁䅳䅒䑂䕁䅙䅉䑂䝁䄸杢㉂䝁䅕杣穂䝁䅫睢畂䍁䄴䅥獂䡁䅍兢摂䕁䅑睑䝂䍁䅣光歁䕁䅍杗歁䑁䅑䅎䅁䭁䉣䅁允䅁䅁兊呂䙁䅁䅖㍁䑁䅙兏䅁䡁䙅䅁䕂䅁䅁睊扂䕁䅑睑䝂䍁䅁睑療䝁䄴杤求䡁䅉督灂䝁䄸杢畁䡁䅧䅢穂䝁䄰兘䕂䕁䅍杒湁䍁䅅䅊䉂䕁䅯䅊穁䑁䅫䅁橁允䅁䅅䅁䍁䅕睕兂䙁䅑睎㍁䑁䅁䅁㍁兂䅁䅈䅁䙁䅍䅕呂䑁䅅䅏祁䑁䅅䅎硁䑁䅁睍睁䑁䅅䅁䱃睂䅁杇䅁䙁䅍䅕呂䑁䅍睎㑁䑁䅕杍㕁䑁䅙免㑁䅁䅁䄱䅣䅁䅧䅁䵂䙁䅑兔䅁佁䑑䅁浂䅁䅁睗乂䕁䅫睘䡂䕁䅷睔䍂䕁䅅䅔時䙁䅣兑䑂䕁䅍兑畂䝁䅅䅢㕂䡁䅍兡穂䙁䄸杤祁䍁䄴䅥獂䡁䅍兢摂䙁䅣兑䑂䕁䅍光歁䕁䅅睒歁䑁䅑兎㙁䍁䅑兑䡂䍁䅑兎㉁䅁䅁儷䅁䉁䅁䅁汁䙁䅍䅕啂䑁䅣睎㍁䅁䅁杣䅕䅁䅯䅁䝂䙁䅫兌ㅁ䅁䅁兡䅙䉁䅁䅁汁䙁䅍䅕啂䑁䅣䅏祁䅁䅁杧䅕䉁䅷䅁呂䙁䅁睕硁䑁䅫䅏硁䑁䅑䅍㍁䑁䅫䅍㑁䅁䅁䅭䅣䝁䅉䅁湁䙁䅳睕兂䕁䅣睘䕂䕁䅍杒䉂䝁䄴兙獂䡁䅫督灂䡁䅍睘㉂䑁䅅䅉潁䑁䅍克畁䡁䅧䅢穂䝁䄰兘䕂䕁䅍杒湁䍁䅅䅊奂䍁䅑免穁䑁䅑杏歁䙁䅧䅊硁䑁䅍兎䅁䝁䑑䅁佂䅁䅁杖求䡁䅉兡穂䝁䅳䅉䉂䝁䄴兙獂䡁䅫䅤灂䝁䅍督獁䍁䅁兓畂䝁䅍杌杁䍁䅧杔䉂䙁䅍䅒䉂䙁䅅睒呂䑁䅯杖卂䙁䅍睓灁䅁䅁睘䅣䙁䅑䅁扂䕁䄰兓時䕁䅑睑䝂䕁䅅杢桂䝁䅷入穂䝁䅫督時䡁䅙免畁䡁䅧䅢穂䝁䄰兘䕂䕁䅍杒桁䍁䅑杒歁䑁䅉䅍穁䑁䅯䅊乂䍁䅑杍睁䑁䅍䅁呄允䅁䅆䅁䕁䅙兡㉂䝁䅕䅉婂䝁䅕兙祂䅁䅁元䅁䉁䅁䅁汁䙁䅍䅕啂䑁䅧䅍硁䅁䅁䅘䅕䉁䅁䅁汁䙁䅍䅕啂䑁䅧䅍穁䅁䅁睧䅕䙁䅯䅁湁䙁䅳䅒䑂䕁䅙䅉䑂䝁䄸杢㉂䝁䅕杣穂䝁䅫睢畂䍁䅁䅋㉂䝁䅕杣穂䝁䅫睢畂䍁䅁免灁䍁䄴䅥獂䡁䅍杙摂䕁䅑睑䝂䍁䅣光歁䙁䅁䅊㑁䑁䅧䅁敁允䅁䅈䅁䕁䅫兕啂䑁䅅睎㕁䑁䅉睎㍁䑁䅕䅎㉁䑁䅧䅁獄睁䅁䅓䅁䙁䅳睕兂䕁䅣睘䕂䕁䅍杒䉂䝁䄴兙獂䡁䅫督灂䡁䅍睘㉂䑁䅅杌㑂䝁䅷督瑂䙁䄰䅒䑂䕁䅙光歁䙁䅫䅊硁䑁䅑䅍䅁䕁䑉䅁䕂䅁䅁睊扂䕁䅑睑䝂䍁䅁睑療䝁䄴杤求䡁䅉督灂䝁䄸杢畁䡁䅧䅢穂䝁䄰兘䕂䕁䅍杒湁䍁䅅䅊卂䍁䅑免㑁䑁䅙䅁ㅁ允䅁䅓䅁䍁䅣睗塂䕁䅅睑䑂䍁䅁睕佂䕁䅷杌㑂䝁䅷督瑂䙁䄰睖䉂䕁䅍睑湁䍁䅅䅊䉂䙁䅧䅊穁䑁䅉杏歁䕁䅉兑歁䑁䅍杍䅁䩁䅣䅁潂䅁䅁睊扂䕁䅑睑䝂䍁䅁睑療䝁䄴杤求䡁䅉督灂䝁䄸杢杁䍁䅧杤求䡁䅉督灂䝁䄸杢杁䑁䅅克畁䡁䅧䅢穂䝁䅉兘䕂䕁䅍杒湁䍁䅅䅊剂䍁䅑兏硁䑁䅯䅊剂䍁䅑免睁䑁䅣䅁杁允䅁䅓䅁䕁䄸䅣あ䝁䅫睢畂䡁䅍杏偂䡁䅁䅤灂䝁䄸杢穂䑁䅯睑ㅂ䡁䅉杣㥁䙁䅕睕䕂䍁䅷兔桂䝁䅣児獁䕁䄴兑㥁䑁䅁児䅁䉁䥍䅁畂䅁䅁睗乂䕁䅫睘䩂䕁䄴睕時䕁䅣䅔偂䕁䅉兑䵂䙁䄸睖䉂䕁䅍睑畁䕁䅅杢桂䝁䅷入穂䝁䅫督時䡁䅙免畁䡁䅧䅢穂䝁䄰兘塂䕁䅅睑䑂䍁䅅䅊剂䍁䅑睍穁䑁䅯䅊䉂䕁䅅䅊穁䑁䅍䅁湃䅁䅁䅖䅁䍁䅣睗呂䙁䅁睒時䕁䅑睑䝂䕁䅅杢桂䝁䅷入穂䝁䅫督時䡁䅙免杁䍁䅧睍灁䍁䄴䅥獂䡁䅍兢摂䕁䅑睑䝂䍁䅣光歁䕁䅅睔歁䑁䅕睍䅁䙁䑅䅁畂䅁䅁兓畂䡁䅑党祂䝁䄴兙あ䝁䅫睢畂䝁䅅䅢杁䕁䅉兤穂䝁䅫杢求䡁䅍督杁䕁䄰兙橂䝁䅧兡畂䝁䅕督杁䕁䅍睢祂䡁䅁睢祂䝁䅅䅤灂䝁䄸杢杁䍁䅧杔婂䙁䅍兒㙁䕁䅫村乂䍁䅫䅁剃杂䅁杚䅁䍁䅣睗䕂䕁䅍杒杁䕁䅍睢畂䡁䅙党祂䡁䅍兡療䝁䄴䅉潁䡁䅙党祂䡁䅍兡療䝁䄴䅉硁䍁䅫杌㑂䝁䅷督楂䙁䄰䅒䑂䕁䅙睊桁䍁䅑杕歁䑁䅧䅏㙁䍁䅑杖歁䑁䅧䅏䅁䉁䈸䅁浂䅁䅁睊扂䙁䅍䅕䡂䙁䄸䅒䑂䕁䅙兑畂䝁䅅䅢㕂䡁䅍兡穂䙁䄸杤硁䍁䅁免杁䍁䅧免灁䍁䄴䅥獂䡁䅍兢摂䕁䅑睑䝂䍁䅣光歁䙁䅧䅊硁䑁䅑杍㙁䍁䅑䅗歁䑁䅅䅎穁䅁䅁朲䅍䕁䅑䅁湁䙁䅳䅒䑂䕁䅙䅉䑂䝁䄸杢㉂䝁䅕杣穂䝁䅫睢畂䍁䄴䅥獂䡁䅍兢摂䕁䅑睑䝂䍁䅣光歁䕁䅅杒歁䑁䅑䅍䅁䍁䉉䅁兂䅁䅁睊扂䕁䅑睑䝂䍁䅁睑療䝁䄴杤求䡁䅉督灂䝁䄸杢畁䡁䅧䅢穂䝁䄰兘䕂䕁䅍杒湁䍁䅅䅊呂䍁䅑睍穁䑁䅯䅊䉂䕁䅍䅊穁䑁䅍䅁楂允䅁杇䅁䙁䅍䅕呂䑁䅕兏ぁ䑁䅕䅍穁䑁䅍䅏ぁ䅁䅁儱䅙䙁䅁䅁湁䙁䅳䅒䑂䕁䅙䅉䑂䝁䄸杢㉂䝁䅕杣穂䝁䅫睢畂䍁䄴䅥獂䡁䅍兢摂䙁䅍䅡求䝁䅕䅤硁䍁䅣光歁䕁䅳䅊㉁䑁䅯䅊䱂䍁䅑兏䅁䕁䉷䅁捁䅁䅁兓剂䙁䅑免㑁䑁䅑睎㕁䑁䅫兎祁䑁䅅兏䅁偁䑕䅁䕂䅁䅁睊扂䕁䅑睑䝂䍁䅁睑療䝁䄴杤求䡁䅉督灂䝁䄸杢畁䡁䅧䅢穂䝁䄰兘䕂䕁䅍杒湁䍁䅅䅊䉂䕁䅣䅊ぁ䑁䅁䅁摂允䅁杇䅁䙁䅍䅕呂䑁䅕兏ぁ䑁䅕䅍穁䑁䅍䅏穁䅁䅁䄱䅙䙁䅷䅁湁䙁䅳兔䩂䙁䄸䅒䑂䕁䅙兑畂䝁䅅䅢㕂䡁䅍兡穂䙁䄸杤硁䍁䅁䅋祁䍁䅫杌㑂䝁䅷督瑂䙁䄰䅒䑂䕁䅙睊桁䍁䅑䅓歁䑁䅫兏㙁䍁䅑兔歁䑁䅫兏䅁䉁䑣䅁捁䅁䅁睕兂䙁䅍免㍁䑁䅫杍㉁䑁䅁李㑁䑁䅁睍䅁䍁䝳䅁䭁䅁䅁䅒䭂䕁䅫兑䅁䕁䅙䅁捁䅁䅁杔䉂䙁䅍䅒䉂䙁䅅睒呂䑁䅯䅕䉂䕁䄴睖䅁䝁䥣䅁䕂䅁䅁睊扂䕁䅑睑䝂䍁䅁睑療䝁䄴杤求䡁䅉督灂䝁䄸杢畁䡁䅧䅢穂䝁䄰兘䕂䕁䅍杒湁䍁䅅䅊䉂䕁䅣䅊ぁ䑁䅣䅁敃允䅁䅈䅁䕁䅫兕啂䑁䅅䅏ぁ䑁䅣兏㕁䑁䅕杍硁䑁䅅䅁㝃䅂䅁杇䅁䙁䅍䅕呂䑁䅅李ㅁ䑁䅕睎祁䑁䅑兎祁䅁䅁睒䅣䝁䅁䅁湁䙁䅳兔䩂䙁䄸䅒䑂䕁䅙兑畂䝁䅅䅢㕂䡁䅍兡穂䙁䄸杤硁䍁䅁䅋祁䍁䅫杌㑂䝁䅷督瑂䙁䄰䅒䑂䕁䅙睊桁䍁䅑兗歁䑁䅅䅎㑁䑁䅯䅊婂䍁䅑免ㅁ䑁䅍䅁楁睁䅁杖䅁䙁䅳睕兂䕁䅣睘䕂䕁䅍杒䉂䝁䄴兙獂䡁䅫督灂䡁䅍睘㉂䑁䅅杌㑂䝁䅷督瑂䙁䄰䅒䑂䕁䅙光歁䙁䅧䅊硁䑁䅕杍㙁䍁䅑䅗歁䑁䅅兎穁䅁䅁眴䅑䕁䅑䅁湁䙁䅳䅒䑂䕁䅙䅉䑂䝁䄸杢㉂䝁䅕杣穂䝁䅫睢畂䍁䄴䅥獂䡁䅍兢摂䕁䅑睑䝂䍁䅣光歁䕁䅅睒歁䑁䅑䅏䅁䱁䉍䅁坂䅁䅁睗呂䙁䅁睒時䕁䅑睑䝂䕁䅅杢桂䝁䅷入穂䝁䅫督時䡁䅙免畁䡁䅧䅢穂䝁䄰兘䕂䕁䅍杒桁䍁䅑睑剂䍁䅑兎睁䑁䅯䅊䑂䙁䅉䅊ㅁ䑁䅁䅁㉂睁䅁杕䅁䍁䅣睗䕂䕁䅍杒杁䕁䅍睢畂䡁䅙党祂䡁䅍兡療䝁䄴杌㑂䝁䅷督瑂䙁䄰䅒䑂䕁䅙睊桁䍁䅑兑䥂䍁䅑䅎ㅁ䑁䅯䅊䉂䕁䅧䅊ㅁ䑁䅙䅁汁允䅁杇䅁䑁䅷材睁䑁䅫睌祁䑁䅁睌祁䑁䅁免㕁䅁䅁䅣䅅䙁䄴䅁湁䙁䅳睕兂䕁䅣睘䕂䕁䅍杒䉂䝁䄴兙獂䡁䅫督灂䡁䅍睘㉂䑁䅅䅉ぁ䍁䄴䅥獂䡁䅍兢摂䕁䅑睑䝂䍁䅣光歁䙁䅧䅊硁䑁䅑杍㙁䍁䅑䅗歁䑁䅅䅎穁䅁䅁睅䅕䉁䅑䅁佂䙁䅫睕䙂䑁䅯兑佂䕁䅕䅖䅁䝁䥙䅁慁䅁䅁睕兂䙁䅍睍硁䑁䅕兎祁䑁䅑䅎穁䑁䅙䅁汄睂䅁杇䅁䙁䅍䅕呂䑁䅉䅏㑁䑁䅣免㑁䑁䅫䅏㑁䅁䅁䅹䅙䙁䅉䅁湁䙁䅳䅒䑂䕁䅙䅉䑂䝁䄸杢㉂䝁䅕杣穂䝁䅫睢畂䍁䄴䅥獂䡁䅍兢摂䕁䅑睑䝂䍁䅣光歁䕁䅅䅓歁䑁䅕睍㙁䍁䅑兑䥂䍁䅑李ぁ䅁䅁兴䅅䑁䅁䅁啂䡁䅉兙歂䝁䅕䅉䕂䝁䅅䅤求䍁䅁䅋瑂䝁䄰睌歂䝁䅑睌㕂䡁䅫入㕂䍁䅫䅁煁䅁䅁杕䅁䍁䅣睗䕂䕁䅍杒杁䕁䅍睢畂䡁䅙党祂䡁䅍兡療䝁䄴杌㑂䝁䅷督瑂䙁䄰䅒䑂䕁䅙睊桁䍁䅑䅖歁䑁䅅䅍㕁䑁䅯䅊啂䍁䅑免硁䑁䅉䅁佃允䅁杕䅁䍁䅣睗䕂䕁䅍杒杁䕁䅍睢畂䡁䅙党祂䡁䅍兡療䝁䄴杌㑂䝁䅷督瑂䙁䄰䅒䑂䕁䅙睊桁䍁䅑兑䩂䍁䅑䅎ㅁ䑁䅯䅊䉂䕁䅫䅊ㅁ䑁䅙䅁時允䅁杙䅁䍁䅣睗呂䙁䅁睒時䕁䅑睑䝂䕁䅅杢桂䝁䅷入穂䝁䅫督時䡁䅙免杁䍁䅧睍灁䍁䄴䅥獂䡁䅍兢摂䕁䅑睑䝂䍁䅣光歁䕁䅅䅔歁䑁䅕兏㙁䍁䅑兑䵂䍁䅑睎祁䅁䅁杕䅍䕁䅑䅁湁䙁䅳䅒䑂䕁䅙䅉䑂䝁䄸杢㉂䝁䅕杣穂䝁䅫睢畂䍁䄴䅥獂䡁䅍兢摂䕁䅑睑䝂䍁䅣光歁䕁䅍睕歁䑁䅑䅎䅁䭁䉕䅁卂䅁䅁睊扂䕁䅑睑䝂䍁䅁睑療䝁䄴杤求䡁䅉督灂䝁䄸杢畁䡁䅧䅢穂䝁䄰兘䕂䕁䅍杒湁䍁䅅䅊䉂䕁䅫䅊ㅁ䑁䅉杏歁䕁䅅兓歁䑁䅙睍䅁䭁䉅䅁卂䅁䅁睊扂䕁䅑睑䝂䍁䅁睑療䝁䄴杤求䡁䅉督灂䝁䄸杢畁䡁䅧䅢穂䝁䄰兘䕂䕁䅍杒湁䍁䅅䅊䉂䕁䅫䅊ㅁ䑁䅍杏歁䕁䅅兓歁䑁䅙䅎䅁䱁䉙䅁奁䅁䅁睕兂䙁䅍李祁䑁䅅䅎穁䑁䅕睍㍁䅁䅁睑䅣䕁䅑䅁湁䙁䅳䅒䑂䕁䅙䅉䑂䝁䄸杢㉂䝁䅕杣穂䝁䅫睢畂䍁䄴䅥獂䡁䅍兢摂䕁䅑睑䝂䍁䅣光歁䕁䅅睓歁䑁䅍兏䅁䙁䈴䅁捁䅁䅁兓剂䙁䅑免㑁䑁䅑睎㕁䑁䅫兎祁䑁䅅睍䅁䑁䕉䅁坂䅁䅁睗呂䙁䅁睒時䕁䅑睑䝂䕁䅅杢桂䝁䅷入穂䝁䅫督時䡁䅙免畁䡁䅧䅢穂䝁䄰兘䕂䕁䅍杒桁䍁䅑兒歁䑁䅉兎穁䑁䅯䅊䙂䍁䅑杍ㅁ䑁䅧䅁㑃睁䅁杗䅁䍁䅣睗呂䙁䅁睒時䕁䅑睑䝂䕁䅅杢桂䝁䅷入穂䝁䅫督時䡁䅙免杁䑁䅑杌㑂䝁䅷督瑂䙁䄰䅒䑂䕁䅙睊桁䍁䅑杖歁䑁䅕免㙁䍁䅑杖歁䑁䅕李䅁偁䔰䅁杁䅁䅁睍瑂䍁䅁睕睂䝁䅅杢灂䡁䅍䅡杁䕁䅉兡獂䝁䅷䅁䵄杁䅁䅒䅁䍁䅣睗䕂䕁䅍杒杁䕁䅍睢畂䡁䅙党祂䡁䅍兡療䝁䄴杌㑂䝁䅷督瑂䙁䄰䅒䑂䕁䅙睊桁䍁䅑兑䱂䍁䅑䅎㉁䅁䅁睮䅅䍁䅯䅁呂䕁䄴䅔杁䕁䅫杢穂䡁䅑兡あ䡁䅕䅤灂䝁䄸杢杁䕁䅳党㕂䍁䅁䅁楁䅁䅁䅖䅁䙁䅳兔䩂䙁䄸䅒䑂䕁䅙兑畂䝁䅅䅢㕂䡁䅍兡穂䙁䄸杤硁䍁䄴䅥獂䡁䅍兢摂䕁䅑睑䝂䍁䅅䅊䕂䕁䅑䅊ㅁ䑁䅁杏歁䕁䅑杒歁䑁䅕䅍䅁䕁䍫䅁䝂䅁䅁睊扂䕁䅑睑䝂䍁䅁睑療䝁䄴杤求䡁䅉督灂䝁䄸杢畁䡁䅧䅢穂䝁䄰兘塂䕁䅅睑䑂䍁䅣光歁䕁䅍兕歁䑁䅍睎䅁䉁䉯䅁捁䅁䅁兓剂䙁䅑免㑁䑁䅍睎ぁ䑁䅕杍睁䑁䅉杍䅁䝁䕁䅁䕂䅁䅁睊扂䕁䅑睑䝂䍁䅁睑療䝁䄴杤求䡁䅉督灂䝁䄸杢畁䡁䅧䅢穂䝁䄰兘䕂䕁䅍杒湁䍁䅅䅊䉂䕁䅳䅊ぁ䑁䅣䅁ぃ允䅁䅒䅁䍁䅣睗䕂䕁䅍杒杁䕁䅍睢畂䡁䅙党祂䡁䅍兡療䝁䄴杌㑂䝁䅷督瑂䙁䄰䅒䑂䕁䅙睊桁䍁䅑睑卂䍁䅑睍㍁䅁䅁杋䅅䉁䅷䅁呂䙁䅁睕硁䑁䅧䅎㍁䑁䅫兏ㅁ䑁䅍䅏穁䅁䅁睇䅙䕁䅑䅁湁䙁䅳䅒䑂䕁䅙䅉䑂䝁䄸杢㉂䝁䅕杣穂䝁䅫睢畂䍁䄴䅥獂䡁䅍兢摂䕁䅑睑䝂䍁䅣光歁䕁䅍睕歁䑁䅍睎䅁䝁䉍䅁卂䅁䅁睊扂䕁䅑睑䝂䍁䅁睑療䝁䄴杤求䡁䅉督灂䝁䄸杢畁䡁䅧䅢穂䝁䄰兘䕂䕁䅍杒湁䍁䅅䅊啂䍁䅑免祁䑁䅅杏歁䙁䅑䅊硁䑁䅉杍䅁䡁䉙䅁佁䅁䅁䅓偂䕁䄴兌噂䙁䅍䅁䥄䅁䅁䅒䅁䍁䅣睗䕂䕁䅍杒杁䕁䅍睢畂䡁䅙党祂䡁䅍兡療䝁䄴杌㑂䝁䅷督瑂䙁䄰䅒䑂䕁䅙睊桁䍁䅑睑呂䍁䅑䅎ㅁ䅁䅁杵䅅䙁䅉䅁湁䙁䅳䅒䑂䕁䅙䅉䑂䝁䄸杢㉂䝁䅕杣穂䝁䅫睢畂䍁䄴䅥獂䡁䅍兢摂䕁䅑睑䝂䍁䅣光歁䕁䅍䅖歁䑁䅍兏㙁䍁䅑睑塂䍁䅑睍㕁䅁䅁睋䅅䙁䅉䅁湁䙁䅳䅒䑂䕁䅙䅉䑂䝁䄸杢㉂䝁䅕杣穂䝁䅫睢畂䍁䄴䅥獂䡁䅍兢摂䕁䅑睑䝂䍁䅣光歁䕁䅍兖歁䑁䅍兏㙁䍁䅑睑奂䍁䅑睍㕁䅁䅁䅚䅅䙁䅁䅁湁䙁䅳䅒䑂䕁䅙䅉䑂䝁䄸杢㉂䝁䅕杣穂䝁䅫睢畂䍁䄴䅥獂䡁䅍兢摂䙁䅍䅡求䝁䅕䅤硁䍁䅣光歁䕁䅣䅊ㅁ䑁䅯䅊䡂䍁䅑睎䅁䕁䉙䅁捁䅁䅁杔䉂䙁䅍䅒䉂䙁䅅睒呂䑁䅯兑䕂䕁䅉兒䅁䍁䙫䅁捁䅁䅁睕兂䙁䅍免㍁䑁䅫杍㍁䑁䅣兎ぁ䑁䅍睍䅁䕁䝑䅁捁䅁䅁兓剂䙁䅑免㑁䑁䅑睎㕁䑁䅫兎祁䑁䅑免䅁䱁䕷䅁兂䅁䅁睔浂䝁䅙党祂䝁䅫杢湂䍁䅁兑畂䝁䄴睢ㅂ䝁䄴睙求䝁䄰党畂䡁䅑䅉䕂䝁䅅䅤求䍁䅁䅋瑂䝁䄰睌歂䝁䅑睌㕂䡁䅫入㕂䍁䅫䅁牁䅁䅁杕䅁䍁䅣睗䕂䕁䅍杒杁䕁䅍睢畂䡁䅙党祂䡁䅍兡療䝁䄴杌㑂䝁䅷督瑂䙁䄰䅒䑂䕁䅙睊桁䍁䅑睑噂䍁䅑䅎㉁䑁䅯䅊䑂䙁䅧䅊ぁ䑁䅙䅁浃允䅁杙䅁䍁䅣睗呂䙁䅁睒時䕁䅑睑䝂䕁䅅杢桂䝁䅷入穂䝁䅫督時䡁䅙免杁䑁䅅䅉潁䑁䅅克畁䡁䅧䅢穂䝁䄰兘䕂䕁䅍杒湁䍁䅅䅊䥂䍁䅑兏㑁䑁䅯䅊乂䍁䅑兏㑁䅁䅁兺䅍䙁䅉䅁湁䙁䅳䅒䑂䕁䅙䅉䑂䝁䄸杢㉂䝁䅕杣穂䝁䅫睢畂䍁䄴䅥獂䡁䅍兢摂䕁䅑睑䝂䍁䅣光歁䕁䅍兖歁䑁䅑睎㙁䍁䅑睑奂䍁䅑䅎㍁䅁䅁睵䅅䙁䅧䅁湁䙁䅳兔䩂䙁䄸䅒䑂䕁䅙兑畂䝁䅅䅢㕂䡁䅍兡穂䙁䄸杤硁䍁䅁兌杁䕁䅍睢睂䡁䅫杌㑂䝁䅷督瑂䙁䄰䅒䑂䕁䅙睊桁䍁䅑兗歁䑁䅅睍ㅁ䅁䅁关䅉䉁䅷䅁䩂䙁䅅䅖硁䑁䅧䅎㍁䑁䅫兏ㅁ䑁䅅䅏㉁䅁䅁朲䅑䉁䅯䅁呂䙁䅁睕穁䑁䅉兎㑁䑁䅅䅏ㅁ䑁䅕兏䅁偁䘸䅁杂䅁䅁睊扂䙁䅍䅕䡂䙁䄸䅒䑂䕁䅙兑畂䝁䅅䅢㕂䡁䅍兡穂䙁䄸杤硁䍁䅁䅋硁䍁䅫杌㑂䝁䅷督瑂䙁䄰䅒䑂䕁䅙睊桁䍁䅑䅗歁䑁䅑䅏㙁䍁䅑兑䙂䍁䅑䅎㑁䅁䅁杭䅍䉁䅷䅁佂䕁䅅睕䕂䕁䅅兕䡂䙁䅍杏兂䕁䅅杕䉂䅁䅁兰䅙䙁䅧䅁偂䡁䅁䅤灂䝁䄸杢穂䑁䅯睑ㅂ䡁䅉杣㥁䍁䅷睑療䝁䄴杤乂䝁䅕䅤潂䝁䄸䅚㥁䕁䄰兓祂䝁䅕睙療䝁䄰兢求䝁䄴䅚求䝁䅑䅌佂䕁䅅児睁䅁䅁䅭䅙䉁䅉䅁䑂䕁䄰睑呂䕁䅅兌噂䙁䅍䅁瑃杂䅁杄䅁䕁䄴睔塂䍁䄰兖呂䅁䅁兢䅉䕁䅑䅁湁䙁䅳䅒䑂䕁䅙䅉䑂䝁䄸杢㉂䝁䅕杣穂䝁䅫睢畂䍁䄴䅥獂䡁䅍兢摂䕁䅑睑䝂䍁䅣光歁䕁䅍兗歁䑁䅍睎䅁䍁䉷䅁捁䅁䅁兓剂䙁䅑免㑁䑁䅧睎睁䑁䅍䅍㕁䑁䅙睍䅁䕁䕍䅁䝂䅁䅁睗乂䕁䅫睘䕂䕁䅍杒䉂䝁䄴兙獂䡁䅫督灂䡁䅍睘㉂䑁䅅杌㑂䝁䅷督瑂䙁䄰䅒䑂䕁䅙光歁䕁䅅杔歁䑁䅑睎䅁乁䈴䅁卂䅁䅁睊扂䕁䅑睑䝂䍁䅁睑療䝁䄴杤求䡁䅉督灂䝁䄸杢畁䡁䅧䅢穂䝁䄰兘䕂䕁䅍杒湁䍁䅅䅊啂䍁䅑免硁䑁䅙杏歁䙁䅑䅊硁䑁䅅兏䅁䭁䈸䅁慁䅁䅁睕兂䙁䅍兎㕁䑁䅑李祁䑁䅁杍㉁䑁䅙䅁穁睂䅁䅒䅁䍁䅣睗䕂䕁䅍杒杁䕁䅍睢畂䡁䅙党祂䡁䅍兡療䝁䄴杌㑂䝁䅷督瑂䙁䄰䅒䑂䕁䅙睊桁䍁䅑睑慂䍁䅑睍㍁䅁䅁党䅅䉁䅯䅁呂䙁䅁睕ㅁ䑁䅫䅎㉁䑁䅉䅍祁䑁䅣杍䅁佁䝳䅁啂䅁䅁睊扂䕁䅑睑䝂䍁䅁睑療䝁䄴杤求䡁䅉督灂䝁䄸杢畁䡁䅧䅢穂䝁䄰兘塂䕁䅅睑䑂䍁䅣光歁䕁䅍睕歁䑁䅍兏㙁䍁䅑睑坂䍁䅑睍㕁䅁䅁睇䅅䕁䅑䅁湁䙁䅳䅒䑂䕁䅙䅉䑂䝁䄸杢㉂䝁䅕杣穂䝁䅫睢畂䍁䄴䅥獂䡁䅍兢摂䕁䅑睑䝂䍁䅣光歁䕁䅍杗歁䑁䅑兎䅁䱁䉷䅁卂䅁䅁睊扂䕁䅑睑䝂䍁䅁睑療䝁䄴杤求䡁䅉督灂䝁䄸杢畁䡁䅧䅢穂䝁䄰兘䕂䕁䅍杒湁䍁䅅䅊啂䍁䅑免㕁䑁䅁杏歁䙁䅑䅊祁䑁䅁䅍䅁䡁䉷䅁卂䅁䅁睊扂䕁䅑睑䝂䍁䅁睑療䝁䄴杤求䡁䅉督灂䝁䄸杢畁䡁䅧䅢穂䝁䄰兘䕂䕁䅍杒湁䍁䅅䅊䕂䕁䅉䅊穁䑁䅫杏歁䕁䅑䅒歁䑁䅍兏䅁䝁䉙䅁歂䅁䅁睊扂䕁䄰兓時䕁䅑睑䝂䕁䅅杢桂䝁䅷入穂䝁䅫督時䡁䅙免杁䍁䄰䅉䑂䝁䄸䅣㕂䍁䄴䅥獂䡁䅍兢摂䕁䅑睑䝂䍁䅣光歁䕁䅣䅊㕁䑁䅧杏歁䕁䅣䅊硁䑁䅉兎䅁䭁䍯䅁卂䅁䅁睊扂䕁䅑睑䝂䍁䅁睑療䝁䄴杤求䡁䅉督灂䝁䄸杢畁䡁䅧䅢穂䝁䄰兘䕂䕁䅍杒湁䍁䅅䅊䕂䕁䅉䅊ぁ䑁䅙杏歁䕁䅑䅒歁䑁䅑李䅁䭁䉧䅁卂䅁䅁睊扂䕁䅑睑䝂䍁䅁睑療䝁䄴杤求䡁䅉督灂䝁䄸杢畁䡁䅧䅢穂䝁䄰兘塂䕁䅅睑䑂䍁䅣光歁䙁䅅䅊穁䑁䅍杏歁䕁䅅兑歁䑁䅍睍䅁䉁䉫䅁卂䅁䅁睊扂䕁䅑睑䝂䍁䅁睑療䝁䄴杤求䡁䅉督灂䝁䄸杢畁䡁䅧䅢穂䝁䄰兘䕂䕁䅍杒湁䍁䅅䅊䕂䕁䅉䅊ぁ䑁䅣杏歁䕁䅑䅒歁䑁䅑睎䅁䱁䈰䅁ぁ䅁䅁睖桂䡁䅉督桂䡁䅣䅉呂䡁䅑睢橂䝁䅳䅉䙂䡁䅧睙潂䝁䅅杢湂䝁䅕䅉塂䕁䅫睒䅁䥁䅙䅁䍂䅁䅁睊扂䕁䅑睑䝂䍁䅁睑療䝁䄴杤求䡁䅉督灂䝁䄸杢畁䡁䅧䅢穂䝁䄰兘䕂䕁䅍杒湁䍁䅅䅊剂䍁䅑睍祁䅁䅁杊䅅䉁䅁䅁啂䕁䅍睕瑁䕁䄴睕䙂䅁䅁杺䅉䕁䄴䅁湁䙁䅳䅒䑂䕁䅙䅉䑂䝁䄸杢㉂䝁䅕杣穂䝁䅫睢畂䍁䄴䅥獂䡁䅍兢摂䕁䅑睑䝂䍁䅣光歁䙁䅅䅊穁䑁䅙杏歁䙁䅅䅊ぁ䑁䅅䅁湁允䅁䅒䅁䙁䅳兔䩂䙁䄸䅒䑂䕁䅙兑畂䝁䅅䅢㕂䡁䅍兡穂䙁䄸杤硁䍁䄴䅥獂䡁䅍兢摂䕁䅑睑䝂䍁䅅䅊坂䍁䅑䅎硁䅁䅁兦䅉䉁䅷䅁䩂䙁䅅䅖硁䑁䅣兏祁䑁䅙䅍㉁䑁䅧兎ㅁ䅁䅁杰䅑䙁䅙䅁扂䙁䅍䅕䡂䙁䄸䅒䑂䕁䅙兑畂䝁䅅䅢㕂䡁䅍兡穂䙁䄸杤硁䍁䄴䅥獂䡁䅍兢摂䕁䅑睑䝂䍁䅅䅊奂䍁䅑免穁䑁䅑杏歁䙁䅧䅊硁䑁䅍兎䅁䑁䐸䅁啂䅁䅁睗呂䙁䅁睒時䕁䅑睑䝂䕁䅅杢桂䝁䅷入穂䝁䅫督時䡁䅙免畁䡁䅧䅢穂䝁䄰兘䕂䕁䅍杒桁䍁䅑䅗歁䑁䅑睎㙁䍁䅑兑䥂䍁䅑䅎㍁䅁䅁朷䅑䕁䅙䅁扂䕁䄰兓時䕁䅑睑䝂䕁䅅杢桂䝁䅷入穂䝁䅫督時䡁䅙免畁䡁䅧䅢穂䝁䄰兘䕂䕁䅍杒桁䍁䅑兑䱂䍁䅑兎ぁ䅁䅁朸䅉䙁䅧䅁湁䙁䅳兔䩂䙁䄸䅒䑂䕁䅙兑畂䝁䅅䅢㕂䡁䅍兡穂䙁䄸杤硁䍁䅁兌杁䕁䅍睢睂䡁䅫杌㑂䝁䅷督瑂䙁䄰䅒䑂䕁䅙睊桁䍁䅑睖歁䑁䅅䅎硁䅁䅁睳䅉䙁䅉䅁湁䙁䅳兔䩂䙁䄸䅒䑂䕁䅙兑畂䝁䅅䅢㕂䡁䅍兡穂䙁䄸杤硁䍁䅁䅋祁䍁䅫杌㑂䝁䅷督瑂䙁䄰䅒䑂䕁䅙睊桁䍁䅑兑偂䍁䅑兎穁䅁䅁睁䅍䕁䅑䅁湁䙁䅳䅒䑂䕁䅙䅉䑂䝁䄸杢㉂䝁䅕杣穂䝁䅫睢畂䍁䄴䅥獂䡁䅍兢摂䕁䅑睑䝂䍁䅣光歁䙁䅍䅊硁䑁䅅兏䅁䡁䉑䅁捁䅁䅁兓剂䙁䅑免㑁䑁䅑睎㕁䑁䅫兎ぁ䑁䅅睎䅁䉁䕁䅁啁䅁䅁兖畂䡁䅍党橂䡁䅕杣求䝁䅑䅁灄睁䅁村䅁䍁䅣睗䕂䕁䅍杒杁䕁䅍睢畂䡁䅙党祂䡁䅍兡療䝁䄴杌㑂䝁䅷督瑂䙁䄰䅒䑂䕁䅙睊桁䍁䅑杕歁䑁䅍杍䅁䝁䉁䅁允䅁䅁睓卂䙁䅧䅉硁䑁䅁䅍䅁䙁䅍䅁捂䅁䅁䅓求䡁䅣䅢求䡁䅑䅤杁䙁䅁兙橂䝁䅳兙祂䝁䅑䅉䙂䝁䄴䅤求䡁䅉䅣祂䝁䅫督求䍁䅁睑療䝁䄰䅣桂䝁䄴入杁䍁䅧杔婂䙁䅍兒㙁䕁䅧䅕䙂䍁䅫䅁偃兂䅁杸䅁䕁䄸䅣あ䝁䅫睢畂䡁䅍杏䑂䡁䅕杣祂䑁䄰兖呂䕁䅑䅌乂䝁䅅睚㥁䕁䄰兡獂䝁䅷兡療䝁䄴督獁䕁䅍睢畂䡁䅙兔求䡁䅑䅡療䝁䅑児乂䕁䅫杣求䝁䅍睢瑂䝁䄰党畂䝁䅑党歂䍁䅷䅕桂䝁䅑児偂䝁䅙杚獁䕁䅙兡獂䝁䅷児乂䝁䄸杢あ䝁䅧䅢㕂䍁䅷䅒桂䡁䅑党穂䑁䄰村求䝁䅙睢祂䝁䅕䅌呂䝁䄸杣あ䑁䄰䅒求䡁䅍睙䅁佁䅙䅁楂䅁䅁睊扂䙁䅍䅕䡂䙁䄸䅒䑂䕁䅙兑畂䝁䅅䅢㕂䡁䅍兡穂䙁䄸杤硁䍁䅁䅋穁䍁䅫杌㑂䝁䅷督瑂䙁䄰䅒䑂䕁䅙睊桁䍁䅑兗歁䑁䅅䅎㑁䑁䅯䅊婂䍁䅑免ㅁ䑁䅍䅁獂睁䅁䅕䅁䍁䅣睗䕂䕁䅍杒杁䕁䅍睢畂䡁䅙党祂䡁䅍兡療䝁䄴杌㑂䝁䅷督瑂䙁䄰䅒䑂䕁䅙睊桁䍁䅑杕歁䑁䅍睍㙁䍁䅑兑䍂䍁䅑睍穁䅁䅁䅋䅅䕁䅙䅁扂䕁䄰兓時䕁䅑睑䝂䕁䅅杢桂䝁䅷入穂䝁䅫督時䡁䅙免畁䡁䅧䅢穂䝁䄰兘䕂䕁䅍杒桁䍁䅑睑噂䍁䅑䅎㑁䅁䅁杒䅉䝁䅁䅁湁䙁䅳兔䩂䙁䄸䅒䑂䕁䅙兑畂䝁䅅䅢㕂䡁䅍兡穂䙁䄸杤硁䍁䅁䅋祁䍁䅫杌㑂䝁䅷督瑂䙁䄰䅒䑂䕁䅙睊桁䍁䅑杒歁䑁䅉䅍㑁䑁䅯䅊乂䍁䅑杍睁䑁䅧䅁流睁䅁权䅁䑁䅉䅍祁䑁䅅䅁畂杂䅁杔䅁䍁䅣睗䕂䕁䅍杒杁䕁䅍睢畂䡁䅙党祂䡁䅍兡療䝁䄴杌㑂䝁䅷督瑂䙁䄰䅒䑂䕁䅙睊桁䍁䅑杕歁䑁䅍李㙁䍁䅑杕歁䑁䅑免䅁䝁䉅䅁啄䅁䅁睔睂䡁䅑兡療䝁䄴督㙁䕁䄴兑㥁䕁䄴兑獁䕁䅍兤祂䡁䅉児噂䙁䅍䅒獁䕁䄰兙湂䑁䄰䅖潂䝁䄸兤穂䝁䅅杢歂䡁䅍䅌䑂䝁䄸杢㉂䕁䄰党あ䝁䅧睢歂䑁䄰兔䩂䡁䅉党橂䝁䄸兢瑂䝁䅕杢歂䝁䅕䅚獁䙁䅁兙歂䑁䄰睔浂䝁䅙䅌䝂䝁䅫䅢獂䑁䄰兔療䝁䄴䅤潂䝁䅷入獁䕁䅑兙あ䝁䅕督㥁䕁䅉党浂䝁䄸杣求䍁䅷睕療䡁䅉䅤㥁䕁䅑党穂䝁䅍䅁佁睁䅁杙䅁䍁䅣睗呂䙁䅁睒時䕁䅑睑䝂䕁䅅杢桂䝁䅷入穂䝁䅫督時䡁䅙免杁䍁䅧睍灁䍁䄴䅥獂䡁䅍兢摂䕁䅑睑䝂䍁䅣光歁䕁䅅兔歁䑁䅕兏㙁䍁䅑兑乂䍁䅑睎祁䅁䅁睕䅍䉁䅁䅁兂䕁䅅杔塂䍁䄰兖呂䅁䅁睡䅧䕁䅉䅁湁䙁䅳䅒䑂䕁䅙䅉䑂䝁䄸杢㉂䝁䅕杣穂䝁䅫睢畂䍁䄴䅥獂䡁䅍兢摂䕁䅑睑䝂䍁䅣光歁䙁䅉䅊穁䑁䅫䅁楃允䅁䅈䅁䙁䅍䅕呂䑁䅅睎㕁䑁䅉李睁䑁䅙睎㕁䑁䅙䅁敁杂䅁杘䅁䍁䅣睗呂䙁䅁睒時䕁䅑睑䝂䕁䅅杢桂䝁䅷入穂䝁䅫督時䡁䅙免杁䍁䅧免灁䍁䄴䅥獂䡁䅍兢摂䕁䅑睑䝂䍁䅣光歁䕁䅧䅊㕁䑁䅧杏歁䕁䄰䅊㕁䑁䅧䅁䡃睁䅁村䅁䍁䅣睗䕂䕁䅍杒杁䕁䅍睢畂䡁䅙党祂䡁䅍兡療䝁䄴杌㑂䝁䅷督瑂䙁䄰䅒䑂䕁䅙睊桁䍁䅑杕歁䑁䅑䅍䅁䱁䉣䅁佂䅁䅁睊扂䕁䅑睑䝂䍁䅁睑療䝁䄴杤求䡁䅉督灂䝁䄸杢畁䡁䅧䅢穂䝁䄰兘䕂䕁䅍杒湁䍁䅅䅊卂䍁䅑䅎ぁ䑁䅯䅊卂䍁䅑䅎㕁䅁䅁䅵䅅䕁䅑䅁湁䙁䅳䅒䑂䕁䅙䅉䑂䝁䄸杢㉂䝁䅕杣穂䝁䅫睢畂䍁䄴䅥獂䡁䅍兢摂䕁䅑睑䝂䍁䅣光歁䙁䅍䅊硁䑁䅁李䅁䥁䉷䅁坂䅁䅁睑療䝁䅣杢灂䡁䅯兙畂䡁䅑䅉啂䝁䅕睙潂䝁䄴睢獂䝁䄸睚㕂䍁䅁睕療䝁䅷兤あ䝁䅫睢畂䡁䅍䅉䑂䝁䄸杣睂䝁䄸杣桂䡁䅑兡療䝁䄴䅁瑂䅂䅁䅒䅁䍁䅣睗䕂䕁䅍杒杁䕁䅍睢畂䡁䅙党祂䡁䅍兡療䝁䄴杌㑂䝁䅷督瑂䙁䄰䅒䑂䕁䅙睊桁䍁䅑睕歁䑁䅅免穁䅁䅁兲䅅䑁䅯䅁湁䙁䅳睖䉂䕁䅍睑杁䙁䅍杔䵂䍁䄴䅥獂䡁䅍兢摂䙁䅣兑䑂䕁䅍睊桁䍁䅑村䙂䍁䅑睍祁䅁䅁杫䅁䝁䅁䅁湁䙁䅳兔䩂䙁䄸睖䉂䕁䅍睑䉂䝁䄴兙獂䡁䅫督灂䡁䅍睘㉂䑁䅅䅉潁䑁䅕克畁䡁䅧䅢穂䝁䄰兘塂䕁䅅睑䑂䍁䅣光歁䙁䅁䅊穁䑁䅙杏歁䙁䅁䅊ぁ䑁䅅䅁䝃允䅁䅈䅁䕁䅫兕啂䑁䅅睎㕁䑁䅉李睁䑁䅙䅏ㅁ䑁䅧䅁㥄睁䅁䅒䅁䍁䅣睗䕂䕁䅍杒杁䕁䅍睢畂䡁䅙党祂䡁䅍兡療䝁䄴杌㑂䝁䅷督瑂䙁䄰䅒䑂䕁䅙睊桁䍁䅑睕歁䑁䅅免ぁ䅁䅁䅫䅅䙁䅉䅁湁䙁䅳䅒䑂䕁䅙䅉䑂䝁䄸杢㉂䝁䅕杣穂䝁䅫睢畂䍁䄴䅥獂䡁䅍兢摂䙁䅍䅡求䝁䅕䅤硁䍁䅣光歁䕁䄴䅊ぁ䑁䅯䅊䉂䕁䅍䅊ぁ䅁䅁䅘䅅䙁䅧䅁扂䕁䄰兓時䙁䅣兑䑂䕁䅍兑畂䝁䅅䅢㕂䡁䅍兡穂䙁䄸杤硁䍁䄴䅥獂䡁䅍兢摂䙁䅣兑䑂䕁䅍光歁䕁䅅睒歁䑁䅑兎㙁䍁䅑兑䡂䍁䅑兎㉁䅁䅁权䅅䕁䅑䅁湁䙁䅳䅒䑂䕁䅙䅉䑂䝁䄸杢㉂䝁䅕杣穂䝁䅫睢畂䍁䄴䅥獂䡁䅍兢摂䕁䅑睑䝂䍁䅣光歁䙁䅍䅊硁䑁䅉免䅁䩁䉙䅁慁䅁䅁睕兂䙁䅍兎㕁䑁䅑兎睁䑁䅍䅎祁䑁䅅䅁呁睂䅁杚䅁䍁䅣睗乂䕁䅫睘䕂䕁䅍杒䉂䝁䄴兙獂䡁䅫督灂䡁䅍睘㉂䑁䅅䅉瑁䍁䅁睑療䡁䅁入畁䡁䅧䅢穂䝁䄰兘䕂䕁䅍杒湁䍁䅅䅊䉂䕁䄰䅊ㅁ䑁䅑杏歁䕁䅅兔歁䑁䅙李䅁䩁䌰䅁䕂䅁䅁睊扂䕁䅑睑䝂䍁䅁睑療䝁䄴杤求䡁䅉督灂䝁䄸杢畁䡁䅧䅢穂䝁䄰兘䕂䕁䅍杒湁䍁䅅䅊呂䍁䅑免祁䑁䅉䅁䍄允䅁䅓䅁䙁䅳睕兂䕁䅣睘䕂䕁䅍杒䉂䝁䄴兙獂䡁䅫督灂䡁䅍睘㉂䑁䅅杌㑂䝁䅷督瑂䙁䄰䅒䑂䕁䅙光歁䕁䅉䅊祁䑁䅑睎䅁䱁䑉䅁啂䅁䅁睗乂䕁䅫睘䕂䕁䅍杒䉂䝁䄴兙獂䡁䅫督灂䡁䅍睘㉂䑁䅅杌㑂䝁䅷督瑂䙁䄰䅒䑂䕁䅙光歁䕁䅅兔歁䑁䅕兏㙁䍁䅑兑乂䍁䅑睎祁䅁䅁儹䅉䝁䅁䅁湁䙁䅳兔䩂䙁䄸䅒䑂䕁䅙兑畂䝁䅅䅢㕂䡁䅍兡穂䙁䄸杤硁䍁䅁䅋祁䍁䅫杌㑂䝁䅷督瑂䙁䄰䅒䑂䕁䅙睊桁䍁䅑䅒䕂䍁䅑兎穁䑁䅯䅊䕂䕁䅙䅊ㅁ䑁䅍䅁呁睁䅁杇䅁䙁䅍䅕呂䑁䅙李㍁䑁䅙兎穁䑁䅅䅎睁䅁䅁兇䅣䕁䅑䅁湁䙁䅳䅒䑂䕁䅙䅉䑂䝁䄸杢㉂䝁䅕杣穂䝁䅫睢畂䍁䄴䅥獂䡁䅍兢摂䕁䅑睑䝂䍁䅣光歁䙁䅍䅊硁䑁䅉兏䅁䵁䉕䅁奁䅁䅁兓剂䙁䅑睍祁䑁䅉兎硁䑁䅑兎㑁䅁䅁睲䅑䝁䅁䅁偂䡁䅁党祂䝁䅅䅤灂䝁䄴睚杁䕁䅷党桂䡁䅍党杁䙁䅉兡湂䝁䅧䅤瑁䝁䄸杚瑁䙁䅕督求䍁䅁兑穂䡁䅍党あ䡁䅍杏杁䕁䅣杣療䡁䅍督杁䍁䅧䅊乂䍁䅫䅁䉃睁䅁䅈䅁䕁䅫兕啂䑁䅅䅏㑁䑁䅣䅍穁䑁䅁兏㉁䑁䅑䅁坁䅂䅁䅈䅁䕁䄴兑呂䕁䅑兑剂䕁䅣睕㙁䕁䄴杒䵂䙁䅧䅁畃杂䅁杒䅁䙁䅳兔䩂䙁䄸䅒䑂䕁䅙兑畂䝁䅅䅢㕂䡁䅍兡穂䙁䄸杤硁䍁䄴䅥獂䡁䅍兢摂䕁䅑睑䝂䍁䅅䅊䉂䕁䅳䅊ぁ䑁䅧䅁㑄允䅁䅊䅁䙁䅍䅕時䙁䅁杕䙂䕁䅙兒卂䙁䅉兒䕂䙁䄸䅔䩂䙁䅍䅖䅁䝁䝑䅁奁䅁䅁兓剂䙁䅑䅎祁䑁䅉睍睁䑁䅧杍ㅁ䅁䅁杬䅑䍁䅁䅁乂䝁䅫睙祂䝁䄸督療䝁䅙䅤杁䕁䅍睢祂䡁䅁杌䅁䱁䡳䅁䥂䅁䅁睊扂䙁䅣兑䑂䕁䅍䅉呂䕁䄴䅔畁䡁䅧䅢穂䝁䄰兘塂䕁䅅睑䑂䍁䅣光歁䕁䅉䅒歁䑁䅍兎㙁䍁䅑村䕂䍁䅑睍㕁䅁䅁杯䅁䙁䅉䅁湁䙁䅳䅒䑂䕁䅙䅉䑂䝁䄸杢㉂䝁䅕杣穂䝁䅫睢畂䍁䄴䅥獂䡁䅍兢摂䕁䅑睑䝂䍁䅣光歁䙁䅍䅊硁䑁䅫䅍㙁䍁䅑睕歁䑁䅅兏ㅁ䅁䅁睎䅅䝁䅑䅁湁䙁䅳兔䩂䙁䄸䅒䑂䕁䅙兑畂䝁䅅䅢㕂䡁䅍兡穂䙁䄸杤硁䍁䅁兌杁䕁䅍睢睂䡁䅫杌㑂䝁䅷督瑂䙁䄰䅒䑂䕁䅙睊桁䍁䅑䅗歁䑁䅑睍㙁䍁䅑兑䙂䍁䅑䅎穁䅁䅁兯䅉䉁䅷䅁呂䙁䅁睕硁䑁䅧䅎㍁䑁䅫兏ㅁ䑁䅅睍硁䅁䅁末䅕䕁䅑䅁湁䙁䅳䅒䑂䕁䅙䅉䑂䝁䄸杢㉂䝁䅕杣穂䝁䅫睢畂䍁䄴䅥獂䡁䅍兢摂䕁䅑睑䝂䍁䅣光歁䙁䅍䅊硁䑁䅫䅎䅁䵁䉫䅁兂䅁䅁睊扂䕁䅑睑䝂䍁䅁睑療䝁䄴杤求䡁䅉督灂䝁䄸杢畁䡁䅧䅢穂䝁䄰兘䕂䕁䅍杒湁䍁䅅䅊呂䍁䅑䅎睁䑁䅯䅊䉂䕁䅍䅊ぁ䑁䅁䅁歃允䅁䅕䅁䍁䅣睗䕂䕁䅍杒杁䕁䅍睢畂䡁䅙党祂䡁䅍兡療䝁䄴杌㑂䝁䅷督瑂䙁䄰䅒䑂䕁䅙睊桁䍁䅑睕歁䑁䅑免㙁䍁䅑兑䑂䍁䅑䅎硁䅁䅁兵䅅䝁䅙䅁湁䙁䅳睕兂䕁䅣睘䕂䕁䅍杒䉂䝁䄴兙獂䡁䅫督灂䡁䅍睘㉂䑁䅅䅉硁䍁䅁䅋硁䍁䅫杌㑂䝁䅷督瑂䙁䄰䅒䑂䕁䅙睊桁䍁䅑兑䵂䍁䅑兎㕁䑁䅯䅊䉂䕁䅷䅊㍁䑁䅉䅁䅄睁䅁杒䅁䙁䅳兔䩂䙁䄸䅒䑂䕁䅙兑畂䝁䅅䅢㕂䡁䅍兡穂䙁䄸杤硁䍁䄴䅥獂䡁䅍兢摂䕁䅑睑䝂䍁䅅䅊婂䍁䅑免祁䑁䅧䅁偂杁䅁杒䅁䍁䅣睗䕂䕁䅍杒杁䕁䅍睢畂䡁䅙党祂䡁䅍兡療䝁䄴杌㑂䝁䅷督瑂䙁䄰睕潂䝁䅕党あ䑁䅅睊桁䍁䅑杒歁䑁䅉䅁⭁允䅁䅈䅁䙁䅍䅕呂䑁䅅䅏ぁ䑁䅣兏㕁䑁䅕睍㕁䑁䅧䅁卄兂䅁村䅁䍁䅣睗䕂䕁䅍杒杁䕁䅍睢畂䡁䅙党祂䡁䅍兡療䝁䄴杌㑂䝁䅷督瑂䙁䄰䅒䑂䕁䅙睊桁䍁䅑睕歁䑁䅧兎䅁䝁䉣䅁䕂䅁䅁睊扂䙁䅣兑䑂䕁䅍䅉呂䕁䄴䅔畁䡁䅧䅢穂䝁䄰兘塂䕁䅅睑䑂䍁䅣光歁䕁䅷䅊穁䑁䅕杏歁䕁䅷䅊ぁ䑁䅧䅁呃䅁䅁村䅁䍁䅣睗䕂䕁䅍杒杁䕁䅍睢畂䡁䅙党祂䡁䅍兡療䝁䄴杌㑂䝁䅷督瑂䙁䄰䅒䑂䕁䅙睊桁䍁䅑睕歁䑁䅫睍䅁䱁䈴䅁煁䅁䅁兓剂䙁䄸睑噂䙁䅉杕䙂䕁䄴䅖時䙁䅁睔卂䙁䅑睘䕂䕁䅕村啂䅁䅁睨䅙䅁䅑䅁睁䅁䅁䅁䅁䕁䅑䅁湁䙁䅳䅒䑂䕁䅙䅉䑂䝁䄸杢㉂䝁䅕杣穂䝁䅫睢畂䍁䄴䅥獂䡁䅍兢摂䕁䅑睑䝂䍁䅣光歁䙁䅑䅊硁䑁䅅睎䅁䡁䉫䅁卂䅁䅁睊扂䕁䅑睑䝂䍁䅁睑療䝁䄴杤求䡁䅉督灂䝁䄸杢畁䡁䅧䅢穂䝁䄰兘䕂䕁䅍杒湁䍁䅅䅊啂䍁䅑免硁䑁䅣杏歁䙁䅑䅊硁䑁䅅䅏䅁䩁䉉䅁卂䅁䅁睊扂䕁䅑睑䝂䍁䅁睑療䝁䄴杤求䡁䅉督灂䝁䄸杢畁䡁䅧䅢穂䝁䄰兘䕂䕁䅍杒湁䍁䅅䅊啂䍁䅑免硁䑁䅣杏歁䙁䅑䅊硁䑁䅉䅍䅁䵁䉅䅁卂䅁䅁睊扂䕁䅑睑䝂䍁䅁睑療䝁䄴杤求䡁䅉督灂䝁䄸杢畁䡁䅧䅢穂䝁䄰兘䕂䕁䅍杒湁䍁䅅䅊啂䍁䅑免祁䑁䅍杏歁䙁䅑䅊硁䑁䅉䅎䅁䩁䉧䅁允䅁䅁䅕卂䙁䅍䅕瑁䙁䅕睕䅁䍁䍍䅁卂䅁䅁睊扂䕁䅑睑䝂䍁䅁睑療䝁䄴杤求䡁䅉督灂䝁䄸杢畁䡁䅧䅢穂䝁䄰兘䕂䕁䅍杒湁䍁䅅䅊啂䍁䅑免祁䑁䅕杏歁䙁䅑䅊硁䑁䅉李䅁䵁䉑䅁啂䅁䅁睗乂䕁䅫睘䕂䕁䅍杒䉂䝁䄴兙獂䡁䅫督灂䡁䅍睘㉂䑁䅅杌㑂䝁䅷督瑂䙁䄰䅒䑂䕁䅙光歁䙁䅫䅊硁䑁䅑䅏㙁䍁䅑兗歁䑁䅅兎穁䅁䅁眷䅉䩁䄴䅁偂䡁䅁䅤灂䝁䄸杢穂䑁䅯睑ㅂ䡁䅉杣㥁䙁䅕睕䕂䍁䅷兔桂䝁䅣児㉁䍁䅷睑療䝁䄴杤乂䝁䅕䅤潂䝁䄸䅚㥁䕁䄰兓祂䝁䅕睙療䝁䄰兢求䝁䄴䅚求䝁䅑䅌兂䝁䅅䅚㥁䕁䄸杚浂䍁䅷䅒桂䡁䅑党穂䑁䄰村求䝁䅙睢祂䝁䅕䅌呂䝁䄸杣あ䑁䄰䅒求䡁䅍睙䅁乁䅷䅁卂䅁䅁睊扂䕁䅑睑䝂䍁䅁睑療䝁䄴杤求䡁䅉督灂䝁䄸杢畁䡁䅧䅢穂䝁䄰兘䕂䕁䅍杒湁䍁䅅䅊啂䍁䅑免穁䑁䅅杏歁䙁䅑䅊硁䑁䅍杍䅁䵁䉣䅁坂䅁䅁睗呂䙁䅁睒時䕁䅑睑䝂䕁䅅杢桂䝁䅷入穂䝁䅫督時䡁䅙免畁䡁䅧䅢穂䝁䄰兘䕂䕁䅍杒桁䍁䅑睒歁䑁䅅䅍祁䑁䅯䅊䡂䍁䅑免穁䑁䅁䅁湄䅂䅁杋䅁䕁䅫兕時䙁䅑睔啂䕁䅅䅔時䙁䅁杕䙂䕁䅙睘䙂䙁䅅兖䩂䙁䅑兗䅁䑁䍑䅁䥁䅁䅁睕佂䕁䅷䅁偁䅁䅁杖䅁䍁䅣睗乂䕁䅫睘䕂䕁䅍杒䉂䝁䄴兙獂䡁䅫督灂䡁䅍睘㉂䑁䅅䅉瑁䍁䅁睑療䡁䅁入畁䡁䅧䅢穂䝁䄰兘䕂䕁䅍杒湁䍁䅅䅊坂䍁䅑䅎硁䅁䅁杮䅉䉁䅷䅁呂䙁䅁睕硁䑁䅧䅏㍁䑁䅁睍睁䑁䅫兎㑁䅁䅁兑䅙䉁䅷䅁䩂䙁䅅䅖硁䑁䅧䅎㍁䑁䅫兏ㅁ䑁䅑䅍㉁䅁䅁睈䅑䕁䅑䅁湁䙁䅳䅒䑂䕁䅙䅉䑂䝁䄸杢㉂䝁䅕杣穂䝁䅫睢畂䍁䄴䅥獂䡁䅍兢摂䕁䅑睑䝂䍁䅣光歁䙁䅑䅊硁䑁䅧睎䅁䑁䉧䅁卂䅁䅁睊扂䕁䅑睑䝂䍁䅁睑療䝁䄴杤求䡁䅉督灂䝁䄸杢畁䡁䅧䅢穂䝁䄰兘䕂䕁䅍杒湁䍁䅅䅊啂䍁䅑免㕁䑁䅁杏歁䙁䅑䅊硁䑁䅫兎䅁䑁䉳䅁佁䅁䅁兔乂䕁䄰兌噂䙁䅍䅁佁允䅁䅖䅁䍁䅣睗呂䙁䅁睒時䕁䅑睑䝂䕁䅅杢桂䝁䅷入穂䝁䅫督時䡁䅙免杁䍁䅧免灁䍁䄴䅥獂䡁䅍兢摂䕁䅑睑䝂䍁䅣光歁䙁䅣䅊硁䑁䅑李䅁䭁䑧䅁卂䅁䅁睊扂䕁䅑睑䝂䍁䅁睑療䝁䄴杤求䡁䅉督灂䝁䄸杢畁䡁䅧䅢穂䝁䄰兘䕂䕁䅍杒湁䍁䅅䅊啂䍁䅑免㕁䑁䅁杏歁䙁䅑䅊硁䑁䅫睎䅁䑁䈰䅁卂䅁䅁睊扂䕁䅑睑䝂䍁䅁睑療䝁䄴杤求䡁䅉督灂䝁䄸杢畁䡁䅧䅢穂䝁䄰兘䕂䕁䅍杒湁䍁䅅䅊啂䍁䅑免㕁䑁䅁杏歁䙁䅑䅊硁䑁䅫兏䅁䡁䉳䅁卂䅁䅁睊扂䕁䅑睑䝂䍁䅁睑療䝁䄴杤求䡁䅉督灂䝁䄸杢畁䡁䅧䅢穂䝁䄰兘䕂䕁䅍杒湁䍁䅅䅊啂䍁䅑免㕁䑁䅧杏歁䙁䅑䅊祁䑁䅁兏䅁䵁䉳䅁啁䅁䅁杔婂䙁䅍兒㙁䕁䄸杕䑂䕁䅷䅁療䅂䅁䅗䅁䍁䅣睗呂䙁䅁睒時䕁䅑睑䝂䕁䅅杢桂䝁䅷入穂䝁䅫督時䡁䅙免杁䑁䅅䅉潁䑁䅅克畁䡁䅧䅢穂䝁䄰兘䕂䕁䅍杒湁䍁䅅䅊婂䍁䅑免穁䑁䅅䅁噄睁䅁䅕䅁䍁䅣睗䕂䕁䅍杒杁䕁䅍睢畂䡁䅙党祂䡁䅍兡療䝁䄴杌㑂䝁䅷督瑂䙁䄰䅒䑂䕁䅙睊桁䍁䅑䅖歁䑁䅧䅏㙁䍁䅑䅖歁䑁䅅䅍㕁䅁䅁兡䅅䍁䄴䅁佂䕁䅅睕䕂䕁䅅兕杁䕁䄸兔奂䍁䅁睒療䡁䅙䅤杁䙁䅉党獂䝁䅫党浂䅁䅁兘䅁䉁䅧䅁呂䙁䅁睕硁䑁䅑䅍祁䑁䅙䅎ぁ䑁䅁䅁啂杂䅁䅕䅁䍁䅣睗䕂䕁䅍杒杁䕁䅍睢畂䡁䅙党祂䡁䅍兡療䝁䄴杌㑂䝁䅷督瑂䙁䄰䅒䑂䕁䅙睊桁䍁䅑䅖歁䑁䅧䅏㙁䍁䅑䅖歁䑁䅅免睁䅁䅁睡䅅䙁䅁䅁湁䙁䅳䅒䑂䕁䅙䅉䑂䝁䄸杢㉂䝁䅕杣穂䝁䅫睢畂䍁䄴䅥獂䡁䅍兢摂䕁䅑睑䝂䍁䅣光歁䙁䅑䅊㑁䑁䅧杏歁䙁䅑䅊硁䑁䅅免䅁䝁䉷䅁楁䅁䅁兓呂䕁䅕䅉佂䝁䅅䅤灂䝁䄸杢桂䝁䅷䅉硁䑁䅁䅍䅁䕁䄸䅁奁䅁䅁睕兂䙁䅍免ぁ䑁䅁杍㉁䑁䅑䅎祁䅁䅁睄䅙䙁䅁䅁湁䙁䅳䅒䑂䕁䅙䅉䑂䝁䄸杢㉂䝁䅕杣穂䝁䅫睢畂䍁䄴䅥獂䡁䅍兢摂䕁䅑睑䝂䍁䅣光歁䙁䅑䅊㑁䑁䅧杏歁䙁䅑䅊硁䑁䅅杍䅁䩁䉕䅁啂䅁䅁睊扂䙁䅍䅕䡂䙁䄸䅒䑂䕁䅙兑畂䝁䅅䅢㕂䡁䅍兡穂䙁䄸杤硁䍁䅁䅋穁䍁䅫杌㑂䝁䅷督瑂䙁䄰䅒䑂䕁䅙睊桁䍁䅑兑䱂䍁䅑兎ぁ䅁䅁䅕䅍䉁䅯䅁呂䙁䅁睕ㅁ䑁䅫䅎ㅁ䑁䅁睍ぁ䑁䅉兎䅁䉁䡣䅁捁䅁䅁睕兂䙁䅍免㑁䑁䅕兏祁䑁䅣兏ぁ䑁䅧䅍䅁䵁䡯䅁捂䅁䅁睊扂䙁䅍䅕䡂䙁䄸䅒䑂䕁䅙兑畂䝁䅅䅢㕂䡁䅍兡穂䙁䄸杤硁䍁䅁䅎畁䡁䅧䅢穂䝁䄰兘䕂䕁䅍杒湁䍁䅅䅊奂䍁䅑䅎㍁䑁䅯䅊䉂䕁䅧䅊ぁ䑁䅣䅁⭄䅂䅁䅖䅁䙁䅳兔䩂䙁䄸䅒䑂䕁䅙兑畂䝁䅅䅢㕂䡁䅍兡穂䙁䄸杤硁䍁䄴䅥獂䡁䅍兢摂䕁䅑睑䝂䍁䅅䅊䉂䕁䄰䅊ㅁ䑁䅍杏歁䕁䅅兔歁䑁䅙兎䅁䅁䍉䅁㑁䅁䅁睊扂䙁䅣兑䑂䕁䅍䅉呂䕁䄴䅔畁䡁䅧䅢穂䡁䅧兘塂䕁䅅睑䑂䍁䅣光歁䕁䅯䅊穁䑁䅍䅁ぁ䅁䅁杇䅁䙁䅍䅕呂䑁䅕睍㉁䑁䅙睍祁䑁䅧李ぁ䅁䅁兒䅧䙁䅁䅁湁䙁䅳䅒䑂䕁䅙䅉䑂䝁䄸杢㉂䝁䅕杣穂䝁䅫睢畂䍁䄴䅥獂䡁䅍兢摂䕁䅑睑䝂䍁䅣光歁䙁䅑䅊㕁䑁䅕杏歁䙁䅑䅊硁䑁䅅䅍䅁䭁䉳䅁慁䅁䅁兓剂䙁䅑杍ぁ䑁䅙兏硁䑁䅣睍睁䑁䅣䅁㕁䅂䅁䅕䅁䍁䅣睗䕂䕁䅍杒杁䕁䅍睢畂䡁䅙党祂䡁䅍兡療䝁䄴杌㑂䝁䅷督瑂䙁䄰䅒䑂䕁䅙睊桁䍁䅑䅖歁䑁䅫李㙁䍁䅑䅖歁䑁䅅免硁䅁䅁睶䅅䕁䅑䅁湁䙁䅳䅒䑂䕁䅙䅉䑂䝁䄸杢㉂䝁䅕杣穂䝁䅫睢畂䍁䄴䅥獂䡁䅍兢摂䕁䅑睑䝂䍁䅣光歁䙁䅕䅊硁䑁䅁李䅁䥁䈰䅁䕂䅁䅁睊扂䕁䅑睑䝂䍁䅁睑療䝁䄴杤求䡁䅉督灂䝁䄸杢畁䡁䅧䅢穂䝁䄰兘䕂䕁䅍杒湁䍁䅅䅊噂䍁䅑免睁䑁䅣䅁偃允䅁杇䅁䙁䅍䅕呂䑁䅙䅎ぁ䑁䅫免ぁ䑁䅫兏㍁䅁䅁睧䅣乁䅙䅁偂䡁䅁䅤灂䝁䄸杢穂䑁䅯杔䉂䑁䄰杔噂䕁䅷䅔獁䕁䅍兤祂䡁䅉児噂䙁䅍䅒獁䕁䄰兙湂䑁䄰兔灂䝁䅷䅢灂䝁䄸杢穂䍁䅷睑療䝁䄴杤乂䝁䅕䅤潂䝁䄸䅚㥁䕁䄰兓祂䝁䅕睙療䝁䄰兢求䝁䄴䅚求䝁䅑䅌兂䝁䅅䅚㥁䕁䄸杚浂䍁䅷杒灂䝁䅷䅢㥁䕁䄰睢畂䡁䅑䅡獂䡁䅫䅌䕂䝁䅅䅤求䡁䅍児䍂䝁䅕杚療䡁䅉党獁䙁䅍睢祂䡁䅑児䕂䝁䅕督橂䅁䅁杆䅉䙁䅑䅁扂䕁䄰兓時䕁䅑睑䝂䕁䅅杢桂䝁䅷入穂䝁䅫督時䡁䅙免畁䡁䅧䅢穂䝁䄰兘䕂䕁䅍杒桁䍁䅑兑䵂䍁䅑兎㉁䑁䅯䅊䉂䕁䅷䅊㉁䑁䅧䅁⭁杁䅁杚䅁䍁䅣睗乂䕁䅫睘䕂䕁䅍杒䉂䝁䄴兙獂䡁䅫督灂䡁䅍睘㉂䑁䅅䅉瑁䍁䅁睑療䡁䅁入畁䡁䅧䅢穂䝁䄰兘䕂䕁䅍杒湁䍁䅅䅊䕂䕁䄴䅊ぁ䑁䅙杏歁䕁䅑杔歁䑁䅕杍䅁䩁䍣䅁啂䅁䅁睗乂䕁䅫睘䕂䕁䅍杒䉂䝁䄴兙獂䡁䅫督灂䡁䅍睘㉂䑁䅅杌㑂䝁䅷督瑂䙁䄰䅒䑂䕁䅙光歁䕁䅍睖歁䑁䅑䅏㙁䍁䅑睑慂䍁䅑䅎㑁䅁䅁䅨䅉䉁䅷䅁䩂䙁䅅䅖硁䑁䅧䅎㍁䑁䅫兏ㅁ䑁䅉兎㕁䅁䅁朹䅍䉁䅯䅁呂䙁䅁睕ㅁ䑁䅫䅎ㅁ䑁䅁睍穁䑁䅣睎䅁䉁䡁䅁䕂䅁䅁睊扂䕁䅑睑䝂䍁䅁睑療䝁䄴杤求䡁䅉督灂䝁䄸杢畁䡁䅧䅢穂䝁䄰兘䕂䕁䅍杒湁䍁䅅䅊噂䍁䅑免硁䑁䅍䅁畃允䅁䅒䅁䍁䅣睗䕂䕁䅍杒杁䕁䅍睢畂䡁䅙党祂䡁䅍兡療䝁䄴杌㑂䝁䅷督瑂䙁䄰䅒䑂䕁䅙睊桁䍁䅑兖歁䑁䅅免ぁ䅁䅁䅳䅅䉁䄴䅁呂䙁䅁䅖時䕁䅫睕呂䙁䅕兒時䕁䅑兑啂䕁䅕䅁敃兂䅁䅗䅁䙁䅳兔䩂䙁䄸睖䉂䕁䅍睑䉂䝁䄴兙獂䡁䅫督灂䡁䅍睘㉂䑁䅅杌㑂䝁䅷督瑂䙁䄰睖䉂䕁䅍睑桁䍁䅑兑䝂䍁䅑䅎ㅁ䑁䅯䅊䉂䕁䅙䅊ㅁ䑁䅙䅁䩁允䅁杕䅁䍁䅣睗䕂䕁䅍杒杁䕁䅍睢畂䡁䅙党祂䡁䅍兡療䝁䄴杌㑂䝁䅷督瑂䙁䄰䅒䑂䕁䅙睊桁䍁䅑兖歁䑁䅅免ぁ䑁䅯䅊坂䍁䅑免硁䑁䅑䅁㙂允䅁䅅䅁䕁䅑兒䵂䕁䅷兌噂䙁䅍䅁歂杁䅁䅈䅁䙁䅍䅕呂䑁䅅䅏㑁䑁䅣䅍穁䑁䅁兏ㅁ䑁䅍䅁䩁杂䅁杚䅁䍁䅣睗呂䙁䅁睒時䕁䅑睑䝂䕁䅅杢桂䝁䅷入穂䝁䅫督時䡁䅙免杁䑁䅅䅉潁䑁䅅克畁䡁䅧䅢穂䝁䄰兘䕂䕁䅍杒湁䍁䅅䅊䑂䕁䅕䅊ㅁ䑁䅍杏歁䕁䅍睒歁䑁䅕睍䅁䵁䑳䅁䕂䅁䅁睊扂䕁䅑睑䝂䍁䅁睑療䝁䄴杤求䡁䅉督灂䝁䄸杢畁䡁䅧䅢穂䝁䄰兘䕂䕁䅍杒湁䍁䅅䅊噂䍁䅑免硁䑁䅕䅁剃允䅁杚䅁䍁䅣睗呂䙁䅁睒時䕁䅑睑䝂䕁䅅杢桂䝁䅷入穂䝁䅫督時䡁䅙免杁䑁䅅䅉潁䑁䅅克畁䡁䅧䅢穂䝁䄰兘䕂䕁䅍杒湁䍁䅅䅊䡂䍁䅑杍ぁ䑁䅧杏歁䕁䄰䅊祁䑁䅑䅏䅁乁䑍䅁卂䅁䅁睊扂䕁䅑睑䝂䍁䅁睑療䝁䄴杤求䡁䅉督灂䝁䄸杢畁䡁䅧䅢穂䝁䄰兘䕂䕁䅍杒湁䍁䅅䅊噂䍁䅑免祁䑁䅅杏歁䙁䅕䅊硁䑁䅉杍䅁䡁䉣䅁歁䅁䅁兓剂䙁䄸睑䉂䙁䅍䅓時䙁䅍䅖時䕁䅫杔坂䕁䅕睕啂䅁䅁兪䅙䉁䅷䅁䩂䙁䅅䅖硁䑁䅧䅎㍁䑁䅫兏ㅁ䑁䅅䅏ㅁ䅁䅁睮䅑䉁䅑䅁佂䙁䅫睕䙂䑁䅯兔呂䕁䅍兓䅁䙁䡳䅁䕂䅁䅁睊扂䕁䅑睑䝂䍁䅁睑療䝁䄴杤求䡁䅉督灂䝁䄸杢畁䡁䅧䅢穂䝁䄰兘䕂䕁䅍杒湁䍁䅅䅊噂䍁䅑免祁䑁䅉䅁硃允䅁䅙䅁䍁䅣睗呂䙁䅁睒時䕁䅑睑䝂䕁䅅杢桂䝁䅷入穂䝁䅫督時䡁䅙免杁䍁䅧睍灁䍁䄴䅥獂䡁䅍兢摂䕁䅑睑䝂䍁䅣光歁䙁䅧䅊ぁ䑁䅧杏歁䕁䅅兒歁䑁䅑䅏䅁䙁䑣䅁捁䅁䅁兓剂䙁䅑免㑁䑁䅙䅎睁䑁䅑李ぁ䑁䅙兏䅁佁䕉䅁流䅁䅁睕求䝁䄴兡療䡁䅉䅉呂䡁䅕杙療䡁䅉䅚灂䝁䄴兙あ䝁䅕䅁湄睁䅁䅒䅁䍁䅣睗䕂䕁䅍杒杁䕁䅍睢畂䡁䅙党祂䡁䅍兡療䝁䄴杌㑂䝁䅷督瑂䙁䄰䅒䑂䕁䅙睊桁䍁䅑兖歁䑁䅅杍穁䅁䅁睷䅅䙁䅉䅁湁䙁䅳䅒䑂䕁䅙䅉䑂䝁䄸杢㉂䝁䅕杣穂䝁䅫睢畂䍁䄴䅥獂䡁䅍兢摂䕁䅑睑䝂䍁䅣光歁䙁䅕䅊硁䑁䅉睍㙁䍁䅑兖歁䑁䅅杍ぁ䅁䅁六䅅䕁䅙䅁扂䕁䄰兓時䕁䅑睑䝂䕁䅅杢桂䝁䅷入穂䝁䅫督時䡁䅙免畁䡁䅧䅢穂䝁䄰兘䕂䕁䅍杒桁䍁䅑睑噂䍁䅑䅎㉁䅁䅁睧䅉䙁䅉䅁湁䙁䅳䅒䑂䕁䅙䅉䑂䝁䄸杢㉂䝁䅕杣穂䝁䅫睢畂䍁䄴䅥獂䡁䅍兢摂䕁䅑睑䝂䍁䅣光歁䙁䅕䅊硁䑁䅫兎㙁䍁䅑杗歁䑁䅅兏ㅁ䅁䅁䅺䅅䝁䅉䅁湁䙁䅳睕兂䕁䅣睘䕂䕁䅍杒䉂䝁䄴兙獂䡁䅫督灂䡁䅍睘㉂䑁䅅䅉潁䑁䅅克畁䡁䅧䅢穂䝁䄰兘䕂䕁䅍杒湁䍁䅅䅊婂䍁䅑免ぁ䑁䅧杏歁䙁䅫䅊硁䑁䅕睍䅁䭁䑳䅁卂䅁䅁睊扂䕁䅑睑䝂䍁䅁睑療䝁䄴杤求䡁䅉督灂䝁䄸杢畁䡁䅧䅢穂䝁䄰兘䕂䕁䅍杒湁䍁䅅䅊噂䍁䅑免穁䑁䅅杏歁䙁䅕䅊硁䑁䅍杍䅁䵁䉧䅁楂䅁䅁睊扂䕁䄰兓時䙁䅣兑䑂䕁䅍兑畂䝁䅅䅢㕂䡁䅍兡穂䙁䄸杤硁䍁䅁䅋ㅁ䍁䅫杌㑂䝁䅷督瑂䙁䄰睖䉂䕁䅍睑湁䍁䅅䅊剂䍁䅑睍穁䑁䅯䅊䉂䕁䅅䅊穁䑁䅍䅁䡃允䅁杕䅁䍁䅣睗䕂䕁䅍杒杁䕁䅍睢畂䡁䅙党祂䡁䅍兡療䝁䄴杌㑂䝁䅷督瑂䙁䄰䅒䑂䕁䅙睊桁䍁䅑兖歁䑁䅅䅏㉁䑁䅯䅊婂䍁䅑免㑁䑁䅙䅁㙁允䅁杕䅁䍁䅣睗䕂䕁䅍杒杁䕁䅍睢畂䡁䅙党祂䡁䅍兡療䝁䄴杌㑂䝁䅷督瑂䙁䄰䅒䑂䕁䅙睊桁䍁䅑兖歁䑁䅅䅏㉁䑁䅯䅊慂䍁䅑免㑁䑁䅙䅁㥂允䅁杕䅁䍁䅣睗䕂䕁䅍杒杁䕁䅍睢畂䡁䅙党祂䡁䅍兡療䝁䄴杌㑂䝁䅷督瑂䙁䄰䅒䑂䕁䅙睊桁䍁䅑兖歁䑁䅅䅏㍁䑁䅯䅊婂䍁䅑免㑁䑁䅣䅁㡁允䅁杋䅁䕁䅫兕時䕁䄰兓佂䕁䄸杕䩂䙁䅑兗時䕁䅫杔啂䕁䅕杕䙂䙁䅍䅖䅁䡁䜴䅁啁䅁䅁村療䝁䄴䅚杁䕁䅷兡穂䡁䅑䅁奃兂䅁杙䅁䍁䅣睗呂䙁䅁睒時䕁䅑睑䝂䕁䅅杢桂䝁䅷入穂䝁䅫督時䡁䅙免杁䍁䅧免灁䍁䄴䅥獂䡁䅍兢摂䕁䅑睑䝂䍁䅣光歁䕁䅕䅊祁䑁䅑李㙁䍁䅑兒歁䑁䅉兎硁䅁䅁䅳䅍䉁䅷䅁䩂䙁䅅䅖硁䑁䅙睎硁䑁䅣睍ぁ䑁䅉䅍㕁䅁䅁儷䅍䙁䅉䅁湁䙁䅳䅒䑂䕁䅙䅉䑂䝁䄸杢㉂䝁䅕杣穂䝁䅫睢畂䍁䄴䅥獂䡁䅍兢摂䕁䅑睑䝂䍁䅣光歁䙁䅕䅊硁䑁䅧睎㙁䍁䅑杗歁䑁䅅䅏㍁䅁䅁杦䅅䉁䅷䅁呂䙁䅁睕硁䑁䅣兏祁䑁䅣睎ㅁ䑁䅑杍㑁䅁䅁睒䅙䕁䄴䅁湁䙁䅳䅒䑂䕁䅙䅉䑂䝁䄸杢㉂䝁䅕杣穂䝁䅫睢畂䍁䄴䅥獂䡁䅍兢摂䕁䅑睑䝂䍁䅣光歁䙁䅕䅊㕁䑁䅉杏歁䙁䅯䅊㕁䑁䅉䅁煃允䅁杔䅁䍁䅣睗䕂䕁䅍杒杁䕁䅍睢畂䡁䅙党祂䡁䅍兡療䝁䄴杌㑂䝁䅷督瑂䙁䄰䅒䑂䕁䅙睊桁䍁䅑兖歁䑁䅧兎㙁䍁䅑杗歁䑁䅧兎䅁䡁䈸䅁卂䅁䅁睊扂䕁䅑睑䝂䍁䅁睑療䝁䄴杤求䡁䅉督灂䝁䄸杢畁䡁䅧䅢穂䝁䄰兘䕂䕁䅍杒湁䍁䅅䅊噂䍁䅑免㕁䑁䅑杏歁䙁䅯䅊硁䑁䅫䅎䅁䵁䉯䅁敂䅁䅁睊扂䙁䅍䅕䡂䙁䄸䅒䑂䕁䅙兑畂䝁䅅䅢㕂䡁䅍兡穂䙁䄸杤硁䍁䅁䅋硁䍁䅫杌㑂䝁䅷督瑂䙁䄰䅒䑂䕁䅙睊桁䍁䅑䅓歁䑁䅫兏㙁䍁䅑兔歁䑁䅫兏䅁䥁䑫䅁佂䅁䅁睊扂䕁䅑睑䝂䍁䅁睑療䝁䄴杤求䡁䅉督灂䝁䄸杢畁䡁䅧䅢穂䝁䄰兘䕂䕁䅍杒湁䍁䅅䅊噂䍁䅑䅏ㅁ䑁䅯䅊婂䍁䅑䅏ㅁ䅁䅁䅡䅅䉁䅉䅁佂䙁䅫睕䙂䑁䅯䅒䩂䙁䅍䅁湃杂䅁䅙䅁䍁䅣睗乂䕁䅫睘䕂䕁䅍杒䉂䝁䄴兙獂䡁䅫督灂䡁䅍睘㉂䑁䅅䅉潁䑁䅉克畁䡁䅧䅢穂䝁䄰兘䕂䕁䅍杒湁䍁䅅䅊䕂䕁䄴䅊ㅁ䑁䅅杏歁䕁䅑杔歁䑁䅕睎䅁偁䌴䅁捁䅁䅁睕兂䙁䅍免㑁䑁䅑睎㕁䑁䅫兎硁䑁䅧睍䅁䭁䘸䅁捁䅁䅁兓剂䙁䅑免㍁䑁䅫杍㉁䑁䅁李㑁䑁䅑䅏䅁偁䑷䅁慁䅁䅁睕兂䙁䅍杍㑁䑁䅑睎㉁䑁䅍睎㉁䑁䅧䅁呂䅃䅁杔䅁䍁䅣睗䕂䕁䅍杒杁䕁䅍睢畂䡁䅙党祂䡁䅍兡療䝁䄴杌㑂䝁䅷督瑂䙁䄰䅒䑂䕁䅙睊桁䍁䅑兖歁䑁䅧李㙁䍁䅑兗歁䑁䅧李䅁䝁䉯䅁捁䅁䅁睕兂䙁䅍免㕁䑁䅑杍硁䑁䅁䅍㉁䑁䅑䅍䅁䙁䥷䅁佂䅁䅁睊扂䕁䅑睑䝂䍁䅁睑療䝁䄴杤求䡁䅉督灂䝁䄸杢畁䡁䅧䅢穂䝁䄰兘䕂䕁䅍杒湁䍁䅅䅊噂䍁䅑䅏㉁䑁䅯䅊慂䍁䅑䅏㉁䅁䅁䅧䅅䕁䄴䅁湁䙁䅳䅒䑂䕁䅙䅉䑂䝁䄸杢㉂䝁䅕杣穂䝁䅫睢畂䍁䄴䅥獂䡁䅍兢摂䕁䅑睑䝂䍁䅣光歁䙁䅕䅊㕁䑁䅍杏歁䙁䅯䅊㕁䑁䅍䅁獃允䅁䅈䅁䕁䅫兕啂䑁䅅䅏穁䑁䅣䅎ㅁ䑁䅉䅍硁䑁䅕䅁噃䅂䅁䅗䅁䍁䅣睗呂䙁䅁睒時䕁䅑睑䝂䕁䅅杢桂䝁䅷入穂䝁䅫督時䡁䅙免杁䑁䅅䅉潁䑁䅅克畁䡁䅧䅢穂䝁䄰兘䕂䕁䅍杒湁䍁䅅䅊䉂䕁䅣䅊ぁ䑁䅣䅁䡄睁䅁䅃䅁䕁䅫村乂䅁䅁杫䅣䙁䅧䅁湁䙁䅳兔䩂䙁䄸䅒䑂䕁䅙兑畂䝁䅅䅢㕂䡁䅍兡穂䙁䄸杤硁䍁䅁兌杁䕁䅍睢睂䡁䅫杌㑂䝁䅷督瑂䙁䄰䅒䑂䕁䅙睊桁䍁䅑兗歁䑁䅅杍㉁䅁䅁兲䅉䉁䅁䅁䉂䕁䅑睕䱂䍁䄰兖呂䅁䅁睢䅉䕁䄴䅁湁䙁䅳䅒䑂䕁䅙䅉䑂䝁䄸杢㉂䝁䅕杣穂䝁䅫睢畂䍁䄴䅥獂䡁䅍兢摂䕁䅑睑䝂䍁䅣光歁䙁䅕䅊㕁䑁䅑杏歁䙁䅯䅊㕁䑁䅑䅁䅄允䅁䅖䅁䍁䅣睗呂䙁䅁睒時䕁䅑睑䝂䕁䅅杢桂䝁䅷入穂䝁䅫督時䡁䅙免杁䍁䅧免灁䍁䄴䅥獂䡁䅍兢摂䕁䅑睑䝂䍁䅣光歁䕁䅅睒歁䑁䅑睎䅁䩁䑷䅁䕂䅁䅁睊扂䕁䅑睑䝂䍁䅁睑療䝁䄴杤求䡁䅉督灂䝁䄸杢畁䡁䅧䅢穂䝁䄰兘䕂䕁䅍杒湁䍁䅅䅊坂䍁䅑免祁䑁䅅䅁塃允䅁䅅䅁䕁䅫兕時䕁䅍睔䡂䙁䅍䅁祃睂䅁杪䅁䕁䄸䅣あ䝁䅫睢畂䡁䅍杏䑂䡁䅕杣祂䑁䄰杕求䡁䅁睢祂䡁䅑党歂䍁䅁睙ㅂ䡁䅉杣求䝁䄴睙㕂䍁䅷兔桂䝁䅣児乂䕁䅫睕あ䝁䅅杢歂䝁䅅杣歂䍁䅷睑療䝁䄴杤乂䝁䅕䅤潂䝁䄸䅚㥁䕁䄰兓祂䝁䅕睙療䝁䄰兢求䝁䄴䅚求䝁䅑䅁捄允䅁䅕䅁䙁䅳兔䩂䙁䄸䅒䑂䕁䅙兑畂䝁䅅䅢㕂䡁䅍兡穂䙁䄸杤硁䍁䄴䅥獂䡁䅍兢摂䕁䅑睑䝂䍁䅅䅊坂䍁䅑兎硁䑁䅯䅊坂䍁䅑兎㉁䅁䅁眴䅉䉁䅷䅁呂䙁䅁睕硁䑁䅧䅎㍁䑁䅫兏ㅁ䑁䅅李㍁䅁䅁䄷䅕䉁䅷䅁呂䙁䅁睕硁䑁䅣兏祁䑁䅙䅍㉁䑁䅧䅍祁䅁䅁眸䅕䕁䅑䅁湁䙁䅳䅒䑂䕁䅙䅉䑂䝁䄸杢㉂䝁䅕杣穂䝁䅫睢畂䍁䄴䅥獂䡁䅍兢摂䕁䅑睑䝂䍁䅣光歁䙁䅙䅊硁䑁䅉兏䅁䵁䉙䅁䝂䅁䅁睗乂䕁䅫睘䕂䕁䅍杒䉂䝁䄴兙獂䡁䅫督灂䡁䅍睘㉂䑁䅅杌㑂䝁䅷督瑂䙁䄰䅒䑂䕁䅙光歁䙁䅙䅊硁䑁䅉睎䅁佁䉷䅁䕂䅁䅁睊扂䕁䅑睑䝂䍁䅁睑療䝁䄴杤求䡁䅉督灂䝁䄸杢畁䡁䅧䅢穂䝁䄰兘䕂䕁䅍杒湁䍁䅅䅊慂䍁䅑免硁䑁䅫䅁穂允䅁杚䅁䍁䅣睗呂䙁䅁睒時䕁䅑睑䝂䕁䅅杢桂䝁䅷入穂䝁䅫督時䡁䅙免杁䑁䅅䅉潁䑁䅅克畁䡁䅧䅢穂䝁䄰兘䕂䕁䅍杒湁䍁䅅䅊䡂䍁䅑免睁䑁䅍杏歁䕁䅣䅊硁䑁䅍䅍䅁䵁䐴䅁啂䅁䅁睊扂䕁䅑睑䝂䍁䅁睑療䝁䄴杤求䡁䅉督灂䝁䄸杢畁䡁䅧䅢穂䝁䄰兘呂䝁䅧党求䡁䅑免湁䍁䅅䅊䝂䍁䅑兎㙁䍁䅑杒歁䑁䅉兎ㅁ䅁䅁睒䅅䙁䅁䅁扂䕁䄰兓時䕁䅑睑䝂䕁䅅杢桂䝁䅷入穂䝁䅫督時䡁䅙免畁䡁䅧䅢穂䝁䄰兘䕂䕁䅍杒桁䍁䅑䅓歁䑁䅫䅎㙁䍁䅑兔歁䑁䅫䅎䅁䥁䍫䅁慁䅁䅁睕兂䙁䅍睎睁䑁䅁兏睁䑁䅙兏穁䑁䅣䅁桂杂䅁杌䅁䕁䄰睕䑂䕁䅫䅉噂䙁䅍䅉䩂䕁䄰兓杁䕁䅙兡畂䝁䅅杢橂䝁䅫兙獂䡁䅍䅁婂䅁䅁权䅁䑁䅉䅍祁䑁䅕䅁桃睂䅁䅕䅁䍁䅣睗䕂䕁䅍杒杁䕁䅍睢畂䡁䅙党祂䡁䅍兡療䝁䄴杌㑂䝁䅷督瑂䙁䄰睕潂䝁䅕党あ䑁䅅睊桁䍁䅑杒歁䑁䅕杏歁䕁䅙䅊㉁䅁䅁睑䅅䙁䅑䅁扂䙁䅍䅕䡂䙁䄸䅒䑂䕁䅙兑畂䝁䅅䅢㕂䡁䅍兡穂䙁䄸杤硁䍁䄴䅥獂䡁䅍兢摂䕁䅑睑䝂䍁䅅䅊奂䍁䅑䅎㍁䑁䅯䅊䉂䕁䅕䅊ぁ䑁䅣䅁硁睁䅁䅕䅁䍁䅣睗䕂䕁䅍杒杁䕁䅍睢畂䡁䅙党祂䡁䅍兡療䝁䄴杌㑂䝁䅷督瑂䙁䄰睕潂䝁䅕党あ䑁䅅睊桁䍁䅑杒歁䑁䅕杏歁䕁䅙䅊㍁䅁䅁兒䅅䅁䅯䅁祁䑁䅁杍ぁ䅁䅁杪䅙䉁䅁䅁䙂䕁䅷兒瑁䕁䄰兑䕂䅁䅁杹䅉䑁䅁䅁偂䡁䅍䅢療䍁䅁睕あ䝁䄸睙牂䍁䅁兒㑂䝁䅍䅡桂䝁䄴睚求䍁䅁睔䍂䙁䅧䅁浂䅁䅁䅖䅁䍁䅣睗䕂䕁䅍杒杁䕁䅍睢畂䡁䅙党祂䡁䅍兡療䝁䄴杌㑂䝁䅷督瑂䙁䄰睕潂䝁䅕党あ䑁䅅睊桁䍁䅑睒歁䑁䅕杏歁䕁䅣䅊祁䑁䅕兎䅁䕁䉧䅁歂䅁䅁睗乂䕁䅫睘䡂䕁䅷睔䍂䕁䅅䅔時䙁䅣兑䑂䕁䅍兑畂䝁䅅䅢㕂䡁䅍兡穂䙁䄸杤硁䍁䄴䅥獂䡁䅍兢摂䙁䅣兑䑂䕁䅍光歁䙁䅅䅊穁䑁䅍杏歁䕁䅅兑歁䑁䅍睍䅁䵁䅅䅁歂䅁䅁睊扂䙁䅍䅕䡂䙁䄸䅒䑂䕁䅙兑畂䝁䅅䅢㕂䡁䅍兡穂䙁䄸杤硁䍁䅁免杁䍁䅧免灁䍁䄴䅥獂䡁䅍兢摂䕁䅑睑䝂䍁䅣光歁䙁䅧䅊ぁ䑁䅧杏歁䕁䅅兒歁䑁䅑䅏䅁䵁䑕䅁啂䅁䅁睗乂䕁䅫睘䕂䕁䅍杒䉂䝁䄴兙獂䡁䅫督灂䡁䅍睘㉂䑁䅅杌㑂䝁䅷督瑂䙁䄰䅒䑂䕁䅙光歁䕁䅣䅊硁䑁䅁䅍㙁䍁䅑睒歁䑁䅅杍㍁䅁䅁䅔䅉䙁䅁䅁湁䙁䅳䅒䑂䕁䅙䅉䑂䝁䄸杢㉂䝁䅕杣穂䝁䅫睢畂䍁䄴䅥獂䡁䅍兢摂䙁䅍䅡求䝁䅕䅤硁䍁䅣光歁䕁䅣䅊ㅁ䑁䅯䅊䡂䍁䅑李䅁䕁䉑䅁䝂䅁䅁睊扂䕁䅑睑䝂䍁䅁睑療䝁䄴杤求䡁䅉督灂䝁䄸杢畁䡁䅧䅢穂䝁䄰兘呂䝁䅧党求䡁䅑免湁䍁䅅䅊䩂䍁䅑杍䅁䕁䉉䅁慁䅁䅁睕兂䙁䅍兎ぁ䑁䅑兎㕁䑁䅧杍睁䑁䅍䅁畂睂䅁䅈䅁䙁䅍䅕呂䑁䅅䅏ぁ䑁䅣兏㕁䑁䅕免睁䑁䅙䅁㕃兂䅁杚䅁䍁䅣睗呂䙁䅁睒時䕁䅑睑䝂䕁䅅杢桂䝁䅷入穂䝁䅫督時䡁䅙免杁䑁䅅䅉潁䑁䅅克畁䡁䅧䅢穂䝁䄰兘䕂䕁䅍杒湁䍁䅅䅊奂䍁䅑免穁䑁䅑杏歁䙁䅧䅊硁䑁䅍兎䅁乁䑙䅁捁䅁䅁睕兂䙁䅍免㕁䑁䅍䅍睁䑁䅉免㉁䑁䅫睎䅁䩁䜴䅁卂䅁䅁睊扂䕁䅑睑䝂䍁䅁睑療䝁䄴杤求䡁䅉督灂䝁䄸杢畁䡁䅧䅢穂䝁䄰兘呂䝁䅧党求䡁䅑免湁䍁䅅䅊䵂䍁䅑李㙁䍁䅑䅔歁䑁䅅免䅁䙁䉉䅁啂䅁䅁睊扂䙁䅍䅕䡂䙁䄸䅒䑂䕁䅙兑畂䝁䅅䅢㕂䡁䅍兡穂䙁䄸杤硁䍁䅁䅋硁䍁䅫杌㑂䝁䅷督瑂䙁䄰䅒䑂䕁䅙睊桁䍁䅑睖歁䑁䅅䅎睁䅁䅁兰䅍䙁䅉䅁湁䙁䅳䅒䑂䕁䅙䅉䑂䝁䄸杢㉂䝁䅕杣穂䝁䅫睢畂䍁䄴䅥獂䡁䅍兢摂䙁䅍䅡求䝁䅕䅤硁䍁䅣光歁䕁䅷䅊㉁䑁䅯䅊䵂䍁䅑免祁䅁䅁睕䅅䉁䅷䅁呂䙁䅁睕硁䑁䅙睎硁䑁䅣睍ぁ䑁䅅䅎㕁䅁䅁杖䅙䙁䅉䅁湁䙁䅳䅒䑂䕁䅙䅉䑂䝁䄸杢㉂䝁䅕杣穂䝁䅫睢畂䍁䄴䅥獂䡁䅍兢摂䙁䅍䅡求䝁䅕䅤硁䍁䅣光歁䕁䅷䅊㉁䑁䅯䅊䵂䍁䅑免ぁ䅁䅁兖䅅䙁䅷䅁湁䙁䅳睕兂䕁䅣睘䕂䕁䅍杒䉂䝁䄴兙獂䡁䅫督灂䡁䅍睘㉂䑁䅅䅉ぁ䍁䄴䅥獂䡁䅍兢摂䕁䅑睑䝂䍁䅣光歁䙁䅧䅊ぁ䑁䅧杏歁䕁䅅䅓歁䑁䅑䅏䅁偁䔸䅁杂䅁䅁睊扂䕁䄰兓時䕁䅑睑䝂䕁䅅杢桂䝁䅷入穂䝁䅫督時䡁䅙免杁䍁䅧杍灁䍁䄴䅥獂䡁䅍兢摂䕁䅑睑䝂䍁䅣光歁䕁䅙䅊祁䑁䅁睎㙁䍁䅑兔歁䑁䅉䅍㍁䅁䅁䅊䅍䙁䅧䅁扂䕁䄰兓時䕁䅣䅔偂䕁䅉兑䵂䙁䄸睖䉂䕁䅍睑䉂䝁䄴兙獂䡁䅫督灂䡁䅍睘㉂䑁䅅杌㑂䝁䅷督瑂䙁䄰睖䉂䕁䅍睑桁䍁䅑兑䙂䍁䅑睍㕁䅁䅁杵䅁䝁䅙䅁湁䙁䅳兔䩂䙁䄸䅒䑂䕁䅙兑畂䝁䅅䅢㕂䡁䅍兡穂䙁䄸杤硁䍁䅁兌杁䕁䅍睢睂䡁䅫杌㑂䝁䅷督瑂䙁䄰䅒䑂䕁䅙睊桁䍁䅑䅗歁䑁䅅杍㕁䑁䅯䅊奂䍁䅑免穁䑁䅁䅁畃杁䅁䅕䅁䍁䅣睗䕂䕁䅍杒杁䕁䅍睢畂䡁䅙党祂䡁䅍兡療䝁䄴杌㑂䝁䅷督瑂䙁䄰睕潂䝁䅕党あ䑁䅅睊桁䍁䅑䅔歁䑁䅙杏歁䕁䅷䅊㑁䅁䅁兔䅅䉁䅯䅁呂䙁䅁睕穁䑁䅅兎ㅁ䑁䅉䅎ぁ䑁䅍睎䅁佁䡙䅁杁䅁䅁睕流䙁䅁䅉䡂䝁䅷睢楂䝁䅅䅢杁䕁䅫杢橂䍁䄴䅁楂睂䅁杇䅁䙁䅍䅕呂䑁䅉䅏㑁䑁䅣免㑁䑁䅫䅏㕁䅁䅁兹䅙䙁䅯䅁䑂䝁䅧兙祂䡁䅑党祂䍁䅁睑療䝁䄰兢ㅂ䝁䄴兡橂䝁䅅䅤灂䝁䄸杢穂䍁䅷䅉䩂䝁䄴睙畁䍁䅁䅋佂䕁䅅睕䕂䕁䅅兕䡂䙁䅍杏䑂䕁䅧䅖卂䍁䅫䅁牃杂䅁杄䅁䕁䅯䅕乂䍁䄰兖呂䅁䅁睫䅅䝁䅙䅁湁䙁䅳睕兂䕁䅣睘䕂䕁䅍杒䉂䝁䄴兙獂䡁䅫督灂䡁䅍睘㉂䑁䅅䅉硁䍁䅁䅋硁䍁䅫杌㑂䝁䅷督瑂䙁䄰䅒䑂䕁䅙睊桁䍁䅑兒歁䑁䅉兎睁䑁䅯䅊䙂䍁䅑杍ㅁ䑁䅕䅁卄睁䅁杕䅁䕁䅙兙橂䡁䅑睕求䡁䅑䅉卂䝁䅕督求䝁䅅杣橂䝁䅧䅉呂䡁䅫督あ䝁䅕兢穂䍁䅁兓畂䝁䅍杌杁䍁䅧杔婂䙁䅍兒㙁䕁䅙䅒呂䍁䅫䅁牂睂䅁䅕䅁䍁䅣睗䕂䕁䅍杒杁䕁䅍睢畂䡁䅙党祂䡁䅍兡療䝁䄴杌㑂䝁䅷督瑂䙁䄰睕潂䝁䅕党あ䑁䅅睊桁䍁䅑兔歁䑁䅍杏歁䕁䄸䅊穁䅁䅁杓䅅䝁䅑䅁湁䙁䅳睕兂䕁䅣睘䕂䕁䅍杒䉂䝁䄴兙獂䡁䅫督灂䡁䅍睘㉂䑁䅅䅉瑁䍁䅁睔䡂䍁䅁兌杁䕁䅍睢睂䡁䅫杌㑂䝁䅷督瑂䙁䄰䅒䑂䕁䅙睊桁䍁䅑兑坂䍁䅑兎㍁䅁䅁睔䅣䙁䅉䅁湁䙁䅳䅒䑂䕁䅙䅉䑂䝁䄸杢㉂䝁䅕杣穂䝁䅫睢畂䍁䄴䅥獂䡁䅍兢摂䙁䅍䅡求䝁䅕䅤硁䍁䅣光歁䕁䄴䅊穁䑁䅯䅊䉂䕁䅍䅊穁䅁䅁睗䅅䙁䅧䅁湁䙁䅳睕兂䕁䅣睘䕂䕁䅍杒䉂䝁䄴兙獂䡁䅫督灂䡁䅍睘㉂䑁䅅䅉硁䍁䅁䅋硁䍁䅫杌㑂䝁䅷督瑂䙁䄰䅒䑂䕁䅙睊桁䍁䅑兑偂䍁䅑兎穁䅁䅁睶䅍䙁䅁䅁湁䙁䅳䅒䑂䕁䅙䅉䑂䝁䄸杢㉂䝁䅕杣穂䝁䅫睢畂䍁䄴䅥獂䡁䅍兢摂䙁䅍䅡求䝁䅕䅤硁䍁䅣光歁䕁䄴䅊穁䑁䅯䅊呂䍁䅑睍䅁䙁䉁䅁啂䅁䅁睗乂䕁䅫睘䕂䕁䅍杒䉂䝁䄴兙獂䡁䅫督灂䡁䅍睘㉂䑁䅅杌㑂䝁䅷督瑂䙁䄰䅒䑂䕁䅙光歁䕁䅑睖歁䑁䅑兏㙁䍁䅑䅒塂䍁䅑兎ぁ䅁䅁䅌䅉䙁䅁䅁湁䙁䅳䅒䑂䕁䅙䅉䑂䝁䄸杢㉂䝁䅕杣穂䝁䅫睢畂䍁䄴䅥獂䡁䅍兢摂䙁䅍䅡求䝁䅕䅤硁䍁䅣光歁䕁䄴䅊穁䑁䅯䅊啂䍁䅑睍䅁䙁䉣䅁兂䅁䅁睊扂䕁䅑睑䝂䍁䅁睑療䝁䄴杤求䡁䅉督灂䝁䄸杢畁䡁䅧䅢穂䝁䄰兘呂䝁䅧党求䡁䅑免湁䍁䅅䅊佂䍁䅑睍㙁䍁䅑兖歁䑁䅍䅁啂允䅁杘䅁䍁䅣睗呂䙁䅁睒時䕁䅑睑䝂䕁䅅杢桂䝁䅷入穂䝁䅫督時䡁䅙免杁䑁䅑杌㑂䝁䅷督瑂䙁䄰䅒䑂䕁䅙睊桁䍁䅑睒歁䑁䅅䅍祁䑁䅯䅊䡂䍁䅑免穁䑁䅁䅁䡁兂䅁䅕䅁䍁䅣睗䕂䕁䅍杒杁䕁䅍睢畂䡁䅙党祂䡁䅍兡療䝁䄴杌㑂䝁䅷督瑂䙁䄰睕潂䝁䅕党あ䑁䅅睊桁䍁䅑杔歁䑁䅍杏歁䙁䅣䅊穁䅁䅁兗䅅䡁䄴䅁偂䡁䅁䅤灂䝁䄸杢穂䑁䅯睑ㅂ䡁䅉杣㥁䙁䅕睕䕂䍁䅷䅉乂䝁䅅睚㥁䙁䅑䅡療䡁䅕督桂䝁䄴䅚穂䍁䅷䅉䑂䝁䄸杢㉂䕁䄰党あ䝁䅧睢歂䑁䄰兔䩂䡁䅉党橂䝁䄸兢瑂䝁䅕杢歂䝁䅕䅚獁䕁䄴兑㥁䑁䅁䅁佃睁䅁䅕䅁䍁䅣睗䕂䕁䅍杒杁䕁䅍睢畂䡁䅙党祂䡁䅍兡療䝁䄴杌㑂䝁䅷督瑂䙁䄰睕潂䝁䅕党あ䑁䅅睊桁䍁䅑杔歁䑁䅑杏歁䙁䅅䅊ぁ䅁䅁睔䅅䡁䅧䅁偂䡁䅁䅤灂䝁䄸杢穂䑁䅯睑ㅂ䡁䅉杣㥁䕁䅣村兂䍁䅷兔桂䝁䅣児䉂䝁䅍䅤ㅂ䝁䅅䅢穂䍁䅷睑療䝁䄴杤乂䝁䅕䅤潂䝁䄸䅚㥁䕁䄰兓祂䝁䅕睙療䝁䄰兢求䝁䄴䅚求䝁䅑䅌佂䕁䅅児佂䕁䅅䅁䱁䅃䅁䅖䅁䙁䅳兔䩂䙁䄸䅒䑂䕁䅙兑畂䝁䅅䅢㕂䡁䅍兡穂䙁䄸杤硁䍁䄴䅥獂䡁䅍兢摂䕁䅑睑䝂䍁䅅䅊䝂䍁䅑杍睁䑁䅉杏歁䕁䄰䅊祁䑁䅁杍䅁䅁䍁䅁䭁䅁䅁杍睁䑁䅅䅏䅁䝁䜰䅁卂䅁䅁睊扂䕁䄰兓時䕁䅑睑䝂䕁䅅杢桂䝁䅷入穂䝁䅫督時䡁䅙免杁䍁䅧杍灁䍁䄴䅥獂䡁䅍兢摂䕁䅑睑䝂䍁䅣光歁䕁䅑村歁䑁䅕免䅁䉁䑉䅁䝂䅁䅁睗乂䕁䅫睘䕂䕁䅍杒䉂䝁䄴兙獂䡁䅫督灂䡁䅍睘㉂䑁䅅杌㑂䝁䅷督瑂䙁䄰䅒䑂䕁䅙光歁䙁䅙䅊硁䑁䅍兎䅁乁䉣䅁佁䅁䅁杒卂䙁䅑兌噂䙁䅍䅁䕁允䅁䅕䅁䍁䅣睗䕂䕁䅍杒杁䕁䅍睢畂䡁䅙党祂䡁䅍兡療䝁䄴杌㑂䝁䅷督瑂䙁䄰睕潂䝁䅕党あ䑁䅅睊桁䍁䅑杔歁䑁䅑杏歁䙁䅍䅊ぁ䅁䅁兕䅅䉁䅷䅁呂䙁䅁睕硁䑁䅧䅎㍁䑁䅫兏ㅁ䑁䅍睎㍁䅁䅁关䅕䙁䅁䅁湁䙁䅳䅒䑂䕁䅙䅉䑂䝁䄸杢㉂䝁䅕杣穂䝁䅫睢畂䍁䄴䅥獂䡁䅍兢摂䙁䅍䅡求䝁䅕䅤硁䍁䅣光歁䕁䄴䅊ぁ䑁䅯䅊啂䍁䅑䅎䅁䙁䉧䅁捁䅁䅁兓剂䙁䅑免㑁䑁䅧睎睁䑁䅍䅍㕁䑁䅣睍䅁䕁䕑䅁楁䅁䅁䅕桂䝁䅳兡穂䡁䅑兙畂䍁䅁睓呂䕁䅕䅉硁䑁䅁䅍䅁䝁䅣䅁兂䅁䅁睊扂䕁䅑睑䝂䍁䅁睑療䝁䄴杤求䡁䅉督灂䝁䄸杢畁䡁䅧䅢穂䝁䄰兘呂䝁䅧党求䡁䅑免湁䍁䅅䅊佂䍁䅑䅎㙁䍁䅑睖歁䑁䅑䅁慂允䅁䅖䅁䍁䅣睗䕂䕁䅍杒杁䕁䅍睢畂䡁䅙党祂䡁䅍兡療䝁䄴杌㑂䝁䅷督瑂䙁䄰睖䉂䕁䅍睑湁䍁䅅䅊䉂䕁䅙䅊ぁ䑁䅕杏歁䕁䅅杒歁䑁䅕李䅁䉁䉕䅁啂䅁䅁睊扂䕁䅑睑䝂䍁䅁睑療䝁䄴杤求䡁䅉督灂䝁䄸杢畁䡁䅧䅢穂䝁䄰兘塂䕁䅅睑䑂䍁䅣光歁䕁䅅睒歁䑁䅑兎㙁䍁䅑兑䡂䍁䅑兎㉁䅁䅁杆䅅䉁䅁䅁䑂䕁䅧䅖卂䍁䄰兖呂䅁䅁䅴䅙䉁䅷䅁呂䙁䅁睕硁䑁䅣兏祁䑁䅙䅍㉁䑁䅣兎㕁䅁䅁睍䅙䝁䅑䅁湁䙁䅳兔䩂䙁䄸睖䉂䕁䅍睑䉂䝁䄴兙獂䡁䅫督灂䡁䅍睘㉂䑁䅅䅉潁䑁䅕克畁䡁䅧䅢穂䝁䄰兘塂䕁䅅睑䑂䍁䅣光歁䕁䅅睒歁䑁䅑兎㙁䍁䅑兑䡂䍁䅑兎㉁䅁䅁䅨䅅䉁䅯䅁呂䙁䅁睕㉁䑁䅕兏ぁ䑁䅑睎硁䑁䅣兎䅁䱁䝳䅁䝂䅁䅁睊扂䕁䅑睑䝂䍁䅁睑療䝁䄴杤求䡁䅉督灂䝁䄸杢畁䡁䅧䅢穂䝁䄰兘塂䕁䅅睑䑂䍁䅣光歁䕁䅅兓歁䑁䅍兏䅁䉁䉑䅁捁䅁䅁兓剂䙁䅑免㍁䑁䅫李ぁ䑁䅅䅍ㅁ䑁䅑睎䅁佁䐴䅁允䅁䅁杒剂䑁䅍杍睁䑁䅅兏䅁䑁䍅䅁㉂䅁䅁睔睂䡁䅑兡療䝁䄴督㙁䕁䅍兤祂䡁䅉児䡂䕁䅉䅕獁䕁䄰兙湂䑁䄰兑橂䡁䅑兤桂䝁䅷督獁䕁䅍睢畂䡁䅙兔求䡁䅑䅡療䝁䅑児乂䕁䅫杣求䝁䅍睢瑂䝁䄰党畂䝁䅑党歂䍁䅷杔䉂䑁䄰䅍䅁䅁䥯䅁楁䅁䅁村求䡁䅑兙杁䙁䅑䅡祂䝁䅕党杁䙁䅫党桂䡁䅉䅉䅁䅁䅍䅁浂䅁䅁睊扂䙁䅍䅕䡂䙁䄸䅒䑂䕁䅙兑畂䝁䅅䅢㕂䡁䅍兡穂䙁䄸杤硁䍁䅁免杁䍁䅧免灁䍁䄴䅥獂䡁䅍兢摂䕁䅑睑䝂䍁䅣光歁䕁䅕䅊祁䑁䅅睍㙁䍁䅑兒歁䑁䅉睍穁䅁䅁儴䅍䙁䅑䅁扂䕁䄰兓時䕁䅑睑䝂䕁䅅杢桂䝁䅷入穂䝁䅫督時䡁䅙免畁䡁䅧䅢穂䝁䄰兘䕂䕁䅍杒桁䍁䅑睖歁䑁䅅睍睁䑁䅯䅊塂䍁䅑免穁䑁䅍䅁畄允䅁䅈䅁䕁䅫兕啂䑁䅅䅏穁䑁䅣䅎ㅁ䑁䅉䅍硁䑁䅧䅁元䅂䅁䅲䅁䕁䄸䅣あ䝁䅫睢畂䡁䅍杏䑂䡁䅕杣祂䑁䄰兖呂䕁䅑䅌乂䝁䅅睚㥁䕁䄰兡獂䝁䅷兡療䝁䄴督獁䕁䅍睢畂䡁䅙兔求䡁䅑䅡療䝁䅑児乂䕁䅫杣求䝁䅍睢瑂䝁䄰党畂䝁䅑党歂䍁䅷䅕桂䝁䅑児偂䝁䅙杚獁䕁䅑兙あ䝁䅕督㥁䕁䅉党浂䝁䄸杣求䍁䅷睕療䡁䅉䅤㥁䕁䅑党穂䝁䅍䅁杄䅁䅁杒䅁䍁䅣睗䕂䕁䅍杒杁䕁䅍睢畂䡁䅙党祂䡁䅍兡療䝁䄴杌㑂䝁䅷督瑂䙁䄰睖䉂䕁䅍睑湁䍁䅅䅊䑂䙁䅧䅊穁䑁䅣䅁捁允䅁杇䅁䕁䅫兕啂䑁䅉䅎㉁䑁䅣睎穁䑁䅧睎穁䅁䅁䅣䅑䙁䅑䅁湁䙁䅳䅒䑂䕁䅙䅉䑂䝁䄸杢㉂䝁䅕杣穂䝁䅫睢畂䍁䄴䅥獂䡁䅍兢摂䙁䅣兑䑂䕁䅍睊桁䍁䅑睑慂䍁䅑睍㕁䑁䅯䅊䕂䕁䅉䅊穁䑁䅫䅁摁允䅁䅈䅁䙁䅍䅕呂䑁䅅䅏祁䑁䅅䅎硁䑁䅁杍㕁䑁䅫䅁⭂睂䅁䅒䅁䍁䅣睗䕂䕁䅍杒杁䕁䅍睢畂䡁䅙党祂䡁䅍兡療䝁䄴杌㑂䝁䅷督瑂䙁䄰睖䉂䕁䅍睑湁䍁䅅䅊兂䍁䅑睍祁䅁䅁睆䅅䉁䅯䅁䩂䙁䅅睘䩂䕁䄴杖䙂䕁䄴䅖偂䙁䅉兗䅁䥁䝳䅁兂䅁䅁睊扂䕁䅑睑䝂䍁䅁睑療䝁䄴杤求䡁䅉督灂䝁䄸杢畁䡁䅧䅢穂䝁䄰兘塂䕁䅅睑䑂䍁䅣光歁䙁䅁䅊穁䑁䅙杏歁䙁䅁䅊ぁ䑁䅅䅁奁允䅁䅈䅁䕁䅫兕啂䑁䅅睎㕁䑁䅙䅎睁䑁䅣睎㉁䑁䅅䅁啂䅂䅁杔䅁䙁䅳兔䩂䙁䄸睖塂䙁䄸睖䉂䕁䅍睑䉂䝁䄴兙獂䡁䅫督灂䡁䅍睘㉂䑁䅅杌㑂䝁䅷督瑂䙁䄰睖䉂䕁䅍睑桁䍁䅑䅕歁䑁䅍杍䅁偁䅫䅁卂䅁䅁睊扂䕁䄰兓時䕁䅑睑䝂䕁䅅杢桂䝁䅷入穂䝁䅫督時䡁䅙免杁䍁䅧杍灁䍁䄴䅥獂䡁䅍兢摂䕁䅑睑䝂䍁䅣光歁䕁䅅睒歁䑁䅑睎䅁䅁䑳䅁慁䅁䅁兒畂䡁䅑兡あ䡁䅫䅉佂䝁䅅兢求䍁䅁䅁祁允䅁杘䅁䍁䅣睗呂䙁䅁睒時䕁䅑睑䝂䕁䅅杢桂䝁䅷入穂䝁䅫督時䡁䅙免杁䍁䅧免灁䍁䄴䅥獂䡁䅍兢摂䕁䅑睑䝂䍁䅣光歁䕁䅣䅊㕁䑁䅫杏歁䕁䄰䅊㕁䑁䅫䅁乃睁䅁杇䅁䙁䅍䅕呂䑁䅙䅍睁䑁䅁李㑁䑁䅑李㑁䅁䅁䅴䅕䙁䅉䅁湁䙁䅳兔䩂䙁䄸䅒䑂䕁䅙兑畂䝁䅅䅢㕂䡁䅍兡穂䙁䄸杤硁䍁䅁䅋祁䍁䅫杌㑂䝁䅷督瑂䙁䄰䅒䑂䕁䅙睊桁䍁䅑兑䱂䍁䅑兎ぁ䅁䅁杁䅍䉁䅉䅁䝂䙁䅑睕䙂䍁䅁兔䩂䕁䅉䅁䭂䅁䅁杇䅁䙁䅍䅕呂䑁䅕兏ぁ䑁䅕䅍穁䑁䅍兏㉁䅁䅁䄴䅙䝁䅁䅁湁䙁䅳兔䩂䙁䄸䅒䑂䕁䅙兑畂䝁䅅䅢㕂䡁䅍兡穂䙁䄸杤硁䍁䅁䅋祁䍁䅫杌㑂䝁䅷督瑂䙁䄰䅒䑂䕁䅙睊桁䍁䅑兑䵂䍁䅑兎㕁䑁䅯䅊䉂䕁䅷䅊㍁䑁䅉䅁䕁睁䅁䅈䅁䑁䅍䅍㕂䍁䅁兖呂䍁䅁䅖瑁䕁䅉睢畂䝁䅑䅁⽃杁䅁杕䅁䍁䅣睗乂䕁䅫睘䕂䕁䅍杒䉂䝁䄴兙獂䡁䅫督灂䡁䅍睘㉂䑁䅅䅉潁䑁䅉克畁䡁䅧䅢穂䝁䄰兘䕂䕁䅍杒湁䍁䅅䅊䍂䍁䅑杍睁䑁䅣䅁橁睁䅁䅙䅁䍁䅣睗乂䕁䅫睘䕂䕁䅍杒䉂䝁䄴兙獂䡁䅫督灂䡁䅍睘㉂䑁䅅䅉潁䑁䅉克畁䡁䅧䅢穂䝁䄰兘䕂䕁䅍杒湁䍁䅅䅊䑂䙁䅣䅊ㅁ䑁䅍杏歁䕁䅍杗歁䑁䅕睍䅁䉁䑁䅁流䅁䅁睕流䙁䅁䅉ㅁ䑁䅁䅍杁䕁䅙兡畂䝁䅅杢橂䝁䅫兙獂䡁䅍䅁祂䅁䅁䅙䅁䍁䅣睗乂䕁䅫睘䕂䕁䅍杒䉂䝁䄴兙獂䡁䅫督灂䡁䅍睘㉂䑁䅅䅉潁䑁䅉克畁䡁䅧䅢穂䝁䄰兘䕂䕁䅍杒湁䍁䅅䅊䕂䙁䅁䅊ㅁ䑁䅁杏歁䕁䅑兕歁䑁䅕䅍䅁䅁䑁䅁獃䅁䅁睔睂䡁䅑兡療䝁䄴督㙁䕁䅍兤祂䡁䅉児䭂䙁䅁兗獁䕁䄰兙湂䑁䄰兔灂䝁䅷䅢灂䝁䄸杢穂䍁䅷睑療䝁䄴杤乂䝁䅕䅤潂䝁䄸䅚㥁䕁䄰兓祂䝁䅕睙療䝁䄰兢求䝁䄴䅚求䝁䅑䅌兂䝁䅅䅚㥁䕁䄸杚浂䍁䅷䅒桂䡁䅑党穂䑁䄰村求䝁䅙睢祂䝁䅕䅌呂䝁䄸杣あ䑁䄰䅒求䡁䅍睙䅁䉁䌸䅁佁䅁䅁兖啂䙁䅧兌噂䙁䅍䅁煂杁䅁䅙䅁䍁䅣睗乂䕁䅫睘䕂䕁䅍杒䉂䝁䄴兙獂䡁䅫督灂䡁䅍睘㉂䑁䅅䅉潁䑁䅉克畁䡁䅧䅢穂䝁䄰兘䕂䕁䅍杒湁䍁䅅䅊䕂䙁䅁䅊ぁ䑁䅫杏歁䕁䅑兕歁䑁䅑兏䅁偁䌸䅁䥂䅁䅁睗呂䙁䅁睒時䕁䅑睑䝂䕁䅅杢桂䝁䅷入穂䝁䅫督時䡁䅙免畁䡁䅧䅢穂䝁䄰兘䕂䕁䅍杒桁䍁䅑兑䱂䍁䅑兎ぁ䅁䅁睋䅍䙁䅑䅁扂䕁䄰兓時䕁䅑睑䝂䕁䅅杢桂䝁䅷入穂䝁䅫督時䡁䅙免畁䡁䅧䅢穂䝁䄰兘䕂䕁䅍杒桁䍁䅑䅒兂䍁䅑䅎㍁䑁䅯䅊䕂䙁䅅䅊ぁ䑁䅣䅁㝁杁䅁䅙䅁䍁䅣睗乂䕁䅫睘䕂䕁䅍杒䉂䝁䄴兙獂䡁䅫督灂䡁䅍睘㉂䑁䅅䅉潁䑁䅉克畁䡁䅧䅢穂䝁䄰兘䕂䕁䅍杒湁䍁䅅䅊䙂䍁䅑杍硁䑁䅍杏歁䕁䅕䅊祁䑁䅍睍䅁䍁䑕䅁䕄䅁䅁睔睂䡁䅑兡療䝁䄴督㙁䕁䅍兤祂䡁䅉児噂䙁䅍䅒獁䕁䄰兙湂䑁䄰兔灂䝁䅷䅢灂䝁䄸杢穂䍁䅷睑療䝁䄴杤乂䝁䅕䅤潂䝁䄸䅚㥁䙁䅍杔䵂䡁䅉党橂䝁䄸兢瑂䝁䅕杢歂䝁䅕䅚獁䙁䅁兙歂䑁䄰睔浂䝁䅙䅌䝂䝁䅫䅢獂䑁䄰䅒桂䝁䅫䅢㕂䍁䅷䅒桂䡁䅑党穂䑁䄰村求䝁䅙睢祂䝁䅕䅌呂䝁䄸杣あ䑁䄰䅒求䡁䅍睙䅁䱁䅁䅁卂䅁䅁睊扂䙁䅍䅕䡂䙁䄸䅒䑂䕁䅙兑畂䝁䅅䅢㕂䡁䅍兡穂䙁䄸杤硁䍁䅁䅋硁䍁䅫杌㑂䝁䅷督瑂䙁䄰䅒䑂䕁䅙睊桁䍁䅑村歁䑁䅫䅏䅁䥁䑯䅁捂䅁䅁睊扂䕁䄰兓時䕁䅑睑䝂䕁䅅杢桂䝁䅷入穂䝁䅫督時䡁䅙免杁䍁䅧杍灁䍁䄴䅥獂䡁䅍兢摂䕁䅑睑䝂䍁䅣光歁䕁䅧䅊㕁䑁䅧杏歁䕁䄰䅊㕁䑁䅧䅁噁睁䅁䅇䅁䙁䅍䅕呂䑁䅙䅎穁䑁䅅兎睁䑁䅍䅏䅁偁䝅䅁楂䅁䅁睊扂䙁䅍䅕䡂䙁䄸䅒䑂䕁䅙兑畂䝁䅅䅢㕂䡁䅍兡穂䙁䄸杤硁䍁䅁䅋硁䍁䅫杌㑂䝁䅷督瑂䙁䄰䅒䑂䕁䅙睊桁䍁䅑睑偂䍁䅑兎硁䑁䅯䅊䑂䕁䄸䅊ㅁ䑁䅣䅁元睁䅁䅈䅁䙁䅍䅕呂䑁䅅䅏ぁ䑁䅣兏㕁䑁䅕睍㕁䑁䅍䅁捁杂䅁杖䅁䙁䅳睕兂䕁䅣睘䕂䕁䅍杒時䕁䅅杢桂䝁䅷入穂䝁䅫督時䡁䅙免時䕁䅙兡畂䝁䅅䅢畁䡁䅧䅢穂䝁䄰兘䕂䕁䅍杒桁䍁䅑兑奂䍁䅑兎㍁䅁䅁䄫䅣䙁䅁䅁湁䙁䅳兔䩂䙁䄸䅒䑂䕁䅙兑畂䝁䅅䅢㕂䡁䅍兡穂䙁䄸杤硁䍁䅁䅋祁䍁䅫杌㑂䝁䅷督瑂䙁䄰䅒䑂䕁䅙睊桁䍁䅑杖歁䑁䅑李䅁䅁䑙䅁捂䅁䅁睊扂䕁䄰兓時䕁䅑睑䝂䕁䅅杢桂䝁䅷入穂䝁䅫督時䡁䅙免杁䍁䅧杍灁䍁䄴䅥獂䡁䅍兢摂䕁䅑睑䝂䍁䅣光歁䙁䅙䅊ㅁ䑁䅅杏歁䙁䅙䅊ㅁ䑁䅙䅁䡁睁䅁䅕䅁䙁䅳兔䩂䙁䄸䅒䑂䕁䅙兑畂䝁䅅䅢㕂䡁䅍兡穂䙁䄸杤硁䍁䄴䅥獂䡁䅍兢摂䕁䅑睑䝂䍁䅅䅊噂䍁䅑䅎ぁ䑁䅯䅊噂䍁䅑䅎㕁䅁䅁朴䅅䙁䄴䅁湁䙁䅳睕兂䕁䅣睘䕂䕁䅍杒䉂䝁䄴兙獂䡁䅫督灂䡁䅍睘㉂䑁䅅䅉ぁ䍁䄴䅥獂䡁䅍兢摂䕁䅑睑䝂䍁䅣光歁䙁䅫䅊硁䑁䅑杍㙁䍁䅑兗歁䑁䅅䅎穁䅁䅁䅆䅕䙁䅉䅁湁䙁䅳兔䩂䙁䄸䅒䑂䕁䅙兑畂䝁䅅䅢㕂䡁䅍兡穂䙁䄸杤硁䍁䅁䅋祁䍁䅫杌㑂䝁䅷督瑂䙁䄰䅒䑂䕁䅙睊桁䍁䅑睖歁䑁䅅睍硁䅁䅁䅇䅍䉁䅯䅁呂䙁䅁睘䙂䕁䄴䅖䩂䙁䅑兗時䕁䅫䅒䅁䑁䉍䅁捁䅁䅁睕兂䙁䅍免㑁䑁䅑睎㕁䑁䅫兎穁䑁䅧兏䅁䅁䝉䅁楂䅁䅁睊扂䕁䄰兓時䕁䅑睑䝂䕁䅅杢桂䝁䅷入穂䝁䅫督時䡁䅙免杁䍁䄰䅉䑂䝁䄸䅣㕂䍁䄴䅥獂䡁䅍兢摂䕁䅑睑䝂䍁䅣光歁䕁䅧䅊㕁䑁䅑杏歁䕁䄰䅊㕁䑁䅑䅁牃杁䅁杕䅁䍁䅣睗乂䕁䅫睘䕂䕁䅍杒䉂䝁䄴兙獂䡁䅫督灂䡁䅍睘㉂䑁䅅䅉潁䑁䅉克畁䡁䅧䅢穂䝁䄰兘䕂䕁䅍杒湁䍁䅅䅊塂䍁䅑免ぁ䑁䅙䅁晁睁䅁杄䅁䙁䅣村䕂䍁䄰兖呂䅁䅁共䅙䝁䅁䅁湁䙁䅳兔䩂䙁䄸䅒䑂䕁䅙兑畂䝁䅅䅢㕂䡁䅍兡穂䙁䄸杤硁䍁䅁䅋祁䍁䅫杌㑂䝁䅷督瑂䙁䄰䅒䑂䕁䅙睊桁䍁䅑䅗歁䑁䅅䅎祁䑁䅯䅊奂䍁䅑免ぁ䑁䅍䅁敁睁䅁杙䅁䍁䅣睗呂䙁䅁睒時䕁䅑睑䝂䕁䅅杢桂䝁䅷入穂䝁䅫督時䡁䅙免杁䍁䅧睍灁䍁䄴䅥獂䡁䅍兢摂䕁䅑睑䝂䍁䅣光歁䕁䅙䅊祁䑁䅁睎㙁䍁䅑兔歁䑁䅉䅍㍁䅁䅁杢䅍䝁䅙䅁湁䙁䅳兔䩂䙁䄸䅒䑂䕁䅙兑畂䝁䅅䅢㕂䡁䅍兡穂䙁䄸杤硁䍁䅁兌杁䕁䅍睢睂䡁䅫杌㑂䝁䅷督瑂䙁䄰䅒䑂䕁䅙睊桁䍁䅑䅒兂䍁䅑䅎ぁ䑁䅯䅊䕂䙁䅅䅊ぁ䑁䅑䅁奃杁䅁杚䅁䕁䄸䅣あ䝁䅫睢畂䡁䅍杏䑂䡁䅕杣祂䑁䄰䅌乂䝁䅅睚㥁䑁䅁䅌䑂䝁䄸杢㉂䕁䄰党あ䝁䅧睢歂䑁䄰兔䩂䡁䅉党橂䝁䄸兢瑂䝁䅕杢歂䝁䅕䅚獁䕁䄴兑㥁䕁䄴兑䅁䩁䝣䅁杂䅁䅁睊扂䕁䄰兓時䕁䅑睑䝂䕁䅅杢桂䝁䅷入穂䝁䅫督時䡁䅙免杁䍁䅧杍灁䍁䄴䅥獂䡁䅍兢摂䕁䅑睑䝂䍁䅣光歁䙁䅧䅊硁䑁䅑䅏㙁䍁䅑䅗歁䑁䅅兎穁䅁䅁光䅍䙁䅧䅁湁䙁䅳睕兂䕁䅣睘䕂䕁䅍杒䉂䝁䄴兙獂䡁䅫督灂䡁䅍睘㉂䑁䅅䅉硁䍁䅁䅋硁䍁䅫杌㑂䝁䅷督瑂䙁䄰䅒䑂䕁䅙睊桁䍁䅑兗歁䑁䅅䅎睁䅁䅁儲䅍䙁䅑䅁扂䕁䄰兓時䕁䅑睑䝂䕁䅅杢桂䝁䅷入穂䝁䅫督時䡁䅙免畁䡁䅧䅢穂䝁䄰兘䕂䕁䅍杒桁䍁䅑兒歁䑁䅉免硁䑁䅯䅊䙂䍁䅑杍祁䑁䅕䅁啄允䅁杘䅁䍁䅣睗乂䕁䅫睘䕂䕁䅍杒䉂䝁䄴兙獂䡁䅫督灂䡁䅍睘㉂䑁䅅䅉潁䑁䅉克畁䡁䅧䅢穂䝁䄰兘䕂䕁䅍杒湁䍁䅅䅊奂䍁䅑䅎㍁䑁䅯䅊䉂䕁䅕䅊ぁ䑁䅣䅁䥁睁䅁杇䅁䙁䅍䅕啂䙁䅉睔硁䑁䅙䅏㕁䑁䅣兎㕁䅁䅁䅙䅉䙁䅉䅁湁䙁䅳睕兂䕁䅣睘䕂䕁䅍杒䉂䝁䄴兙獂䡁䅫督灂䡁䅍睘㉂䑁䅅䅉潁䑁䅅克畁䡁䅧䅢穂䝁䄰兘䕂䕁䅍杒湁䍁䅅䅊坂䍁䅑䅎㍁䅁䅁睭䅍䙁䄴䅁湁䙁䅳兔䩂䙁䄸䅒䑂䕁䅙兑畂䝁䅅䅢㕂䡁䅍兡穂䙁䄸杤硁䍁䅁䅋祁䍁䅫杌㑂䝁䅷督瑂䙁䄰䅒䑂䕁䅙睊桁䍁䅑䅗歁䑁䅑䅏㙁䍁䅑兑䙂䍁䅑䅎㑁䅁䅁元䅍䉁䅷䅁䩂䙁䅅䅖硁䑁䅧䅎㍁䑁䅫兏ㅁ䑁䅉䅎㑁䅁䅁朸䅍䍁䅁䅁䵂䡁䅕䅥求䝁䄰杙療䡁䅕杣湂䍁䅁䅔ㅂ䡁䅧䅗䅁䙁䅑䅁捁䅁䅁睕兂䙁䅍免㍁䑁䅙䅎睁䑁䅉免穁䑁䅁兏䅁䥁䡑䅁卂䅁䅁睊扂䕁䄰兓時䕁䅑睑䝂䕁䅅杢桂䝁䅷入穂䝁䅫督時䡁䅙免杁䍁䅧杍灁䍁䄴䅥獂䡁䅍兢摂䕁䅑睑䝂䍁䅣光歁䙁䅫䅊硁䑁䅑䅍䅁䉁䐰䅁敂䅁䅁睊扂䙁䅍䅕䡂䙁䄸䅒䑂䕁䅙兑畂䝁䅅䅢㕂䡁䅍兡穂䙁䄸杤硁䍁䅁䅎畁䡁䅧䅢穂䝁䄰兘䕂䕁䅍杒湁䍁䅅䅊䉂䕁䅷䅊ㅁ䑁䅫杏歁䕁䅅䅔歁䑁䅣杍䅁偁䕯䅁卂䅁䅁睊扂䕁䄰兓時䕁䅑睑䝂䕁䅅杢桂䝁䅷入穂䝁䅫督時䡁䅙免杁䍁䅧杍灁䍁䄴䅥獂䡁䅍兢摂䕁䅑睑䝂䍁䅣光歁䙁䅯䅊硁䑁䅑李䅁䍁䑁䅁奂䅁䅁睊扂䕁䄰兓時䕁䅑睑䝂䕁䅅杢桂䝁䅷入穂䝁䅫督時䡁䅙免杁䍁䄰䅉䑂䝁䄸䅣㕂䍁䄴䅥獂䡁䅍兢摂䕁䅑睑䝂䍁䅣光歁䕁䅅睒歁䑁䅑杍䅁䭁䍍䅁䝂䅁䅁睗乂䕁䅫睘䕂䕁䅍杒䉂䝁䄴兙獂䡁䅫督灂䡁䅍睘㉂䑁䅅杌㑂䝁䅷督瑂䙁䄰䅒䑂䕁䅙光歁䕁䅅杓歁䑁䅑䅏䅁乁䈰䅁兂䅁䅁睊扂䙁䅍䅕䡂䙁䄸䅒䑂䕁䅙兑畂䝁䅅䅢㕂䡁䅍兡穂䙁䄸杤硁䍁䅁䅎畁䡁䅧䅢穂䝁䄰兘䕂䕁䅍杒湁䍁䅅䅊䉂䕁䅳䅊ㅁ䑁䅑䅁㑄䅂䅁䅈䅁䕁䅫兕啂䑁䅅䅏穁䑁䅣䅎ㅁ䑁䅉䅍硁䑁䅙䅁⽄睁䅁杇䅁䙁䅍䅕呂䑁䅑䅍㕁䑁䅣兎硁䑁䅍免㕁䅁䅁䄰䅙䙁䅧䅁湁䙁䅳兔䩂䙁䄸䅒䑂䕁䅙兑畂䝁䅅䅢㕂䡁䅍兡穂䙁䄸杤硁䍁䅁兌杁䕁䅍睢睂䡁䅫杌㑂䝁䅷督瑂䙁䄰䅒䑂䕁䅙睊桁䍁䅑兑䱂䍁䅑䅎㕁䅁䅁杭䅉䝁䅉䅁湁䙁䅳睕兂䕁䅣睘䕂䕁䅍杒䉂䝁䄴兙獂䡁䅫督灂䡁䅍睘㉂䑁䅅䅉瑁䍁䅁睔䡂䍁䅁兌杁䕁䅍睢睂䡁䅫杌㑂䝁䅷督瑂䙁䄰䅒䑂䕁䅙睊桁䍁䅑䅔歁䑁䅅睍䅁䕁䠴䅁浂䅁䅁睊扂䕁䄰兓時䕁䅑睑䝂䕁䅅杢桂䝁䅷入穂䝁䅫督時䡁䅙免杁䍁䄰䅉䑂䝁䄸䅣㕂䍁䄴䅥獂䡁䅍兢摂䕁䅑睑䝂䍁䅣光歁䕁䅅䅔歁䑁䅕䅎㙁䍁䅑兑䵂䍁䅑李㉁䅁䅁䅮䅉䅁䅯䅁佂䙁䅫睕䙂䅁䅁睘䅁䝁䅙䅁湁䙁䅳兔䩂䙁䄸䅒䑂䕁䅙兑畂䝁䅅䅢㕂䡁䅍兡穂䙁䄸杤硁䍁䅁兌杁䕁䅍睢睂䡁䅫杌㑂䝁䅷督瑂䙁䄰䅒䑂䕁䅙睊桁䍁䅑兑䵂䍁䅑兎ぁ䑁䅯䅊䉂䕁䅷䅊㉁䑁䅣䅁㝃杁䅁杅䅁䕁䄴兗呂䕁䅕杏啂䙁䅉兖䅁䙁䡧䅁浂䅁䅁睊扂䕁䄰兓時䕁䅑睑䝂䕁䅅杢桂䝁䅷入穂䝁䅫督時䡁䅙免杁䍁䄰䅉䑂䝁䄸䅣㕂䍁䄴䅥獂䡁䅍兢摂䕁䅑睑䝂䍁䅣光歁䕁䅅兔歁䑁䅕䅎㙁䍁䅑兑乂䍁䅑李㍁䅁䅁䅶䅉䉁䅯䅁呂䙁䅁睕ㅁ䑁䅫䅎㉁䑁䅉䅍祁䑁䅙䅏䅁䑁䡕䅁奂䅁䅁睊扂䕁䄰兓時䕁䅑睑䝂䕁䅅杢桂䝁䅷入穂䝁䅫督時䡁䅙免杁䍁䄰䅉䑂䝁䄸䅣㕂䍁䄴䅥獂䡁䅍兢摂䕁䅑睑䝂䍁䅣光歁䕁䅅睔歁䑁䅑䅏䅁䩁䍳䅁㙁䅁䅁睊扂䙁䅣兑䑂䕁䅍䅉呂䕁䄴䅔畁䡁䅧䅢穂䝁䄰兘塂䕁䅅睑䑂䍁䅣光歁䕁䅉睑歁䑁䅍䅍䅁䩁䅁䅁坂䅁䅁睊扂䙁䅍䅕䡂䙁䄸䅒䑂䕁䅙兑畂䝁䅅䅢㕂䡁䅍兡穂䙁䄸杤硁䍁䅁免杁䍁䅧免灁䍁䄴䅥獂䡁䅍兢摂䕁䅑睑䝂䍁䅣光歁䕁䅉䅊㕁䑁䅧䅁䵄睁䅁杖䅁䙁䅳睕兂䕁䅣睘䕂䕁䅍杒䉂䝁䄴兙獂䡁䅫督灂䡁䅍睘㉂䑁䅅杌㑂䝁䅷督瑂䙁䄰䅒䑂䕁䅙光歁䕁䅣䅊祁䑁䅑睎㙁䍁䅑兔歁䑁䅉䅎㍁䅁䅁睴䅍䝁䅙䅁湁䙁䅳睕兂䕁䅣睘䕂䕁䅍杒䉂䝁䄴兙獂䡁䅫督灂䡁䅍睘㉂䑁䅅䅉硁䍁䅁䅋硁䍁䅫杌㑂䝁䅷督瑂䙁䄰䅒䑂䕁䅙睊桁䍁䅑杒歁䑁䅉䅍㍁䑁䅯䅊乂䍁䅑杍睁䑁䅣䅁杄睁䅁䅈䅁䕁䅫兕啂䑁䅅䅏ぁ䑁䅣兏㕁䑁䅕免㑁䑁䅧䅁乄䅂䅁䅃䅁䑁䅷材睁䅁䅁䅂䅁䍁䅧䅁䥂䝁䅅杢湂䍁䅁睕求䝁䄴睚杁䕁䅍睢瑂䡁䅁睢穂䝁䅫䅤求䅁䅁䅔䅁䉁䅷䅁呂䙁䅁睕硁䑁䅧兎㕁䑁䅧免㍁䑁䅍睍㕁䅁䅁杺䅣䙁䅙䅁湁䙁䅳兔䩂䙁䄸䅒䑂䕁䅙兑畂䝁䅅䅢㕂䡁䅍兡穂䙁䄸杤硁䍁䅁兌杁䕁䅍睢睂䡁䅫杌㑂䝁䅷督瑂䙁䄰䅒䑂䕁䅙睊桁䍁䅑村歁䑁䅫睍䅁䭁䍧䅁啂䅁䅁睗乂䕁䅫睘䕂䕁䅍杒䉂䝁䄴兙獂䡁䅫督灂䡁䅍睘㉂䑁䅅杌㑂䝁䅷督瑂䙁䄰䅒䑂䕁䅙光歁䕁䅑杔歁䑁䅕免㙁䍁䅑䅒佂䍁䅑兎㍁䅁䅁儶䅉䙁䅧䅁湁䙁䅳兔䩂䙁䄸䅒䑂䕁䅙兑畂䝁䅅䅢㕂䡁䅍兡穂䙁䄸杤硁䍁䅁兌杁䕁䅍睢睂䡁䅫杌㑂䝁䅷督瑂䙁䄰䅒䑂䕁䅙睊桁䍁䅑睑噂䍁䅑䅎㉁䅁䅁䅰䅉䝁䅙䅁湁䙁䅳兔䩂䙁䄸䅒䑂䕁䅙兑畂䝁䅅䅢㕂䡁䅍兡穂䙁䄸杤硁䍁䅁兌杁䕁䅍睢睂䡁䅫杌㑂䝁䅷督瑂䙁䄰䅒䑂䕁䅙睊桁䍁䅑睑塂䍁䅑䅎㑁䑁䅯䅊䑂䙁䅯䅊ぁ䑁䅧䅁汃杁䅁䅅䅁䕁䄰兒啂䕁䅅兌噂䙁䅍䅁㥃睂䅁䅗䅁䍁䅣睗乂䕁䅫睘䕂䕁䅍杒䉂䝁䄴兙獂䡁䅫督灂䡁䅍睘㉂䑁䅅䅉瑁䍁䅁睑療䡁䅁入畁䡁䅧䅢穂䝁䄰兘䕂䕁䅍杒湁䍁䅅䅊䕂䕁䅉䅊ぁ䑁䅙䅁浃杁䅁䅈䅁䙁䅍䅕呂䑁䅅睎㍁䑁䅍兎祁䑁䅫免ぁ䑁䅍䅁䭃睂䅁䅈䅁䙁䅍䅕呂䑁䅅兏硁䑁䅧免ぁ䑁䅁兏㉁䑁䅫䅁䉁睂䅁杚䅁䍁䅣睗乂䕁䅫睘䕂䕁䅍杒䉂䝁䄴兙獂䡁䅫督灂䡁䅍睘㉂䑁䅅䅉瑁䍁䅁睑療䡁䅁入畁䡁䅧䅢穂䝁䄰兘䕂䕁䅍杒湁䍁䅅䅊䕂䕁䅑䅊ぁ䑁䅧杏歁䕁䅑杒歁䑁䅑䅏䅁䭁䍣䅁奂䅁䅁睊扂䕁䄰兓時䕁䅑睑䝂䕁䅅杢桂䝁䅷入穂䝁䅫督時䡁䅙免杁䍁䄰䅉䑂䝁䄸䅣㕂䍁䄴䅥獂䡁䅍兢摂䕁䅑睑䝂䍁䅣光歁䕁䅑杔歁䑁䅑睍䅁䩁䍙䅁浂䅁䅁睊扂䕁䄰兓時䕁䅑睑䝂䕁䅅杢桂䝁䅷入穂䝁䅫督時䡁䅙免杁䍁䄰䅉䑂䝁䄸䅣㕂䍁䄴䅥獂䡁䅍兢摂䕁䅑睑䝂䍁䅣光歁䕁䅑䅕歁䑁䅑兎㙁䍁䅑䅒剂䍁䅑䅎ㅁ䅁䅁六䅉䉁䅷䅁䩂䙁䅅䅖硁䑁䅣兏祁䑁䅣睎ㅁ䑁䅑李㍁䅁䅁䅧䅑䉁䅯䅁䩂䙁䅅䅖㍁䑁䅁䅍㕁䑁䅁李㕁䑁䅕免䅁䝁䕧䅁敁䅁䅁村求䡁䅑兙杁䕁䄸杢求䍁䅁兗求䝁䅅杣杁䅁䅁杁䅁䕁䅧䅁扂䙁䅍䅕䡂䙁䄸䅒䑂䕁䅙兑畂䝁䅅䅢㕂䡁䅍兡穂䙁䄸杤硁䍁䄴䅥獂䡁䅍兢摂䕁䅑睑䝂䍁䅅䅊慂䍁䅑免ぁ䑁䅙䅁䙂睁䅁䅖䅁䍁䅣睗呂䙁䅁睒時䕁䅑睑䝂䕁䅅杢桂䝁䅷入穂䝁䅫督時䡁䅙免杁䍁䅧免灁䍁䄴䅥獂䡁䅍兢摂䕁䅑睑䝂䍁䅣光歁䙁䅫䅊硁䑁䅍杍䅁䭁䑑䅁浂䅁䅁睊扂䕁䄰兓時䕁䅑睑䝂䕁䅅杢桂䝁䅷入穂䝁䅫督時䡁䅙免杁䍁䄰䅉䑂䝁䄸䅣㕂䍁䄴䅥獂䡁䅍兢摂䕁䅑睑䝂䍁䅣光歁䕁䅙䅊祁䑁䅁杍㙁䍁䅑兔歁䑁䅉䅍祁䅁䅁䅵䅉䝁䅉䅁湁䙁䅳睕兂䕁䅣睘䕂䕁䅍杒䉂䝁䄴兙獂䡁䅫督灂䡁䅍睘㉂䑁䅅䅉潁䑁䅍克畁䡁䅧䅢穂䝁䄰兘䕂䕁䅍杒湁䍁䅅䅊奂䍁䅑免ぁ䑁䅉杏歁䙁䅧䅊硁䑁䅑睍䅁䝁䑧䅁浂䅁䅁睊扂䕁䄰兓時䕁䅑睑䝂䕁䅅杢桂䝁䅷入穂䝁䅫督時䡁䅙免杁䍁䄰䅉䑂䝁䄸䅣㕂䍁䄴䅥獂䡁䅍兢摂䕁䅑睑䝂䍁䅣光歁䕁䅙䅊祁䑁䅁睍㙁䍁䅑兔歁䑁䅉䅍穁䅁䅁杵䅉䍁䅑䅁䩂䙁䅅睘䑂䕁䅧兑佂䕁䅣兒時䕁䅑兒䝂䙁䄸䅖䉂䙁䅧䅁㝂杂䅁杖䅁䍁䅣睗乂䕁䅫睘䕂䕁䅍杒䉂䝁䄴兙獂䡁䅫督灂䡁䅍睘㉂䑁䅅䅉瑁䍁䅁睑療䡁䅁入畁䡁䅧䅢穂䝁䄰兘䕂䕁䅍杒湁䍁䅅䅊坂䍁䅑䅎祁䅁䅁杯䅉䕁䅧䅁扂䙁䅍䅕䡂䙁䄸䅒䑂䕁䅙睘䉂䝁䄴兙獂䡁䅫督灂䡁䅍睘㉂䑁䅅杌㑂䝁䅷督瑂䙁䄰䅒䑂䕁䅙光歁䕁䅷䅊祁䑁䅅䅁晁䅃䅁杈䅁䙁䅍䅕時䕁䅕杔啂䕁䅫䅖婂䙁䄸杔䉂䕁䄰兒䅁䑁䉅䅁浂䅁䅁睊扂䕁䄰兓時䕁䅑睑䝂䕁䅅杢桂䝁䅷入穂䝁䅫督時䡁䅙免杁䍁䄰䅉䑂䝁䄸䅣㕂䍁䄴䅥獂</t>
  </si>
  <si>
    <t>䡁䅍兢摂䕁䅑睑䝂䍁䅣光歁䙁䅧䅊硁䑁䅍睎㙁䍁䅑䅗歁䑁䅅睍㑁䅁䅁杳䅉䝁䅑䅁湁䙁䅳兔䩂䙁䄸䅒䑂䕁䅙兑畂䝁䅅䅢㕂䡁䅍兡穂䙁䄸杤硁䍁䅁兌杁䕁䅍睢睂䡁䅫杌㑂䝁䅷督瑂䙁䄰䅒䑂䕁䅙睊桁䍁䅑䅗歁䑁䅑杍㙁䍁䅑兑䙂䍁䅑䅎祁䅁䅁䅯䅉䉁䅷䅁呂䙁䅁睕硁䑁䅫䅏硁䑁䅑䅎睁䑁䅣䅎硁䅁䅁杭䅣䙁䅑䅁扂䕁䄰兓時䕁䅑睑䝂䕁䅅杢桂䝁䅷入穂䝁䅫督時䡁䅙免畁䡁䅧䅢穂䝁䄰兘䕂䕁䅍杒桁䍁䅑䅒婂䍁䅑䅎㍁䑁䅯䅊䕂䙁䅯䅊ぁ䑁䅣䅁畁杁䅁䅈䅁䕁䅫兕啂䑁䅅李㍁䑁䅅睎穁䑁䅑杍睁䑁䅑䅁剃䅂䅁䅓䅁䙁䅳睕兂䕁䅣睘䕂䕁䅍杒䉂䝁䄴兙獂䡁䅫督灂䡁䅍睘㉂䑁䅅杌㑂䝁䅷督瑂䙁䄰䅒䑂䕁䅙光歁䙁䅫䅊硁䑁䅍杍䅁䕁䑁䅁卂䅁䅁睊扂䙁䅍䅕䡂䙁䄸䅒䑂䕁䅙兑畂䝁䅅䅢㕂䡁䅍兡穂䙁䄸杤硁䍁䅁䅎畁䡁䅧䅢穂䝁䄰兘䕂䕁䅍杒湁䍁䅅䅊䉂䕁䅅䅊硁䑁䅑䅍䅁䉁䙉䅁捁䅁䅁睕兂䙁䅍免㍁䑁䅫杍㍁䑁䅣兎ぁ䑁䅉兎䅁䭁䙑䅁慁䅁䅁兎㕂䍁䅁兖呂䍁䅁䅖瑁䕁䄴睢あ䝁䅕䅁乁䅁䅁䅈䅁䕁䅫兕啂䑁䅅䅏ぁ䑁䅣兏㕁䑁䅕杍ㅁ䑁䅣䅁捃䅂䅁杇䅁䙁䅍䅕呂䑁䅕兏ぁ䑁䅕䅍穁䑁䅍睎㕁䅁䅁杅䅣䝁䅙䅁湁䙁䅳兔䩂䙁䄸䅒䑂䕁䅙兑畂䝁䅅䅢㕂䡁䅍兡穂䙁䄸杤硁䍁䅁兌杁䕁䅍睢睂䡁䅫杌㑂䝁䅷督瑂䙁䄰䅒䑂䕁䅙睊桁䍁䅑兗歁䑁䅅䅎穁䑁䅯䅊婂䍁䅑免ぁ䑁䅧䅁㉃杁䅁䅗䅁䍁䅣睗乂䕁䅫睘䕂䕁䅍杒䉂䝁䄴兙獂䡁䅫督灂䡁䅍睘㉂䑁䅅䅉瑁䍁䅁睑療䡁䅁入畁䡁䅧䅢穂䝁䄰兘䕂䕁䅍杒湁䍁䅅䅊慂䍁䅑免ぁ䑁䅅䅁ぃ杁䅁杇䅁䕁䅫兕啂䑁䅉兎穁䑁䅙兏硁䑁䅧睎ㅁ䅁䅁杊䅑䙁䅙䅁湁䙁䅳兔䩂䙁䄸睖䉂䕁䅍睑䉂䝁䄴兙獂䡁䅫督灂䡁䅍睘㉂䑁䅅䅉潁䑁䅕克畁䡁䅧䅢穂䝁䄰兘塂䕁䅅睑䑂䍁䅣光歁䕁䅅兒歁䑁䅑䅍䅁䥁䉅䅁⭁䅁䅁睕佂䕁䅷䅉䉂䝁䅷䅢杁䕁䅙兡畂䝁䅅杢橂䝁䅫兙獂䍁䅁兓畂䡁䅍䅤灂䡁䅑兤あ䝁䅫睢畂䡁䅍䅁㡂䅁䅁䅕䅁䍁䅣睗呂䙁䅁睒時䕁䅑睑䝂䕁䅅杢桂䝁䅷入穂䝁䅫督時䡁䅙免杁䑁䅑杌㑂䝁䅷督瑂䙁䄰䅒䑂䕁䅙睊桁䍁䅑兑偂䍁䅑兎穁䅁䅁儫䅑䉁䅯䅁呂䙁䅁睕硁䑁䅙兎ㅁ䑁䅣杍ぁ䑁䅑䅎䅁佁䝑䅁䵁䅁䅁兓剂䙁䄸兑兂䅁䅁杨䅙䝁䅉䅁湁䙁䅳睕兂䕁䅣睘䕂䕁䅍杒時䕁䅅杢桂䝁䅷入穂䝁䅫督時䡁䅙免時䕁䅙兡畂䝁䅅䅢杁䍁䅧杍灁䍁䄴䅥獂䡁䅍兢摂䕁䅑睑䝂䍁䅣光歁䕁䅅䅗歁䑁䅕睎䅁䅁䥍䅁䕂䅁䅁睗乂䕁䅫睘䕂䕁䅍杒䉂䝁䄴兙獂䡁䅫督灂䡁䅍睘㉂䑁䅅杌㑂䝁䅷督瑂䙁䄰䅒䑂䕁䅙光歁䙁䅙䅊祁䑁䅧䅁灁杁䅁䅈䅁䕁䅫兕啂䑁䅅䅏㉁䑁䅑䅍ぁ䑁䅕䅎硁䑁䅕䅁㝁䅂䅁䅚䅁䍁䅣睗乂䕁䅫睘塂䕁䅅睑䑂䕁䅅杢桂䝁䅷入穂䝁䅫督時䡁䅙免杁䍁䅧兎灁䍁䄴䅥獂䡁䅍兢摂䙁䅣兑䑂䕁䅍睊桁䍁䅑兑䝂䍁䅑䅎ㅁ䑁䅯䅊䉂䕁䅙䅊ㅁ䑁䅙䅁䑃允䅁杖䅁䍁䅣睗乂䕁䅫睘塂䕁䅅睑䑂䕁䅅杢桂䝁䅷入穂䝁䅫督時䡁䅙免杁䍁䅧兎灁䍁䄴䅥獂䡁䅍兢摂䙁䅣兑䑂䕁䅍睊桁䍁䅑兑䩂䍁䅑睍㕁䅁䅁杧䅅䙁䅙䅁湁䙁䅳兔䩂䙁䄸睖䉂䕁䅍睑䉂䝁䄴兙獂䡁䅫督灂䡁䅍睘㉂䑁䅅䅉潁䑁䅕克畁䡁䅧䅢穂䝁䄰兘塂䕁䅅睑䑂䍁䅣光歁䕁䅍兕歁䑁䅍睎䅁䥁䉧䅁捁䅁䅁兓剂䙁䅑免㑁䑁䅍睎ぁ䑁䅕杍睁䑁䅉䅍䅁乁䕧䅁慂䅁䅁睊扂䙁䅍䅕䡂䙁䄸䅒䑂䕁䅙兑畂䝁䅅䅢㕂䡁䅍兡穂䙁䄸杤硁䍁䅁䅎畁䡁䅧䅢穂䝁䄰兘䕂䕁䅍杒湁䍁䅅䅊䥂䍁䅑兏㑁䑁䅯䅊乂䍁䅑兏㑁䅁䅁杂䅕䝁䅑䅁湁䙁䅳兔䩂䙁䄸睖䉂䕁䅍睑䉂䝁䄴兙獂䡁䅫督灂䡁䅍睘㉂䑁䅅䅉潁䑁䅕克畁䡁䅧䅢穂䝁䄰兘塂䕁䅅睑䑂䍁䅣光歁䕁䅍睕歁䑁䅍兏㙁䍁䅑睑坂䍁䅑睍㕁䅁䅁兩䅅䕁䅉䅁兂䝁䅅杣桂䝁䄰睢ㅂ䝁䄴䅤杁䕁䅣䅢療䝁䅉兙獂䍁䅁䅋佂䕁䅅睕䕂䕁䅅兕䡂䙁䅍杏兂䕁䅅杕䉂䍁䅫䅁浃杂䅁杈䅁䕁䄴兑呂䕁䅑兑剂䕁䅣睕㙁䕁䅍兔䑂䙁䅍兑䅁䭁䝷䅁卂䅁䅁睗乂䕁䅫睘䕂䕁䅍杒䉂䝁䄴兙獂䡁䅫督灂䡁䅍睘㉂䑁䅅杌㑂䝁䅷督瑂䙁䄰䅒䑂䕁䅙光歁䙁䅣䅊ぁ䑁䅅杏歁䕁䅅睒歁䑁䅑免䅁䅁䍫䅁捁䅁䅁睕兂䙁䅍免㑁䑁䅧睎睁䑁䅍䅍㕁䑁䅑兏䅁偁䘰䅁坂䅁䅁睊扂䕁䄰兓時䙁䅣兑䑂䕁䅍兑畂䝁䅅䅢㕂䡁䅍兡穂䙁䄸杤硁䍁䅁䅋ㅁ䍁䅫杌㑂䝁䅷督瑂䙁䄰睖䉂䕁䅍睑湁䍁䅅䅊䑂䙁䅧䅊穁䑁䅣䅁䭃允䅁䅚䅁䍁䅣睗乂䕁䅫睘塂䕁䅅睑䑂䕁䅅杢桂䝁䅷入穂䝁䅫督時䡁䅙免杁䍁䅧兎灁䍁䄴䅥獂䡁䅍兢摂䙁䅣兑䑂䕁䅍睊桁䍁䅑睑慂䍁䅑睍㕁䑁䅯䅊䕂䕁䅉䅊穁䑁䅫䅁䱃允䅁䅖䅁䍁䅣睗乂䕁䅫睘塂䕁䅅睑䑂䕁䅅杢桂䝁䅷入穂䝁䅫督時䡁䅙免杁䍁䅧兎灁䍁䄴䅥獂䡁䅍兢摂䙁䅣兑䑂䕁䅍睊桁䍁䅑䅕歁䑁䅍杍䅁䥁䉕䅁潁䅁䅁兔呂䕁䅍兓杁䕁䅅睑杁䙁䅣睢祂䝁䅷䅚杁䍁䅧兖呂䕁䅑克䅁䙁䅙䅁䅂䅁䅁兓剂䙁䄸睑䥂䕁䅅杔䡂䕁䅕睘偂䙁䅑䅓䙂䙁䅉睘佂䕁䅕䅖時䕁䄸䅕䙂䙁䅉睘䉂䙁䅍睕䙂䙁䅑睕䅁䡁䜰䅁啂䅁䅁睊扂䙁䅍䅕䡂䙁䄸䅒䑂䕁䅙兑畂䝁䅅䅢㕂䡁䅍兡穂䙁䄸杤硁䍁䅁䅋硁䍁䅫杌㑂䝁䅷督瑂䙁䄰䅒䑂䕁䅙睊桁䍁䅑兑䱂䍁䅑兎ぁ䅁䅁睫䅍䉁䅷䅁呂䙁䅁睕硁䑁䅫睍睁䑁䅁杍硁䑁䅙兏㉁䅁䅁睮䅙䑁䅉䅁䉂䝁䄰督あ䝁䅕杣歂䝁䅅兢杁䕁䅕䅥橂䝁䅧兙畂䝁䅣党杁䕁䅫杢歂䝁䅕䅥䅁䑁䅣䅁捁䅁䅁睕兂䙁䅍免㍁䑁䅫李ぁ䑁䅣兎穁䑁䅫䅎䅁䵁䘸䅁浂䅁䅁睊扂䙁䅍䅕䡂䙁䄸䅒䑂䕁䅙兑畂䝁䅅䅢㕂䡁䅍兡穂䙁䄸杤硁䍁䅁免杁䍁䅧免灁䍁䄴䅥獂䡁䅍兢摂䕁䅑睑䝂䍁䅣光歁䕁䅉䅗歁䑁䅕睍㙁䍁䅑睑䉂䍁䅑兎穁䅁䅁兹䅍䝁䅉䅁湁䙁䅳睕兂䕁䅣睘䕂䕁䅍杒䉂䝁䄴兙獂䡁䅫督灂䡁䅍睘㉂䑁䅅䅉潁䑁䅅克畁䡁䅧䅢穂䝁䄰兘䕂䕁䅍杒湁䍁䅅䅊䉂䕁䅷䅊ㅁ䑁䅫杏歁䕁䅅䅔歁䑁䅣杍䅁䩁䑕䅁坂䅁䅁睗呂䙁䅁睒時䕁䅑睑䝂䕁䅅杢桂䝁䅷入穂䝁䅫督時䡁䅙免畁䡁䅧䅢穂䝁䄰兘䕂䕁䅍杒桁䍁䅑䅒兂䍁䅑兎睁䑁䅯䅊䕂䙁䅅䅊ㅁ䑁䅁䅁煁睁䅁杙䅁䍁䅣睗呂䙁䅁睒時䕁䅑睑䝂䕁䅅杢桂䝁䅷入穂䝁䅫督時䡁䅙免杁䍁䅧免灁䍁䄴䅥獂䡁䅍兢摂䕁䅑睑䝂䍁䅣光歁䕁䅅兔歁䑁䅕兏㙁䍁䅑兑乂䍁䅑睎祁䅁䅁杬䅍䙁䅑䅁湁䙁䅳睕兂䕁䅣睘䕂䕁䅍杒䉂䝁䄴兙獂䡁䅫督灂䡁䅍睘㉂䑁䅅䅉潁䑁䅅克畁䡁䅧䅢穂䝁䄰兘䕂䕁䅍杒湁䍁䅅䅊䉂䕁䄸䅊ㅁ䑁䅍䅁啃睁䅁䅖䅁䙁䅳兔䩂䙁䄸䅒䑂䕁䅙兑畂䝁䅅䅢㕂䡁䅍兡穂䙁䄸杤硁䍁䄴䅥獂䡁䅍兢摂䕁䅑睑䝂䍁䅅䅊䙂䍁䅑杍硁䑁䅅杏歁䕁䅕䅊祁䑁䅉䅏䅁乁䉙䅁慁䅁䅁睕兂䙁䅍杍㑁䑁䅧睎硁䑁䅧兏㑁䑁䅣䅁䡄杂䅁䅕䅁䍁䅣睗呂䙁䅁睒時䕁䅑睑䝂䕁䅅杢桂䝁䅷入穂䝁䅫督時䡁䅙免杁䑁䅑杌㑂䝁䅷督瑂䙁䄰䅒䑂䕁䅙睊桁䍁䅑睖歁䑁䅅䅎㉁䅁䅁兆䅕䑁䅙䅁䍂䡁䅕睙潂䝁䅅杣求䡁䅍䅤杁䕁䅕䅥橂䝁䅧兙畂䝁䅣党杁䙁䅑杣桂䝁䅑兡畂䝁䅣䅁⭁䅁䅁杌䅁䕁䅫兕時䕁䅍兖卂䙁䅉兒佂䕁䅍兗時䕁䅙兓佂䕁䅅杔䑂䕁䅫兑䵂䙁䅍䅁元杂䅁䅄䅁䙁䅫兓䙂䕁䅷䅒䅁䅁䅷䅁慁䅁䅁睕兂䙁䅍杍㑁䑁䅧睎硁䑁䅧兏㕁䑁䅅䅁穄杂䅁䅖䅁䍁䅣睗呂䙁䅁睒時䕁䅑睑䝂䕁䅅杢桂䝁䅷入穂䝁䅫督時䡁䅙免杁䍁䅧免灁䍁䄴䅥獂䡁䅍兢摂䕁䅑睑䝂䍁䅣光歁䕁䅉䅊祁䑁䅁睎䅁䭁䑷䅁捁䅁䅁睕兂䙁䅍杍睁䑁䅅免ぁ䑁䅣睎㉁䑁䅁兎䅁䝁䤸䅁啂䅁䅁睗乂䕁䅫睘䕂䕁䅍杒䉂䝁䄴兙獂䡁䅫督灂䡁䅍睘㉂䑁䅅杌㑂䝁䅷督瑂䙁䄰䅒䑂䕁䅙光歁䙁䅫䅊硁䑁䅑睍㙁䍁䅑兗歁䑁䅅䅎㑁䅁䅁睫䅉䙁䅑䅁湁䙁䅳睕兂䕁䅣睘䕂䕁䅍杒䉂䝁䄴兙獂䡁䅫督灂䡁䅍睘㉂䑁䅅䅉潁䑁䅅克畁䡁䅧䅢穂䝁䄰兘䕂䕁䅍杒湁䍁䅅䅊䍂䍁䅑杍ぁ䑁䅕䅁䝃睁䅁䅈䅁䙁䅍䅕呂䑁䅅䅏ぁ䑁䅣兏㕁䑁䅕睍㍁䑁䅧䅁兄兂䅁杙䅁䍁䅣睗呂䙁䅁睒時䕁䅑睑䝂䕁䅅杢桂䝁䅷入穂䝁䅫督時䡁䅙免杁䍁䅧免灁䍁䄴䅥獂䡁䅍兢摂䕁䅑睑䝂䍁䅣光歁䙁䅧䅊硁䑁䅑䅏㙁䍁䅑䅗歁䑁䅅兎穁䅁䅁東䅍䝁䅙䅁湁䙁䅳睕兂䕁䅣睘䕂䕁䅍杒䉂䝁䄴兙獂䡁䅫督灂䡁䅍睘㉂䑁䅅䅉硁䍁䅁䅋硁䍁䅫杌㑂䝁䅷督瑂䙁䄰䅒䑂䕁䅙睊桁䍁䅑杒歁䑁䅉䅍㑁䑁䅯䅊乂䍁䅑杍睁䑁䅧䅁楄睁䅁䅅䅁䙁䅍䅕啂䙁䄸兗啂䙁䅣䅁呂睂䅁杇䅁䙁䅍䅕呂䑁䅕兏ぁ䑁䅕䅍穁䑁䅑䅍睁䅁䅁杁䅣䙁䅑䅁湁䙁䅳睕兂䕁䅣睘䕂䕁䅍杒䉂䝁䄴兙獂䡁䅫督灂䡁䅍睘㉂䑁䅅䅉潁䑁䅅克畁䡁䅧䅢穂䝁䄰兘䕂䕁䅍杒湁䍁䅅䅊䍂䙁䅙䅊ㅁ䑁䅅䅁摃睁䅁䅖䅁䍁䅣睗呂䙁䅁睒時䕁䅑睑䝂䕁䅅杢桂䝁䅷入穂䝁䅫督時䡁䅙免杁䍁䅧免灁䍁䄴䅥獂䡁䅍兢摂䕁䅑睑䝂䍁䅣光歁䕁䅍睑歁䑁䅕免䅁䩁䐸䅁慁䅁䅁睕兂䙁䅍䅎穁䑁䅅䅏ㅁ䑁䅫免穁䑁䅉䅁杄睂䅁杔䅁䍁䅣睗呂䙁䅁睒時䕁䅑睑䝂䕁䅅杢桂䝁䅷入穂䝁䅫督時䡁䅙免杁䑁䅑杌㑂䝁䅷督瑂䙁䄰䅒䑂䕁䅙睊桁䍁䅑杖歁䑁䅑李䅁偁䕷䅁楂䅁䅁睊扂䙁䅍䅕䡂䙁䄸䅒䑂䕁䅙兑畂䝁䅅䅢㕂䡁䅍兡穂䙁䄸杤硁䍁䅁䅋硁䍁䅫杌㑂䝁䅷督瑂䙁䄰䅒䑂䕁䅙睊桁䍁䅑睑䙂䍁䅑兎穁䑁䅯䅊䑂䕁䅣䅊ㅁ䑁䅍䅁权睁䅁䅈䅁䙁䅍䅕呂䑁䅅䅏祁䑁䅅䅎硁䑁䅁杍㕁䑁䅙䅁䥃睂䅁杌䅁䕁䅫兕時䕁䅍兖卂䙁䅉兒佂䙁䅑睘兂䕁䄸杕啂䙁䄸䅔䙂䕁䅅睕䙂䙁䅍䅁䩃杂䅁䅖䅁䍁䅣睗呂䙁䅁睒時䕁䅑睑䝂䕁䅅杢桂䝁䅷入穂䝁䅫督時䡁䅙免杁䍁䅧免灁䍁䄴䅥獂䡁䅍兢摂䕁䅑睑䝂䍁䅣光歁䕁䅍睔歁䑁䅑䅏䅁䥁䐸䅁潁䅁䅁睗䍂䝁䄸睢牂䑁䅅兘呂䝁䅧党求䡁䅑免桁䍁䅑兓歁䑁䅅杍䅁䉁䄰䅁流䅁䅁睔乂䙁䅧䅉卂䝁䅫睚桂䍁䅁兑獂䝁䅷䅉呂䝁䅧兙祂䝁䅕䅁橂䅁䅁杚䅁䙁䅳兔䩂䙁䄸睒䵂䕁䄸村䉂䕁䅷睘塂䕁䅅睑䑂䕁䅅杢桂䝁䅷入穂䝁䅫督時䡁䅙免畁䡁䅧䅢穂䝁䄰兘塂䕁䅅睑䑂䍁䅅䅊䑂䙁䅯䅊穁䑁䅫杏歁䕁䅑村歁䑁䅍兏䅁䵁䄸䅁敂䅁䅁睊扂䙁䅍䅕䡂䙁䄸䅒䑂䕁䅙兑畂䝁䅅䅢㕂䡁䅍兡穂䙁䄸杤硁䍁䅁䅎畁䡁䅧䅢穂䝁䄰兘䕂䕁䅍杒湁䍁䅅䅊䙂䍁䅑杍ㅁ䑁䅅杏歁䕁䅕䅊祁䑁䅕李䅁䅁䙳䅁捁䅁䅁兓剂䙁䅑免㑁䑁䅑睎㕁䑁䅫兎ぁ䑁䅉李䅁䍁䕅䅁捁䅁䅁兓剂䙁䅑免㑁䑁䅣䅎穁䑁䅍李穁䑁䅫免䅁䱁䕫䅁慁䅁䅁兓剂䙁䄸䅖偂䙁䅑兑䵂䙁䄸杕䙂䙁䅙䅁祂杂䅁杇䅁䙁䅍䅕呂䑁䅉䅏㑁䑁䅣免㑁䑁䅫兏㍁䅁䅁儫䅙䝁䅉䅁湁䙁䅳睕兂䕁䅣睘䕂䕁䅍杒䉂䝁䄴兙獂䡁䅫督灂䡁䅍睘㉂䑁䅅䅉潁䑁䅅克畁䡁䅧䅢穂䝁䄰兘䕂䕁䅍杒湁䍁䅅䅊䑂䙁䅅䅊ぁ䑁䅫杏歁䕁䅍杕歁䑁䅑兏䅁䩁䑅䅁楂䅁䅁睊扂䙁䅍䅕䡂䙁䄸䅒䑂䕁䅙兑畂䝁䅅䅢㕂䡁䅍兡穂䙁䄸杤硁䍁䅁䅋硁䍁䅫杌㑂䝁䅷督瑂䙁䄰䅒䑂䕁䅙睊桁䍁䅑睑剂䍁䅑兎睁䑁䅯䅊䑂䙁䅉䅊ㅁ䑁䅁䅁千睁䅁杙䅁䍁䅣睗呂䙁䅁睒時䕁䅑睑䝂䕁䅅杢桂䝁䅷入穂䝁䅫督時䡁䅙免杁䍁䅧免灁䍁䄴䅥獂䡁䅍兢摂䕁䅑睑䝂䍁䅣光歁䕁䅕䅊祁䑁䅅睍㙁䍁䅑兒歁䑁䅉睍穁䅁䅁杲䅍䉁䅯䅁呂䙁䅁睕祁䑁䅧䅏㍁䑁䅅䅏㕁䑁䅧兎䅁䵁䝕䅁捁䅁䅁兓剂䙁䅑免㑁䑁䅑睎㕁䑁䅫兎祁䑁䅁兏䅁偁䑑䅁楂䅁䅁睊扂䙁䅍䅕䡂䙁䄸䅒䑂䕁䅙兑畂䝁䅅䅢㕂䡁䅍兡穂䙁䄸杤硁䍁䅁䅋硁䍁䅫杌㑂䝁䅷督瑂䙁䄰䅒䑂䕁䅙睊桁䍁䅑兒歁䑁䅉䅎㑁䑁䅯䅊䙂䍁䅑杍ㅁ䑁䅅䅁䥃睁䅁杙䅁䍁䅣睗呂䙁䅁睒時䕁䅑睑䝂䕁䅅杢桂䝁䅷入穂䝁䅫督時䡁䅙免杁䍁䅧免灁䍁䄴䅥獂䡁䅍兢摂䕁䅑睑䝂䍁䅣光歁䕁䅙䅊祁䑁䅁睎㙁䍁䅑兔歁䑁䅉䅍㍁䅁䅁兲䅍䡁䅧䅁偂䡁䅁䅤灂䝁䄸杢穂䑁䅯睑ㅂ䡁䅉杣㥁䕁䅕兖卂䍁䅷兔桂䝁䅣児乂䝁䅫䅢獂䝁䅫睢畂䡁䅍䅌䑂䝁䄸杢㉂䕁䄰党あ䝁䅧睢歂䑁䄰兔䩂䡁䅉党橂䝁䄸兢瑂䝁䅕杢歂䝁䅕䅚獁䕁䄴兑㥁䑁䅁䅁摁䅃䅁杚䅁䍁䅣睗呂䙁䅁睒時䕁䅑睑䝂䕁䅅杢桂䝁䅷入穂䝁䅫督時䡁䅙免杁䑁䅅䅉潁䑁䅅克畁䡁䅧䅢穂䝁䄰兘䕂䕁䅍杒湁䍁䅅䅊䡂䍁䅑杍ぁ䑁䅣杏歁䕁䄰䅊祁䑁䅑睎䅁乁䑅䅁捁䅁䅁兓剂䙁䅑免㑁䑁䅧睎睁䑁䅍䅍㕁䑁䅧睍䅁䕁䕕䅁奂䅁䅁睗乂䕁䅫睘䡂䕁䅷睔䍂䕁䅅䅔時䙁䅣兑䑂䕁䅍兑畂䝁䅅䅢㕂䡁䅍兡穂䙁䄸杤祁䍁䄴䅥獂䡁䅍兢摂䙁䅣兑䑂䕁䅍光歁䕁䅍兕歁䑁䅍睎䅁偁䅅䅁楂䅁䅁睊扂䙁䅍䅕䡂䙁䄸䅒䑂䕁䅙兑畂䝁䅅䅢㕂䡁䅍兡穂䙁䄸杤硁䍁䅁䅋硁䍁䅫杌㑂䝁䅷督瑂䙁䄰䅒䑂䕁䅙睊桁䍁䅑杒歁䑁䅉䅍㑁䑁䅯䅊乂䍁䅑杍睁䑁䅧䅁癃睁䅁䅇䅁䙁䅍䅕呂䑁䅍杍祁䑁䅅兏㕁䑁䅫睍䅁䑁䠴䅁歁䅁䅁兓剂䙁䄸睑䥂䕁䅅杔䡂䕁䅕睘䩂䕁䄴睑時䙁䅑兑奂䅁䅁睤䅙䝁䅉䅁湁䙁䅳睕兂䕁䅣睘䕂䕁䅍杒䉂䝁䄴兙獂䡁䅫督灂䡁䅍睘㉂䑁䅅䅉潁䑁䅅克畁䡁䅧䅢穂䝁䄰兘䕂䕁䅍杒湁䍁䅅䅊䡂䍁䅑免睁䑁䅍杏歁䕁䅣䅊硁䑁䅍䅍䅁䥁䑳䅁慁䅁䅁兓剂䙁䅑䅎硁䑁䅣兏㕁䑁䅅睍祁䑁䅙䅁楃䅂䅁杅䅁䙁䅍䅕䡂䙁䅑兙楂䝁䅷党䅁䭁䅙䅁敂䅁䅁睊扂䙁䅍䅕䡂䙁䄸䅒䑂䕁䅙兑畂䝁䅅䅢㕂䡁䅍兡穂䙁䄸杤硁䍁䅁䅋硁䍁䅫杌㑂䝁䅷督瑂䙁䄰䅒䑂䕁䅙睊桁䍁䅑睒歁䑁䅫䅏㙁䍁䅑兔歁䑁䅫䅏䅁䥁䑷䅁捁䅁䅁兓剂䙁䄸䅕䙂䙁䅉兓偂䕁䅑睘䙂䕁䄴䅒䅁䥁䝍䅁允䅁䅁䅖塂䙁䅑杕瑁䙁䅕睕䅁䵁䈰䅁卂䅁䅁睊扂䙁䅍䅕䡂䙁䄸䅒䑂䕁䅙兑畂䝁䅅䅢㕂䡁䅍兡穂䙁䄸杤硁䍁䅁䅋硁䍁䅫杌㑂䝁䅷督瑂䙁䄰䅒䑂䕁䅙睊桁䍁䅑杖歁䑁䅑李䅁䩁䑣䅁捁䅁䅁兓剂䙁䅑免㑁䑁䅑睎㕁䑁䅫兎ぁ䑁䅅兏䅁䵁䔴䅁慁䅁䅁睕兂䙁䅍李穁䑁䅕睎硁䑁䅉杍硁䑁䅁䅁噂䅃䅁杘䅁䍁䅣睗呂䙁䅁睒時䕁䅑睑䝂䕁䅅杢桂䝁䅷入穂䝁䅫督時䡁䅙免杁䍁䅧免灁䍁䄴䅥獂䡁䅍兢摂䕁䅑睑䝂䍁䅣光歁䙁䅙䅊ㅁ䑁䅅杏歁䙁䅙䅊ㅁ䑁䅙䅁奃睁䅁䅖䅁䍁䅣睗呂䙁䅁睒時䕁䅑睑䝂䕁䅅杢桂䝁䅷入穂䝁䅫督時䡁䅙免杁䍁䅧免灁䍁䄴䅥獂䡁䅍兢摂䕁䅑睑䝂䍁䅣光歁䙁䅣䅊硁䑁䅍免䅁䭁䑅䅁慂䅁䅁睊扂䙁䅍䅕䡂䙁䄸䅒䑂䕁䅙兑畂䝁䅅䅢㕂䡁䅍兡穂䙁䄸杤硁䍁䅁䅎畁䡁䅧䅢穂䝁䄰兘䕂䕁䅍杒湁䍁䅅䅊䥂䍁䅑兏㕁䑁䅯䅊乂䍁䅑兏㕁䅁䅁䅃䅕䅁䅯䅁䝂䙁䅫兌穁䅁䅁䅪䅕䝁䅉䅁湁䙁䅳睕兂䕁䅣睘䕂䕁䅍杒䉂䝁䄴兙獂䡁䅫督灂䡁䅍睘㉂䑁䅅䅉潁䑁䅅克畁䡁䅧䅢穂䝁䄰兘䕂䕁䅍杒湁䍁䅅䅊奂䍁䅑免穁䑁䅑杏歁䙁䅧䅊硁䑁䅍兎䅁䭁䑍䅁慁䅁䅁睕兂䙁䅍兎㕁䑁䅑兎睁䑁䅍䅎睁䑁䅍䅁䙁睂䅁杙䅁䍁䅣睗呂䙁䅁睒時䕁䅑睑䝂䕁䅅杢桂䝁䅷入穂䝁䅫督時䡁䅙免杁䍁䅧免灁䍁䄴䅥獂䡁䅍兢摂䕁䅑睑䝂䍁䅣光歁䙁䅧䅊硁䑁䅑杍㙁䍁䅑䅗歁䑁䅅䅎穁䅁䅁睰䅍䙁䅑䅁湁䙁䅳睕兂䕁䅣睘䕂䕁䅍杒䉂䝁䄴兙獂䡁䅫督灂䡁䅍睘㉂䑁䅅䅉潁䑁䅍克畁䡁䅧䅢穂䝁䄰兘䕂䕁䅍杒湁䍁䅅䅊慂䍁䅑免ぁ䑁䅙䅁煂睁䅁李䅁䕁䅫兕時䕁䅷兒䉂䙁䅍兒時䕁䅅䅒䭂䙁䅕睕啂䕁䄰兒佂䙁䅑睘䙂䕁䅉兓啂䕁䅑兑䅁䡁䐴䅁慁䅁䅁睕兂䙁䅍杍㑁䑁䅑李㕁䑁䅕免㕁䑁䅑䅁奄睂䅁䅈䅁䕁䅫兕啂䑁䅅䅏㑁䑁䅣䅍穁䑁䅁兏㉁䑁䅙䅁䉂䅂䅁䅗䅁䍁䅣睗呂䙁䅁睒時䕁䅑睑䝂䕁䅅杢桂䝁䅷入穂䝁䅫督時䡁䅙免杁䑁䅅䅉潁䑁䅅克畁䡁䅧䅢穂䝁䄰兘䕂䕁䅍杒湁䍁䅅䅊䉂䕁䅳䅊ㅁ䑁䅑䅁⭃睁䅁䅖䅁䍁䅣睗呂䙁䅁睒時䕁䅑睑䝂䕁䅅杢桂䝁䅷入穂䝁䅫督時䡁䅙免杁䍁䅧免灁䍁䄴䅥獂䡁䅍兢摂䕁䅑睑䝂䍁䅣光歁䙁䅫䅊硁䑁䅍免䅁䭁䑉䅁慁䅁䅁兓剂䙁䅑杍ㅁ䑁䅙杍祁䑁䅫䅎硁䑁䅣䅁奂䅂䅁䅖䅁䍁䅣睗呂䙁䅁睒時䕁䅑睑䝂䕁䅅杢桂䝁䅷入穂䝁䅫督時䡁䅙免杁䍁䅧免灁䍁䄴䅥獂䡁䅍兢摂䕁䅑睑䝂䍁䅣光歁䙁䅫䅊硁䑁䅑䅍䅁䭁䑙䅁啂䅁䅁睊扂䙁䅍䅕䡂䙁䄸䅒䑂䕁䅙兑畂䝁䅅䅢㕂䡁䅍兡穂䙁䄸杤硁䍁䅁䅋硁䍁䅫杌㑂䝁䅷督瑂䙁䄰䅒䑂䕁䅙睊桁䍁䅑杗歁䑁䅅䅎㉁䅁䅁共䅍䕁䄴䅁湁䙁䅳睕兂䕁䅣睘䕂䕁䅍杒䉂䝁䄴兙獂䡁䅫督灂䡁䅍睘㉂䑁䅅䅉ぁ䍁䄴䅥獂䡁䅍兢摂䕁䅑睑䝂䍁䅣光歁䕁䅉䅊㕁䑁䅧䅁䙁兂䅁䅖䅁䍁䅣睗呂䙁䅁睒時䕁䅑睑䝂䕁䅅杢桂䝁䅷入穂䝁䅫督時䡁䅙免杁䍁䅧睍灁䍁䄴䅥獂䡁䅍兢摂䕁䅑睑䝂䍁䅣光歁䕁䅅睒歁䑁䅑睎䅁䙁䑫䅁佁䅁䅁䅒䩂䙁䅍兌噂䙁䅍䅁㑃杂䅁杇䅁䕁䅫兕啂䑁䅉兎ㅁ䑁䅍睍㍁䑁䅧兏ㅁ䅁䅁兂䅑䕁䅑䅁湁䙁䅳睖䉂䕁䅍睑杁䙁䅍杔䵂䍁䄴䅥獂䡁䅍兢摂䙁䅣兑䑂䕁䅍睊桁䍁䅑䅔歁䑁䅍兎㙁䍁䅑䅔歁䑁䅑睎䅁䥁䅯䅁捁䅁䅁睕兂䙁䅍免㑁䑁䅧睎睁䑁䅍䅍㕁䑁䅑睎䅁佁䙁䅁浂䅁䅁睊扂䙁䅍䅕䡂䙁䄸䅒䑂䕁䅙兑畂䝁䅅䅢㕂䡁䅍兡穂䙁䄸杤硁䍁䅁免杁䍁䅧免灁䍁䄴䅥獂䡁䅍兢摂䕁䅑睑䝂䍁䅣光歁䕁䅍睔歁䑁䅕免㙁䍁䅑睑偂䍁䅑兎㍁䅁䅁睵䅍䙁䅑䅁湁䙁䅳睕兂䕁䅣睘䕂䕁䅍杒䉂䝁䄴兙獂䡁䅫督灂䡁䅍睘㉂䑁䅅䅉潁䑁䅍克畁䡁䅧䅢穂䝁䄰兘䕂䕁䅍杒湁䍁䅅䅊䍂䍁䅑杍睁䑁䅣䅁瑂睁䅁杇䅁䙁䅍䅕呂䑁䅕兎㑁䑁䅫䅎㉁䑁䅑睎㍁䅁䅁杋䅧䉁䅷䅁呂䙁䅁睕硁䑁䅧䅎㍁䑁䅫兏ㅁ䑁䅍兏㉁䅁䅁克䅙䅁䅷䅁䩂䙁䅅睘䉂䕁䅕䅁䵃杂䅁杚䅁䍁䅣睗呂䙁䅁睒時䕁䅑睑䝂䕁䅅杢桂䝁䅷入穂䝁䅫督時䡁䅙免杁䑁䅅䅉潁䑁䅅克畁䡁䅧䅢穂䝁䄰兘䕂䕁䅍杒湁䍁䅅䅊婂䍁䅑免ぁ䑁䅧杏歁䙁䅫䅊硁䑁䅕睍䅁乁䐴䅁佁䅁䅁村䉂䕁䅍兌噂䙁䅍䅁噄䅁䅁杕䅁䍁䅣睗呂䙁䅁睒時䕁䅑睑䝂䕁䅅杢桂䝁䅷入穂䝁䅫督時䡁䅙免杁䍁䅧睍灁䍁䄴䅥獂䡁䅍兢摂䕁䅑睑䝂䍁䅣光歁䕁䅉䅊㕁䑁䅧䅁敂睁䅁杘䅁䍁䅣睗呂䙁䅁睒時䕁䅑睑䝂䕁䅅杢桂䝁䅷入穂䝁䅫督時䡁䅙免杁䍁䄰䅉祂䝁䅕杤灂䡁䅍党歂䍁䄴䅥獂䡁䅍兢摂䕁䅑睑䝂䍁䅣光歁䕁䅷䅊祁䑁䅅䅁坂睂䅁䅖䅁䍁䅣睗呂䙁䅁睒時䕁䅑睑䝂䕁䅅杢桂䝁䅷入穂䝁䅫督時䡁䅙免杁䍁䅧睍灁䍁䄴䅥獂䡁䅍兢摂䕁䅑睑䝂䍁䅣光歁䕁䅍兖歁䑁䅕免䅁䙁䑯䅁啂䅁䅁睗乂䕁䅫睘䕂䕁䅍杒䉂䝁䄴兙獂䡁䅫督灂䡁䅍睘㉂䑁䅅杌㑂䝁䅷督瑂䙁䄰䅒䑂䕁䅙光歁䕁䅕䅊祁䑁䅁睎㙁䍁䅑兒歁䑁䅉杍㍁䅁䅁兆䅉䝁䅉䅁湁䙁䅳睕兂䕁䅣睘䕂䕁䅍杒䉂䝁䄴兙獂䡁䅫督灂䡁䅍睘㉂䑁䅅䅉潁䑁䅍克畁䡁䅧䅢穂䝁䄰兘䕂䕁䅍杒湁䍁䅅䅊䑂䙁䅣䅊ㅁ䑁䅍杏歁䕁䅍杗歁䑁䅕睍䅁䙁䑳䅁啂䅁䅁睗乂䕁䅫睘䕂䕁䅍杒䉂䝁䄴兙獂䡁䅫督灂䡁䅍睘㉂䑁䅅杌㑂䝁䅷督瑂䙁䄰䅒䑂䕁䅙光歁䕁䅕䅊祁䑁䅅睍㙁䍁䅑兒歁䑁䅉睍穁䅁䅁朳䅉䉁䅁䅁䝂䙁䅅免祁䑁䅁杍ぁ䅁䅁睤䅍䕁䅧䅁湁䙁䅳睖䉂䕁䅍睑杁䙁䅍杔䵂䍁䄴䅥獂䡁䅍兢摂䙁䅣兑䑂䕁䅍睊桁䍁䅑村䕂䍁䅑睍ㅁ䑁䅯䅊䍂䕁䅑䅊ぁ䑁䅁䅁婃䅁䅁䅖䅁䍁䅣睗呂䙁䅁睒時䕁䅑睑䝂䕁䅅杢桂䝁䅷入穂䝁䅫督時䡁䅙免杁䍁䅧睍灁䍁䄴䅥獂䡁䅍兢摂䕁䅑睑䝂䍁䅣光歁䕁䅑村歁䑁䅕免䅁䙁䑷䅁歁䅁䅁睔乂䙁䅧䅉䑂䝁䄸䅣求䝁䄴䅡桂䝁䅣党畂䍁䅁杍睁䅁䅁兙䅁䙁䅑䅁湁䙁䅳睕兂䕁䅣睘䕂䕁䅍杒䉂䝁䄴兙獂䡁䅫督灂䡁䅍睘㉂䑁䅅䅉潁䑁䅍克畁䡁䅧䅢穂䝁䄰兘䕂䕁䅍杒湁䍁䅅䅊䕂䕁䄴䅊ぁ䑁䅧䅁䵂睁䅁杇䅁䑁䅅兢杁䙁䅍兡畂䝁䅣兙睂䝁䄸杣求䅁䅁典䅉䉁䅷䅁呂䙁䅁睕硁䑁䅧䅎㍁䑁䅫兏ㅁ䑁䅅睍㕁䅁䅁䄸䅕䝁䅉䅁湁䙁䅳睕兂䕁䅣睘䕂䕁䅍杒䉂䝁䄴兙獂䡁䅫督灂䡁䅍睘㉂䑁䅅䅉潁䑁䅍克畁䡁䅧䅢穂䝁䄰兘䕂䕁䅍杒湁䍁䅅䅊䕂䕁䄴䅊ㅁ䑁䅅杏歁䕁䅑杔歁䑁䅕睎䅁䕁䐰䅁慁䅁䅁睕兂䙁䅍睍㍁䑁䅧兎㑁䑁䅑䅎穁䑁䅅䅁䝄睂䅁杙䅁䍁䅣睗呂䙁䅁睒時䕁䅑睑䝂䕁䅅杢桂䝁䅷入穂䝁䅫督時䡁䅙免杁䍁䅧睍灁䍁䄴䅥獂䡁䅍兢摂䕁䅑睑䝂䍁䅣光歁䕁䅑䅕歁䑁䅕䅍㙁䍁䅑䅒剂䍁䅑兎睁䅁䅁睔䅍䙁䅧䅁湁䙁䅳睕兂䕁䅣睘䕂䕁䅍杒䉂䝁䄴兙獂䡁䅫督灂䡁䅍睘㉂䑁䅅䅉硁䍁䅁䅋硁䍁䅫杌㑂䝁䅷督瑂䙁䄰䅒䑂䕁䅙睊桁䍁䅑睑偂䍁䅑䅎㑁䅁䅁杵䅍䙁䅑䅁扂䕁䄰兓時䕁䅑睑䝂䕁䅅杢桂䝁䅷入穂䝁䅫督時䡁䅙免畁䡁䅧䅢穂䝁䄰兘䕂䕁䅍杒桁䍁䅑䅒兂䍁䅑䅎ぁ䑁䅯䅊䕂䙁䅅䅊ぁ䑁䅑䅁㉂杁䅁杙䅁䍁䅣睗呂䙁䅁睒時䕁䅑睑䝂䕁䅅杢桂䝁䅷入穂䝁䅫督時䡁䅙免杁䍁䅧睍灁䍁䄴䅥獂䡁䅍兢摂䕁䅑睑䝂䍁䅣光歁䕁䅙䅊祁䑁䅁䅏㙁䍁䅑兔歁䑁䅉䅍㑁䅁䅁䅣䅍䉁䅷䅁佂䕁䅅睕䕂䕁䅅兕䡂䙁䅍杏䑂䙁䅑睕䥂䅁䅁䅲䅣䝁䅉䅁湁䙁䅳睕兂䕁䅣睘䕂䕁䅍杒䉂䝁䄴兙獂䡁䅫督灂䡁䅍睘㉂䑁䅅䅉潁䑁䅍克畁䡁䅧䅢穂䝁䄰兘䕂䕁䅍杒湁䍁䅅䅊䡂䍁䅑免睁䑁䅍杏歁䕁䅣䅊硁䑁䅍䅍䅁䝁䑁䅁坂䅁䅁睗呂䙁䅁睒時䕁䅑睑䝂䕁䅅杢桂䝁䅷入穂䝁䅫督時䡁䅙免畁䡁䅧䅢穂䝁䄰兘䕂䕁䅍杒桁䍁䅑䅗歁䑁䅅䅎㑁䑁䅯䅊奂䍁䅑免ㅁ䑁䅍䅁䝂睁䅁䅓䅁䙁䅳睕兂䕁䅣睘䕂䕁䅍杒䉂䝁䄴兙獂䡁䅫督灂䡁䅍睘㉂䑁䅅杌㑂䝁䅷督瑂䙁䄰䅒䑂䕁䅙光歁䕁䅍睔歁䑁䅑䅏䅁䡁䑍䅁䥂䅁䅁睊扂䙁䅣兑䑂䕁䅍䅉呂䕁䄴䅔畁䡁䅧䅢穂䝁䄰兘塂䕁䅅睑䑂䍁䅣光歁䕁䅉兒歁䑁䅍杍㙁䍁䅑村䡂䍁䅑睍祁䅁䅁杭䅁䙁䅧䅁湁䙁䅳睕兂䕁䅣睘䕂䕁䅍杒䉂䝁䄴兙獂䡁䅫督灂䡁䅍睘㉂䑁䅅䅉硁䍁䅁䅋硁䍁䅫杌㑂䝁䅷督瑂䙁䄰䅒䑂䕁䅙睊桁䍁䅑睖歁䑁䅅䅎㉁䅁䅁眲䅍䙁䄴䅁湁䙁䅳睕兂䕁䅣睘䕂䕁䅍杒䉂䝁䄴兙獂䡁䅫督灂䡁䅍睘㉂䑁䅅䅉潁䑁䅍克畁䡁䅧䅢穂䝁䄰兘䕂䕁䅍杒湁䍁䅅䅊䥂䍁䅑兏㕁䑁䅯䅊乂䍁䅑兏㕁䅁䅁兙䅍䍁䅑䅁乂䙁䅍睑䩂䍁䅁兒ㅂ䡁䅉睢睂䝁䅕䅉潁䙁䅕睕䕂䍁䅫䅁奂䅁䅁杕䅁䍁䅣睗呂䙁䅁睒時䕁䅑睑䝂䕁䅅杢桂䝁䅷入穂䝁䅫督時䡁䅙免杁䍁䅧睍灁䍁䄴䅥獂䡁䅍兢摂䕁䅑睑䝂䍁䅣光歁䙁䅙䅊ぁ䑁䅙䅁啂睁䅁䅉䅁䕁䅅䅤潂䝁䅕䅥杁䕁䅍睢瑂䡁䅁睢穂䝁䅫䅤求䅁䅁兏䅁䉁䅷䅁呂䍁䅙䅕杁䙁䅍兢桂䝁䅷䅢瑁䕁䅍兙睂䅁䅁兤䅁䑁䅉䅁䉂䝁䅍睙求䝁䄴䅤ㅂ䡁䅉党杁䡁䅁䅢橂䍁䅁䅋佂䙁䅫睕䙂䑁䅯兑䑂䕁䄴克䅁䥁䙑䅁卂䅁䅁睊扂䙁䅍䅕䡂䙁䄸䅒䑂䕁䅙兑畂䝁䅅䅢㕂䡁䅍兡穂䙁䄸杤硁䍁䅁䅋穁䍁䅫杌㑂䝁䅷督瑂䙁䄰䅒䑂䕁䅙睊桁䍁䅑杖歁䑁䅑睎䅁䙁䑧䅁敂䅁䅁睊扂䙁䅍䅕䡂䙁䄸䅒䑂䕁䅙兑畂䝁䅅䅢㕂䡁䅍兡穂䙁䄸杤硁䍁䅁䅋穁䍁䅫杌㑂䝁䅷督瑂䙁䄰䅒䑂䕁䅙睊桁䍁䅑杖歁䑁䅕免㙁䍁䅑杖歁䑁䅕李䅁䙁䑕䅁啂䅁䅁睊扂䙁䅍䅕䡂䙁䄸䅒䑂䕁䅙兑畂䝁䅅䅢㕂䡁䅍兡穂䙁䄸杤硁䍁䅁䅋穁䍁䅫杌㑂䝁䅷督瑂䙁䄰䅒䑂䕁䅙睊桁䍁䅑睖歁䑁䅅睍硁䅁䅁杙䅍䕁䅙䅁扂䕁䄰兓時䕁䅑睑䝂䕁䅅杢桂䝁䅷入穂䝁䅫督時䡁䅙免畁䡁䅧䅢穂䝁䄰兘䕂䕁䅍杒桁䍁䅑䅒䱂䍁䅑䅎ㅁ䅁䅁䅈䅉䙁䅑䅁湁䙁䅳睕兂䕁䅣睘䕂䕁䅍杒䉂䝁䄴兙獂䡁䅫督灂䡁䅍睘㉂䑁䅅䅉潁䑁䅍克畁䡁䅧䅢穂䝁䄰兘䕂䕁䅍杒湁䍁䅅䅊塂䍁䅑免ぁ䑁䅙䅁灂睁䅁杆䅁䑁䅅入杁䙁䅙兡求䡁䅑杢桂䝁䄰䅁䉄杁䅁杒䅁䙁䅳兔䩂䙁䄸䅒䑂䕁䅙兑畂䝁䅅䅢㕂䡁䅍兡穂䙁䄸杤硁䍁䄴䅥獂䡁䅍兢摂䕁䅑睑䝂䍁䅅䅊婂䍁䅑免穁䑁䅣䅁呂杁䅁䅙䅁䍁䅣睗呂䙁䅁睒時䕁䅑睑䝂䕁䅅杢桂䝁䅷入穂䝁䅫督時䡁䅙免杁䍁䅧睍灁䍁䄴䅥獂䡁䅍兢摂䕁䅑睑䝂䍁䅣光歁䙁䅧䅊ぁ䑁䅣杏歁䕁䅅兒歁䑁䅑睎䅁䙁䑙䅁捁䅁䅁兓剂䙁䅑免㍁䑁䅫杍㍁䑁䅣兎ぁ䑁䅣免䅁䡁䔴䅁敂䅁䅁睔睂䡁䅑兡療䝁䄴督㙁䕁䅍兤祂䡁䅉児噂䙁䅍䅒獁䕁䅍睢畂䡁䅙兔求䡁䅑䅡療䝁䅑児乂䕁䅫杣求䝁䅍睢瑂䝁䄰党畂䝁䅑党歂䍁䅷杔䉂䑁䄰䅍䅁䥁䝉䅁啂䅁䅁睊扂䙁䅍䅕䡂䙁䄸䅒䑂䕁䅙兑畂䝁䅅䅢㕂䡁䅍兡穂䙁䄸杤硁䍁䅁䅋穁䍁䅫杌㑂䝁䅷督瑂䙁䄰䅒䑂䕁䅙睊桁䍁䅑兗歁䑁䅅睍硁䅁䅁睙䅍䙁䅧䅁湁䙁䅳睕兂䕁䅣睘䕂䕁䅍杒䉂䝁䄴兙獂䡁䅫督灂䡁䅍睘㉂䑁䅅䅉硁䍁䅁䅋硁䍁䅫杌㑂䝁䅷督瑂䙁䄰䅒䑂䕁䅙睊桁䍁䅑杗歁䑁䅅䅎㉁䅁䅁䄳䅍䙁䅑䅁湁䙁䅳睕兂䕁䅣睘䕂䕁䅍杒䉂䝁䄴兙獂䡁䅫督灂䡁䅍睘㉂䑁䅅䅉潁䑁䅍克畁䡁䅧䅢穂䝁䄰兘䕂䕁䅍杒湁䍁䅅䅊婂䍁䅑免ぁ䑁䅁䅁湂睁䅁杚䅁䍁䅣睗呂䙁䅁睒時䕁䅑睑䝂䕁䅅杢桂䝁䅷入穂䝁䅫督時䡁䅙免杁䑁䅅䅉潁䑁䅅克畁䡁䅧䅢穂䝁䄰兘䕂䕁䅍杒湁䍁䅅䅊䉂䕁䄰䅊ㅁ䑁䅫杏歁䕁䅅兔歁䑁䅣杍䅁䵁䑅䅁奂䅁䅁睊扂䙁䅍䅕䡂䙁䄸䅒䑂䕁䅙兑畂䝁䅅䅢㕂䡁䅍兡穂䙁䄸杤硁䍁䅁免杁䍁䅧免灁䍁䄴䅥獂䡁䅍兢摂䕁䅑睑䝂䍁䅣光歁䕁䅉䅊祁䑁䅁睎䅁乁䐸䅁佁䅁䅁䅒奂䕁䅍兌噂䙁䅍䅁煃䅁䅁䅈䅁䙁䅍䅕呂䑁䅅䅏ぁ䑁䅣兏㕁䑁䅕免㉁䑁䅧䅁䝁杂䅁䅗䅁䍁䅣睗呂䙁䅁睒時䕁䅑睑䝂䕁䅅杢桂䝁䅷入穂䝁䅫督時䡁䅙免杁䑁䅅䅉潁䑁䅅克畁䡁䅧䅢穂䝁䄰兘䕂䕁䅍杒湁䍁䅅䅊䍂䍁䅑杍ぁ䑁䅣䅁兄睁䅁䅖䅁䙁䅳兔䩂䙁䄸䅒䑂䕁䅙兑畂䝁䅅䅢㕂䡁䅍兡穂䙁䄸杤硁䍁䄴䅥獂䡁䅍兢摂䕁䅑睑䝂䍁䅅䅊䕂䙁䅫䅊ぁ䑁䅙杏歁䕁䅑杗歁䑁䅑李䅁䍁䌰䅁奂䅁䅁睊扂䙁䅍䅕䡂䙁䄸䅒䑂䕁䅙兑畂䝁䅅䅢㕂䡁䅍兡穂䙁䄸杤硁䍁䅁免杁䍁䅧免灁䍁䄴䅥獂䡁䅍兢摂䕁䅑睑䝂䍁䅣光歁䕁䅉杖歁䑁䅕免䅁䵁䑧䅁奂䅁䅁睊扂䙁䅍䅕䡂䙁䄸䅒䑂䕁䅙兑畂䝁䅅䅢㕂䡁䅍兡穂䙁䄸杤硁䍁䅁免杁䍁䅧免灁䍁䄴䅥獂䡁䅍兢摂䕁䅑睑䝂䍁䅣光歁䕁䅍睑歁䑁䅕免䅁䵁䑯䅁歁䅁䅁䅒灂䡁䅙兡歂䝁䅕杢歂䍁䅁杕桂䡁䅑党杁䍁䅧兊灁䅁䅁䅍䅁䝁䅙䅁湁䙁䅳睕兂䕁䅣睘䕂䕁䅍杒䉂䝁䄴兙獂䡁䅫督灂䡁䅍睘㉂䑁䅅䅉硁䍁䅁䅋硁䍁䅫杌㑂䝁䅷督瑂䙁䄰䅒䑂䕁䅙睊桁䍁䅑睑剂䍁䅑䅎㕁䑁䅯䅊䑂䙁䅉䅊ぁ䑁䅫䅁㡃睁䅁杣䅁䕁䄸䅣あ䝁䅫睢畂䡁䅍杏䑂䡁䅕杣祂䑁䄰睒䍂䙁䅁䅌杁䕁䄰兙湂䑁䄰兔灂䝁䅷䅢灂䝁䄸杢穂䍁䅷䅉䑂䝁䄸杢㉂䕁䄰党あ䝁䅧睢歂䑁䄰兔䩂䡁䅉党橂䝁䄸兢瑂䝁䅕杢歂䝁䅕䅚䅁偁䍧䅁捁䅁䅁睕兂䙁䅍免㑁䑁䅑睎㕁䑁䅫兎硁䑁䅙杍䅁乁䙙䅁捁䅁䅁睕兂䙁䅍免㍁䑁䅫杍㉁䑁䅁李㑁䑁䅁睎䅁䩁䙳䅁兂䅁䅁睊扂䙁䅍䅕䡂䙁䄸䅒䑂䕁䅙兑畂䝁䅅䅢㕂䡁䅍兡穂䙁䄸杤硁䍁䅁䅎畁䡁䅧䅢穂䝁䄰兘䕂䕁䅍杒湁䍁䅅䅊䍂䍁䅑杍ぁ䑁䅧䅁䩁兂䅁杕䅁䙁䅳兔䩂䙁䄸䅒䑂䕁䅙兑畂䝁䅅䅢㕂䡁䅍兡穂䙁䄸杤硁䍁䄴䅥獂䡁䅍兢摂䕁䅑睑䝂䍁䅅䅊䡂䍁䅑兏㑁䑁䅯䅊䡂䍁䅑免祁䑁䅧䅁煄允䅁䅈䅁䕁䅫兕啂䑁䅅䅏穁䑁䅣䅎ㅁ䑁䅉䅍硁䑁䅅䅁㕂䅂䅁杏䅁䍁䅣睗塂䕁䅅睑䑂䍁䅁睕佂䕁䅷杌㑂䝁䅷督瑂䙁䄰睖䉂䕁䅍睑湁䍁䅅䅊䉂䙁䅧䅊穁䑁䅉䅁佃䅁䅁䅖䅁䙁䅳兔䩂䙁䄸䅒䑂䕁䅙兑畂䝁䅅䅢㕂䡁䅍兡穂䙁䄸杤硁䍁䄴䅥獂䡁䅍兢摂䕁䅑睑䝂䍁䅅䅊䕂䕁䅑䅊ぁ䑁䅧杏歁䕁䅑杒歁䑁䅑䅏䅁䥁䍙䅁煁䅁䅁䅕祂䝁䅙䅚偂䝁䅙杚求䡁䅉兡畂䝁䅣睘䍂䡁䅫睘䑂䝁䄸兢睂䅁䅁八䅁䝁䅙䅁湁䙁䅳睕兂䕁䅣睘䕂䕁䅍杒䉂䝁䄴兙獂䡁䅫督灂䡁䅍睘㉂䑁䅅䅉硁䍁䅁䅋硁䍁䅫杌㑂䝁䅷督瑂䙁䄰䅒䑂䕁䅙睊桁䍁䅑睑剂䍁䅑兎睁䑁䅯䅊䑂䙁䅉䅊ㅁ䑁䅁䅁㥃睁䅁杇䅁䙁䅍䅕呂䑁䅍免㕁䑁䅧䅎硁䑁䅍李㍁䅁䅁杺䅙䝁䅉䅁湁䙁䅳睕兂䕁䅣睘䕂䕁䅍杒䉂䝁䄴兙獂䡁䅫督灂䡁䅍睘㉂䑁䅅䅉硁䍁䅁䅋硁䍁䅫杌㑂䝁䅷督瑂䙁䄰䅒䑂䕁䅙睊桁䍁䅑䅓歁䑁䅫兏㙁䍁䅑兔歁䑁䅫兏䅁䵁䐸䅁捁䅁䅁睕兂䙁䅍免㕁䑁䅧免ぁ䑁䅑䅍㍁䑁䅑兎䅁䩁䠰䅁坂䅁䅁睊扂䙁䅍䅕䡂䙁䄸䅒䑂䕁䅙兑畂䝁䅅䅢㕂䡁䅍兡穂䙁䄸杤硁䍁䅁免杁䍁䅧免灁䍁䄴䅥獂䡁䅍兢摂䕁䅑睑䝂䍁䅣光歁䙁䅙䅊ぁ䑁䅙䅁䍄睁䅁䅈䅁䕁䅫兕啂䑁䅅李㍁䑁䅅睎穁䑁䅑杍睁䑁䅁䅁扄䅂䅁䅅䅁䕁䅙兕祁䑁䅉䅍硁䑁䅫䅁睁杁䅁䅈䅁䙁䅍䅕呂䑁䅅兏㑁䑁䅅䅎ぁ䑁䅁睎ぁ䑁䅑䅁坃睂䅁䅓䅁䍁䅣睗塂䕁䅅睑䑂䍁䅁睕佂䕁䅷杌㑂䝁䅷督瑂䙁䄰睖䉂䕁䅍睑湁䍁䅅䅊䉂䙁䅣䅊穁䑁䅕杏歁䕁䅅睖歁䑁䅑䅎䅁䩁䅙䅁坂䅁䅁睊扂䙁䅍䅕䡂䙁䄸䅒䑂䕁䅙兑畂䝁䅅䅢㕂䡁䅍兡穂䙁䄸杤硁䍁䅁免杁䍁䅧免灁䍁䄴䅥獂䡁䅍兢摂䕁䅑睑䝂䍁䅣光歁䙁䅙䅊ぁ䑁䅣䅁䝄睁䅁䅈䅁䕁䅫兕啂䑁䅅李㍁䑁䅅睎穁䑁䅑杍睁䑁䅅䅁卄䅂䅁杇䅁䙁䅍䅕呂䑁䅅睍㕁䑁䅑兏祁䑁䅫䅍穁䅁䅁杶䅙䉁䅁䅁㍁䑁䅁䅍瑁䕁䅧睓䡂䅁䅁杺䅅䉁䅷䅁呂䙁䅁睕硁䑁䅧兎㕁䑁䅧免㍁䑁䅍䅎穁䅁䅁朰䅣䙁䅧䅁湁䙁䅳睕兂䕁䅣睘䕂䕁䅍杒䉂䝁䄴兙獂䡁䅫督灂䡁䅍睘㉂䑁䅅䅉硁䍁䅁䅋硁䍁䅫杌㑂䝁䅷督瑂䙁䄰䅒䑂䕁䅙睊桁䍁䅑睖歁䑁䅅睍硁䅁䅁䄱䅍䉁䅯䅁呂䙁䅁睕祁䑁䅍睎㍁䑁䅧睍㉁䑁䅣䅎䅁䍁䥷䅁奂䅁䅁睊扂䙁䅍䅕䡂䙁䄸䅒䑂䕁䅙兑畂䝁䅅䅢㕂䡁䅍兡穂䙁䄸杤硁䍁䅁免杁䍁䅧免灁䍁䄴䅥獂䡁䅍兢摂䕁䅑睑䝂䍁䅣光歁䙁䅣䅊硁䑁䅑䅍䅁乁䑧䅁佁䅁䅁杔慂䙁䅧䅉ㅁ䑁䅁䅁杂䅁䅁杚䅁䍁䅣睗呂䙁䅁睒時䕁䅑睑䝂䕁䅅杢桂䝁䅷入穂䝁䅫督時䡁䅙免杁䑁䅅䅉潁䑁䅅克畁䡁䅧䅢穂䝁䄰兘䕂䕁䅍杒湁䍁䅅䅊奂䍁䅑免ぁ䑁䅧杏歁䙁䅧䅊硁䑁䅕睍䅁乁䐰䅁浂䅁䅁睗乂䕁䅫睘䡂䕁䅷睔䍂䕁䅅䅔時䙁䅣兑䑂䕁䅍兑畂䝁䅅䅢㕂䡁䅍兡穂䙁䄸杤祁䍁䄴䅥獂䡁䅍兢摂䙁䅣兑䑂䕁䅍光歁䕁䅅杒歁䑁䅑兎㙁䍁䅑兑䝂䍁䅑兎㉁䅁䅁䄷䅁䝁䅑䅁湁䙁䅳睕兂䕁䅣睘䕂䕁䅍杒䉂䝁䄴兙獂䡁䅫督灂䡁䅍睘㉂䑁䅅䅉硁䍁䅁䅋硁䍁䅫杌㑂䝁䅷督瑂䙁䄰䅒䑂䕁䅙睊桁䍁䅑䅗歁䑁䅑睎㙁䍁䅑兑䙂䍁䅑䅎㍁䅁䅁䅸䅍䱁䅑䅁偂䡁䅁䅤灂䝁䄸杢穂䑁䅯睑ㅂ䡁䅉杣㥁䙁䅕睕䕂䍁䅷兔桂䝁䅣児㉁䍁䅷睑療䝁䄴杤乂䝁䅕䅤潂䝁䄸䅚㥁䕁䄰兓祂䝁䅕睙療䝁䄰兢求䝁䄴䅚求䝁䅑䅌兂䝁䅅䅚㥁䕁䄸杚浂䍁䅷杒灂䝁䅷䅢㥁䕁䅑兙灂䝁䅷入獁䕁䅑兙あ䝁䅕督㥁䕁䅉党浂䝁䄸杣求䍁䅷睕療䡁䅉䅤㥁䕁䅑党穂䝁䅍䅁敄䅁䅁杄䅁䕁䅫村乂䍁䄰兖呂䅁䅁䄵䅁䙁䄴䅁湁䙁䅳睕兂䕁䅣睘䕂䕁䅍杒䉂䝁䄴兙獂䡁䅫督灂䡁䅍睘㉂䑁䅅䅉ぁ䍁䄴䅥獂䡁䅍兢摂䕁䅑睑䝂䍁䅣光歁䙁䅧䅊硁䑁䅕杍㙁䍁䅑䅗歁䑁䅅兎穁䅁䅁睆䅕䉁䅷䅁䩂䙁䅅䅖硁䑁䅣兏祁䑁䅙䅍㉁䑁䅧兎硁䅁䅁睊䅑䙁䄴䅁湁䙁䅳睕兂䕁䅣睘䕂䕁䅍杒䉂䝁䄴兙獂䡁䅫督灂䡁䅍睘㉂䑁䅅䅉ぁ䍁䄴䅥獂䡁䅍兢摂䕁䅑睑䝂䍁䅣光歁䙁䅧䅊硁䑁䅍䅎㙁䍁䅑䅗歁䑁䅅睍ㅁ䅁䅁睄䅕䅁䄴䅁䑂䕁䅅睑杁䑁䅑䅍䅁䕁䅁䅁奂䅁䅁睊扂䙁䅍䅕䡂䙁䄸䅒䑂䕁䅙兑畂䝁䅅䅢㕂䡁䅍兡穂䙁䄸杤硁䍁䅁免杁䍁䅧免灁䍁䄴䅥獂䡁䅍兢摂䕁䅑睑䝂䍁䅣光歁䙁䅫䅊硁䑁䅍杍䅁乁䑣䅁慁䅁䅁睕兂䙁䅍杍睁䑁䅣免ぁ䑁䅅睎㕁䑁䅕䅁呄兂䅁䅕䅁䍁䅣睗呂䙁䅁睒時䕁䅑睑䝂䕁䅅杢桂䝁䅷入穂䝁䅫督時䡁䅙免杁䑁䅑杌㑂䝁䅷督瑂䙁䄰䅒䑂䕁䅙睊桁䍁䅑睑䑂䍁䅑兎硁䅁䅁睁䅕䉁䅷䅁䩂䙁䅅䅖硁䑁䅙睎硁䑁䅣睍ぁ䑁䅉䅍祁䅁䅁東䅑䉁䅷䅁呂䙁䅁睕硁䑁䅧䅎㍁䑁䅫兏ㅁ䑁䅅杍㕁䅁䅁眷䅕䙁䅉䅁湁䙁䅳睕兂䕁䅣睘䕂䕁䅍杒䉂䝁䄴兙獂䡁䅫督灂䡁䅍睘㉂䑁䅅䅉ぁ䍁䄴䅥獂䡁䅍兢摂䕁䅑睑䝂䍁䅣光歁䕁䅅兑歁䑁䅅䅎㉁䅁䅁杆䅕䙁䄴䅁扂䕁䄰兓時䙁䅣睖時䙁䅣兑䑂䕁䅍兑畂䝁䅅䅢㕂䡁䅍兡穂䙁䄸杤硁䍁䄴䅥獂䡁䅍兢摂䙁䅣兑䑂䕁䅍光歁䕁䅅杒歁䑁䅑兎㙁䍁䅑兑䝂䍁䅑兎㉁䅁䅁眹䅁䙁䄴䅁湁䙁䅳睕兂䕁䅣睘䕂䕁䅍杒䉂䝁䄴兙獂䡁䅫督灂䡁䅍睘㉂䑁䅅䅉ぁ䍁䄴䅥獂䡁䅍兢摂䕁䅑睑䝂䍁䅣光歁䕁䅅兔歁䑁䅕兏㙁䍁䅑兑乂䍁䅑睎祁䅁䅁眫䅑䉁䅷䅁呂䙁䅁睕硁䑁䅫䅏硁䑁䅑䅎睁䑁䅣䅎穁䅁䅁䅮䅣䉁䅷䅁䩂䙁䅅䅖硁䑁䅙睎硁䑁䅣睍ぁ䑁䅉䅍㉁䅁䅁儴䅑䕁䅙䅁扂䕁䄰兓時䕁䅑睑䝂䕁䅅杢桂䝁䅷入穂䝁䅫督時䡁䅙免畁䡁䅧䅢穂䝁䄰兘䕂䕁䅍杒桁䍁䅑䅒佂䍁䅑䅎ㅁ䅁䅁䅏䅉䙁䅁䅁湁䙁䅳睕兂䕁䅣睘䕂䕁䅍杒䉂䝁䄴兙獂䡁䅫督灂䡁䅍睘㉂䑁䅅䅉ぁ䍁䄴䅥獂䡁䅍兢摂䕁䅑睑䝂䍁䅣光歁䕁䅉䅊祁䑁䅁睎䅁䉁䙫䅁允䅁䅁杔坂䕁䅑兑瑁䙁䅕睕䅁䱁䡣䅁兂䅁䅁睊扂䙁䅍䅕䡂䙁䄸䅒䑂䕁䅙兑畂䝁䅅䅢㕂䡁䅍兡穂䙁䄸杤硁䍁䅁䅎畁䡁䅧䅢穂䝁䄰兘䕂䕁䅍杒湁䍁䅅䅊䍂䙁䅙䅊ㅁ䑁䅅䅁䉁兂䅁䅇䅁䙁䅍䅕呂䑁䅅䅎硁䑁䅅杍㑁䑁䅍䅏䅁䍁䡷䅁敂䅁䅁睊扂䙁䅍䅕䡂䙁䄸䅒䑂䕁䅙兑畂䝁䅅䅢㕂䡁䅍兡穂䙁䄸杤硁䍁䅁䅎畁䡁䅧䅢穂䝁䄰兘䕂䕁䅍杒湁䍁䅅䅊䍂䙁䅧䅊ㅁ䑁䅍杏歁䕁䅍兑歁䑁䅕睍䅁䅁䙉䅁敂䅁䅁睊扂䙁䅍䅕䡂䙁䄸䅒䑂䕁䅙兑畂䝁䅅䅢㕂䡁䅍兡穂䙁䄸杤硁䍁䅁䅎畁䡁䅧䅢穂䝁䄰兘䕂䕁䅍杒湁䍁䅅䅊䑂䕁䅕䅊ㅁ䑁䅍杏歁䕁䅍睒歁䑁䅕睍䅁䅁䙑䅁慁䅁䅁睕兂䙁䅍睎睁䑁䅉兏祁䑁䅅李㍁䑁䅁䅁䩂䅃䅁杘䅁䍁䅣睗呂䙁䅁睒時䕁䅑睑䝂䕁䅅杢桂䝁䅷入穂䝁䅫督時䡁䅙免杁䑁䅑杌㑂䝁䅷督瑂䙁䄰䅒䑂䕁䅙睊桁䍁䅑兒歁䑁䅉免穁䑁䅯䅊䙂䍁䅑杍穁䑁䅑䅁扁兂䅁杘䅁䍁䅣睗呂䙁䅁睒時䕁䅑睑䝂䕁䅅杢桂䝁䅷入穂䝁䅫督時䡁䅙免杁䑁䅑杌㑂䝁䅷督瑂䙁䄰䅒䑂䕁䅙睊桁䍁䅑杒歁䑁䅉䅍㍁䑁䅯䅊乂䍁䅑杍睁䑁䅣䅁慁兂䅁䅅䅁䕁䅅兑兂䕁䅷兌噂䙁䅍䅁灁允䅁䅅䅁䕁䅍村䉂䍁䄰兑呂䙁䅧䅁䍄杁䅁杘䅁䍁䅣睗呂䙁䅁睒時䕁䅑睑䝂䕁䅅杢桂䝁䅷入穂䝁䅫督時䡁䅙免杁䑁䅑杌㑂䝁䅷督瑂䙁䄰䅒䑂䕁䅙睊桁䍁䅑杒歁䑁䅉䅍㑁䑁䅯䅊乂䍁䅑杍睁䑁䅧䅁捁兂䅁李䅁䕁䄸䅣あ䝁䅫睢畂䡁䅍杏䑂䡁䅕杣祂䑁䄰兖呂䕁䅑䅌乂䝁䅅睚㥁䍁䅷杔䉂䑁䄰䅍䅁䉁䥅䅁䥂䅁䅁睑灂䡁䅍睙療䍁䅁睕㕂䡁䅍䅤求䝁䄰督獁䍁䅁兓畂䝁䅍杌杁䍁䅧杔䉂䙁䅍䅒䉂䙁䅅睒呂䑁䅯睑呂䕁䅍睔灁䅁䅁䅫䅕䙁䄴䅁湁䙁䅳睕兂䕁䅣睘䕂䕁䅍杒䉂䝁䄴兙獂䡁䅫督灂䡁䅍睘㉂䑁䅅䅉ぁ䍁䄴䅥獂䡁䅍兢摂䕁䅑睑䝂䍁䅣光歁䕁䅣䅊祁䑁䅑兏㙁䍁䅑兔歁䑁䅉䅎㕁䅁䅁䅄䅕䝁䅁䅁湁䙁䅳睕兂䕁䅣睘䕂䕁䅍杒䉂䝁䄴兙獂䡁䅫督灂䡁䅍睘㉂䑁䅅䅉瑁䍁䅁杣求䡁䅙兡穂䝁䅕䅚畁䡁䅧䅢穂䝁䄰兘䕂䕁䅍杒湁䍁䅅䅊䉂䕁䅯䅊ㅁ䑁䅣䅁兂睂䅁䅖䅁䙁䅳兔䩂䙁䄸䅒䑂䕁䅙兑畂䝁䅅䅢㕂䡁䅍兡穂䙁䄸杤硁䍁䄴䅥獂䡁䅍兢摂䕁䅑睑䝂䍁䅅䅊䑂䙁䅫䅊ぁ䑁䅣杏歁䕁䅑村歁䑁䅑睎䅁䅁䍳䅁兂䅁䅁睊扂䙁䅍䅕䡂䙁䄸䅒䑂䕁䅙兑畂䝁䅅䅢㕂䡁䅍兡穂䙁䄸杤硁䍁䅁䅎畁䡁䅧䅢穂䝁䄰兘䕂䕁䅍杒湁䍁䅅䅊婂䍁䅑免穁䑁䅅䅁佁兂䅁䅈䅁䕁䅫兕啂䑁䅅䅏ぁ䑁䅣兏㕁䑁䅕䅎硁䑁䅉䅁牃䅂䅁䅕䅁䍁䅣睗呂䙁䅁睒時䕁䅑睑䝂䕁䅅杢桂䝁䅷入穂䝁䅫督時䡁䅙免杁䑁䅑杌㑂䝁䅷督瑂䙁䄰䅒䑂䕁䅙睊桁䍁䅑兗歁䑁䅅睍祁䅁䅁䅅䅕䉁䅷䅁䩂䙁䅅䅖硁䑁䅧䅎㍁䑁䅫兏ㅁ䑁䅑免硁䅁䅁䅰䅑䅁䅯䅁祁䑁䅁杍㉁䅁䅁儯䅣䑁䅯䅁湁䙁䅳睖䉂䕁䅍睑杁䙁䅍杔䵂䍁䄴䅥獂䡁䅍兢摂䙁䅣兑䑂䕁䅍睊桁䍁䅑兑坂䍁䅑睍睁䅁䅁䅪䅁䑁䅯䅁湁䙁䅳睖䉂䕁䅍睑杁䙁䅍杔䵂䍁䄴䅥獂䡁䅍兢摂䙁䅣兑䑂䕁䅍睊桁䍁䅑兑塂䍁䅑睍睁䅁䅁公䅁䑁䅯䅁湁䙁䅳睖䉂䕁䅍睑杁䙁䅍杔䵂䍁䄴䅥獂䡁䅍兢摂䙁䅣兑䑂䕁䅍睊桁䍁䅑村䕂䍁䅑睍睁䅁䅁䅭䅁䑁䅧䅁湁䙁䅳睖䉂䕁䅍睑杁䙁䅍杔䵂䍁䄴䅥獂䡁䅍兢摂䙁䅣兑䑂䕁䅍睊桁䍁䅑睓歁䑁䅍杍䅁䥁䅧䅁捁䅁䅁睕兂䙁䅍免㑁䑁䅕兏㑁䑁䅅睎穁䑁䅑䅍䅁乁䡅䅁㑁䅁䅁睊扂䙁䅣兑䑂䕁䅍䅉呂䕁䄴䅔畁䡁䅧䅢穂䝁䄰兘塂䕁䅅睑䑂䍁䅣光歁䕁䄸䅊穁䑁䅉䅁䩃䅁䅁䅖䅁䙁䅳兔䩂䙁䄸䅒䑂䕁䅙兑畂䝁䅅䅢㕂䡁䅍兡穂䙁䄸杤硁䍁䄴䅥獂䡁䅍兢摂䕁䅑睑䝂䍁䅅䅊䕂䕁䄴䅊ぁ䑁䅣杏歁䕁䅑杔歁䑁䅕杍䅁䡁䍕䅁捁䅁䅁兓剂䙁䅑免㑁䑁䅍睎ぁ䑁䅕杍睁䑁䅅睍䅁䵁䕑䅁慁䅁䅁睕兂䙁䅍李穁䑁䅕兎穁䑁䅫兏祁䑁䅑䅁瑁睂䅁䅏䅁䍁䅣睗塂䕁䅅睑䑂䍁䅁睕佂䕁䅷杌㑂䝁䅷督㑂䙁䄰睖䉂䕁䅍睑湁䍁䅅䅊偂䍁䅑睍穁䅁䅁兎䅁䕁䅙䅁䕂䝁䅕䅢獂䍁䅁䅖求䝁䅍䅡畂䝁䄸䅢療䝁䅣兡求䡁䅍䅉䩂䝁䄴睙畁䍁䅁䅋佂䙁䅫睕䙂䑁䅯䅒䙂䕁䅷䅔灁䅁䅁杫䅕䉁䅯䅁呂䙁䅁睕ㅁ䑁䅑䅎㍁䑁䅍睎ぁ䑁䅧杍䅁䡁䡅䅁慁䅁䅁睕兂䙁䅍李穁䑁䅕兎ぁ䑁䅁李ㅁ䑁䅉䅁奁睂䅁䅃䅁䍁䄰免婂䅁䅁儹䅑䉁䅷䅁呂䙁䅁睕硁䑁䅧䅎㍁䑁䅫兏ㅁ䑁䅅睎ぁ䅁䅁杹䅕䉁䅯䅁䩂䙁䅍兒剂䍁䅁睔㉂䝁䅕杣桂䝁䅷䅢䅁䙁䅁䅁坁䅁䅁䅍㕁䍁䄸杍睁䍁䄸杍睁䑁䅅兏䅁䝁䈴䅁捁䅁䅁兓剂䙁䄸睑䉂䙁䅍䅓時䕁䅕兕噂䕁䅫杖䅁䡁䜸䅁捁䅁䅁免睁䡁䅫䅉噂䙁䅍䅉啂䍁䄰杔療䡁䅑党䅁䅁䅳䅁奂䅁䅁睗乂䕁䅫睘塂䕁䅅睑䑂䕁䅅杢桂䝁䅷入穂䝁䅫督時䡁䅙免畁䡁䅧䅢穂䝁䄰兘塂䕁䅅睑䑂䍁䅅䅊䑂䙁䅯䅊穁䑁䅫杏歁䕁䅑村歁䑁䅍兏䅁䉁䉉䅁䝁䅁䅁免ㅁ䅁䅁杂䅁䉁䅷䅁呂䙁䅁睕硁䑁䅧杍硁䑁䅑免睁䑁䅍䅍睁䅁䅁䅤䅣䍁䅧䅁䩂䙁䅅睘䑂䕁䅧兑佂䕁䅣兒時䕁䅫杔坂䕁䅕杔啂䕁䄸杕婂䅁䅁来䅙䅁䅷䅁䡂䕁䅕兌噂䙁䅍䅁䩄䅁䅁䅈䅁䕁䅫兕啂䑁䅅䅏㑁䑁䅣䅍穁䑁䅁兏㑁䑁䅅䅁䕃䅂䅁杈䅁䑁䅅兢杁䙁䅁䅡灂䝁䅷兡睂䡁䅁兡畂䝁䅕督䅁䵁䍣䅁流䅁䅁免瑂䍁䅁兖呂䍁䅁䅖瑁䕁䅉兡獂䝁䅷䅉潁䕁䅉兒婂䍁䅫䅁㥃杁䅁䅈䅁䑁䅅入杁䕁䅫杣灂䡁䅍䅡杁䕁䄴睢あ䝁䅕䅁呄杁䅁杇䅁䑁䅅入杁䙁䅕睕杁䙁䅑兌䍂䝁䅫䅢獂䅁䅁杶䅉䉁䅯䅁呂䙁䅁睕ㅁ䑁䅫䅎ㅁ䑁䅁睍穁䑁䅣李䅁䅁䠸䅁奁䅁䅁兓剂䙁䅑睎㕁䑁䅅䅎硁䑁䅍李㍁䅁䅁䅕䅑䉁䅷䅁䩂䙁䅅䅖硁䑁䅧䅎㍁䑁䅫兏ㅁ䑁䅉兎㑁䅁䅁眸䅍䅁䅷䅁祁䑁䅁免祁䙁䅫䅁汁䅁䅁䅄䅁䑁䅉䅍硁䑁䅍兗䅁䍁䅧䅁䵁䅁䅁杍睁䑁䅅䅎婂䅁䅁睊䅁䕁䅧䅁扂䙁䅍䅕䡂䙁䄸䅒䑂䕁䅙兑畂䝁䅅䅢㕂䡁䅍兡穂䙁䄸杤硁䍁䄴䅥獂䡁䅍兢摂䕁䅑睑䝂䍁䅅䅊塂䍁䅑免ぁ䑁䅙䅁䕂睁䅁䅈䅁䕁䅫兕啂䑁䅅䅏㉁䑁䅑䅍ぁ䑁䅙䅎㉁䑁䅁䅁偄䅂䅁杊䅁䙁䅍䅢療䡁䅙兙牂䍁䅁睕潂䝁䅅杣求䍁䅁兓畂䝁䅑党㑂䅁䅁睥䅁䑁䅯䅁䩂䙁䅅睘卂䙁䅕兑時䕁䄸䅕䙂䙁䅉兑啂䕁䅫杔䡂䙁䄸䅔䙂䕁䅅睕䙂䙁䄸睒卂䕁䄸睕呂䅁䅁䅧䅍䅁䅷䅁祁䑁䅁免ㅁ䙁䅫䅁流䅁䅁杒䅁䙁䅳兔䩂䙁䄸䅒䑂䕁䅙兑畂䝁䅅䅢㕂䡁䅍兡穂䙁䄸杤硁䍁䄴䅥獂䡁䅍兢摂䕁䅑睑䝂䍁䅅䅊䕂䕁䅍䅊ぁ䑁䅕䅁浄允䅁䅇䅁䕁䅫兕時䕁䅉兒啂䕁䅅睘ㅁ䙁䅫杕䅁䡁䐰䅁䵁䅁䅁杍睁䑁䅅李婂䅁䅁䅇䅁䉁䅷䅁呂䙁䅁睕硁䑁䅙睎硁䑁䅣睍ぁ䑁䅁兏祁䅁䅁睘䅙䅁䅯䅁祁䑁䅁免㕁䅁䅁睢䅙䉁䅯䅁呂䙁䅁睕ㅁ䑁䅫䅎ㅁ䑁䅁睍ぁ䑁䅅䅏䅁䍁䡅䅁䭁䅁䅁杍睁䑁䅉睍䅁䡁䝅䅁捁䅁䅁睕兂䙁䅍免㑁䑁䅧睎睁䑁䅍䅍㕁䑁䅕杍䅁佁䙑䅁捁䅁䅁杍睁䡁䅫䅉噂䙁䅍䅉啂䍁䄰村療䝁䄴䅚䅁䵁䍁䅁慁䅁䅁睕兂䙁䅍兎ㅁ䑁䅉李㑁䑁䅅䅎㕁䑁䅑䅁歁䅃䅁䅈䅁䕁䅍睕䩂䍁䅁睍睁䑁䅁䅉䩂䝁䄴䅚求䡁䅧䅁䍂䅁䅁杇䅁䑁䅉入杁䙁䅕睕杁䙁䅑兌佂䝁䄸䅤求䅁䅁兺䅉䉁䅉䅁穁䝁䄰䅉䩂䝁䄴䅚灂䝁䅅䅁偄杁䅁䅈䅁䕁䄴兑呂䕁䅑兑剂䕁䅣睕㙁䕁䄰兒啂䕁䅅䅁㑃睂䅁杈䅁䑁䅍兢杁䙁䅁䅡灂䝁䅷兡睂䡁䅁兡畂䝁䅕督䅁乁䍉䅁䝂䅁䅁睗乂䕁䅫睘䕂䕁䅍杒䉂䝁䄴兙獂䡁䅫督灂䡁䅍睘㉂䑁䅅杌㑂䝁䅷督瑂䙁䄰䅒䑂䕁䅙光歁䙁䅣䅊硁䑁䅍䅎䅁䉁䍉䅁杁䅁䅁睔乂䙁䅧䅉䥂䝁䅕䅢穂䝁䅫杢牂䝁䅫䅉祁䑁䅕䅁楂䅁䅁䅈䅁䙁䅉睕䝂䍁䅁免睁䑁䅁䅉潁䙁䅉兖䍂䍁䅫䅁獂䅁䅁䅈䅁䙁䅍䅕呂䑁䅅䅏穁䑁䅣䅎ㅁ䑁䅅兏㍁䑁䅫䅁捂杂䅁杅䅁䑁䅙睎睁䑁䅉兌啂䕁䅳睕䅁佁䅣䅁十䅁䅁李瑂䍁䅁兓畂䝁䅑兡桂䅁䅁䄰䅉䙁䅙䅁扂䕁䄰兓時䕁䅑睑䝂䕁䅅杢桂䝁䅷入穂䝁䅫督時䡁䅙免桂䍁䄴䅥獂䡁䅍兢摂䕁䅑睑䝂䍁䅅䅊塂䍁䅑免穁䑁䅧杏歁䙁䅣䅊硁䑁䅍兏䅁偁䉙䅁流䅁䅁睔祂䝁䅅睙獂䝁䅕䅉䑂䝁䄸杣睂䝁䄸杣桂䡁䅑兡療䝁䄴䅁晄䅂䅁䅈䅁䕁䅫兕啂䑁䅅睎㕁䑁䅉李睁䑁䅙䅏㉁䑁䅣䅁煄睁䅁䅈䅁䙁䅍䅕呂䑁䅉䅍硁䑁䅑睍祁䑁䅅免硁䑁䅅䅁獂䅃䅁权䅁䑁䅷材硁䑁䅕䅁䥁䅁䅁杇䅁䙁䅍䅕呂䑁䅑免ㅁ䑁䅣睍ぁ䑁䅁䅍ぁ䅁䅁克䅣䉁䅯䅁呂䙁䅁睕祁䑁䅍睎㉁䑁䅍免祁䑁䅙杍䅁乁䡁䅁捁䅁䅁兓剂䙁䅑免㑁䑁䅑睎㕁䑁䅫兎祁䑁䅕䅍䅁䑁䕣䅁䭁䅁䅁兑䉂䙁䅁䅔䅁䅁䙁䅁允䅁䅁兑䕂䕁䅉兒瑁䙁䅕睕䅁䡁䍉䅁允䅁䅁兑乂䙁䅯杔瑁䙁䅕睕䅁䩁䉯䅁獁䅁䅁兑ㅂ䡁䅍䅤祂䝁䅫兙畂䍁䅁䅖祂䝁䅅䅚求䝁䅑䅉䩂䝁䄴䅚求䡁䅧䅁㙁䅁䅁䅈䅁䙁䅍䅕呂䑁䅅睎㍁䑁䅍兎祁䑁䅫免ぁ䑁䅉䅁⽂睂䅁杄䅁䕁䅅睕奂䑁䅅䅍睁䅁䅁䅏䅁䉁䅷䅁䉂䝁䅍睙求䝁䄴䅤ㅂ䡁䅉党杁䡁䅁䅢橂䅁䅁䅵䅑䑁䅙䅁䉂䝁䅑睢楂䝁䅕䅉䩂䝁䄴睙畁䍁䅁䅋佂䕁䅅睕䕂䕁䅅兕䡂䙁䅍杏䉂䕁䅑村䙂䍁䅫䅁呃兂䅁䅄䅁䕁䅉兒䵂䑁䅉䅍䅁䑁䅳䅁祂䅁䅁睔睂䡁䅑兡療䝁䄴督㙁䕁䅍兤祂䡁䅉児䭂䙁䅁兗獁䍁䅁兔桂䝁䅣児乂䝁䅫䅢獂䝁䅫睢畂䡁䅍䅌杁䕁䅍睢畂䡁䅙兔求䡁䅑䅡療䝁䅑児乂䕁䅫杣求䝁䅍睢瑂䝁䄰党畂䝁䅑党歂䅁䅁杈䅉䑁䅑䅁䍂䙁䅍兒杁䕁䅫杢歂䝁䅫兙杁䙁䅍党畂䡁䅍党㑂䍁䅁睍睁䍁䅁兓畂䝁䅑党㑂䅁䅁児䅁䑁䅷䅁䍂䡁䅕䅚桂䡁䅁党穂䡁䅑䅉呂䡁䅑睢橂䝁䅳䅉䙂䡁䅧睙潂䝁䅅杢湂䝁䅕䅉䩂䝁䄴䅚求䡁䅧䅁⽁䅁䅁䅪䅁䕁䄸䅣あ䝁䅫睢畂䡁䅍杏䑂䡁䅕杣祂䑁䄰杕求䡁䅁睢祂䡁䅑党歂䍁䅁睙ㅂ䡁䅉杣求䝁䄴睙㕂䍁䅷兔桂䝁䅣児啂䝁䅧睢ㅂ䡁䅍兙畂䝁䅑督獁䕁䅍睢畂䡁䅙兔求䡁䅑䅡療䝁䅑児乂䕁䅫杣求䝁䅍睢瑂䝁䄰党畂䝁䅑党歂䅁䅁朲䅅䅁䄴䅁䑂䕁䅅杔瑁䙁䅕睕䅁䉁䍯䅁佁䅁䅁睑䉂䙁䅑兌噂䙁䅍䅁獂杁䅁䅅䅁䕁䄰睕䝂䙁䅑兌噂䙁䅍䅁瑃䅁䅁杍䅁䕁䄸䅣あ䝁䅫睢畂䡁䅍杏佂䕁䅅児睁䍁䅷兔桂䝁䅣児䉂䝁䅍䅤ㅂ䝁䅅䅢穂䅁䅁䅧䅙䉁䅷䅁䩂䙁䅅䅖硁䑁䅙睎硁䑁䅣睍ぁ䑁䅉䅍㑁䅁䅁睬䅑䅁䄴䅁䑂䙁䅉兔瑁䙁䅕睕䅁䭁䅳䅁奂䅁䅁睗乂䕁䅫睘䡂䕁䅷睔䍂䕁䅅䅔時䙁䅣兑䑂䕁䅍兑畂䝁䅅䅢㕂䡁䅍兡穂䙁䄸杤硁䍁䄴䅥獂䡁䅍兢摂䙁䅣兑䑂䕁䅍光歁䕁䅍䅗歁䑁䅍睎䅁䵁䄴䅁捁䅁䅁兓剂䙁䅑免㑁䑁䅍睎ぁ䑁䅕杍睁䑁䅅杍䅁䙁䔸䅁佁䅁䅁睑卂䕁䄸村䙂䙁䅧䅁䉂䅁䅁䅅䅁䕁䅍睕䑂䕁䄸兌噂䙁䅍䅁剃兂䅁杊䅁䕁䅫兕時䕁䅕杒䝂䕁䅕睑啂䙁䄸䅖䉂䙁䅧睘卂䕁䅅䅖䙂䅁䅁睇䅑䡁䅑䅁偂䡁䅁䅤灂䝁䄸杢穂䑁䅯睑ㅂ䡁䅉杣㥁䙁䅕睕䕂䍁䅷䅉乂䝁䅅睚㥁䙁䅑䅡療䡁䅕督桂䝁䄴䅚穂䍁䅷䅉䑂䝁䄸杢㉂䕁䄰党あ䝁䅧睢歂䑁䄰兔䩂䡁䅉党橂䝁䄸兢瑂䝁䅕杢歂䝁䅕䅚䅁䅁䑅䅁佁䅁䅁睕兂䕁䅣兌噂䙁䅍䅁䅁允䅁䅅䅁䕁䅍䅖呂䕁䅧兌噂䙁䅍䅁灃䅁䅁杍䅁䕁䅍兙睂䝁䅫䅤桂䝁䅷䅉䙂䡁䅧䅣求䝁䄴䅚灂䡁䅑兤祂䝁䅕䅉潁䍁䅑兔灁䅁䅁睧䅍䉁䅷䅁呂䙁䅁睕硁䑁䅧䅏㍁䑁䅁睍睁䑁䅫䅎睁䅁䅁䅺䅕䑁䅁䅁䑂䝁䅅䅣灂䡁䅑兙獂䕁䄸杚浂䝁䅕杣灂䝁䄴睚時䕁䅉入時䕁䅍睢瑂䡁䅁䅁乃䅁䅁李䅁䕁䄰兙祂䝁䅳党あ䍁䅁睑桂䡁䅁兡あ䝁䅅䅢灂䡁䅯兙あ䝁䅫睢畂䍁䅁䅋歁䕁䄰克䅁䩁䄰䅁浂䅁䅁睗乂䕁䅫睘䡂䕁䅷睔䍂䕁䅅䅔時䙁䅣兑䑂䕁䅍兑畂䝁䅅䅢㕂䡁䅍兡穂䙁䄸杤祁䍁䄴䅥獂䡁䅍兢摂䙁䅣兑䑂䕁䅍光歁䕁䅍杗歁䑁䅍兏㙁䍁䅑䅒䍂䍁䅑睍㕁䅁䅁䄹䅁䉁䅧䅁呂䙁䅁睕硁䑁䅑䅍ㅁ䑁䅁睎㍁䑁䅁䅁⽁睂䅁䅅䅁䕁䅍睢ㅂ䝁䄴䅤祂䡁䅫䅁䙁䅁䅁䅕䅁䙁䅳兔䩂䙁䄸䅒䑂䕁䅙兑畂䝁䅅䅢㕂䡁䅍兡穂䙁䄸杤硁䍁䄴䅥獂䡁䅍兢摂䕁䅑睑䝂䍁䅅䅊坂䍁䅑䅎㑁䑁䅯䅊坂䍁䅑兎穁䅁䅁兑䅉䍁䅉䅁䑂䡁䅕杣祂䝁䅕杢あ䍁䄸杕求䡁䅍䅤桂䡁䅑党歂䅁䅁兇䅁䍁䅯䅁䑂䡁䅫䅣祂䡁䅕督杁䕁䅣党畂䝁䅕杣桂䝁䅷䅉䩂䝁䄴䅚求䡁䅧䅁䑂䅁䅁䅈䅁䙁䅍䅕呂䑁䅅䅏ぁ䑁䅣兏㕁䑁䅕免穁䑁䅧䅁䙁杂䅁䅃䅁䕁䅑兑奂䅁䅁䅒䅁䙁䅉䅁扂䕁䄰兓時䕁䅑睑䝂䕁䅅杢桂䝁䅷入穂䝁䅫督時䡁䅙免畁䡁䅧䅢穂䝁䄰兘䕂䕁䅍杒桁䍁䅑䅗歁䑁䅑䅎㙁䍁䅑兑䙂䍁䅑䅎ぁ䅁䅁村䅉䍁䅁䅁䕂䕁䅯䅉䉂䡁䅍兡桂䍁䄸䅕桂䝁䅍兡浂䝁䅫睙䅁䕁䅕䅁佁䅁䅁兒乂䙁䅉兌噂䙁䅍䅁灂杁䅁䅅䅁䕁䅕䅕䉂䕁䄰兌噂䙁䅍䅁畃䅁䅁杆䅁䕁䅕兖卂䕁䄸䅉呂䙁䅑睔奂䙁䅧䅁䡂䅁䅁杌䅁䕁䅕杚浂䝁䅕睙あ䝁䅫杤求䍁䅁䅖桂䡁䅧䅉卂䝁䅅䅤求䍁䅁䅋汁䍁䅫䅁歁䅁䅁杆䅁䕁䅕杢あ䝁䅫䅤㕂䍁䅁兓䕂䍁䅁䅁ぁ允䅁权䅁䕁䅙兌噂䙁䅍䅁㑂杁䅁䅄䅁䕁䅙村瑁䙁䅕睕䅁䩁䈰䅁捁䅁䅁兓剂䙁䅑免㑁䑁䅧睎睁䑁䅍䅍㕁䑁䅣䅏䅁䝁䕕䅁䝂䅁䅁䅓求䡁䅣䅢求䡁䅑䅤杁䙁䅁兙橂䝁䅳兙祂䝁䅑䅉䙂䝁䄴䅤求䡁䅉䅣祂䝁䅫督求䍁䅁睑療䝁䄰䅣桂䝁䄴入䅁偁䑯䅁䥁䅁䅁杒剂䑁䅁䅁䝃兂䅁䅅䅁䕁䅙兕硁䑁䅉䅍硁䑁䅫䅁穁杁䅁杄䅁䕁䅧䅕䙂䍁䄰兖呂䅁䅁䅲䅁䉁䅯䅁呂䙁䅁睕硁䑁䅁兏㉁䑁䅫睎硁䑁䅧睎䅁偁䡕䅁慁䅁䅁睕兂䙁䅍兎㕁䑁䅑李祁䑁䅁杍㕁䑁䅅䅁㕁睂䅁䅅䅁䕁䅙兕硁䑁䅉䅍祁䑁䅁䅁㉁杁䅁䅅䅁䕁䅙兕ぁ䑁䅉䅍硁䑁䅫䅁ㅁ杁䅁杈䅁䕁䅙䅖呂䕁䅕䅉硁䑁䅁䅍杁䍁䅧睒䍂䙁䅁克䅁䕁䅧䅁允䅁䅁兓佂䙁䅑兖瑁䙁䅕睕䅁䝁䌴䅁兂䅁䅁睗乂䕁䅫睘䕂䕁䅍杒䉂䝁䄴兙獂䡁䅫督灂䡁䅍睘㉂䑁䅅杌㑂䝁䅷督瑂䙁䄰䅒䑂䕁䅙光歁䕁䅧䅊㕁䑁䅍杏歁䕁䄰䅊㕁䑁䅍䅁牄允䅁杍䅁䕁䅙䅖呂䕁䅕䅉䍂䡁䅕杣穂䝁䅅䅉乂䝁䅅䅢桂䡁䅫督灂䝁䅅䅉䱂䕁䅷睑䩂䅁䅁兓䅁䅁䅯䅁䝂䙁䅫兌硁䅁䅁䅩䅕䅁䅯䅁䝂䙁䅫兌祁䅁䅁杩䅕䅁䅯䅁䝂䙁䅫兌ぁ䅁䅁兪䅕䉁䅯䅁呂䙁䅁睕㉁䑁䅍兎㍁䑁䅅杍祁䑁䅁兏䅁䕁䤸䅁啂䅁䅁睗乂䕁䅫睘䕂䕁䅍杒䉂䝁䄴兙獂䡁䅫督灂䡁䅍睘㉂䑁䅅杌㑂䝁䅷督瑂䙁䄰䅒䑂䕁䅙光歁䙁䅧䅊硁䑁䅍睎㙁䍁䅑䅗歁䑁䅅睍㑁䅁䅁睪䅉䕁䅙䅁䝂䝁䅫杢桂䝁䄴睙灂䝁䅅䅢穂䍁䅁杕求䡁䅁睢祂䡁䅑党歂䍁䅁睑ㅂ䡁䅉杣求䝁䄴睙㕂䍁䅁睑療䝁䅑党杁䅁䅁杮䅁䉁䅯䅁呂䙁䅁睕祁䑁䅧䅎㉁䑁䅫兎硁䑁䅫睍䅁乁䡣䅁䥁䅁䅁杒婂䑁䅁䅁䙃兂䅁䅈䅁䕁䅫兕啂䑁䅅䅏ぁ䑁䅣兏㕁䑁䅕䅎睁䑁䅁䅁祂䅂䅁杅䅁䕁䅣睔偂䕁䅣䅔瑁䙁䅕睕䅁䩁䉳䅁佁䅁䅁䅓兂䙁䅅兌噂䙁䅍䅁湂杁䅁杒䅁䙁䅳兔䩂䙁䄸䅒䑂䕁䅙兑畂䝁䅅䅢㕂䡁䅍兡穂䙁䄸杤硁䍁䄴䅥獂䡁䅍兢摂䕁䅑睑䝂䍁䅅䅊䑂䙁䅕䅊ㅁ䑁䅅䅁睄杁䅁杅䅁䕁䅧睕䍂䕁䅅兌䵂䕁䄸杔䅁䵁䅳䅁捁䅁䅁睕兂䙁䅍免㑁䑁䅕兏祁䑁䅣睎㍁䑁䅍免䅁偁䡉䅁䕂䅁䅁䅓桂䝁䄴睚杁䙁䅍党畂䝁䅣䅉䑂䝁䅧兡畂䝁䅅䅉䙂䝁䄴䅤求䡁䅉䅣祂䝁䅫督求䡁䅍䅉䩂䝁䄴䅚求䡁䅧䅁䱂䅁䅁䅉䅁䕁䅧兙畂䝁䅣䅉呂䝁䅕杢湂䍁䅁兓畂䝁䅑党㑂䅁䅁兔䅁䉁䅯䅁呂䙁䅁睕ㅁ䑁䅑䅎ㅁ䑁䅫䅏祁䑁䅁䅎䅁䝁䠸䅁兂䅁䅁睗乂䕁䅫睘塂䙁䅣睘塂䕁䅅睑䑂䕁䅅杢桂䝁䅷入穂䝁䅫督時䡁䅙免畁䡁䅧䅢穂䝁䄰兘塂䕁䅅睑䑂䍁䅅䅊䉂䕁䅫䅊穁䑁䅫䅁㉄䅁䅁杇䅁䕁䅫兕啂䑁䅅睍睁䑁䅑䅍祁䑁䅧睍ぁ䅁䅁兗䅑䉁䅷䅁䩂䙁䅅䅖硁䑁䅙睎硁䑁䅣睍ぁ䑁䅅兎穁䅁䅁䅩䅑䉁䅷䅁䩂䙁䅅䅖硁䑁䅙睎硁䑁䅣睍ぁ䑁䅅兏ㅁ䅁䅁克䅑䉁䅷䅁䩂䙁䅅䅖硁䑁䅙睎硁䑁䅣睍ぁ䑁䅅兏㉁䅁䅁儲䅑䡁䅷䅁偂䡁䅁䅤灂䝁䄸杢穂䑁䅯睑ㅂ䡁䅉杣㥁䙁䅕睕䕂䍁䅷䅉乂䝁䅅睚㥁䕁䄰兡獂䝁䅷兡療䝁䄴督獁䍁䅁睑療䝁䄴杤乂䝁䅕䅤潂䝁䄸䅚㥁䕁䄰兓祂䝁䅕睙療䝁䄰兢求䝁䄴䅚求䝁䅑䅌佂䕁䅅児睁䅁䅁杴䅍䉁䅷䅁䩂䙁䅅䅖硁䑁䅙睎硁䑁䅣睍ぁ䑁䅅兏㍁䅁䅁儳䅑䝁䄴䅁偂䡁䅁䅤灂䝁䄸杢穂䑁䅯睑ㅂ䡁䅉杣㥁䕁䅣村兂䍁䅷兔桂䝁䅣児乂䝁䅫䅢獂䝁䅫睢畂䡁䅍䅌䑂䝁䄸杢㉂䕁䄰党あ䝁䅧睢歂䑁䄰兔䩂䡁䅉党橂䝁䄸兢瑂䝁䅕杢歂䝁䅕䅚䅁偁䍷䅁捁䅁䅁兓剂䙁䅑免㉁䑁䅣免㍁䑁䅍䅎硁䑁䅫䅏䅁䍁䕳䅁捁䅁䅁兓剂䙁䅑免㉁䑁䅣免㍁䑁䅍䅎硁䑁䅫兏䅁䕁䔸䅁捁䅁䅁睕兂䙁䅍免㕁䑁䅧免ぁ䑁䅑䅍㍁䑁䅑李䅁䩁䡣䅁捁䅁䅁兓剂䙁䅑免㉁䑁䅣免㍁䑁䅍䅎祁䑁䅁睍䅁䱁䕁䅁䕂䅁䅁睓療䡁䅉党桂䍁䅁睑療䝁䄰䅣療䡁䅍兡あ䝁䅕䅉呂䡁䅑睢橂䝁䅳䅉兂䡁䅉兡橂䝁䅕䅉䩂䝁䄴䅚求䡁䅧䅁卂䅁䅁䅷䅁䕁䄸䅣あ䝁䅫睢畂䡁䅍杏䑂䡁䅕杣祂䑁䄰兖呂䕁䅑䅌乂䝁䅅睚㥁䕁䄰兡獂䝁䅷兡療䝁䄴督獁䕁䅍睢畂䡁䅙兔求䡁䅑䅡療䝁䅑児乂䕁䅫杣求䝁䅍睢瑂䝁䄰党畂䝁䅑党歂䍁䅷䅕桂䝁䅑児偂䕁䄴䅌䝂䝁䅫䅢獂䑁䄰䅒桂䝁䅫䅢㕂䍁䅷䅒桂䡁䅑党穂䑁䄰村求䝁䅙睢祂䝁䅕䅌呂䝁䄸杣あ䑁䄰䅒求䡁䅍睙䅁佁䅅䅁捁䅁䅁兓剂䙁䅑免㉁䑁䅣免㍁䑁䅍䅎祁䑁䅁兎䅁䵁䕧䅁捁䅁䅁睕兂䙁䅍免㕁䑁䅧免ぁ䑁䅑䅍㍁䑁䅑杍䅁䩁䡫䅁捁䅁䅁兓剂䙁䅑免㉁䑁䅣免㍁䑁䅍䅎祁䑁䅁睎䅁䡁䕧䅁允䅁䅁睕兂䕁䅣兓瑁䙁䅕睕䅁䝁䡁䅁捁䅁䅁兔桂䡁䅉睡求䡁䅑督畁䙁䅉兙畂䝁䅣党䅁䅁䅯䅁捁䅁䅁兓剂䙁䅑免㉁䑁䅣免㍁䑁䅍䅎祁䑁䅅䅍䅁乁䕷䅁捁䅁䅁兓剂䙁䅑免㉁䑁䅣免㍁䑁䅍䅎祁䑁䅅免䅁乁䕍䅁捁䅁䅁兓剂䙁䅑免㍁䑁䅫杍㉁䑁䅁李㑁䑁䅅睎䅁佁䑕䅁捁䅁䅁兓剂䙁䅑免㍁䑁䅫杍㉁䑁䅁李㑁䑁䅅䅏䅁偁䑳䅁捁䅁䅁兓剂䙁䅑免㍁䑁䅫杍㉁䑁䅁李㑁䑁䅅兏䅁䍁䕉䅁㑁䅁䅁睕流䙁䅁䅉䡂䝁䅷睢楂䝁䅅䅢杁䕁䅫杢橂䍁䄴䅉潁䕁䄴兗呂䕁䅕杏呂䙁䅁睒䩂䍁䅫䅁桂睂䅁䅈䅁䕁䅫兕啂䑁䅅睎㕁䑁䅉李睁䑁䅙䅏祁䑁䅁䅁乃䅂䅁䅈䅁䙁䅍䅕呂䑁䅅䅏ぁ䑁䅣兏㕁䑁䅕免㑁䑁䅉䅁奄兂䅁䅈䅁䕁䅫兕啂䑁䅅睎㕁䑁䅉李睁䑁䅙䅏ぁ䑁䅫䅁橁䅂䅁䅒䅁䙁䅳兔䩂䙁䄸䅒䑂䕁䅙兑畂䝁䅅䅢㕂䡁䅍兡穂䙁䄸杤硁䍁䄴䅥獂䡁䅍兢摂䕁䅑睑䝂䍁䅅䅊坂䍁䅑䅎ぁ䅁䅁䅒䅉䉁䅷䅁䩂䙁䅅䅖硁䑁䅣兏祁䑁䅙䅍㉁䑁䅧兎睁䅁䅁杪䅑䕁䅑䅁扂䕁䄰兓時䕁䅑睑䝂䕁䅅杢桂䝁䅷入穂䝁䅫督時䡁䅙免畁䡁䅧䅢穂䝁䄰兘䕂䕁䅍杒桁䍁䅑杖歁䑁䅑睎䅁佁䍉䅁捁䅁䅁睕兂䙁䄸兕噂䕁䅫睑䱂䙁䄸睑偂䕁䄰䅕䅁䍁䙍䅁捁䅁䅁兓剂䙁䅑免㍁䑁䅫杍㉁䑁䅁李㑁䑁䅕睍䅁䙁䕉䅁捁䅁䅁兓剂䙁䅑免㍁䑁䅫杍㉁䑁䅁李㑁䑁䅕兏䅁䍁䕑䅁慁䅁䅁兓剂䙁䅑杍ぁ䑁䅧杍ぁ䑁䅕䅍ㅁ䑁䅅䅁兄䅂䅁䅈䅁䕁䅫兕啂䑁䅅睎㕁䑁䅉李睁䑁䅙䅏㉁䑁䅅䅁潁䅂䅁杆䅁䕁䄴兡牂䝁䅳党灂䍁䅁杍祁䑁䅕䅁敂䅁䅁䅍䅁䙁䅙兡求䡁䅑杢桂䝁䄰䅉䥂䝁䅅杢療䝁䅫䅉䥂䕁䄴䅗杁䝁䅫杢歂䝁䅕䅥䅁䥁䅕䅁奁䅁䅁兓剂䙁䅑李㍁䑁䅍䅍硁䑁䅙䅎睁䅁䅁杶䅑䉁䅷䅁䩂䙁䅅䅖硁䑁䅣兏祁䑁䅙䅍㉁䑁䅧李祁䅁䅁杳䅑䉁䅷䅁䩂䙁䅅䅖硁䑁䅣兏祁䑁䅙䅍㉁䑁䅧李㉁䅁䅁杈䅑䉁䅧䅁䩂䙁䅅䅖ぁ䑁䅉杍穁䑁䅁䅏祁䑁䅙䅁㙃䅂䅁䅈䅁䕁䅫兕啂䑁䅅睎㕁䑁䅉李睁䑁䅙䅏㉁䑁䅧䅁⭄睁䅁䅈䅁䕁䅫兕啂䑁䅅睎㕁䑁䅉睎㍁䑁䅕䅎ㅁ䑁䅣䅁⽂䅂䅁杇䅁䙁䅍䅕呂䑁䅑杍穁䑁䅧兎硁䑁䅑李㉁䅁䅁睶䅙䙁䅁䅁扂䕁䄰兓時䕁䅑睑䝂䕁䅅杢桂䝁䅷入穂䝁䅫督時䡁䅙免畁䡁䅧䅢穂䝁䄰兘䕂䕁䅍杒桁䍁䅑䅓歁䑁䅫䅏㙁䍁䅑兔歁䑁䅫䅏䅁乁䍕䅁捁䅁䅁兓剂䙁䅑免㍁䑁䅫杍㍁䑁䅣兎ぁ䑁䅕䅏䅁佁䑳䅁捁䅁䅁兓剂䙁䅑免㍁䑁䅫杍㍁䑁䅣兎ぁ䑁䅕兏䅁䩁䔰䅁䝂䅁䅁睗乂䕁䅫睘䕂䕁䅍杒䉂䝁䄴兙獂䡁䅫督灂䡁䅍睘㉂䑁䅅杌㑂䝁䅷督瑂䙁䄰䅒䑂䕁䅙光歁䙁䅫䅊硁䑁䅉李䅁䉁䍅䅁慁䅁䅁兓剂䙁䅑杍ぁ䑁䅑睎祁䑁䅣免穁䑁䅧䅁ㅃ䅂䅁䅈䅁䕁䅫兕啂䑁䅅睎㕁䑁䅉睎㍁䑁䅕䅎㉁䑁䅁䅁䱁䅂䅁䅇䅁䕁䅫兕啂䑁䅍免㍁䑁䅧䅎硁䑁䅉䅍䅁䍁䕯䅁慁䅁䅁兓剂䙁䅑杍ぁ䑁䅙兏㕁䑁䅕兎祁䑁䅅䅁⭁䅂䅁杒䅁䙁䅳兔䩂䙁䄸䅒䑂䕁䅙兑畂䝁䅅䅢㕂䡁䅍兡穂䙁䄸杤硁䍁䄴䅥獂䡁䅍兢摂䕁䅑睑䝂䍁䅅䅊婂䍁䅑免祁䑁䅣䅁䵃杁䅁䅈䅁䕁䅫兕啂䑁䅅睎㕁䑁䅉睎㍁䑁䅕䅎㉁䑁䅅䅁㥂䅂䅁䅈䅁䕁䅫兕啂䑁䅅睎㕁䑁䅉睎㍁䑁䅕䅎㉁䑁䅉䅁啄䅂䅁杉䅁䕁䄰睕䑂䕁䅫䅉塂䝁䄸杣獂䝁䅑䅉潁䙁䅕睕䕂䍁䅫䅁慂䅁䅁杒䅁䙁䅳兔䩂䙁䄸䅒䑂䕁䅙兑畂䝁䅅䅢㕂䡁䅍兡穂䙁䄸杤硁䍁䄴䅥獂䡁䅍兢摂䕁䅑睑䝂䍁䅅䅊婂䍁䅑免祁䑁䅕䅁偁杁䅁䅈䅁䕁䅫兕啂䑁䅅睎㕁䑁䅉睎㍁䑁䅕䅎㉁䑁䅍䅁⽁䅂䅁䅈䅁䕁䅫兕啂䑁䅅睎㕁䑁䅉睎㍁䑁䅕䅎㉁䑁䅑䅁坄䅂䅁䅈䅁䕁䅫兕啂䑁䅅睎㕁䑁䅉睎㍁䑁䅕䅎㉁䑁䅕䅁䉃䅂䅁䅈䅁䕁䅫兕啂䑁䅅睎㕁䑁䅉睎㍁䑁䅕䅎㉁䑁䅙䅁浂䅂䅁杇䅁䕁䅫兕啂䑁䅣䅍睁䑁䅫䅍㉁䑁䅫兎睁䅁䅁睚䅑䥁䄴䅁偂䡁䅁䅤灂䝁䄸杢穂䑁䅯睑ㅂ䡁䅉杣㥁䙁䅉党睂䝁䄸杣あ䝁䅕䅚杁䝁䅍兤祂䡁䅉党畂䝁䅍入獁䕁䄰兙湂䑁䄰兔䩂䡁䅍䅤桂䝁䄴䅚桂䡁䅉䅚獁䕁䅍睢畂䡁䅙兔求䡁䅑䅡療䝁䅑児乂䕁䅫杣求䝁䅍睢瑂䝁䄰党畂䝁䅑党歂䅁䅁睌䅅䉁䅷䅁䩂䙁䅅䅖硁䑁䅣兏祁䑁䅣睎ㅁ䑁䅑睎睁䅁䅁䅄䅑䉁䅷䅁䩂䙁䅅䅖硁䑁䅣兏祁䑁䅣睎ㅁ䑁䅑睎祁䅁䅁儱䅑䙁䅉䅁扂䙁䅍䅕䡂䙁䄸䅒䑂䕁䅙兑畂䝁䅅䅢㕂䡁䅍兡穂䙁䄸杤硁䍁䄴䅥獂䡁䅍兢摂䕁䅑睑䝂䍁䅅䅊䥂䍁䅑兏㑁䑁䅯䅊乂䍁䅑兏㑁䅁䅁杏䅍䙁䅧䅁扂䕁䄰兓時䕁䅣䅔偂䕁䅉兑䵂䙁䄸睖䉂䕁䅍睑䉂䝁䄴兙獂䡁䅫督灂䡁䅍睘㉂䑁䅉杌㑂䝁䅷督瑂䙁䄰睖䉂䕁䅍睑桁䍁䅑兑䙂䍁䅑䅎睁䅁䅁朶䅁䕁䅙䅁扂䕁䄰兓時䕁䅑睑䝂䕁䅅杢桂䝁䅷入穂䝁䅫督時䡁䅙免畁䡁䅧䅢穂䝁䄰兘䕂䕁䅍杒桁䍁䅑兗歁䑁䅅睍ぁ䅁䅁睅䅉䉁䅯䅁䩂䙁䅅䅖祁䑁䅙䅎硁䑁䅁李㉁䑁䅧䅏䅁䵁䕉䅁䝂䅁䅁睗乂䕁䅫睘䕂䕁䅍杒䉂䝁䄴兙獂䡁䅫督灂䡁䅍睘㉂䑁䅅杌㑂䝁䅷督瑂䙁䄰䅒䑂䕁䅙光歁䙁䅫䅊硁䑁䅍兎䅁䥁䌴䅁捁䅁䅁兓剂䙁䅑免㍁䑁䅫杍㍁䑁䅣兎ぁ䑁䅣睍䅁䕁䕁䅁捁䅁䅁兓剂䙁䅑免㍁䑁䅫李ぁ䑁䅁睎㑁䑁䅅䅏䅁䥁䕷䅁捁䅁䅁兓剂䙁䅑免㍁䑁䅫李ぁ䑁䅁兏硁䑁䅉杍䅁䥁䕉䅁捁䅁䅁兓剂䙁䅑免㑁䑁䅍睎ぁ䑁䅕杍睁䑁䅅睎䅁䙁䕯䅁捁䅁䅁杔䉂䙁䅍䅒䉂䙁䅅睒呂䑁䅯兑䉂䙁䅁䅔䅁䱁䡷䅁坁䅁䅁兑睂䡁䅁䅢求䍁䅁兓畂䝁䅍杌䅁䍁䥅䅁捁䅁䅁兓剂䙁䅑免㑁䑁䅍睎ぁ䑁䅕杍睁䑁䅅兏䅁䭁䔴䅁捁䅁䅁睕兂䙁䅍免㕁䑁䅅睎睁䑁䅁䅏㕁䑁䅫睎䅁䑁䠰䅁捁䅁䅁兓剂䙁䅑免㑁䑁䅍睎ぁ䑁䅕杍睁䑁䅉免䅁䡁䕯䅁兄䅁䅁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䅌兂䝁䅅䅚㥁䕁䄸杚浂䍁䅷䅒桂䡁䅑党穂䑁䄰村求䝁䅙睢祂䝁䅕䅌呂䝁䄸杣あ䑁䄰䅒求䡁䅍睙䅁䉁䅙䅁捁䅁䅁兓剂䙁䅑免㑁䑁䅑睎㕁䑁䅫兎硁䑁䅧睎䅁䱁䕍䅁䝂䅁䅁睗乂䕁䅫睘䕂䕁䅍杒䉂䝁䄴兙獂䡁䅫督灂䡁䅍睘㉂䑁䅅杌㑂䝁䅷督瑂䙁䄰䅒䑂䕁䅙光歁䙁䅣䅊硁䑁䅉兎䅁䅁䌴䅁慁䅁䅁杕ㅂ䡁䅍督求䝁䅷䅢杁䑁䅅䅍睁䑁䅁䅁畂䅁䅁䅈䅁䕁䅫兕啂䑁䅅䅏ぁ䑁䅣兏㕁䑁䅕免㑁䑁䅫䅁剄䅂䅁䅈䅁䕁䅫兕啂䑁䅅䅏ぁ䑁䅣兏㕁䑁䅕免㕁䑁䅁䅁奃䅂䅁䅙䅁䙁䅳兔䩂䙁䄸兓佂䙁䅍睘䡂䕁䅷睔䍂䕁䅅䅔時䙁䅣兑䑂䕁䅍杌䉂䝁䄴兙獂䡁䅫督灂䡁䅍睘㉂䑁䅅杌㑂䝁䅷督瑂䙁䄰睖䉂䕁䅍睑桁䍁䅑䅕歁䑁䅍杍䅁䭁䅍䅁捁䅁䅁兓剂䙁䅑免㑁䑁䅑睎㕁䑁䅫兎硁䑁䅫免䅁䑁䕯䅁慁䅁䅁睕兂䙁䅍李㑁䑁䅍䅍ㅁ䑁䅍䅏㕁䑁䅑䅁㝂睂䅁䅈䅁䕁䅫兕啂䑁䅅䅏ぁ䑁䅣兏㕁䑁䅕杍睁䑁䅣䅁婃䅂䅁䅈䅁䕁䅫兕啂䑁䅅䅏ぁ䑁䅣兏㕁䑁䅕杍硁䑁䅁䅁㉁䅂䅁䅈䅁䕁䅫兕啂䑁䅅䅏ぁ䑁䅣兏㕁䑁䅕杍硁䑁䅉䅁䩄䅂䅁杇䅁䙁䅍䅕呂䑁䅕兏ぁ䑁䅕䅍穁䑁䅍䅏㑁䅁䅁儲䅙䉁䅷䅁䩂䙁䅅䅖硁䑁䅧䅎㍁䑁䅫兏ㅁ䑁䅉免ㅁ䅁䅁兩䅑䙁䅙䅁扂䙁䅍䅕䡂䙁䄸䅒䑂䕁䅙兑畂䝁䅅䅢㕂䡁䅍兡穂䙁䄸杤硁䍁䄴䅥獂䡁䅍兢摂䕁䅑睑䝂䍁䅅䅊䕂䕁䄴䅊ㅁ䑁䅅杏歁䕁䅑杔歁䑁䅕睎䅁䍁䑧䅁捁䅁䅁兓剂䙁䅑免㑁䑁䅑睎㕁䑁䅫兎祁䑁䅅李䅁䡁䕳䅁十䅁䅁杔婂䙁䅍兒㙁䕁䅅睑佂䅁䅁兆䅑䉁䅷䅁䩂䙁䅅䅖硁䑁䅧䅎㍁䑁䅫兏ㅁ䑁䅉免㍁䅁䅁杭䅑䉁䅯䅁呂䙁䅁睕ㅁ䑁䅫䅎ㅁ䑁䅁睍穁䑁䅧兎䅁乁䝙䅁䥂䅁䅁睗呂䙁䅁睒時䕁䅑睑䝂䕁䅅杢桂䝁䅷入穂䝁䅫督時䡁䅙免畁䡁䅧䅢穂䝁䄰兘䕂䕁䅍杒桁䍁䅑䅒䍂䍁䅑兎硁䅁䅁睎䅍䉁䅷䅁䩂䙁䅅䅖硁䑁䅧䅎㍁䑁䅫兏ㅁ䑁䅉免㑁䅁䅁儸䅍䉁䅷䅁呂䙁䅁睕硁䑁䅣兏祁䑁䅣睎ㅁ䑁䅑睍硁䅁䅁杌䅙䉁䅷䅁䩂䙁䅅䅖硁䑁䅧䅎㍁䑁䅫兏ㅁ䑁䅉䅎穁䅁䅁睍䅑䉁䅷䅁䩂䙁䅅䅖硁䑁䅧李ぁ䑁䅁䅎ㅁ䑁䅑睎穁䅁䅁䅁䅑䙁䅙䅁扂䙁䅍䅕䡂䙁䄸䅒䑂䕁䅙兑畂䝁䅅䅢㕂䡁䅍兡穂䙁䄸杤硁䍁䄴䅥獂䡁䅍兢摂䕁䅑睑䝂䍁䅅䅊婂䍁䅑免ㅁ䑁䅉杏歁䙁䅫䅊硁䑁䅕睍䅁佁䕑䅁佄䅁䅁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䅌兂䝁䅅䅚㥁䕁䄸杚浂䍁䅷䅒桂䡁䅑党穂䑁䄰村求䝁䅙睢祂䝁䅕䅌呂䝁䄸杣あ䑁䄰兑穂䝁䅍䅁佁䅁䅁䅈䅁䙁䅍䅕呂䑁䅅睎㕁䑁䅉睎㍁䑁䅕䅎穁䑁䅙䅁敄兂䅁䅈䅁䕁䅫兕啂䑁䅅䅏ぁ䑁䅣兏㕁䑁䅕杍ぁ䑁䅑䅁瑁䅂䅁䅈䅁䕁䅫兕啂䑁䅅䅏㉁䑁䅑䅍ぁ䑁䅕䅎㍁䑁䅑䅁啁䅂䅁䅈䅁䙁䅍䅕呂䑁䅅睎㕁䑁䅉睎㍁䑁䅕䅎穁䑁䅣䅁婁杂䅁䅈䅁䕁䅫兕啂䑁䅅䅏ぁ䑁䅣兏㕁䑁䅕杍ぁ䑁䅕䅁䭃䅂䅁䅈䅁䙁䅍䅕呂䑁䅅睎㕁䑁䅉睎㍁䑁䅕䅎穁䑁䅕䅁汃兂䅁䅈䅁䕁䅫兕啂䑁䅅䅏ぁ䑁䅣兏㕁䑁䅕杍ぁ䑁䅣䅁扃䅂䅁䅈䅁䕁䅫兕啂䑁䅅䅏ぁ䑁䅣兏㕁䑁䅕杍ㅁ䑁䅉䅁䱄䅂䅁杇䅁䕁䅫兕啂䑁䅉䅎㉁䑁䅣䅎穁䑁䅕兏㍁䅁䅁杔䅑䉁䅷䅁䩂䙁䅅䅖硁䑁䅧䅎㍁䑁䅫兏ㅁ䑁䅉兎穁䅁䅁䅎䅑䍁䅷䅁乂䙁䅍睑䩂䍁䅁兓畂䝁䅍杌杁䍁䅧杔婂䙁䅍兒㙁䕁䄰睕䑂䕁䅫克䅁䝁䡕䅁捁䅁䅁睕兂䙁䅍免㍁䑁䅫杍㍁䑁䅣兎ぁ䑁䅉李䅁乁䘰䅁捁䅁䅁兓剂䙁䅑免㑁䑁䅑睎㕁䑁䅫兎祁䑁䅕䅎䅁䍁䔴䅁㉁䅁䅁兔桂䝁䅷䅤桂䍁䅁睕あ䝁䄸睙牂䍁䅁兒㑂䝁䅍䅡桂䝁䄴睚求䍁䅁兓畂䝁䅑党㑂䅁䅁兖䅁䉁䅷䅁䩂䙁䅅睘啂䕁䅕杖時䕁䅕村䩂䙁䅑䅒䉂䅁䅁眴䅍䕁䅙䅁扂䙁䅍䅕䡂䙁䄸䅒䑂䕁䅙兑畂䝁䅅䅢㕂䡁䅍兡穂䙁䄸杤硁䍁䄴䅥獂䡁䅍兢摂䕁䅑睑䝂䍁䅅䅊䍂䍁䅑兏㑁䅁䅁兏䅍䉁䅧䅁呂䙁䅁睕㉁䑁䅑李硁䑁䅉李硁䑁䅅䅁䩂睂䅁䅈䅁䙁䅍䅕呂䑁䅅睎㕁䑁䅉睎㍁䑁䅕䅎祁䑁䅣䅁奁杂䅁䅈䅁䕁䅫兕啂䑁䅅䅏ぁ䑁䅣兏㕁䑁䅕杍ㅁ䑁䅕䅁䱃䅂䅁杘䅁䕁䄸䅣あ䝁䅫睢畂䡁䅍杏䑂䡁䅕杣祂䑁䄰睒䍂䙁䅁䅌䑂䝁䄸杢㉂䕁䄰党あ䝁䅧睢歂䑁䄰兔䩂䡁䅉党橂䝁䄸兢瑂䝁䅕杢歂䝁䅕䅚獁䕁䄴兑㥁䑁䅁䅁歃杂䅁杒䅁䙁䅳兔䩂䙁䄸䅒䑂䕁䅙兑畂䝁䅅䅢㕂䡁䅍兡穂䙁䄸杤硁䍁䄴䅥獂䡁䅍兢摂䕁䅑睑䝂䍁䅅䅊䉂䕁䄸䅊ㅁ䑁䅁䅁㥁杁䅁杇䅁䕁䅫兕啂䑁䅉䅎㉁䑁䅣䅎穁䑁䅕兏硁䅁䅁兔䅑䉁䅷䅁呂䙁䅁睕硁䑁䅣兏祁䑁䅣睎ㅁ䑁䅑杍ぁ䅁䅁䅌䅙䉁䅷䅁䩂䙁䅅䅖硁䑁䅧䅎㍁䑁䅫兏ㅁ䑁䅉兎㉁䅁䅁䅦䅑䉁䅧䅁䩂䙁䅅䅖㉁䑁䅣杍㑁䑁䅫睎㕁䑁䅉䅁䡁䅂䅁䅈䅁䕁䅫兕啂䑁䅅䅏ぁ䑁䅣兏㕁䑁䅕杍㉁䑁䅁䅁㑁䅂䅁杒䅁䙁䅳兔䩂䙁䄸䅒䑂䕁䅙兑畂䝁䅅䅢㕂䡁䅍兡穂䙁䄸杤硁䍁䄴䅥獂䡁䅍兢摂䕁䅑睑䝂䍁䅅䅊䍂䍁䅑杍睁䑁䅑䅁婂杁䅁䅈䅁䕁䅫兕啂䑁䅅䅏ぁ䑁䅣兏㕁䑁䅕杍㉁䑁䅅䅁㥃䅂䅁䅗䅁䙁䅳兔䩂䙁䄸睖䉂䕁䅍睑䉂䝁䄴兙獂䡁䅫督灂䡁䅍睘㉂䑁䅅杌㑂䝁䅷督瑂䙁䄰睖䉂䕁䅍睑桁䍁䅑睑呂䍁䅑睍㕁䑁䅯䅊䑂䙁䅙䅊穁䑁䅫䅁允允䅁杒䅁䙁䅳兔䩂䙁䄸䅒䑂䕁䅙兑畂䝁䅅䅢㕂䡁䅍兡穂䙁䄸杤硁䍁䄴䅥獂䡁䅍兢摂䕁䅑睑䝂䍁䅅䅊䍂䍁䅑杍睁䑁䅣䅁捄杁䅁䅈䅁䕁䅫兕啂䑁䅅䅏ぁ䑁䅣兏㕁䑁䅕杍㉁䑁䅉䅁䵄䅂䅁杒䅁䙁䅳兔䩂䙁䄸䅒䑂䕁䅙兑畂䝁䅅䅢㕂䡁䅍兡穂䙁䄸杤硁䍁䄴䅥獂䡁䅍兢摂䕁䅑睑䝂䍁䅅䅊䍂䍁䅑杍睁䑁䅅䅁㥄允䅁䅈䅁䕁䅫兕啂䑁䅅䅏ぁ䑁䅣兏㕁䑁䅕杍㉁䑁䅑䅁癁䅂䅁䅈䅁䕁䅫兕啂䑁䅅䅏ぁ䑁䅣兏㕁䑁䅕䅎睁䑁䅍䅁千䅂䅁䅈䅁䕁䄴兑呂䕁䅑兑剂䕁䅣睕㙁䕁䅍睕䑂䕁䄸䅁汁兂䅁杇䅁䙁䅍䅕呂䑁䅑睍ぁ䑁䅁䅎穁䑁䅅免㉁䅁䅁䅐䅧䉁䅷䅁䩂䙁䅅䅖硁䑁䅧䅎㍁䑁䅫兏ㅁ䑁䅑䅍ㅁ䅁䅁䅘䅑䉁䅷䅁呂䙁䅁睕硁䑁䅧䅏㍁䑁䅁睍睁䑁䅫兎㉁䅁䅁睆䅙䉁䅷䅁䩂䙁䅅䅖硁䑁䅧䅎㍁䑁䅫兏ㅁ䑁䅑䅍㑁䅁䅁杸䅑䉁䅷䅁䩂䙁䅅䅖硁䑁䅧䅎㍁䑁䅫兏ㅁ䑁䅑免睁䅁䅁督䅑䉁䅷䅁䩂䙁䅅䅖硁䑁䅧䅎㍁䑁䅫兏ㅁ䑁䅑免㉁䅁䅁䅉䅑䉁䅷䅁䩂䙁䅅䅖硁䑁䅧䅎㍁䑁䅫兏ㅁ䑁䅑免㑁䅁䅁睸䅑䉁䅷䅁佂䕁䅅睕䕂䕁䅅兕䡂䙁䅍杏䑂䕁䄸兓佂䅁䅁兗䅣䉁䅷䅁䩂䙁䅅䅖硁䑁䅧䅎㍁䑁䅫兏ㅁ䑁䅑杍睁䅁䅁䅤䅑䉁䅷䅁䩂䙁䅅䅖硁䑁䅧䅎㍁䑁䅫兏ㅁ䑁䅑杍硁䅁䅁兰䅑䉁䅷䅁䩂䙁䅅䅖硁䑁䅧睎ぁ䑁䅍睍㉁䑁䅍兏㉁䅁䅁児䅑䙁䅧䅁扂䕁䄰兓時䕁䅣䅔偂䕁䅉兑䵂䙁䄸睖䉂䕁䅍睑䉂䝁䄴兙獂䡁䅫督灂䡁䅍睘㉂䑁䅅杌㑂䝁䅷督瑂䙁䄰睖䉂䕁䅍睑桁䍁䅑睑佂䍁䅑睍㍁䅁䅁杷䅁䉁䅷䅁䩂䙁䅅䅖硁䑁䅧䅎㍁䑁䅫兏ㅁ䑁䅑杍祁䅁䅁䅲䅑䉁䅷䅁䩂䙁䅅䅖硁䑁䅧睎ぁ䑁䅍睍㉁䑁䅍兏ㅁ䅁䅁睨䅑䕁䅙䅁扂䕁䄰兓時䕁䅑睑䝂䕁䅅杢桂䝁䅷入穂䝁䅫督時䡁䅙免畁䡁䅧䅢穂䝁䄰兘䕂䕁䅍杒桁䍁䅑䅗歁䑁䅅睍㉁䅁䅁䄲䅅䉁䅷䅁䩂䙁䅅䅖硁䑁䅧䅎㍁䑁䅫兏ㅁ䑁䅑杍穁䅁䅁睫䅑䉁䅷䅁䩂䙁䅅䅖硁䑁䅧睎ぁ䑁䅍睍㉁䑁䅍兏ぁ䅁䅁睗䅑䉁䅷䅁䩂䙁䅅䅖硁䑁䅧䅎㍁䑁䅫兏ㅁ䑁䅑杍ぁ䅁䅁睓䅑䉁䅷䅁䩂䙁䅅䅖硁䑁䅧睎ぁ䑁䅍睍㉁䑁䅍兏穁䅁䅁具䅑䙁䅯䅁湁䙁䅳睕兂䕁䅣睘䕂䕁䅍杒時䕁䅅杢桂䝁䅷入穂䝁䅫督時䡁䅙免杁䕁䅙兡畂䝁䅅䅢畁䡁䅧䅢穂䝁䄰兘䕂䕁䅍杒湁䍁䅅䅊䉂䕁䅯䅊ㅁ䑁䅣䅁䉄睂䅁䅈䅁䕁䅫兕啂䑁䅅䅏ぁ䑁䅣兏㕁䑁䅕䅎祁䑁䅕䅁敂䅂䅁䅈䅁䕁䅫兕啂䑁䅅䅏㍁䑁䅑睍穁䑁䅙睍㕁䑁䅉䅁䵂䅂䅁䅆䅁䕁䅫兕時䕁䅕村䩂䙁䅑䅒䉂䅁䅁杚䅙䉁䅉䅁䩂䙁䅅睘䑂䕁䅅䅕䙂䙁䅧䅁䍃睁䅁䅈䅁䕁䅫兕啂䑁䅅䅏㍁䑁䅑䅎ㅁ䑁䅧䅏睁䑁䅅䅁䙄䅂䅁䅈䅁䕁䅫兕啂䑁䅅䅏㍁䑁䅑兏ぁ䑁䅑睎睁䑁䅍䅁⽃䅂䅁杖䅁䙁䅳睕兂䕁䅣睘䕂䕁䅍杒䉂䝁䄴兙獂䡁䅫督灂䡁䅍睘㉂䑁䅅杌㑂䝁䅷督瑂䙁䄰䅒䑂䕁䅙光歁䕁䅙䅊祁䑁䅁䅏㙁䍁䅑兔歁䑁䅉䅍㑁䅁䅁睓䅍䉁䅷䅁䩂䙁䅅䅖硁䑁䅧䅏㍁䑁䅁睍睁䑁䅫李ㅁ䅁䅁兙䅑䉁䅯䅁呂䙁䅁睕祁䑁䅧䅎㉁䑁䅫兎硁䑁䅫兎䅁乁䡫䅁捁䅁䅁兓剂䙁䅑免㑁䑁䅧睎睁䑁䅍䅍㕁䑁䅙睎䅁䑁䕁䅁㙂䅁䅁睔睂䡁䅑兡療䝁䄴督㙁䕁䅍兤祂䡁䅉児䡂䕁䅉䅕獁䕁䄰兙湂䑁䄰䅖潂䝁䄸兤穂䝁䅅杢歂䡁䅍䅌䑂䝁䄸杢㉂䕁䄰党あ䝁䅧睢歂䑁䄰兔䩂䡁䅉党橂䝁䄸兢瑂䝁䅕杢歂䝁䅕䅚獁䕁䄴兑㥁䑁䅁䅁橃杂䅁䅈䅁䕁䅫兕啂䑁䅅䅏㑁䑁䅣䅍穁䑁䅁兏㉁䑁䅧䅁歂䅂䅁䅈䅁䕁䅫兕啂䑁䅅䅏㑁䑁䅣䅍穁䑁䅁兏㉁䑁䅫䅁㉃䅂䅁䅈䅁䕁䅫兕啂䑁䅅䅏㑁䑁䅣䅍穁䑁䅁兏㍁䑁䅁䅁ㅂ䅂䅁䅈䅁䙁䅍䅕呂䑁䅅䅏ぁ䑁䅣兏㕁䑁䅕睍㍁䑁䅕䅁䙂杂䅁䅈䅁䕁䅫兕啂䑁䅅䅏㑁䑁䅣䅍穁䑁䅁兏㍁䑁䅅䅁䑃䅂䅁䅈䅁䕁䅫兕啂䑁䅅䅏㑁䑁䅣䅍穁䑁䅁兏㍁䑁䅑䅁塁䅂䅁䅖䅁䙁䅳兔䩂䙁䄸䅒䑂䕁䅙兑畂䝁䅅䅢㕂䡁䅍兡穂䙁䄸杤硁䍁䄴䅥獂䡁䅍兢摂䕁䅑睑䝂䍁䅅䅊奂䍁䅑免ぁ䑁䅧杏歁䙁䅧䅊硁䑁䅕睍䅁佁䌴䅁捁䅁䅁兓剂䙁䅑免㑁䑁䅧睎睁䑁䅍䅍㕁䑁䅣兎䅁䝁䕉䅁捁䅁䅁睕兂䙁䅍免㑁䑁䅑睎㕁䑁䅫兎穁䑁䅣杍䅁乁䙳䅁捁䅁䅁兓剂䙁䅑免㑁䑁䅧睎睁䑁䅍䅍㕁䑁䅣李䅁䕁䕉䅁捁䅁䅁兓剂䙁䅑免㑁䑁䅧睎睁䑁䅍䅍㕁䑁䅣睎䅁䑁䕅䅁捁䅁䅁兓剂䙁䅑免㑁䑁䅧睎睁䑁䅍䅍㕁䑁䅣兏䅁䱁䕣䅁捁䅁䅁兓剂䙁䅑免㑁䑁䅧睎睁䑁䅍䅍㕁䑁䅧䅍䅁䡁䕙䅁捁䅁䅁兓剂䙁䅑免㑁䑁䅧睎睁䑁䅍䅍㕁䑁䅧杍䅁䅁䕍䅁慁䅁䅁兓剂䙁䅑杍ぁ䑁䅉兏㍁䑁䅧䅍ぁ䑁䅙䅁橃䅂䅁䅈䅁䕁䄴兙穂䝁䅑兙硂䕁䅣睕㙁䙁䅑睕䵂䕁䅅䅁灂䅂䅁䅈䅁䙁䅍䅕呂䑁䅅䅏穁䑁䅣䅎ㅁ䑁䅅兏㍁䑁䅙䅁䭁杂䅁杇䅁䕁䅫兕啂䑁䅉䅎ぁ䑁䅣杍㍁䑁䅉免祁䅁䅁全䅑䉁䅷䅁呂䙁䅁睕硁䑁䅧睍㍁䑁䅑兎硁䑁䅫睎㍁䅁䅁杘䅙䉁䅯䅁䩂䙁䅅䅖祁䑁䅑䅎㍁䑁䅉睎祁䑁䅅睍䅁䥁䕙䅁慁䅁䅁兓剂䙁䅑杍ぁ䑁䅙睎㍁䑁䅍䅏㍁䑁䅙䅁硂䅂䅁杖䅁䙁䅳睕兂䕁䅣睘䕂䕁䅍杒䉂䝁䄴兙獂䡁䅫督灂䡁䅍睘㉂䑁䅅杌㑂䝁䅷督瑂䙁䄰䅒䑂䕁䅙光歁䙁䅫䅊硁䑁䅑杍㙁䍁䅑兗歁䑁䅅䅎穁䅁䅁䄷䅑䉁䅯䅁䩂䙁䅅䅖祁䑁䅑䅏硁䑁䅫免ぁ䑁䅑杍䅁偁䑣䅁䥂䅁䅁睔睂䡁䅑兡療䝁䄴督㙁䕁䄸䅣あ䝁䅫睢畂䡁䅍杏䑂䡁䅕杣祂䑁䄰睒䍂䙁䅁䅌乂䝁䅅睚㥁䍁䅷杔䉂䑁䄰䅍㥁䅁䅁睂䅧䉁䅯䅁䩂䙁䅅䅖祁䑁䅕睍穁䑁䅣兏㉁䑁䅫兎䅁䡁䕣䅁捁䅁䅁睕兂䙁䅍免㍁䑁䅫杍㉁䑁䅕兏㍁䑁䅫睎䅁䑁䜰䅁慁䅁䅁兓剂䙁䅑杍ㅁ䑁䅍李㑁䑁䅣免硁䑁䅣䅁剁䅂䅁杇䅁䕁䅫兕時䕁䄰兑卂䕁䅳兒啂䕁䅍兑兂䅁䅁睙䅑䉁䅷䅁呂䙁䅁睕硁䑁䅣兏祁䑁䅙兎㕁䑁䅣兏㑁䅁䅁光䅙䉁䅯䅁䩂䙁䅅䅖祁䑁䅕睍㉁䑁䅧睎硁䑁䅅䅏䅁䉁䕉䅁允䅁䅁睔畂䝁䅕䅉䕂䝁䅅入䅁乁䅅䅁慁䅁䅁睕兂䙁䅍免硁䑁䅍李㑁䑁䅁兎㕁䑁䅫䅁䡄睂䅁䅈䅁䙁䅍䅕呂䑁䅅睎㕁䑁䅉李ㅁ䑁䅫睎㕁䑁䅫䅁晁杂䅁杇䅁䕁䅫兕啂䑁䅉兎穁䑁䅙䅏㍁䑁䅅免㕁䅁䅁睅䅑䉁䅯䅁䩂䙁䅅䅖祁䑁䅕睍㉁䑁䅫免㑁䑁䅣䅎䅁䍁䕕䅁慁䅁䅁兓剂䙁䅑杍ㅁ䑁䅑睍穁䑁䅕䅎硁䑁䅉䅁桃䅂䅁杇䅁䕁䅫兕啂䑁䅉兎ぁ䑁䅍睍ㅁ䑁䅕䅎㕁䅁䅁䄴䅑䉁䅁䅁坂䙁䅉睕䱂䍁䄰兖呂䅁䅁条䅣䉁䅯䅁䩂䙁䅅䅖祁䑁䅕䅎㑁䑁䅙睎㍁䑁䅉䅎䅁䉁䕷䅁捁䅁䅁睕兂䙁䅍免㕁䑁䅍䅍祁䑁䅕李睁䑁䅧兏䅁䩁䜰䅁佁䅁䅁睖䕂䕁䅍兌噂䙁䅍䅁浂杁䅁杇䅁䕁䅫兕啂䑁䅉兎㉁䑁䅉杍㕁䑁䅑免祁䅁䅁兖䅑䙁䅑䅁扂䕁䄰兓時䕁䅑睑䝂䕁䅅杢桂䝁䅷入穂䝁䅫督時䡁䅙免畁䡁䅧䅢穂䝁䄰兘䕂䕁䅍杒桁䍁䅑䅗歁䑁䅅䅎祁䑁䅯䅊奂䍁䅑免ぁ䑁䅣䅁䙁杁䅁杇䅁䕁䅫兕啂䑁䅉兎㉁䑁䅉杍㕁䑁䅑免ぁ䅁䅁杖䅑䉁䅯䅁䩂䙁䅅䅖祁䑁䅕李祁䑁䅉兏ぁ䑁䅅李䅁䙁䕣䅁䕂䅁䅁䅖療䡁䅑兙獂䍁䅁䅕祂䝁䅕杚求䡁䅉杣求䝁䅑䅉䙂䡁䅅兤灂䡁䅑入杁䍁䅧杕求䡁䅁睢祂䡁䅑党歂䍁䅫䅁扁䅁䅁杇䅁䕁䅫兕啂䑁䅉李睁䑁䅣李ㅁ䑁䅁䅍睁䅁䅁兕䅑䉁䅯䅁䩂䙁䅅䅖祁䑁䅙䅎睁䑁䅙杍穁䑁䅑䅎䅁䉁䕧䅁慁䅁䅁兓剂䙁䅑杍㉁䑁䅑䅍㉁䑁䅉睍ぁ䑁䅕䅁婁䅂䅁杇䅁䙁䅍䅕呂䑁䅑免㑁䑁䅫杍硁䑁䅁免祁䅁䅁睙䅧䉁䅯䅁呂䙁䅁睕ㅁ䑁䅙兎祁䑁䅍杍祁䑁䅑睎䅁䍁䥣䅁慁䅁䅁兓剂䙁䅑杍㉁䑁䅫睍ㅁ䑁䅍杍㍁䑁䅕䅁畂䅂䅁䅇䅁䕁䅫兕啂䑁䅍杍硁䑁䅕兎祁䑁䅉杍䅁䩁䕑䅁奁䅁䅁兓剂䙁䅑睍祁䑁䅉睍硁䑁䅕睎硁䅁䅁䅯䅑䉁䅧䅁䩂䙁䅅䅖穁䑁䅙免㑁䑁䅍䅏硁䑁䅕䅁灄䅂䅁杒䅁䙁䅳兔䩂䙁䄸䅒䑂䕁䅙兑畂䝁䅅䅢㕂䡁䅍兡穂䙁䄸杤硁䍁䄴䅥獂䡁䅍兢摂䕁䅑睑䝂䍁䅅䅊䉂䕁䅳䅊ぁ䑁䅫䅁㕂杁䅁䅇䅁䕁䅫兕啂䑁䅑杍祁䑁䅍䅍㑁䑁䅉䅎䅁乁䔴䅁奁䅁䅁兓剂䙁䅑李㍁䑁䅍䅍硁䑁䅫兏硁䅁䅁䅷䅑䕁䅙䅁扂䕁䄰兓時䕁䅑睑䝂䕁䅅杢桂䝁䅷入穂䝁䅫督時䡁䅙免畁䡁䅧䅢穂䝁䄰兘䕂䕁䅍杒桁䍁䅑睖歁䑁䅅䅎睁䅁䅁睁䅉䉁䅧䅁䩂䙁䅅䅖㍁䑁䅁䅍ㅁ䑁䅍睎穁䑁䅫䅁䭁䅂䅁杄䅁䕁䅫兕時䙁䅑兒坂䅁䅁杌䅅䉁䅯䅁䩂䙁䅅䅖㍁䑁䅁䅍㕁䑁䅁李㕁䑁䅑兏䅁䭁䔰䅁慁䅁䅁兓剂䙁䄸睑䥂䕁䅅杔䡂䕁䅕睘䉂䙁䅁䅁㑂杂䅁䅇䅁䕁䄴兑呂䕁䅑兑剂䍁䅁杒灂䝁䄴䅢䅁䙁䅷䅁慁䅁䅁兓剂䙁䄸睑䥂䕁䅅杔䡂䕁䅕睘䉂䙁䅉䅁㕂杂䅁杍䅁䕁䅫兕時䕁䅍䅓䉂䕁䄴睒䙂䙁䄸䅖卂䕁䅅䅒䩂䕁䄴睒時䕁䅅睕呂䕁䅕䅖呂䅁䅁杤䅙䍁䅯䅁䩂䙁䅅睘䑂䕁䅧兑佂䕁䅣兒時䙁䅕杔䙂䕁䅅杕佂䙁䄸杕䙂䙁䅙䅁㡂杂䅁䅈䅁䙁䅍䅕呂䑁䅅睎㕁䑁䅉李睁䑁䅙睎㕁䑁䅍䅁佁杂䅁䅉䅁䕁䅫兕時䕁䅍睔乂䙁䅁兑佂䙁䅫睘佂䕁䅅兔䙂䅁䅁儫䅍䡁䅙䅁偂䡁䅁䅤灂䝁䄸杢穂䑁䅯睑ㅂ䡁䅉杣㥁䕁䅕兖卂䍁䅷兔桂䝁䅣児䉂䝁䅍䅤ㅂ䝁䅅䅢穂䍁䅷睑療䝁䄴杤乂䝁䅕䅤潂䝁䄸䅚㥁䕁䄰兓祂䝁䅕睙療䝁䄰兢求䝁䄴䅚求䝁䅑䅌佂䕁䅅児睁䅁䅁睮䅣乁䅉䅁偂䡁䅁䅤灂䝁䄸杢穂䑁䅯杔䉂䑁䄰杔䉂䍁䅷睑ㅂ䡁䅉杣㥁䙁䅕睕䕂䍁䅷兔桂䝁䅣児乂䝁䅫䅢獂䝁䅫睢畂䡁䅍䅌䑂䝁䄸杢㉂䕁䄰党あ䝁䅧睢歂䑁䄰兔䩂䡁䅉党橂䝁䄸兢瑂䝁䅕杢歂䝁䅕䅚獁䙁䅁兙歂䑁䄰睔浂䝁䅙䅌䝂䝁䅫䅢獂䑁䄰兔療䝁䄴䅤潂䝁䅷入獁䕁䅑兙あ䝁䅕督㥁䕁䅉党浂䝁䄸杣求䍁䅷睕療䡁䅉䅤㥁䕁䅑党穂䝁䅍䅁塁杁䅁杈䅁䕁䅫兕時䕁䅍兖呂䙁䅑睔乂䙁䄸村䙂䙁䅑兑䅁䡁䑅䅁允䅁䅁兓剂䙁䄸兒䍂䕁䅫䅖䅁䝁䝯䅁捁䅁䅁睕兂䙁䅍免㕁䑁䅍䅍睁䑁䅉免㉁䑁䅫兎䅁䭁䝉䅁祁䅁䅁兓剂䙁䄸兒䍂䕁䅫䅖䕂䕁䅅睘䵂䕁䅕兑呂䕁䅕睘䉂䕁䅑杓噂䙁䅍䅖䙂䕁䅑䅁あ杂䅁䅇䅁䕁䅫兕時䕁䅙兓呂䕁䅍兑䵂䙁䄸兗䅁䝁䝳䅁捁䅁䅁兓剂䙁䄸杕䉂䙁䅑兒時䕁䅷兒坂䕁䅕䅔䅁佁䕯䅁啁䅁䅁䅕祂䝁䅕杚求䡁䅉杣求䝁䅑䅁䥁䅂䅁杉䅁䕁䅫兕時䙁䅍兑䵂䕁䅕睘䩂䕁䄴䅖䉂䕁䄴睘䑂䕁䅙䅁ㅂ杂䅁杆䅁䕁䅫兕時䙁䅍䅖時䕁䅑兒䍂䙁䅑䅁䭃杂䅁䅇䅁䕁䅫兕時䙁䅑睔啂䕁䅅䅔時䕁䅍兑䅁䥁䝧䅁奁䅁䅁兓剂䙁䄸䅖偂䙁䅑兑䵂䙁䄸睑䵂䅁䅁䅨䅙䉁䅷䅁䩂䙁䅅睘啂䕁䄸䅖䉂䕁䅷睘䕂䕁䅕村啂䅁䅁睌䅉䍁䅑䅁䩂䝁䄴督あ䝁䅫䅤ㅂ䡁䅑兡療䝁䄴䅉佂䝁䅅兢求䍁䅁䅁桁䅁䅁杌䅁䕁䅫杢あ䝁䅷䅉䍂䡁䅕督杁䕁䄰兙橂䝁䅧兡畂䝁䅕督杁䕁䅍睢祂䡁䅁䅁呃杂䅁杄䅁䕁䅳兓乂䍁䄰兖呂䅁䅁允䅅䉁䅁䅁䵂䕁䅑睔呂䍁䄰兖呂䅁䅁䅊䅉䕁䅉䅁䵂䝁䅕兙穂䝁䅕䅉䉂䝁䅑条ㅂ䡁䅍䅤瑂䝁䅕杢あ䍁䅁杚療䡁䅉䅉䙂䕁䅉兓啂䕁䅑兑杁䍁䅧䅊乂䍁䅫䅁⽂睁䅁杇䅁䙁䅍䅕呂䑁䅉睍㍁䑁䅙睍祁䑁䅁䅎硁䅁䅁䄵䅣䅁䄴䅁乂䕁䅅睑瑁䙁䅕睕䅁䅁䉉䅁杁䅁䅁兔呂䕁䅍兓杁䕁䅕兑䝂䕁䅕䅉潁䙁䅕睕䕂䍁䅫䅁塂䅁䅁杇䅁䙁䅍䅕呂䑁䅙䅏穁䑁䅁兎穁䑁䅧兏穁䅁䅁来䅣䉁䅯䅁呂䙁䅁睕祁䑁䅑兏祁䑁䅫睍穁䑁䅙睍䅁䕁䝉䅁允䅁䅁兔啂䕁䅍䅓瑁䙁䅕睕䅁䵁䈸䅁䍂䅁䅁兔桂䡁䅉睡求䡁䅑䅉䑂䝁䅅䅣灂䡁䅑兙獂䝁䅫来桂䡁䅑兡療䝁䄴䅉潁䙁䅉党睂䝁䄸杣あ䝁䅕䅚灁䅁䅁䅈䅁䍁䅙䅁乂䝁䅅杣牂䝁䅕䅤穂䍁䄴䅕祂䝁䅫睙求䕁䅍䅢療䡁䅍党䅁佁䅫䅁䝁䅁䅁杔䉂䅁䅁䅬䅅䅁䄴䅁佂䕁䅅睕䕂䕁䅅兕䅁䙁䅳䅁允䅁䅁杔䝂䕁䅷䅗瑁䙁䅕睕䅁䱁䝣䅁䝁䅁䅁杔乂䅁䅁䅬䅕䉁䅁䅁佂䙁䅑兑兂䍁䄰兖呂䅁䅁党䅉䉁䅑䅁佂䙁䅫睕䙂䑁䅯䅒䙂䕁䅷䅔䅁䍁䙧䅁十䅁䅁杔婂䙁䅍兒㙁䕁䅧䅕䙂䅁䅁䄫䅍䉁䅷䅁佂䝁䅅督歂䝁䅅兣䡂䙁䅍杏䑂䙁䅑睕䥂䅁䅁䅢䅑䑁䅷䅁佂䝁䅕䅤浂䝁䅷兡㑂䍁䅷䅉䩂䝁䄴睙畁䍁䅁䅋佂䕁䅅睕䕂䕁䅅兕䡂䙁䅍杏佂䕁䅙䅔奂䍁䅫䅁癃杂䅁䅏䅁䕁䄸䅣あ䝁䅫睢畂䡁䅍杏杁䙁䅍䅤桂䡁䅑兡穂䡁䅑兡橂䑁䄰兑坂䕁䅣䅌佂䕁䅅児睁䅁䅁朹䅑䍁䅉䅁偂䕁䄰䅗杁䙁䅍䅤療䝁䅍睡潂䝁䄸䅢瑂䍁䅁睍睁䅁䅁䅚䅁䍁䅷䅁偂䕁䄰䅗杁䙁䅙兡獂䝁䄴兡ㅂ䡁䅍䅉䉂䝁䅷䅢杁䙁䅍䅡桂䡁䅉党䅁䝁䅕䅁允䅁䅁睔卂䕁䅍䅔瑁䙁䅕睕䅁䡁䍁䅁啂䅁䅁睗乂䕁䅫睘䕂䕁䅍杒䉂䝁䄴兙獂䡁䅫督灂䡁䅍睘㉂䑁䅅杌㑂䝁䅷督瑂䙁䄰䅒䑂䕁䅙光歁䙁䅧䅊硁䑁䅑杍㙁䍁䅑䅗歁䑁䅅䅎穁䅁䅁眹䅉䕁䅷䅁偂䝁䅙杚求䡁䅉兡畂䝁䅣䅉䑂䝁䄸兢睂䝁䅷党あ䝁䅫睢畂䍁䅁䅒桂䡁䅑党杁䍁䅧兢瑂䍁䄸䅚歂䍁䄸入㕂䡁䅫入灁䅁䅁睌䅁䝁䅑䅁偂䡁䅁䅤灂䝁䄸杢穂䑁䅯睑ㅂ䡁䅉杣㥁䍁䅷兔桂䝁䅣児睁䍁䅷睑療䝁䄴杤乂䝁䅕䅤潂䝁䄸䅚㥁䕁䄰兓祂䝁䅕睙療䝁䄰兢求䝁䄴䅚求䝁䅑䅌佂䕁䅅児睁䅁䅁杬䅙䭁䅷䅁偂䡁䅁䅤灂䝁䄸杢穂䑁䅯睑ㅂ䡁䅉杣㥁䕁䅣村兂䍁䅷兔桂䝁䅣児乂䝁䅫䅢獂䝁䅫睢畂䡁䅍䅌䑂䝁䄸杢㉂䕁䄰党あ䝁䅧睢歂䑁䄰兔䩂䡁䅉党橂䝁䄸兢瑂䝁䅕杢歂䝁䅕䅚獁䙁䅁兙歂䑁䄰睔浂䝁䅙䅌䕂䝁䅅䅤求䡁䅍児䍂䝁䅕杚療䡁䅉党獁䙁䅍睢祂䡁䅑児䕂䝁䅕督橂䅁䅁儫䅉䡁䅷䅁偂䡁䅁䅤灂䝁䄸杢穂䑁䅯睑ㅂ䡁䅉杣㥁䕁䅣村兂䍁䅷兔桂䝁䅣児啂䝁䅧睢ㅂ䡁䅍兙畂䝁䅑督獁䕁䅍睢畂䡁䅙兔求䡁䅑䅡療䝁䅑児乂䕁䅫杣求䝁䅍睢瑂䝁䄰党畂䝁䅑党歂䍁䅷杔䉂䑁䄰杔䉂䅁䅁六䅙䝁䄴䅁偂䡁䅁䅤灂䝁䄸杢穂䑁䅯睑ㅂ䡁䅉杣㥁䕁䅯䅕婂䍁䅷兔桂䝁䅣児乂䝁䅫䅢獂䝁䅫睢畂䡁䅍䅌䑂䝁䄸杢㉂䕁䄰党あ䝁䅧睢歂䑁䄰兔䩂䡁䅉党橂䝁䄸兢瑂䝁䅕杢歂䝁䅕䅚䅁䍁䍉䅁䭃䅁䅁睔睂䡁䅑兡療䝁䄴督㙁䕁䅍兤祂䡁䅉児卂䝁䅕䅣療䡁䅉䅤求䝁䅑䅉橂䡁䅕杣祂䝁䅕杢橂䡁䅫䅌乂䝁䅅睚㥁䕁䅉兡獂䝁䅷兡療䝁䄴督獁䕁䅍睢畂䡁䅙兔求䡁䅑䅡療䝁䅑児乂䕁䅫杣求䝁䅍睢瑂䝁䄰党畂䝁䅑党歂䅁䅁眲䅅䥁䅷䅁偂䡁䅁䅤灂䝁䄸杢穂䑁䅯睑ㅂ䡁䅉杣㥁䙁䅉党睂䝁䄸杣あ䝁䅕䅚杁䝁䅍兤祂䡁䅉党畂䝁䅍入獁䕁䄰兙湂䑁䄰兔灂䝁䅷䅢灂䝁䄸杢穂䍁䅷睑療䝁䄴杤乂䝁䅕䅤潂䝁䄸䅚㥁䙁䅍杔䵂䡁䅉党橂䝁䄸兢瑂䝁䅕杢歂䝁䅕䅚䅁䍁䅍䅁千䅁䅁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䅁䉁䅁䅁杣䅁䕁䄸䅣あ䝁䅫睢畂䡁䅍杏䑂䡁䅕杣祂䑁䄰兖呂䕁䅑䅌杁䕁䄰兙湂䑁䄰兔灂䝁䅷䅢灂䝁䄸杢穂䍁䅷䅉䑂䝁䄸杢㉂䕁䄰党あ䝁䅧睢歂䑁䄰兔䩂䡁䅉党橂䝁䄸兢瑂䝁䅕杢歂䝁䅕䅚䅁乁䄸䅁杂䅁䅁睔睂䡁䅑兡療䝁䄴督㙁䕁䅍兤祂䡁䅉児噂䙁䅍䅒獁䕁䄰兙湂䑁䄰李獁䕁䅍睢畂䡁䅙兔求䡁䅑䅡療䝁䅑児乂䕁䅫杣求䝁䅍睢瑂䝁䄰党畂䝁䅑党歂䅁䅁朲䅁䱁䅉䅁偂䡁䅁䅤灂䝁䄸杢穂䑁䅯睑ㅂ䡁䅉杣㥁䙁䅕睕䕂䍁䅷兔桂䝁䅣児㉁䍁䅷睑療䝁䄴杤乂䝁䅕䅤潂䝁䄸䅚㥁䕁䄰兓祂䝁䅕睙療䝁䄰兢求䝁䄴䅚求䝁䅑䅌兂䝁䅅䅚㥁䕁䄸杔獁䕁䅙兡獂䝁䅷児䕂䝁䅅兡獂䡁䅫䅌䕂䝁䅅䅤求䡁䅍児䍂䝁䅕杚療䡁䅉党獁䙁䅍睢祂䡁䅑児䕂䝁䅕督橂䅁䅁儳䅁䕁䅙䅁扂䕁䄰兓時䕁䅑睑䝂䕁䅅杢桂䝁䅷入穂䝁䅫督時䡁䅙免畁䡁䅧䅢穂䝁䄰兘䕂䕁䅍杒桁䍁䅑䅒䕂䍁䅑䅎ㅁ䅁䅁䅄䅉䡁䅧䅁偂䡁䅁䅤灂䝁䄸杢穂䑁䅯睑ㅂ䡁䅉杣㥁䙁䅕睕䕂䍁䅷兔桂䝁䅣児乂䝁䅫䅢獂䝁䅫睢畂䡁䅍䅌䑂䝁䄸杢㉂䕁䄰党あ䝁䅧睢歂䑁䄰兔䩂䡁䅉党橂䝁䄸兢瑂䝁䅕杢歂䝁䅕䅚獁䕁䄴兑㥁䑁䅁䅁湂杂䅁来䅁䕁䄸䅣あ䝁䅫睢畂䡁䅍杏䑂䡁䅕杣祂䑁䄰兖呂䕁䅑䅌乂䝁䅅睚㥁䕁䄰兡獂䝁䅷兡療䝁䄴督獁䕁䅍睢畂䡁䅙兔求䡁䅑䅡療䝁䅑児乂䕁䅫杣求䝁䅍睢瑂䝁䄰党畂䝁䅑党歂䍁䅷杔䉂䑁䄰杔䉂䅁䅁睨䅕䵁䅑䅁偂䡁䅁䅤灂䝁䄸杢穂䑁䅯睑ㅂ䡁䅉杣㥁䙁䅕睕䕂䍁䅷兔桂䝁䅣児乂䝁䅫䅢獂䝁䅫睢畂䡁䅍䅌䑂䝁䄸杢㉂䕁䄰党あ䝁䅧睢歂䑁䄰兔䩂䡁䅉党橂䝁䄸兢瑂䝁䅕杢歂䝁䅕䅚獁䙁䅁兙歂䑁䄰睔佂䍁䅷杒灂䝁䅷䅢㥁䕁䄰睢畂䡁䅑䅡獂䡁䅫䅌䕂䝁䅅䅤求䡁䅍児䍂䝁䅕杚療䡁䅉党獁䙁䅍睢祂䡁䅑児䕂䝁䅕督橂䅁䅁䄶䅁䉁䅑䅁呂䕁䅕䅖杁䕁䅫杢歂䝁䅕䅥䅁䡁䅧䅁䝂䅁䅁睗乂䕁䅫睘䕂䕁䅍杒䉂䝁䄴兙獂䡁䅫督灂䡁䅍睘㉂䑁䅅杌㑂䝁䅷督瑂䙁䄰䅒䑂䕁䅙光歁䕁䅅睓歁䑁䅕免䅁䑁䍷䅁䍄䅁䅁睔睂䡁䅑兡療䝁䄴督㙁䕁䅍兤祂䡁䅉児噂䙁䅍䅒獁䕁䄰兙湂䑁䄰兔灂䝁䅷䅢灂䝁䄸杢穂䍁䅷睑療䝁䄴杤乂䝁䅕䅤潂䝁䄸䅚㥁䕁䄰兓祂䝁䅕睙療䝁䄰兢求䝁䄴䅚求䝁䅑䅌兂䝁䅅䅚㥁䕁䄸杚浂䍁䅷杒灂䝁䅷䅢㥁䕁䅑兙灂䝁䅷入獁䕁䅑兙あ䝁䅕督㥁䕁䅉党浂䝁䄸杣求䍁䅷睕療䡁䅉䅤㥁䕁䅑党穂䝁䅍䅁楄䅁䅁杷䅁䕁䄸䅣あ䝁䅫睢畂䡁䅍杏䑂䡁䅕杣祂䑁䄰兖呂䕁䅑䅌乂䝁䅅睚㥁䕁䄰兡獂䝁䅷兡療䝁䄴督獁䕁䅍睢畂䡁䅙兔求䡁䅑䅡療䝁䅑児呂䕁䄴䅔祂䝁䅕睙療䝁䄰兢求䝁䄴䅚求䝁䅑䅌兂䝁䅅䅚㥁䕁䄸杔獁䕁䅙兡獂䝁䅷児䕂䝁䅅兡獂䡁䅫䅌䕂䝁䅅䅤求䡁䅍児䍂䝁䅕杚療䡁䅉党獁䙁䅍睢祂䡁䅑児䕂䝁䅕督橂䅁䅁睲䅁䙁䅑䅁扂䕁䄰兓時䕁䅑睑䝂䕁䅅杢桂䝁䅷入穂䝁䅫督時䡁䅙免畁䡁䅧䅢穂䝁䄰兘䕂䕁䅍杒桁䍁䅑䅗歁䑁䅅睍㕁䑁䅯䅊奂䍁䅑免ぁ䑁䅁䅁啂杁䅁杲䅁䕁䄸䅣あ䝁䅫睢畂䡁䅍杏䑂䡁䅕杣祂䑁䄰兖呂䕁䅑䅌乂䝁䅅睚㥁䕁䄰兡獂䝁䅷兡療䝁䄴督獁䕁䅍睢畂䡁䅙兔求䡁䅑䅡療䝁䅑児呂䕁䄴䅔祂䝁䅕睙療䝁䄰兢求䝁䄴䅚求䝁䅑䅌兂䝁䅅䅚㥁䕁䄸杚浂䍁䅷䅒桂䡁䅑党穂䑁䄰村求䝁䅙睢祂䝁䅕䅌呂䝁䄸杣あ䑁䄰䅒求䡁䅍睙䅁䭁䅁䅁㉂䅁䅁睔睂䡁䅑兡療䝁䄴督㙁䕁䅍兤祂䡁䅉児噂䙁䅍䅒獁䕁䄰兙湂䑁䄰睕佂䕁䅷睕あ䝁䅅杢歂䝁䅅杣歂䍁䅷睑療䝁䄴杤乂䝁䅕䅤潂䝁䄸䅚㥁䙁䅍杔䵂䡁䅉党橂䝁䄸兢瑂䝁䅕杢歂䝁䅕䅚䅁䥁䅳䅁ぃ䅁䅁睔睂䡁䅑兡療䝁䄴督㙁䕁䅍兤祂䡁䅉児噂䙁䅍䅒獁䕁䄰兙湂䑁䄰睕佂䕁䅷睕あ䝁䅅杢歂䝁䅅杣歂䍁䅷睑療䝁䄴杤乂䝁䅕䅤潂䝁䄸䅚㥁䙁䅍杔䵂䡁䅉党橂䝁䄸兢瑂䝁䅕杢歂䝁䅕䅚獁䙁䅁兙歂䑁䄰睔浂䝁䅙䅌䕂䝁䅅䅤求䡁䅍児䍂䝁䅕杚療䡁䅉党獁䙁䅍睢祂䡁䅑児䕂䝁䅕督橂䅁䅁䅬䅁䕁䅯䅁扂䙁䅍䅕䡂䙁䄸䅒䑂䕁䅙兑畂䝁䅅䅢㕂䡁䅍兡穂䙁䄸杤硁䍁䄴䅥獂䡁䅍兢摂䕁䅑睑䝂䍁䅅䅊䉂䕁䅅䅊硁䑁䅑免䅁䍁䙳䅁㡂䅁䅁睔睂䡁䅑兡療䝁䄴督㙁䕁䅍兤祂䡁䅉児噂䙁䅍䅒獁䕁䄰兙湂䑁䄰䅖潂䝁䄸兤穂䝁䅅杢歂䡁䅍䅌䑂䝁䄸杢㉂䕁䄰党あ䝁䅧睢歂䑁䄰兔䩂䡁䅉党橂䝁䄸兢瑂䝁䅕杢歂䝁䅕䅚獁䕁䄴兑㥁䕁䄴兑䅁䥁䜸䅁畃䅁䅁睔睂䡁䅑兡療䝁䄴督㙁䕁䅍兤祂䡁䅉児噂䙁䅍䅒獁䕁䄰兙湂䑁䄰䅖潂䝁䄸兤穂䝁䅅杢歂䡁䅍䅌䑂䝁䄸杢㉂䕁䄰党あ䝁䅧睢歂䑁䄰兔䩂䡁䅉党橂䝁䄸兢瑂䝁䅕杢歂䝁䅕䅚獁䙁䅁兙歂䑁䄰睔浂䝁䅙䅌䕂䝁䅅䅤求䡁䅍児䍂䝁䅕杚療䡁䅉党獁䙁䅍睢祂䡁䅑児䕂䝁䅕督橂䅁䅁䅄䅍䉁䅁䅁塂䕁䅑䅔䝂䍁䄰兖呂䅁䅁䄰䅅䉁䅷䅁呂䙁䅁睕硁䑁䅧杍穁䑁䅧兏㑁䑁䅁䅍穁䅁䅁杏䅙䡁䅉䅁偂䡁䅁䅤灂䝁䄸杢穂䑁䅯睑ㅂ䡁䅉杣㥁䙁䅕睕䕂䍁䅷兔桂䝁䅣児啂䝁䅧睢ㅂ䡁䅍兙畂䝁䅑督獁䕁䅍睢畂䡁䅙兔求䡁䅑䅡療䝁䅑児呂䕁䄴䅔祂䝁䅕睙療䝁䄰兢求䝁䄴䅚求䝁䅑䅁坄䅁䅁䅦䅁䕁䄸䅣あ䝁䅫睢畂䡁䅍杏佂䕁䅅児睁䍁䅷睑ㅂ䡁䅉杣㥁䙁䅕睕䕂䍁䅷䅉乂䝁䅅睚㥁䕁䄰兡獂䝁䅷兡療䝁䄴督獁䍁䅁睑療䝁䄴杤乂䝁䅕䅤潂䝁䄸䅚㥁䕁䄰兓祂䝁䅕睙療䝁䄰兢求䝁䄴䅚求䝁䅑䅁睄䅂䅁杨䅁䕁䄸䅣あ䝁䅫睢畂䡁䅍杏佂䕁䅅児睁䍁䅷睑ㅂ䡁䅉杣㥁䙁䅕睕䕂䍁䅷䅉乂䝁䅅睚㥁䕁䄰兡獂䝁䅷兡療䝁䄴督獁䍁䅁睑療䝁䄴杤乂䝁䅕䅤潂䝁䄸䅚㥁䕁䄰兓祂䝁䅕睙療䝁䄰兢求䝁䄴䅚求䝁䅑䅌佂䕁䅅児睁䅁䅁眸䅑䉁䅷䅁偂䡁䅁䅤灂䝁䄸杢穂䑁䅯杔䉂䑁䄰杔䉂䅁䅁杍䅕䕁䅧䅁扂䙁䅍䅕䡂䙁䄸䅒䑂䕁䅙兑畂䝁䅅䅢㕂䡁䅍兡穂䙁䄸杤硁䍁䄴䅥獂䡁䅍兢摂䕁䅑睑䝂䍁䅅䅊䑂䙁䅕䅊ㅁ䑁䅅䅁ㅁ睁䅁䄰䅁䕁䄸䅣あ䝁䅫睢畂䡁䅍杏佂䕁䅅児佂䕁䅅䅌䑂䡁䅕杣祂䑁䄰睒䍂䙁䅁䅌乂䝁䅅睚㥁䕁䄰兡獂䝁䅷兡療䝁䄴督獁䕁䅍睢畂䡁䅙兔求䡁䅑䅡療䝁䅑児乂䕁䅫杣求䝁䅍睢瑂䝁䄰党畂䝁䅑党歂䍁䅷䅕桂䝁䅑児偂䕁䄴䅌䝂䝁䅫䅢獂䑁䄰兔療䝁䄴䅤潂䝁䅷入獁䕁䅑兙あ䝁䅕督㥁䕁䅉党浂䝁䄸杣求䍁䅷睕療䡁䅉䅤㥁䕁䅑党穂䝁䅍䅁㙄杁䅁䅈䅁䙁䅍䅕呂䑁䅅睎㕁䑁䅉李睁䑁䅙睎㕁䑁䅕䅁啄兂䅁朰䅁䕁䄸䅣あ䝁䅫睢畂䡁䅍杏佂䕁䅅児佂䕁䅅䅌䑂䡁䅕杣祂䑁䄰睒䍂䙁䅁䅌乂䝁䅅睚㥁䕁䄰兡獂䝁䅷兡療䝁䄴督獁䕁䅍睢畂䡁䅙兔求䡁䅑䅡療䝁䅑児乂䕁䅫杣求䝁䅍睢瑂䝁䄰党畂䝁䅑党歂䍁䅷䅕桂䝁䅑児偂䝁䅙杚獁䕁䅙兡獂䝁䅷児乂䝁䄸杢あ䝁䅧䅢㕂䍁䅷䅒桂䡁䅑党穂䑁䄰村求䝁䅙睢祂䝁䅕䅌呂䝁䄸杣あ䑁䄰䅒求䡁䅍睙䅁偁䍳䅁兄䅁䅁睔睂䡁䅑兡療䝁䄴督㙁䕁䄴兑㥁䕁䄴兑獁䕁䅍兤祂䡁䅉児䭂䙁䅁兗獁䕁䄰兙湂䑁䄰兔灂䝁䅷䅢灂䝁䄸杢穂䍁䅷睑療䝁䄴杤乂䝁䅕䅤潂䝁䄸䅚㥁䕁䄰兓祂䝁䅕睙療䝁䄰兢求䝁䄴䅚求䝁䅑䅌兂䝁䅅䅚㥁䕁䄸杔獁䕁䅙兡獂䝁䅷児乂䝁䄸杢あ䝁䅧䅢㕂䍁䅷䅒桂䡁䅑党穂䑁䄰村求䝁䅙睢祂䝁䅕䅌呂䝁䄸杣あ䑁䄰䅒求䡁䅍睙䅁䍁䍁䅁䝂䅁䅁睗乂䕁䅫睘䕂䕁䅍杒䉂䝁䄴兙獂䡁䅫督灂䡁䅍睘㉂䑁䅅杌㑂䝁䅷督瑂䙁䄰䅒䑂䕁䅙光歁䕁䅑村歁䑁䅕免䅁佁䍁䅁卄䅁䅁睔睂䡁䅑兡療䝁䄴督㙁䕁䄴兑㥁䕁䄴兑獁䕁䅍兤祂䡁䅉児䭂䙁䅁兗獁䕁䄰兙湂䑁䄰兔灂䝁䅷䅢灂䝁䄸杢穂䍁䅷睑療䝁䄴杤乂䝁䅕䅤潂䝁䄸䅚㥁䕁䄰兓祂䝁䅕睙療䝁䄰兢求䝁䄴䅚求䝁䅑䅌兂䝁䅅䅚㥁䕁䄸杚浂䍁䅷杒灂䝁䅷䅢㥁䕁䄰睢畂䡁䅑䅡獂䡁䅫䅌䕂䝁䅅䅤求䡁䅍児䍂䝁䅕杚療䡁䅉党獁䙁䅍睢祂䡁䅑児䕂䝁䅕督橂䅁䅁光䅉䉁䅯䅁呂䙁䅁睕穁䑁䅅䅎硁䑁䅑杍㍁䑁䅑兎䅁䵁䝯䅁兄䅁䅁睔睂䡁䅑兡療䝁䄴督㙁䕁䄴兑㥁䕁䄴兑獁䕁䅍兤祂䡁䅉児噂䙁䅍䅒獁䕁䄰兙湂䑁䄰兔灂䝁䅷䅢灂䝁䄸杢穂䍁䅷睑療䝁䄴杤乂䝁䅕䅤潂䝁䄸䅚㥁䕁䄰兓祂䝁䅕睙療䝁䄰兢求䝁䄴䅚求䝁䅑䅌兂䝁䅅䅚㥁䕁䄸杔獁䕁䅙兡獂䝁䅷児乂䝁䄸杢あ䝁䅧䅢㕂䍁䅷䅒桂䡁䅑党穂䑁䄰村求䝁䅙睢祂䝁䅕䅌呂䝁䄸杣あ䑁䄰䅒求䡁䅍睙䅁䉁䍫䅁卄䅁䅁睔睂䡁䅑兡療䝁䄴督㙁䕁䄴兑㥁䕁䄴兑獁䕁䅍兤祂䡁䅉児噂䙁䅍䅒獁䕁䄰兙湂䑁䄰䅖潂䝁䄸兤穂䝁䅅杢歂䡁䅍䅌䑂䝁䄸杢㉂䕁䄰党あ䝁䅧睢歂䑁䄰兔䩂䡁䅉党橂䝁䄸兢瑂䝁䅕杢歂䝁䅕䅚獁䙁䅁兙歂䑁䄰睔佂䍁䅷杒灂䝁䅷䅢㥁䕁䄰睢畂䡁䅑䅡獂䡁䅫䅌䕂䝁䅅䅤求䡁䅍児䍂䝁䅕杚療䡁䅉党獁䙁䅍睢祂䡁䅑児䕂䝁䅕督橂䅁䅁兄䅍乁䅁䅁偂䡁䅁䅤灂䝁䄸杢穂䑁䅯杔䉂䑁䄰杔䉂䕁䅍兤祂䡁䅉児噂䙁䅍䅒獁䕁䄰兙湂䑁䄰兔灂䝁䅷䅢灂䝁䄸杢穂䍁䅷睑療䝁䄴杤乂䝁䅕䅤潂䝁䄸䅚㥁䕁䄰兓祂䝁䅕睙療䝁䄰兢求䝁䄴䅚求䝁䅑䅌兂䝁䅅䅚㥁䕁䄸杚浂䍁䅷杒灂䝁䅷䅢㥁䕁䄰睢畂䡁䅑䅡獂䡁䅫䅌䕂䝁䅅䅤求䡁䅍児䍂䝁䅕杚療䡁䅉党獁䙁䅍睢祂䡁䅑児䕂䝁䅕督橂䅁䅁䅇䅉䉁䅯䅁呂䙁䅁睕ㅁ䑁䅫䅎ㅁ䑁䅁睍穁䑁䅫免䅁乁䝳䅁煁䅁䅁睔睂䡁䅑兡療䝁䄴督㙁䝁䅙兡獂䝁䅷児乂䝁䄸杢あ䝁䅧䅢㕂䅁䅁杣䅍䑁䅑䅁偂䡁䅁䅤灂䝁䄸杢穂䑁䅯杚灂䝁䅷䅢㥁䕁䄰睢畂䡁䅑䅡獂䡁䅫䅌佂䕁䅅児睁䅁䅁䅦䅍䑁䅁䅁呂䡁䅉兡杁䕁䅷兙畂䝁䅳兙杁䕁䅍睕䙂䍁䅁兑獂䝁䅷䅉呂䝁䅧兙祂䝁䅕䅁⭂䅁䅁材䅁䕁䄸杣桂䝁䅍䅢求䍁䅁睑療䡁䅉䅣療䡁䅉兙あ䝁䅫睢畂䍁䅁䅋佂䙁䅫睕䙂䑁䅯睔卂䕁䅍䅔灁䅁䅁公䅕䙁䅑䅁扂䕁䄰兓時䕁䅑睑䝂䕁䅅杢桂䝁䅷入穂䝁䅫督時䡁䅙免畁䡁䅧䅢穂䝁䄰兘䕂䕁䅍杒桁䍁䅑睖歁䑁䅅䅎ぁ䑁䅯䅊塂䍁䅑免ぁ䑁䅕䅁祄允䅁䅅䅁䙁䅁兑卂䕁䅅兌噂䙁䅍䅁硃杂䅁杙䅁䙁䅳兔䩂䙁䄸睒䵂䕁䄸村䉂䕁䅷睘塂䕁䅅睑䑂䕁䅅杢桂䝁䅷入穂䝁䅫督時䡁䅙杍畁䡁䅧䅢穂䝁䄰兘塂䕁䅅睑䑂䍁䅅䅊兂䍁䅑睍㉁䑁䅯䅊兂䍁䅑䅎硁䅁䅁眷䅁䉁䅙䅁兂䕁䅙䅖呂䍁䅁兓畂䝁䅑党㑂䅁䅁䅡䅁䉁䅧䅁呂䙁䅁睕穁䑁䅅䅎㕁䑁䅙兏ㅁ䑁䅍䅁䍂睂䅁杅䅁䙁䅁䅗杁䕁䅫杢歂䝁䅕䅥䅁䝁䅳䅁䥂䅁䅁睗呂䙁䅁睒時䕁䅑睑䝂䕁䅅杢桂䝁䅷入穂䝁䅫督時䡁䅙免畁䡁䅧䅢穂䝁䄰兘䕂䕁䅍杒桁䍁䅑村歁䑁䅉䅍㍁䅁䅁䅓䅍䙁䅁䅁扂䕁䄰兓時䙁䅣睖時䙁䅣兑䑂䕁䅍兑畂䝁䅅䅢㕂䡁䅍兡穂䙁䄸杤硁䍁䄴䅥獂䡁䅍兢摂䙁䅣兑䑂䕁䅍光歁䕁䅅兒歁䑁䅑䅍䅁偁䅕䅁䭂䅁䅁䅕潂䝁䅫䅢灂䡁䅁䅣灂䝁䄴党穂䍁䅁兒㑂䝁䅍䅡桂䝁䄴睚求䍁䅁睑療䝁䄰䅣療䡁䅍兡あ䝁䅕䅉䩂䝁䄴䅚求䡁䅧䅁灂䅁䅁䅎䅁䙁䅁睢祂䡁䅑兤湂䡁䅕党穂䝁䅕䅉呂䡁䅑睢橂䝁䅳䅉䩂䝁䄴䅚求䡁䅧兌祁䑁䅁䅁煂䅁䅁䅅䅁䙁䅑睔䡂䕁䅷兌噂䙁䅍䅁剄允䅁杆䅁䙁䅁杣灂䝁䅍党䑂䝁䅷睢穂䝁䅕䅁潃䅁䅁杇䅁䙁䅍䅕呂䑁䅑睍硁䑁䅧兎㕁䑁䅅䅏睁䅁䅁眷䅣䉁䅁䅁剂䕁䅍睔乂䍁䄰兖呂䅁䅁䅡䅉䉁䅧䅁剂䡁䅕兡橂䝁䅳䅉䑂䝁䄸兢睂䡁䅍䅁歁兂䅁杄䅁䙁䅉兒䡂䍁䄰兖呂䅁䅁睁䅅䉁䅯䅁呂䙁䅁睕㉁䑁䅅杍㑁䑁䅑睎ぁ䑁䅉兎䅁䭁䙙䅁佁䅁䅁杕偂䕁䅳兌噂䙁䅍䅁牂杁䅁杄䅁䙁䅉睔兂䍁䄰兖呂䅁䅁杹䅁䉁䅑䅁卂䙁䅑睕杁䕁䅫杢歂䝁䅕䅥䅁䝁䄰䅁䅂䅁䅁杕灂䝁䅣䅡あ䍁䄰睢浂䍁䄰兖穂䝁䅕䅉䉂䡁䅍督求䡁䅑督㙁䍁䅁睒祂䝁䄸督穂䍁䅁䅋歁䕁䄰克䅁䥁䑕䅁捁䅁䅁睕兂䙁䅍免㑁䑁䅧睎睁䑁䅍䅍㕁䑁䅕免䅁䕁䜰䅁慁䅁䅁杕ㅂ䡁䅍督求䝁䅷䅢杁䑁䅉䅍睁䑁䅁䅁療䅁䅁䅖䅁䙁䅳兔䩂䙁䄸䅒䑂䕁䅙兑畂䝁䅅䅢㕂䡁䅍兡穂䙁䄸杤硁䍁䄴䅥獂䡁䅍兢摂䕁䅑睑䝂䍁䅅䅊䕂䙁䅁䅊ぁ䑁䅫杏歁䕁䅑兕歁䑁䅑兏䅁佁䍯䅁捁䅁䅁睕兂䙁䅍免㑁䑁䅧睎睁䑁䅍䅍㕁䑁䅑免䅁䕁䝷䅁慁䅁䅁杕ㅂ䡁䅍督求䝁䅷䅢杁䑁䅍䅍睁䑁䅁䅁睂䅁䅁䅈䅁䙁䅍䅕呂䑁䅅䅏ぁ䑁䅣兏㕁䑁䅕免㍁䑁䅫䅁硄兂䅁䅅䅁䙁䅍杊兂䍁䅁兎睁䑁䅁䅁啁䅁䅁杏䅁䙁䅍杊兂䍁䅁兎睁䑁䅁䅉䩂䝁䄴䅤求䝁䅣杣桂䡁䅑党歂䍁䅁睔灂䝁䅷䅉流䍁䅁睒桂䡁䅍䅁穂䅁䅁䅇䅁䙁䅍杊兂䍁䅁兑呂䙁䅧䅉祁䑁䅁䅍䅁䡁䅅䅁奁䅁䅁睕流䙁䅁䅉乂䝁䅫䅚瑁䕁䅍兙睂䅁䅁䅤䅁䉁䅯䅁呂䙁䅁睕ㅁ䑁䅫䅎㉁䑁䅉䅍祁䑁䅣李䅁佁䜴䅁歁䅁䅁睕流䙁䅁䅉啂䙁䅍䅗杁䕁䅍睢瑂䡁䅁睢穂䝁䅫䅤求䅁䅁杤䅁䅁䄴䅁呂䕁䅉兓瑁䑁䅉䅍䅁䡁䅣䅁慁䅁䅁睕兂䙁䅍䅎硁䑁䅧䅎㕁䑁䅕䅍㑁䑁䅙䅁捄睂䅁杄䅁䙁䅍兒啂䑁䅅䅍睁䅁䅁入䅁䉁䅧䅁呂䕁䅕䅖ㅁ䑁䅁䅉䩂䝁䄴䅚求䡁䅧䅁㙂䅁䅁䅈䅁䙁䅍䅕呂䑁䅅睎㉁䑁䅫兎㉁䑁䅑睎㍁䑁䅧䅁㉃兂䅁䅅䅁䙁䅍兓啂䕁䅍兌噂䙁䅍䅁䝁允䅁䅓䅁䙁䅳睕兂䕁䅣睘䕂䕁䅍杒䉂䝁䄴兙獂䡁䅫督灂䡁䅍睘㉂䑁䅅杌㑂䝁䅷督瑂䙁䄰䅒䑂䕁䅙光歁䙁䅣䅊硁䑁䅍免䅁䑁䐰䅁歁䅁䅁睕佂䕁䅷䅉偂䝁䅙杚求䡁䅉兡畂䝁䅣䅉䱂䝁䅕入杁䅁䅁杍䅁䉁䅷䅁呂䙁䅁睕硁䑁䅧䅎㍁䑁䅫兏ㅁ䑁䅅李穁䅁䅁兲䅕䉁䅷䅁呂䙁䅁睕硁䑁䅣兏祁䑁䅙䅍㉁䑁䅧䅍㉁䅁䅁兄䅙䉁䅉䅁呂䕁䄴䅔剂䡁䅕党祂䡁䅫䅁偃䅁䅁杅䅁䙁䅍杔䵂䙁䅑兙楂䝁䅷党䅁䉁䅍䅁奁䅁䅁睕偂䕁䅙兓奂䍁䅁兓畂䝁䅑党㑂䅁䅁兦䅁䉁䅙䅁呂䙁䅁䅖時䕁䅍睔噂䙁䅁睔佂䅁䅁杭䅕䉁䅑䅁呂䙁䅁睒呂䝁䅍杣求䝁䅕杢䅁䵁䅕䅁奁䅁䅁睕兂䙁䅍免ぁ䑁䅁䅎ㅁ䑁䅙李睁䅁䅁朸䅕䉁䅧䅁呂䙁䅁睕硁䑁䅑䅍㉁䑁䅧兎睁䑁䅅䅁煁睂䅁䅇䅁䙁䅍䅕呂䑁䅅䅎硁䑁䅉睎穁䑁䅫杍䅁佁䙙䅁奁䅁䅁睕兂䙁䅍免ぁ䑁䅅睎睁䑁䅑杍㑁䅁䅁睋䅣䉁䅯䅁呂䙁䅁睕㉁䑁䅧睍ㅁ䑁䅉䅍穁䑁䅫兎䅁䙁䥫䅁慁䅁䅁睕兂䙁䅍免ぁ䑁䅍䅏祁䑁䅑䅏祁䑁䅣䅁䥂睂䅁䅈䅁䙁䅍䅕呂䑁䅅睎㉁䑁䅑䅍祁䑁䅅睍硁䑁䅁䅁㡂睂䅁杇䅁䙁䅍䅕呂䑁䅅李ㅁ䑁䅕睎祁䑁䅑睍睁䅁䅁朵䅙䉁䅯䅁呂䙁䅁睕硁䑁䅙兎ㅁ䑁䅣杍ぁ䑁䅍䅎䅁佁䝣䅁慁䅁䅁睕兂䙁䅍免㉁䑁䅕兎㍁䑁䅉䅎穁䑁䅧䅁潄杂䅁䅢䅁䙁䅳兔䩂䙁䄸兓佂䙁䅍睘䡂䕁䅷睔䍂䕁䅅䅔時䙁䅣兑䑂䕁䅍杌䉂䝁䄴兙獂䡁䅫督灂䡁䅍睘㉂䑁䅅杌㑂䝁䅷督瑂䙁䄰睖䉂䕁䅍睑桁䍁䅑兕歁䑁䅍睍㙁䍁䅑䅗歁䑁䅍睍䅁䭁䅕䅁慁䅁䅁睕兂䙁䅍免㉁䑁䅕兎㍁䑁䅉䅎ぁ䑁䅉䅁橄杂䅁李䅁䕁䄸䅣あ䝁䅫睢畂䡁䅍杏䑂䡁䅕杣祂䑁䄰兒噂䙁䅉䅌乂䝁䅅睚㥁䍁䅷杔䉂䑁䄰䅍䅁䉁䥣䅁慁䅁䅁睕兂䙁䅍免㉁䑁䅕兎㍁䑁䅉䅎ぁ䑁䅕䅁汄杂䅁䅈䅁䙁䅍䅕呂䑁䅅李㍁䑁䅅睎穁䑁䅑免穁䑁䅣䅁䱁杂䅁䅈䅁䙁䅍䅕呂䑁䅅李㍁䑁䅅睎穁䑁䅑免ぁ䑁䅁䅁䩂杂䅁䅈䅁䙁䅍䅕呂䑁䅅李㍁䑁䅅睎穁䑁䅑免ぁ䑁䅅䅁䅄兂䅁䅈䅁䙁䅍䅕呂䑁䅅李㍁䑁䅅睎穁䑁䅑免ぁ䑁䅉䅁歁杂䅁䅈䅁䙁䅍䅕呂䑁䅅兏穁䑁䅁䅍祁䑁䅅李㕁䑁䅧䅁扃杂䅁䅈䅁䙁䅍䅕呂䑁䅅李㍁䑁䅅睎穁䑁䅑免ぁ䑁䅍䅁䱂杂䅁䅈䅁䙁䅍䅕呂䑁䅅李㍁䑁䅅睎穁䑁䅑免ぁ䑁䅑䅁流杂䅁䅈䅁䙁䅍䅕呂䑁䅅李㍁䑁䅅睎穁䑁䅑免ぁ䑁䅕䅁䕄兂䅁䅈䅁䙁䅍䅕呂䑁䅅李㍁䑁䅅睎穁䑁䅑免ぁ䑁䅙䅁慁杂䅁䅈䅁䙁䅍䅕呂䑁䅅李㍁䑁䅅睎穁䑁䅑免ぁ䑁䅣䅁䵁杂䅁杒䅁䙁䅳睕兂䕁䅣睘䕂䕁䅍杒䉂䝁䄴兙獂䡁䅫督灂䡁䅍睘㉂䑁䅅杌㑂䝁䅷督瑂䙁䄰䅒䑂䕁䅙光歁䕁䅷䅊硁䑁䅍䅁楁兂䅁䅈䅁䙁䅍䅕呂䑁䅅李㍁䑁䅅睎穁䑁䅑免ぁ䑁䅧䅁牃兂䅁䅈䅁䙁䅍䅕呂䑁䅅李㍁䑁䅅睎穁䑁䅑免ㅁ䑁䅁䅁䭂杂䅁䅈䅁䙁䅍䅕呂䑁䅅睎㉁䑁䅫兎㉁䑁䅑睎㍁䑁䅫䅁偂杂䅁䅏䅁䙁䅑兙灂䡁䅣兙畂䍁䅁睕あ䝁䄸睙牂䍁䅁兒㑂䝁䅍䅡桂䝁䄴睚求䍁䅁兓畂䝁䅑党㑂䅁䅁睧䅁䉁䅷䅁呂䙁䅁睕硁䑁䅣李㕁䑁䅕李ぁ䑁䅣䅏睁䅁䅁兏䅙䉁䅷䅁呂䙁䅁睕硁䑁䅣李㕁䑁䅙李㍁䑁䅉䅎硁䅁䅁杉䅙䉁䅷䅁呂䙁䅁睕硁䑁䅣李㕁䑁䅙李㍁䑁䅉䅎祁䅁䅁杔䅙䉁䅯䅁呂䙁䅁睕ぁ䑁䅅䅏ぁ䑁䅫兎睁䑁䅧䅎䅁乁䡯䅁捁䅁䅁睕兂䙁䅍免㍁䑁䅫杍㉁䑁䅁李㍁䑁䅕李䅁䉁䜰䅁捁䅁䅁睕兂䙁䅍免㉁䑁䅣兎㉁䑁䅁杍㍁䑁䅙䅍䅁䝁䥕䅁慁䅁䅁睕兂䙁䅍䅎硁䑁䅧䅎㕁䑁䅕䅍㑁䑁䅕䅁扄睂䅁䅈䅁䙁䅍䅕呂䑁䅅睎㕁䑁䅉李睁䑁䅙睎ㅁ䑁䅣䅁剂杂䅁䅈䅁䙁䅍䅕呂䑁䅅睎㕁䑁䅉李睁䑁䅙睎ㅁ䑁䅧䅁摃兂䅁䅈䅁䙁䅍䅕呂䑁䅅睎㕁䑁䅉李睁䑁䅙睎㕁䑁䅁䅁婄兂䅁䅈䅁䙁䅍䅕呂䑁䅅睎㕁䑁䅉李睁䑁䅙睎㕁䑁䅅䅁祁杂䅁䅐䅁䙁䅑党祂䝁䄰兡畂䝁䅅䅤灂䝁䄸杢杁䕁䅑兙あ䝁䅕䅉潁䝁䄰兢癁䝁䅑䅚癁䡁䅫入㕂䡁䅫克䅁䍁䄴䅁捁䅁䅁睕兂䙁䅍免㍁䑁䅫杍㉁䑁䅁李㍁䑁䅫杍䅁偁䙧䅁捁䅁䅁睕兂䙁䅍免㍁䑁䅫杍㉁䑁䅁李㍁䑁䅫䅎䅁䱁䙷䅁捁䅁䅁睕兂䙁䅍免㍁䑁䅫杍㉁䑁䅁李㍁䑁䅫睎䅁䙁䝉䅁捁䅁䅁杔䉂䙁䅍䅒䉂䙁䅅睒呂䑁䅯杔坂䕁䅑兑䅁䱁䡙䅁捁䅁䅁睕兂䙁䅍免㍁䑁䅫杍㉁䑁䅁李㍁䑁䅫䅏䅁䭁䙁䅁捁䅁䅁睕兂䙁䅍免㍁䑁䅫杍㉁䑁䅁李㍁䑁䅫兏䅁䑁䝕䅁捁䅁䅁睕兂䙁䅍免㑁䑁䅑睎㕁䑁䅫兎硁䑁䅙兎䅁偁䙙䅁捁䅁䅁睕兂䙁䅍免㍁䑁䅫杍㉁䑁䅁李㑁䑁䅁䅍䅁䙁䝍䅁捁䅁䅁睕兂䙁䅍免㑁䑁䅑睎㕁䑁䅫兎硁䑁䅙䅎䅁䵁䙫䅁捁䅁䅁睕兂䙁䅍免㍁䑁䅫杍㉁䑁䅁李㑁䑁䅁免䅁䑁䝧䅁捁䅁䅁睕兂䙁䅍免㑁䑁䅑睎㕁䑁䅫兎硁䑁䅙免䅁偁䙳䅁捁䅁䅁睕兂䙁䅍免㍁䑁䅫杍㉁䑁䅁李㑁䑁䅁䅎䅁䍁䝍䅁捁䅁䅁睕兂䙁䅍免㍁䑁䅫杍㉁䑁䅁李㑁䑁䅁兎䅁䉁䝑䅁捁䅁䅁睕兂䙁䅍免㍁䑁䅫杍㉁䑁䅕兏㍁䑁䅫李䅁䙁䜰䅁捁䅁䅁睕兂䙁䅍免㍁䑁䅫杍㍁䑁䅣兎ぁ䑁䅉睍䅁䕁䝍䅁捁䅁䅁睕兂䙁䅍免㍁䑁䅫杍㍁䑁䅣兎ぁ䑁䅉兏䅁乁䙯䅁啂䅁䅁睗乂䕁䅫睘䕂䕁䅍杒䉂䝁䄴兙獂䡁䅫督灂䡁䅍睘㉂䑁䅅杌㑂䝁䅷督瑂䙁䄰䅒䑂䕁䅙光歁䕁䅙䅊祁䑁䅁兎㙁䍁䅑兔歁䑁䅉䅍ㅁ䅁䅁睗䅉䉁䅷䅁呂䙁䅁睕硁䑁䅣兏祁䑁䅣睎ㅁ䑁䅑睍ぁ䅁䅁兌䅙䉁䅷䅁呂䙁䅁睕硁䑁䅣兏祁䑁䅣睎ㅁ䑁䅑睍㑁䅁䅁䅓䅙䑁䅯䅁呂䝁䅕䅤あ䝁䅷党瑂䝁䅕杢あ䍁䅁䅒桂䡁䅑党杁䍁䅧兢瑂䍁䄸䅚歂䍁䄸入㕂䡁䅫入灁䅁䅁免䅁䉁䅷䅁呂䙁䅁睕硁䑁䅣兏㉁䑁䅑睍㑁䑁䅙䅍睁䅁䅁䅐䅣䉁䅷䅁呂䙁䅁睕硁䑁䅧杍穁䑁䅧兏㑁䑁䅁䅍祁䅁䅁䅗䅙䉁䅷䅁呂䙁䅁睕硁䑁䅧杍穁䑁䅫杍睁䑁䅣杍硁䅁䅁杶䅕䉁䅯䅁呂䙁䅁睕ㅁ䑁䅫兏㑁䑁䅕兏祁䑁䅁䅏䅁䝁䝉䅁捁䅁䅁睕兂䙁䅍免㑁䑁䅉䅎睁䑁䅑兎ぁ䑁䅕䅎䅁䍁䝯䅁捁䅁䅁睕兂䙁䅍免㑁䑁䅍睎ぁ䑁䅕免㕁䑁䅣睍䅁䑁䝙䅁捁䅁䅁睕兂䙁䅍免㑁䑁䅍睎ぁ䑁䅕免㕁䑁䅣䅎䅁䩁䙷䅁捁䅁䅁睕兂䙁䅍免㑁䑁䅍睎ぁ䑁䅕免㕁䑁䅣兎䅁䑁䝅䅁捁䅁䅁睕兂䙁䅍免㑁䑁䅍睎ぁ䑁䅕免㕁䑁䅣䅏䅁䑁䜸䅁捁䅁䅁睕兂䙁䅍免㑁䑁䅍睎ぁ䑁䅕免㕁䑁䅧䅍䅁䵁䘴䅁捁䅁䅁睕兂䙁䅍免㑁䑁䅍睎ぁ䑁䅕免㕁䑁䅧免䅁䵁䙅䅁捁䅁䅁睕兂䙁䅍免㑁䑁䅍睎ぁ䑁䅕免㕁䑁䅧杍䅁䱁䘸䅁捁䅁䅁睕兂䙁䅍免㑁䑁䅍睎ぁ䑁䅕免㕁䑁䅧睍䅁䑁䝣䅁捁䅁䅁睕兂䙁䅍免㑁䑁䅑睎㕁䑁䅫兎硁䑁䅁兎䅁偁䙑䅁捁䅁䅁睕兂䙁䅍免㑁䑁䅑睎㕁䑁䅫兎硁䑁䅁睎䅁佁䙯䅁捁䅁䅁睕兂䙁䅍免㑁䑁䅑睎㕁䑁䅫兎硁䑁䅁䅏䅁䅁䝍䅁捁䅁䅁睕兂䙁䅍免㑁䑁䅑睎㕁䑁䅫兎硁䑁䅁兏䅁佁䘴䅁流䅁䅁睕㍂䝁䅫督穂䍁䅁兔桂䡁䅉睡求䡁䅑䅉䩂䝁䄴䅚求䡁䅧䅁䍃䅁䅁杒䅁䙁䅳兔䩂䙁䄸䅒䑂䕁䅙兑畂䝁䅅䅢㕂䡁䅍兡穂䙁䄸杤硁䍁䄴䅥獂䡁䅍兢摂䕁䅑睑䝂䍁䅅䅊䉂䕁䅣䅊ぁ䑁䅣䅁歄杁䅁䅈䅁䙁䅍䅕呂䑁䅅䅏ぁ䑁䅣兏㕁䑁䅕免硁䑁䅁䅁桃兂䅁杇䅁䙁䅍䅕呂䑁䅙李㉁䑁䅙睍ㅁ䑁䅣睍ぁ䅁䅁眳䅣䉁䅷䅁呂䙁䅁睕硁䑁䅧䅎㍁䑁䅫兏ㅁ䑁䅅免硁䅁䅁儫䅕䝁䅯䅁偂䡁䅁䅤灂䝁䄸杢穂䑁䅯睑ㅂ䡁䅉杣㥁䙁䅕睕䕂䍁䅷兔桂䝁䅣児睁䍁䅷睑療䝁䄴杤乂䝁䅕䅤潂䝁䄸䅚㥁䕁䄰兓祂䝁䅕睙療䝁䄰兢求䝁䄴䅚求䝁䅑䅌佂䕁䅅児睁䅁䅁杅䅧䉁䅷䅁呂䙁䅁睕硁䑁䅧䅎㍁䑁䅫兏ㅁ䑁䅅杍㑁䅁䅁䅂䅙䙁䅑䅁扂䕁䄰兓時䕁䅑睑䝂䕁䅅杢桂䝁䅷入穂䝁䅫督時䡁䅙免畁䡁䅧䅢穂䝁䄰兘䕂䕁䅍杒桁䍁䅑睑塂䍁䅑兎睁䑁䅯䅊䑂䙁䅯䅊ㅁ䑁䅁䅁䡂杁䅁䅈䅁䙁䅍䅕呂䑁䅅䅏ぁ䑁䅣兏㕁䑁䅕免穁䑁䅁䅁楃兂䅁杇䅁䙁䅍䅕呂䑁䅙李睁䑁䅙杍ㅁ䑁䅁免㍁䅁䅁杏䅣䉁䅷䅁呂䙁䅁睕硁䑁䅧䅎㍁䑁䅫兏ㅁ䑁䅅睍祁䅁䅁儱䅕䝁䅑䅁扂䕁䄰兓時䕁䅣䅔偂䕁䅉兑䵂䙁䄸睖䉂䕁䅍睑䉂䝁䄴兙獂䡁䅫督灂䡁䅍睘㉂䑁䅉杌㑂䝁䅷督瑂䙁䄰睖䉂䕁䅍睑桁䍁䅑兕歁䑁䅍睍㙁䍁䅑兑䉂䍁䅑睍穁䅁䅁䄸䅁䉁䅷䅁呂䙁䅁睕硁䑁䅧䅎㍁䑁䅫兏ㅁ䑁䅅睍穁䅁䅁䅲䅕䝁䅷䅁扂䕁䄰兓時䕁䅫杔呂䙁䄸睒䵂䕁䄸村䉂䕁䅷睘塂䕁䅅睑䑂䍁䄴兑畂䝁䅅䅢㕂䡁䅍兡穂䙁䄸杤硁䍁䄴䅥獂䡁䅍兢摂䙁䅣兑䑂䕁䅍光歁䙁䅁䅊穁䑁䅙杏歁䙁䅁䅊ぁ䑁䅅䅁歃䅁䅁䅒䅁䙁䅳兔䩂䙁䄸䅒䑂䕁䅙兑畂䝁䅅䅢㕂䡁䅍兡穂䙁䄸杤硁䍁䄴䅥獂䡁䅍兢摂䕁䅑睑䝂䍁䅅䅊奂䍁䅑杍㕁䅁䅁杋䅉䉁䅷䅁呂䙁䅁睕硁䑁䅧</t>
  </si>
  <si>
    <t>䅎㍁䑁䅫兏ㅁ䑁䅅睍ぁ䅁䅁䅹䅕䉁䅷䅁呂䙁䅁睕硁䑁䅧䅎㍁䑁䅫兏ㅁ䑁䅅睍ㅁ䅁䅁儹䅕䉁䅷䅁呂䙁䅁睕硁䑁䅧䅎㍁䑁䅫兏ㅁ䑁䅅睍㉁䅁䅁杵䅕䉁䅷䅁呂䙁䅁睕硁䑁䅧䅎㍁䑁䅫兏ㅁ䑁䅅睍㍁䅁䅁眶䅕䉁䅷䅁呂䙁䅁睕硁䑁䅧䅎㍁䑁䅫兏ㅁ䑁䅅睎祁䅁䅁眱䅕䉁䅷䅁佂䕁䅅睕䕂䕁䅅兕䡂䙁䅍杏坂䙁䅉睕䱂䅁䅁䅘䅣䉁䅷䅁呂䙁䅁睕硁䑁䅧䅎㍁䑁䅫兏ㅁ䑁䅅睎穁䅁䅁杲䅕䉁䅷䅁呂䙁䅁睕硁䑁䅧䅎㍁䑁䅫兏ㅁ䑁䅅睎ㅁ䅁䅁眹䅕䉁䅷䅁呂䙁䅁睕硁䑁䅧䅎㍁䑁䅫兏ㅁ䑁䅅睎㉁䅁䅁睵䅕䝁䅧䅁扂䕁䄰兓時䕁䅣䅔偂䕁䅉兑䵂䙁䄸睖䉂䕁䅍睑䉂䝁䄴兙獂䡁䅫督灂䡁䅍睘㉂䑁䅅杌㑂䝁䅷督瑂䙁䄰睖䉂䕁䅍睑桁䍁䅑睑偂䍁䅑䅎祁䑁䅯䅊䑂䕁䄸䅊㍁䑁䅁睍䅁䱁䅕䅁捁䅁䅁睕兂䙁䅍免㑁䑁䅑睎㕁䑁䅫兎硁䑁䅣睎䅁佁䘰䅁捁䅁䅁睕兂䙁䅍免㑁䑁䅑睎㕁䑁䅫兎硁䑁䅣䅏䅁䅁䝣䅁捁䅁䅁睕兂䙁䅍免㑁䑁䅑睎㕁䑁䅫兎硁䑁䅧䅍䅁䭁䙍䅁捁䅁䅁睕兂䙁䅍免㑁䑁䅑睎㕁䑁䅫兎硁䑁䅧免䅁偁䙷䅁捁䅁䅁睕兂䙁䅍免㑁䑁䅑睎㕁䑁䅫兎硁䑁䅧䅎䅁䵁䙳䅁卂䅁䅁睗乂䕁䅫睘䕂䕁䅍杒䉂䝁䄴兙獂䡁䅫督灂䡁䅍睘㉂䑁䅅杌㑂䝁䅷督瑂䙁䄰䅒䑂䕁䅙光歁䙁䅧䅊ぁ䑁䅧杏歁䕁䅅兒歁䑁䅑䅏䅁佁䍣䅁捁䅁䅁睕兂䙁䅍免㑁䑁䅑睎㕁䑁䅫兎穁䑁䅧䅍䅁䵁䙕䅁捁䅁䅁睕兂䙁䅍免㑁䑁䅑睎㕁䑁䅫兎穁䑁䅧䅎䅁䱁䙣䅁捁䅁䅁睕兂䙁䄸睕䥂䕁䅅杕䙂䙁䅍睘偂䙁䅕䅖䅁䝁䈰䅁捁䅁䅁睕兂䙁䅍免㑁䑁䅑睎㕁䑁䅫兎穁䑁䅧睎䅁䱁䙉䅁捁䅁䅁睕兂䙁䅍免㑁䑁䅑睎㕁䑁䅫兎穁䑁䅫䅍䅁䵁䙙䅁捁䅁䅁睕兂䙁䅍免㑁䑁䅑睎㕁䑁䅫兎穁䑁䅫免䅁䅁䝁䅁捁䅁䅁睕兂䙁䅍免㑁䑁䅑睎㕁䑁䅫兎穁䑁䅫杍䅁乁䙷䅁捁䅁䅁睕兂䙁䅍免㑁䑁䅑睎㕁䑁䅫兎穁䑁䅫䅎䅁䱁䙧䅁捁䅁䅁睕兂䙁䅍免㑁䑁䅑睎㕁䑁䅫兎穁䑁䅫兎䅁䕁䝙䅁捁䅁䅁睕兂䙁䅍免㑁䑁䅑睎㕁䑁䅫兎穁䑁䅫睎䅁䱁䙍䅁佁䅁䅁杒䕂䙁䅍兌噂䙁䅍䅁敂睂䅁䅈䅁䙁䅍䅕呂䑁䅅䅏㑁䑁䅣䅍穁䑁䅁兏ぁ䑁䅉䅁橄兂䅁䅈䅁䙁䅍䅕呂䑁䅅䅏㑁䑁䅣䅍穁䑁䅁兏ぁ䑁䅍䅁䥁杂䅁杇䅁䙁䅍䅕呂䑁䅕李㍁䑁䅍䅏祁䑁䅕䅎㑁䅁䅁杊䅧䉁䅷䅁呂䙁䅁睕硁䑁䅧䅏㍁䑁䅁睍睁䑁䅫䅎ぁ䅁䅁杗䅙䉁䅷䅁呂䙁䅁睕硁䑁䅧䅏㍁䑁䅁睍睁䑁䅫䅎ㅁ䅁䅁杷䅕䉁䅷䅁呂䙁䅁睕硁䑁䅧䅏㍁䑁䅁睍睁䑁䅫䅎㉁䅁䅁杆䅙䑁䅧䅁䩂䙁䅅睘啂䕁䄸䅖䉂䕁䅷睘卂䕁䅕杖時䑁䅅兗卂䙁䄸兑佂䕁䄴睘䡂䙁䅉睔塂䙁䅑䅓䅁䭁䡙䅁捁䅁䅁睕兂䙁䅍免㑁䑁䅧睎睁䑁䅍䅍㕁䑁䅑䅏䅁䕁䝁䅁捁䅁䅁睕兂䙁䅍免㑁䑁䅧睎睁䑁䅍䅍㕁䑁䅕䅍䅁䵁䘰䅁歂䅁䅁睗乂䕁䅫睘䡂䕁䅷睔䍂䕁䅅䅔時䙁䅣兑䑂䕁䅍兑畂䝁䅅䅢㕂䡁䅍兡穂䙁䄸杤硁䍁䄴䅥獂䡁䅍兢摂䙁䅣兑䑂䕁䅍光歁䙁䅅䅊穁䑁䅑杏歁䕁䅅兑歁䑁䅍䅎䅁乁䅳䅁捁䅁䅁睕兂䙁䅍免㑁䑁䅧睎睁䑁䅍䅍㕁䑁䅕䅎䅁䙁䝳䅁捁䅁䅁睕兂䙁䅍免㑁䑁䅧睎睁䑁䅍䅍㕁䑁䅕兎䅁䵁䙍䅁捁䅁䅁睕兂䙁䅍免㑁䑁䅧睎睁䑁䅍䅍㕁䑁䅕睎䅁佁䙅䅁捁䅁䅁睕兂䙁䅍免㕁䑁䅅睎睁䑁䅁䅏㕁䑁䅫䅏䅁䕁䡑䅁坂䅁䅁睗呂䙁䅁睒時䕁䅑睑䝂䕁䅅杢桂䝁䅷入穂䝁䅫督時䡁䅙免畁䡁䅧䅢穂䝁䄰兘䕂䕁䅍杒桁䍁䅑兑䵂䍁䅑兎㕁䑁䅯䅊䉂䕁䅷䅊㍁䑁䅉䅁瑁睁䅁䅈䅁䙁䅍䅕呂䑁䅅兏祁䑁䅧䅏㉁䑁䅁李硁䑁䅉䅁䝂睂䅁杇䅁䙁䅍䅕呂䑁䅉䅍㑁䑁䅣杍㕁䑁䅫杍睁䅁䅁睎䅣䉁䅷䅁呂䙁䅁睕硁䑁䅫睍睁䑁䅉兎㉁䑁䅁䅏㍁䅁䅁杭䅙䉁䅷䅁呂䙁䅁睕硁䑁䅫睍睁䑁䅉兎㉁䑁䅁䅏㑁䅁䅁兯䅙䉁䅯䅁呂䙁䅁睕祁䑁䅣杍睁䑁䅑睍㕁䑁䅉䅏䅁偁䝷䅁慁䅁䅁睕兂䙁䅍李㑁䑁䅉杍硁䑁䅉睍㍁䑁䅉䅁䙄睂䅁䅈䅁䙁䅍䅕呂䑁䅅兏穁䑁䅁杍ㅁ䑁䅙䅍㕁䑁䅁䅁权杂䅁杖䅁䙁䅳睕兂䕁䅣睘䕂䕁䅍杒䉂䝁䄴兙獂䡁䅫督灂䡁䅍睘㉂䑁䅅杌㑂䝁䅷督瑂䙁䄰䅒䑂䕁䅙光歁䕁䅍兒歁䑁䅕睍㙁䍁䅑睑䡂䍁䅑兎穁䅁䅁睥䅍䉁䅷䅁呂䙁䅁睕硁䑁䅫睍睁䑁䅉兎㉁䑁䅁兏硁䅁䅁䅮䅙䉁䅯䅁呂䙁䅁睕祁䑁䅕免㕁䑁䅅李硁䑁䅫兎䅁䑁䡅䅁坁䅁䅁睕兂䙁䅍杍㉁䑁䅁李祁䑁䅉䅏䅁䕁䡯䅁卂䅁䅁睗乂䕁䅫睘䕂䕁䅍杒䉂䝁䄴兙獂䡁䅫督灂䡁䅍睘㉂䑁䅅杌㑂䝁䅷督瑂䙁䄰䅒䑂䕁䅙光歁䙁䅧䅊ぁ䑁䅣杏歁䕁䅅兒歁䑁䅑睎䅁佁䍙䅁慁䅁䅁睕兂䙁䅍杍㍁䑁䅉䅍ぁ䑁䅍兏祁䑁䅣䅁㝄杂䅁杇䅁䙁䅍䅕呂䑁䅉睎祁䑁䅅免㍁䑁䅙免ㅁ䅁䅁睌䅣䉁䅯䅁呂䙁䅁睕祁䑁䅣杍硁䑁䅅睎㉁䑁䅅李䅁䑁䡁䅁流䅁䅁睕兂䙁䄸䅖䩂䕁䅍睓䙂䙁䅉睘䙂䙁䅧睑䥂䕁䅅杔䡂䕁䅕䅁䱃兂䅁杇䅁䙁䅍䅕呂䑁䅉䅏㑁䑁䅣免㑁䑁䅫睎㑁䅁䅁䅶䅙䉁䅯䅁呂䙁䅁睕祁䑁䅧䅏㍁䑁䅅䅏㕁䑁䅣兏䅁䱁䜰䅁慁䅁䅁睕兂䙁䅍杍㑁䑁䅧睎硁䑁䅧兏㑁䑁䅍䅁䑄杂䅁杇䅁䙁䅍䅕呂䑁䅉䅏㑁䑁䅣免㑁䑁䅫䅏㉁䅁䅁杸䅙䉁䅯䅁呂䙁䅁睕祁䑁䅧䅏㍁䑁䅅䅏㕁䑁䅫䅏䅁偁䝯䅁兂䅁䅁睗乂䕁䅫睘䕂䕁䅍杒䉂䝁䄴兙獂䡁䅫督灂䡁䅍睘㉂䑁䅅杌㑂䝁䅷督瑂䙁䄰䅒䑂䕁䅙光歁䕁䅧䅊㕁䑁䅙杏歁䕁䄰䅊㕁䑁䅙䅁乂杁䅁䅕䅁䙁䅳兔䩂䙁䄸䅒䑂䕁䅙兑畂䝁䅅䅢㕂䡁䅍兡穂䙁䄸杤硁䍁䄴䅥獂䡁䅍兢摂䕁䅑睑䝂䍁䅅䅊䥂䍁䅑兏ㅁ䑁䅯䅊乂䍁䅑兏ㅁ䅁䅁睓䅉䉁䅯䅁呂䙁䅁睕穁䑁䅅䅎硁䑁䅑杍㍁䑁䅑睎䅁䵁䝳䅁慁䅁䅁睕兂䙁䅍睍硁䑁䅫䅏ぁ䑁䅅睍㉁䑁䅕䅁䵄杂䅁杇䅁䙁䅍䅕呂䑁䅍免㕁䑁䅧䅎硁䑁䅍李㉁䅁䅁兺䅙䉁䅷䅁呂䙁䅁睕硁䑁䅧兎㕁䑁䅧免㍁䑁䅍䅎㉁䅁䅁䄷䅣䉁䅧䅁呂䙁䅁睕穁䑁䅉杍硁䑁䅫兏㑁䑁䅧䅁祁睂䅁䅇䅁䙁䅍䅕呂䑁䅍杍祁䑁䅅兏㕁䑁䅫杍䅁䍁䠴䅁䵂䅁䅁兔灂䝁䅍杣療䡁䅍睢浂䡁䅑䅉䑂䝁䄸杣睂䝁䄸杣桂䡁䅑兡療䝁䄴䅉潁䕁䄴兑呂䕁䅑兑剂䕁䅣睕㙁䕁䄰睕䝂䙁䅑克䅁䭁䠸䅁慁䅁䅁睕兂䙁䅍睍祁䑁䅕䅏硁䑁䅧兎㉁䑁䅁䅁楄兂䅁杇䅁䙁䅍䅕呂䑁䅍杍㍁䑁䅁免ㅁ䑁䅧䅎硁䅁䅁䅕䅙䉁䅧䅁呂䙁䅁睕ぁ䑁䅁兎㉁䑁䅁睍㍁䑁䅙䅁䱂睂䅁杖䅁䍁䅣睗呂䙁䅁睒時䕁䅑睑䝂䙁䄸兑畂䝁䅅䅢㕂䡁䅍兡穂䙁䄸杤硁䍁䅁䅋祁䍁䅫杌㑂䝁䅷督瑂䙁䄰䅒䑂䕁䅙睊桁䍁䅑兑奂䍁䅑兎㍁䅁䅁兰䅣䉁䅷䅁呂䙁䅁睕硁䑁䅫䅎祁䑁䅅䅍睁䑁䅧兎穁䅁䅁村䅧䉁䅯䅁呂䙁䅁睕ぁ䑁䅁睎ぁ䑁䅫杍㉁䑁䅣䅎䅁䑁䜴䅁奁䅁䅁睕兂䙁䅍䅎㕁䑁䅕免睁䑁䅅䅏祁䅁䅁䅉䅙䉁䅯䅁呂䙁䅁睕ぁ䑁䅁兏㍁䑁䅕免睁䑁䅅兎䅁䵁䜸䅁慁䅁䅁睕兂䙁䅍䅎睁䑁䅫睎ㅁ䑁䅅免睁䑁䅍䅁㥄杂䅁杇䅁䙁䅍䅕呂䑁䅙李㉁䑁䅅免ぁ䑁䅕兏ㅁ䅁䅁䅅䅙䉁䅯䅁呂䙁䅁睕ぁ䑁䅁兏㍁䑁䅕免硁䑁䅁䅎䅁偁䜴䅁慁䅁䅁睕兂䙁䅍䅎硁䑁䅣兏硁䑁䅧䅏㑁䑁䅉䅁湁杂䅁杇䅁䙁䅍䅕呂䑁䅑杍㉁䑁䅣睎ㅁ䑁䅁䅎㕁䅁䅁睏䅣䉁䅯䅁呂䙁䅁睕ぁ䑁䅍免硁䑁䅕䅏㕁䑁䅫䅏䅁䑁䝁䅁慁䅁䅁睕兂䙁䅍兎㕁䑁䅑兎睁䑁䅍睍㍁䑁䅑䅁乁睂䅁杇䅁䙁䅍䅕呂䑁䅕兏ぁ䑁䅕䅍穁䑁䅍睎ㅁ䅁䅁杄䅣䕁䅙䅁扂䕁䄰兓時䕁䅑睑䝂䕁䅅杢桂䝁䅷入穂䝁䅫督時䡁䅙免畁䡁䅧䅢穂䝁䄰兘䕂䕁䅍杒桁䍁䅑兑偂䍁䅑兎穁䅁䅁眸䅉䉁䄴䅁佂䕁䅅睕䕂䕁䅅兕䡂䙁䅍杏䡂䕁䄸睔䡂䕁䅷䅁㕃睂䅁杇䅁䙁䅍䅕呂䑁䅕兏ぁ䑁䅕䅍穁䑁䅍睎㑁䅁䅁充䅣䉁䅯䅁呂䙁䅁睕ㅁ䑁䅫䅎ㅁ䑁䅁睍穁䑁䅧䅍䅁乁䝅䅁慁䅁䅁睕兂䙁䅍兎㕁䑁䅑兎睁䑁䅍睍㑁䑁䅅䅁卄杂䅁杇䅁䙁䅍䅕呂䑁䅕兏ぁ䑁䅕䅍穁䑁䅍䅏祁䅁䅁眰䅙䉁䅯䅁呂䙁䅁睕ㅁ䑁䅫䅎ㅁ䑁䅁睍穁䑁䅧李䅁乁䝣䅁敂䅁䅁睗乂䕁䅫睘塂䙁䅣睘塂䕁䅅睑䑂䕁䅅杢桂䝁䅷入穂䝁䅫督時䡁䅙免畁䡁䅧䅢穂䝁䄰兘塂䕁䅅睑䑂䍁䅅䅊䑂䙁䅍䅊穁䑁䅫杏歁䕁䅍杖歁䑁䅍兏䅁偁䄰䅁慁䅁䅁睕兂䙁䅍兎㕁䑁䅑兎睁䑁䅍睍㑁䑁䅣䅁奄杂䅁杇䅁䙁䅍䅕呂䑁䅕兏ぁ䑁䅕䅍穁䑁䅍兏祁䅁䅁䄳䅙䕁䅷䅁䑂䝁䄸兡畂䝁䅉兙穂䝁䅕䅉䡂䝁䅷睢楂䝁䅅䅢獁䍁䅁兓畂䝁䅍杌杁䍁䅧杔䉂䙁䅍䅒䉂䙁䅅睒呂䑁䅯睑偂䕁䅫杔灁䅁䅁䅢䅣䉁䅯䅁呂䙁䅁睕ㅁ䑁䅫䅎ㅁ䑁䅁睍穁䑁䅫睍䅁乁䜰䅁慁䅁䅁睕兂䙁䅍兎㕁䑁䅑兎睁䑁䅍睍㕁䑁䅑䅁敄杂䅁杇䅁䙁䅍䅕呂䑁䅕兏ぁ䑁䅕䅍穁䑁䅍兏ㅁ䅁䅁眳䅙䉁䅯䅁呂䙁䅁睕ㅁ䑁䅫䅎ㅁ䑁䅁睍穁䑁䅫睎䅁佁䝅䅁慁䅁䅁睕兂䙁䅍兎㕁䑁䅑兎睁䑁䅍睍㕁䑁䅫䅁楄杂䅁杇䅁䙁䅍䅕呂䑁䅕兏ぁ䑁䅕䅍穁䑁䅑䅍硁䅁䅁睁䅣䉁䅯䅁呂䙁䅁睕ㅁ䑁䅫䅎ㅁ䑁䅁睍ぁ䑁䅁杍䅁䅁䡑䅁慁䅁䅁睕兂䙁䅍兎㕁䑁䅑李祁䑁䅁杍㉁䑁䅣䅁ぁ睂䅁䅗䅁䙁䅳兔䩂䙁䄸睒䵂䕁䄸村䉂䕁䅷睘塂䕁䅅睑䑂䕁䅅杢桂䝁䅷入穂䝁䅫督時䡁䅙免畁䡁䅧䅢穂䝁䄰兘塂䕁䅅睑䑂䍁䅅䅊䑂䙁䅙䅊穁䑁䅣䅁㍃䅁䅁杇䅁䙁䅍䅕呂䑁䅕兏ぁ䑁䅕䅍穁䑁䅑䅍ㅁ䅁䅁杂䅣䉁䅯䅁呂䙁䅁睕ㅁ䑁䅫䅎ㅁ䑁䅁睍ぁ䑁䅁睎䅁䅁䡣䅁捁䅁䅁睕兂䙁䅍免㍁䑁䅧䅍穁䑁䅫兎穁䑁䅁兏䅁䑁䥫䅁慁䅁䅁睕兂䙁䅍兎㕁䑁䅑兎睁䑁䅍䅎睁䑁䅫䅁䥁睂䅁杇䅁䙁䅍䅕呂䑁䅕兏ぁ䑁䅙杍睁䑁䅉睎睁䅁䅁儶䅙䉁䅯䅁呂䙁䅁睕ㅁ䑁䅫䅎ㅁ䑁䅁睍ぁ䑁䅅杍䅁䉁䡷䅁佁䅁䅁䅖卂䙁䅕兌噂䙁䅍䅁湂睂䅁杇䅁䙁䅍䅕呂䑁䅕兏ぁ䑁䅙杍睁䑁䅉睎硁䅁䅁朶䅙䉁䅯䅁呂䙁䅁睕ㅁ䑁䅫䅎ㅁ䑁䅁睍ぁ䑁䅅睍䅁䉁䠰䅁慁䅁䅁睕兂䙁䅍兎㕁䑁䅑李祁䑁䅁杍㍁䑁䅣䅁癄杂䅁杇䅁䙁䅍䅕呂䑁䅕兏ぁ䑁䅕䅍穁䑁䅑免ㅁ䅁䅁杈䅣䉁䅯䅁呂䙁䅁睕ㅁ䑁䅫䅎ㅁ䑁䅁睍ぁ䑁䅅李䅁䉁䠸䅁慁䅁䅁睕兂䙁䅍睍祁䑁䅕䅏硁䑁䅧䅍㕁䑁䅧䅁時䅃䅁杕䅁䙁䅳兔䩂䙁䄸䅒䑂䕁䅙兑畂䝁䅅䅢㕂䡁䅍兡穂䙁䄸杤硁䍁䄴䅥獂䡁䅍兢摂䕁䅑睑䝂䍁䅅䅊奂䍁䅑䅎ㅁ䑁䅯䅊䉂䕁䅕䅊ぁ䑁䅕䅁䑂杁䅁杇䅁䙁䅍䅕呂䑁䅕兏ぁ䑁䅙杍睁䑁䅉睎ㅁ䅁䅁儷䅙䉁䅷䅁灂䡁䅅睘療䝁䅙杚求䡁䅉睘歂䝁䅅䅤求䅁䅁允䅑䉁䅯䅁呂䙁䅁睕ㅁ䑁䅫䅎ㅁ䑁䅁睍ぁ䑁䅅睎䅁䍁䡁䅁慁䅁䅁睕兂䙁䅍兎㕁䑁䅑兎睁䑁䅍䅎祁䑁䅉䅁啁睂䅁杇䅁䙁䅍䅕呂䑁䅕兏ぁ䑁䅕䅍穁䑁䅑杍穁䅁䅁兆䅣䉁䅷䅁呂䙁䅁睕硁䑁䅧兎㕁䑁䅉睎㕁䑁䅑䅏硁䅁䅁眴䅣䉁䅯䅁呂䙁䅁睕ㅁ䑁䅫䅎ㅁ䑁䅁睍ぁ䑁䅉䅎䅁䉁䡙䅁慁䅁䅁睕兂䙁䅍兎㕁䑁䅑李祁䑁䅁杍㉁䑁䅫䅁㉁睂䅁杊䅁䙁䅳村療䝁䄸睡硁䙁䄰睕潂䝁䅕党あ䑁䅅光歁䕁䄴䅊硁䅁䅁睆䅁䉁䅯䅁呂䙁䅁睕ㅁ䑁䅫䅎㉁䑁䅉䅍祁䑁䅧䅍䅁䍁䡍䅁慁䅁䅁睕兂䙁䅍兎㕁䑁䅑李祁䑁䅁杍㑁䑁䅕䅁歁睂䅁杇䅁䙁䅍䅕呂䑁䅕兏ぁ䑁䅙杍睁䑁䅉䅏㍁䅁䅁兊䅣䉁䅯䅁呂䙁䅁睕ㅁ䑁䅫䅎㉁䑁䅉䅍祁䑁䅧䅏䅁䍁䡙䅁慁䅁䅁睕兂䙁䅍兎㕁䑁䅑李祁䑁䅁杍㕁䑁䅁䅁㑁睂䅁杇䅁䙁䅍䅕呂䑁䅙䅍睁䑁䅁李㑁䑁䅑李㕁䅁䅁兴䅕䉁䅯䅁呂䙁䅁睕㉁䑁䅅杍㑁䑁䅑睎ぁ䑁䅉李䅁䭁䙣䅁慁䅁䅁睕兂䙁䅍李硁䑁䅉䅏ぁ䑁䅣䅎祁䑁䅣䅁潃兂䅁䅎䅁䙁䅳村療䝁䄸睡硁䙁䄰睕潂䝁䅕党あ䑁䅅光歁䕁䅳䅊硁䑁䅍杏歁䕁䅳䅊硁䑁䅧䅁晁䅁䅁杇䅁䙁䅍䅕呂䑁䅙免祁䑁䅧䅎㍁䑁䅑杍㑁䅁䅁共䅕䉁䅧䅁呂䙁䅁睕㉁䑁䅑兎㉁䑁䅍䅎㑁䑁䅧䅁䙂睂䅁杇䅁䙁䅍䅕呂䑁䅙兎穁䑁䅑睎ㅁ䑁䅉䅏ぁ䅁䅁睏䅙䙁䅙䅁扂䙁䅍䅕䡂䙁䄸䅒䑂䕁䅙兑畂䝁䅅䅢㕂䡁䅍兡穂䙁䄸杤硁䍁䄴䅥獂䡁䅍兢摂䕁䅑睑䝂䍁䅅䅊奂䍁䅑免ぁ䑁䅉杏歁䙁䅧䅊硁䑁䅑睍䅁䕁䑍䅁䝂䅁䅁睗乂䕁䅫睘䕂䕁䅍杒䉂䝁䄴兙獂䡁䅫督灂䡁䅍睘㉂䑁䅅杌㑂䝁䅷督瑂䙁䄰䅒䑂䕁䅙光歁䙁䅧䅊硁䑁䅉䅏䅁佁䈸䅁慁䅁䅁睕兂䙁䅍李ㅁ䑁䅍䅎㍁䑁䅕杍㑁䑁䅕䅁㡁杂䅁杇䅁䙁䅍䅕呂䑁䅙兎穁䑁䅑睎ㅁ䑁䅣杍祁䅁䅁兗䅙䉁䅯䅁呂䙁䅁睕㉁䑁䅕兏ぁ䑁䅑李㍁䑁䅧睎䅁䍁䡣䅁慁䅁䅁睕兂䙁䅍李ㅁ䑁䅫䅎ぁ䑁䅙䅏㕁䑁䅍䅁⽄杂䅁杇䅁䙁䅍䅕呂䑁䅙兎㕁䑁䅑䅎㉁䑁䅧兏ぁ䅁䅁䅁䅣䉁䅯䅁呂䙁䅁睕㉁䑁䅕兏ぁ䑁䅑李㕁䑁䅧䅎䅁䍁䡧䅁奁䅁䅁睕兂䙁䅍李㉁䑁䅉兎睁䑁䅑䅏㍁䅁䅁兑䅣䉁䅯䅁呂䙁䅁睕㉁䑁䅙李硁䑁䅅䅎ㅁ䑁䅫李䅁䉁䝅䅁慁䅁䅁睕兂䙁䅍李㉁䑁䅙免硁䑁䅑兎㕁䑁䅣䅁十杂䅁杇䅁䙁䅍䅕呂䑁䅙李㉁䑁䅅免ぁ䑁䅕兏㑁䅁䅁睅䅙䉁䅯䅁呂䙁䅁睕㉁䑁䅙睎㉁䑁䅕睍硁䑁䅍李䅁䅁䡫䅁䝂䅁䅁睗乂䕁䅫睘䕂䕁䅍杒䉂䝁䄴兙獂䡁䅫督灂䡁䅍睘㉂䑁䅅杌㑂䝁䅷督瑂䙁䄰䅒䑂䕁䅙光歁䕁䅅睒歁䑁䅑杍䅁䥁䍉䅁慁䅁䅁睕兂䙁䅍李㉁䑁䅣李ㅁ䑁䅍免穁䑁䅣䅁䭁睂䅁杇䅁䙁䅍䅕呂䑁䅙李㍁䑁䅙兎穁䑁䅅睍㑁䅁䅁睃䅣䉁䅯䅁呂䙁䅁睕穁䑁䅣䅏ㅁ䑁䅉兏㉁䑁䅉杍䅁佁䠴䅁奁䅁䅁睕兂䙁䅍兎㕁䑁䅁䅎ぁ䑁䅉䅎㉁䅁䅁䄶䅣䉁䅯䅁呂䙁䅁睕㉁䑁䅙睎㉁䑁䅕睍硁䑁䅍兏䅁䅁䡷䅁䕂䅁䅁睗乂䕁䅫睘䕂䕁䅍杒䉂䝁䄴兙獂䡁䅫督灂䡁䅍睘㉂䑁䅅杌㑂䝁䅷督瑂䙁䄰䅒䑂䕁䅙光歁䙁䅕䅊ぁ䑁䅁䅁桄允䅁杇䅁䙁䅍䅕呂䑁䅙李㍁䑁䅙兎穁䑁䅅䅎硁䅁䅁杇䅣䉁䅯䅁呂䙁䅁睕㍁䑁䅁䅍㕁䑁䅁李㕁䑁䅍李䅁䝁䝁䅁奁䅁䅁睕兂䙁䅍䅏ぁ䑁䅑兏㍁䑁䅙杍ぁ䅁䅁儵䅕䉁䅙䅁呂䙁䅁䅖祁䑁䅙睍穁䑁䅙睎硁䅁䅁杌䅕䉁䅯䅁呂䙁䅁䅖卂䕁䄸免㉁䑁䅫䅍穁䑁䅙杍䅁䝁䍅䅁慁䅁䅁睕兂䙁䅑杕偂䑁䅅睎㍁䑁䅑杍祁䑁䅅䅁楂杁䅁杊䅁䙁䅳村療䝁䄸睡硁䙁䄰睕潂䝁䅕党あ䑁䅅光歁䕁䅉䅊硁䅁䅁充䅁䉁䅯䅁呂䙁䅁䅖卂䕁䄸免㍁䑁䅧兎祁䑁䅧兏䅁䝁䍍䅁ぁ䅁䅁睗䍂䝁䄸睢牂䑁䅅兘呂䝁䅧党求䡁䅑免桁䍁䅑睓歁䑁䅅睍㙁䍁䅑睓歁䑁䅉睍䅁䑁䅍䅁捁䅁䅁睕兂䙁䅑杕時䕁䅅杔佂䙁䄸䅒䉂䙁䅑兒䅁䙁䌸䅁捁䅁䅁睕兂䙁䅑杕時䕁䅑兓坂䙁䄸杕䉂䙁䅑兒䅁䙁䌰䅁䝂䅁䅁睗乂䕁䅫睘䕂䕁䅍杒䉂䝁䄴兙獂䡁䅫督灂䡁䅍睘㉂䑁䅅杌㑂䝁䅷督瑂䙁䄰䅒䑂䕁䅙光歁䙁䅫䅊硁䑁䅑䅍䅁偁䍙䅁慁䅁䅁睕兂䙁䄸村偂䕁䄴䅒時䕁䅷兓呂䙁䅑䅁塃兂䅁䅖䅁䙁䅳睕兂䕁䅣睘䕂䕁䅍杒䉂䝁䄴兙獂䡁䅫督灂䡁䅍睘㉂䑁䅅杌㑂䝁䅷督瑂䙁䄰䅒䑂䕁䅙光歁䙁䅧䅊ぁ䑁䅧杏歁䕁䅅兒歁䑁䅑䅏䅁䑁䑉䅁允䅁䅁睕兂䙁䄸睑偂䕁䅣睕䅁䡁䝍䅁捁䅁䅁睕兂䙁䄸睑偂䕁䄰䅕䉂䕁䄴兗時䕁䅫䅒䅁䥁䙫䅁煁䅁䅁睕兂䙁䄸睑偂䕁䄰䅕䉂䕁䄴兗時䕁䄴兑乂䕁䅕睘䉂䕁䅉村卂䅁䅁杫䅙䕁䅙䅁扂䕁䄰兓時䕁䅑睑䝂䕁䅅杢桂䝁䅷入穂䝁䅫督時䡁䅙免畁䡁䅧䅢穂䝁䄰兘䕂䕁䅍杒桁䍁䅑杗歁䑁䅅䅎硁䅁䅁八䅉䍁䅁䅁呂䙁䅁睘䑂䕁䄸兖佂䙁䅑杕婂䙁䄸杔䉂䕁䄰兒䅁䩁䝑䅁啂䅁䅁睗乂䕁䅫睘䕂䕁䅍杒䉂䝁䄴兙獂䡁䅫督灂䡁䅍睘㉂䑁䅅杌㑂䝁䅷督瑂䙁䄰䅒䑂䕁䅙光歁䕁䅕䅊祁䑁䅁䅏㙁䍁䅑兒歁䑁䅉杍㑁䅁䅁眹䅅䉁䅯䅁呂䙁䅁睘乂䕁䅅杕䱂䕁䅕䅖䑂䕁䅅䅕䅁䥁䘴䅁敁䅁䅁睕兂䙁䄸䅕卂䕁䅫睑䙂䙁䄸睑䵂䕁䄸睕䙂䅁䅁內䅙䉁䅯䅁呂䙁䅁睕ㅁ䑁䅙免㕁䑁䅧杍㑁䑁䅉兏䅁䩁䡁䅁捁䅁䅁睕兂䙁䄸杕䉂䙁䅑兒時䙁䅙兑䵂䙁䅕兒䅁䑁䙅䅁杁䅁䅁睕兂䙁䄸䅖偂䙁䅑兑䵂䙁䄸杕䙂䙁䅑兖卂䕁䄴䅁呄䅁䅁杍䅁䙁䅍䅖偂䙁䅧䅗杁䕁䅕兙穂䡁䅑党祂䝁䄴䅉䙂䡁䅕杣療䡁䅁党杁䑁䅍䅍睁䅁䅁睦䅁䍁䅉䅁呂䙁䅑睔奂䙁䅧䅉䙂䡁䅕杣療䡁䅁党杁䑁䅙䅍睁䅁䅁䅧䅁䍁䅷䅁呂䝁䅕睙ㅂ䡁䅉兡あ䡁䅫䅉䕂䝁䅕督橂䡁䅉兡睂䡁䅑兡療䝁䄴䅉䅁䍁䅷䅁㑁䅁䅁睕潂䝁䅅杣求䡁䅍䅉偂䡁䅕䅤穂䡁䅑兙畂䝁䅑兡畂䝁䅣䅉潁䝁䅅睙あ䡁䅕兙獂䍁䅫䅁療允䅁䅋䅁䙁䅍䅤祂䝁䅅兡あ䡁䅍䅉啂䝁䅫兢求䡁䅍䅉䩂䝁䄴䅚求䡁䅧䅁䉃䅁䅁䅃䅁䙁䅑睑呂䅁䅁先䅕䉁䅷䅁呂䙁䅁睕硁䑁䅣睎穁䑁䅑䅏硁䑁䅍杍睁䅁䅁兩䅣䉁䅑䅁啂䕁䅕䅔瑁䙁䅁䅓兂䙁䅍兒䅁乁䍅䅁啁䅁䅁䅖䵂䙁䅍睒瑁䕁䅷杓呂䕁䅕䅁䝄杁䅁䅖䅁䙁䅳兔䩂䙁䄸䅒䑂䕁䅙兑畂䝁䅅䅢㕂䡁䅍兡穂䙁䄸杤硁䍁䄴䅥獂䡁䅍兢摂䕁䅑睑䝂䍁䅅䅊䉂䕁䄰䅊ㅁ䑁䅑杏歁䕁䅅兔歁䑁䅙睎䅁䵁䍫䅁䝂䅁䅁睗乂䕁䅫睘䕂䕁䅍杒䉂䝁䄴兙獂䡁䅫督灂䡁䅍睘㉂䑁䅅杌㑂䝁䅷督瑂䙁䄰䅒䑂䕁䅙光歁䙁䅣䅊硁䑁䅉李䅁䥁䍯䅁杁䅁䅁䅖卂䑁䅯䅉呂䍁䅙䅕杁䑁䅕䅍睁䍁䅁䅋汁䍁䅫䅁䡁䅁䅁䅅䅁䙁䅑睕䵂䕁䅅兌噂䙁䅍䅁穂杁䅁䅇䅁䙁䅑党穂䝁䅷兙獁䍁䅁兓畂䝁䅍杌䅁䭁䕫䅁潁䅁䅁䅖潂䝁䅕䅉塂䝁䅅䅢あ䍁䅁䅒灂䡁䅍杢求䡁䅫䅉䑂䝁䄸杌䅁䱁䝯䅁䝂䅁䅁䅖潂䝁䅕䅉塂䝁䅅䅢あ䍁䅁䅒灂䡁䅍杢求䡁䅫䅉䑂䝁䄸兢睂䝁䅅杢㕂䍁䅁䅋佂䙁䅫睕䙂䑁䅯䅒䩂䙁䅍克䅁䱁䝫䅁歁䅁䅁䅖療䝁䅳入療䍁䅁䅕祂䝁䅫睙求䍁䅁兓畂䝁䅑党㑂䅁䅁䅨䅁䍁䅑䅁啂䝁䄸䅤桂䝁䅷䅉䕂䝁䅕杙あ䍁䅁䅋歁䑁䅁䅍睁䍁䅫䅁捃䅁䅁杇䅁䙁䅍䅕呂䑁䅍睎㑁䑁䅉䅎ぁ䑁䅁兎睁䅁䅁杏䅧䍁䅷䅁啂䝁䄸䅤桂䝁䅷䅉䕂䝁䅕杙あ䍁䅁䅋卂䝁䅕䅣療䡁䅉䅤求䝁䅑克䅁䉁䅯䅁兂䅁䅁䅖療䡁䅑兙獂䍁䅁兒畂䡁䅑党祂䡁䅁杣灂䡁䅍党杁䙁䅙兙獂䡁䅕党杁䍁䅧睑䩂䙁䅅克杁䍁䅧杕求䡁䅁睢祂䡁䅑党歂䍁䅫䅁睁允䅁䅐䅁䙁䅑睢あ䝁䅅䅢杁䙁䅁杣求䝁䅙党祂䡁䅉党歂䍁䅁兒硂䡁䅕兡あ䡁䅫䅉潁䍁䅑䅍睁䑁䅁克䅁䩁䅳䅁奁䅁䅁䅖療䡁䅑兙獂䙁䅉党あ䡁䅕杣畂䅁䅁䄰䅁䑁䅙䅁啂䡁䅉兙歂䝁䅫杢湂䍁䅁睕㕂䝁䄰杙療䝁䅷䅉流䍁䅁兒㑂䝁䅍䅡桂䝁䄴睚求䍁䅁䅁䡃䅁䅁䅅䅁䙁䅕免睁䍁䄰睕䡂䙁䅧䅁䕄杁䅁䅃䅁䙁䅕睕䉂䅁䅁公䅙䅁䅧䅁噂䙁䅍䅒䅁䕁䕧䅁䥂䅁䅁睗呂䙁䅁睒時䕁䅑睑䝂䕁䅅杢桂䝁䅷入穂䝁䅫督時䡁䅙免畁䡁䅧䅢穂䝁䄰兘䕂䕁䅍杒桁䍁䅑睑䑂䍁䅑兎硁䅁䅁来䅍䉁䅑䅁塂䕁䅅睑䑂䙁䄸䅒求䝁䅉䅤䅁䵁䅍䅁敁䅁䅁睖䉂䕁䅍睑時䙁䅁杣求䝁䅙党祂䡁䅉党歂䅁䅁睸䅁䉁䅁䅁塂䕁䅑兑婂䍁䄰兖呂䅁䅁兣䅉䅁䄴䅁塂䕁䄰睒瑁䙁䅕睕䅁䱁䝍䅁兂䅁䅁睖桂䡁䅉杢求䡁䅉䅉乂䡁䅕督灂䝁䅍䅉䡂䡁䅉睢ㅂ䡁䅁䅉䑂䝁䄸杣睂䍁䄴䅉潁䕁䄴兑呂䕁䅑兑剂䕁䅣睕㙁䙁䅣兔䡂䍁䅫䅁㉃杂䅁䅖䅁䙁䅳兔䩂䙁䄸䅒䑂䕁䅙兑畂䝁䅅䅢㕂䡁䅍兡穂䙁䄸杤硁䍁䄴䅥獂䡁䅍兢摂䕁䅑睑䝂䍁䅅䅊䉂䕁䅷䅊ㅁ䑁䅑杏歁䕁䅅䅔歁䑁䅙李䅁䡁䍳䅁獁䅁䅁兗灂䝁䅕䅢歂䍁䅁䅤療䍁䅁兔桂䡁䅑兤祂䝁䅫䅤㕂䍁䅁䅋汁䍁䅫䅁瑁䅁䅁䅍䅁䙁䅳村療䝁䄸睡硁䙁䄰睕潂䝁䅕党あ䑁䅅光歁䕁䅷䅊祁䑁䅯䅊䵂䍁䅑䅎䅁䉁䅉䅁潁䅁䅁睗䍂䝁䄸睢牂䑁䅅兘呂䝁䅧党求䡁䅑免桁䍁䅑杔歁䑁䅅杍䅁䉁䄴䅁䝂䅁䅁睗乂䕁䅫睘䕂䕁䅍杒䉂䝁䄴兙獂䡁䅫督灂䡁䅍睘㉂䑁䅅杌㑂䝁䅷督瑂䙁䄰䅒䑂䕁䅙光歁䕁䅅睒歁䑁䅑䅎䅁䕁䍕䅁啂䅁䅁睗乂䕁䅫睘䕂䕁䅍杒䉂䝁䄴兙獂䡁䅫督灂䡁䅍睘㉂䑁䅅杌㑂䝁䅷督瑂䙁䄰䅒䑂䕁䅙光歁䕁䅅睓歁䑁䅕睍㙁䍁䅑兑䱂䍁䅑李ぁ䅁䅁眳䅅䙁䅑䅁扂䕁䄰兓時䕁䅑睑䝂䕁䅅杢桂䝁䅷入穂䝁䅫督時䡁䅙免畁䡁䅧䅢穂䝁䄰兘䕂䕁䅍杒桁䍁䅑兑䵂䍁䅑兎穁䑁䅯䅊䉂䕁䅷䅊㉁䑁䅑䅁杄允䅁䅖䅁䙁䅳兔䩂䙁䄸䅒䑂䕁䅙兑畂䝁䅅䅢㕂䡁䅍兡穂䙁䄸杤硁䍁䄴䅥獂䡁䅍兢摂䕁䅑睑䝂䍁䅅䅊䉂䕁䅷䅊ㅁ䑁䅍杏歁䕁䅅䅔歁䑁䅙兎䅁䅁䍅䅁坂䅁䅁睗呂䙁䅁睒時䕁䅑睑䝂䕁䅅杢桂䝁䅷入穂䝁䅫督時䡁䅙免畁䡁䅧䅢穂䝁䄰兘䕂䕁䅍杒桁䍁䅑村奂䍁䅑兎穁䑁䅯䅊䑂䕁䅅䅊ㅁ䑁䅍䅁㕂睁䅁䅖䅁䙁䅳兔䩂䙁䄸䅒䑂䕁䅙兑畂䝁䅅䅢㕂䡁䅍兡穂䙁䄸杤硁䍁䄴䅥獂䡁䅍兢摂䕁䅑睑䝂䍁䅅䅊䉂䕁䅷䅊ㅁ䑁䅑杏歁䕁䅅䅔歁䑁䅙睎䅁䵁䍧䅁啂䅁䅁睗乂䕁䅫睘䕂䕁䅍杒䉂䝁䄴兙獂䡁䅫督灂䡁䅍睘㉂䑁䅅杌㑂䝁䅷督瑂䙁䄰䅒䑂䕁䅙光歁䕁䅅䅔歁䑁䅕兏㙁䍁䅑兑䵂䍁䅑睎祁䅁䅁䄹䅉䙁䅑䅁扂䕁䄰兓時䕁䅑睑䝂䕁䅅杢桂䝁䅷入穂䝁䅫督時䡁䅙免畁䡁䅧䅢穂䝁䄰兘䕂䕁䅍杒桁䍁䅑兑乂䍁䅑兎穁䑁䅯䅊䉂䕁䄰䅊㉁䑁䅑䅁㙄允䅁䅖䅁䙁䅳兔䩂䙁䄸䅒䑂䕁䅙兑畂䝁䅅䅢㕂䡁䅍兡穂䙁䄸杤硁䍁䄴䅥獂䡁䅍兢摂䕁䅑睑䝂䍁䅅䅊䉂䕁䄰䅊ㅁ䑁䅑杏歁䕁䅅兔歁䑁䅙李䅁䡁䍷䅁啂䅁䅁睗乂䕁䅫睘䕂䕁䅍杒䉂䝁䄴兙獂䡁䅫督灂䡁䅍睘㉂䑁䅅杌㑂䝁䅷督瑂䙁䄰䅒䑂䕁䅙光歁䕁䅅兔歁䑁䅕李㙁䍁䅑兑乂䍁䅑李㑁䅁䅁睐䅉䕁䅙䅁扂䕁䄰兓時䕁䅑睑䝂䕁䅅杢桂䝁䅷入穂䝁䅫督時䡁䅙免畁䡁䅧䅢穂䝁䄰兘䕂䕁䅍杒桁䍁䅑兑偂䍁䅑䅎㍁䅁䅁儫䅅䍁䅑䅁灂䡁䅅睘穂䝁䅕睙ㅂ䡁䅉兡あ䡁䅫睘獂䝁䅕杤求䝁䅷䅁浄睁䅁杒䅁䙁䅳兔䩂䙁䄸䅒䑂䕁䅙兑畂䝁䅅䅢㕂䡁䅍兡穂䙁䄸杤硁䍁䄴䅥獂䡁䅍兢摂䕁䅑睑䝂䍁䅅䅊䉂䕁䄸䅊ぁ䑁䅧䅁㙂杁䅁杇䅁䙁䅍䅕呂䑁䅍免ㅁ䑁䅕杍ぁ䑁䅑免硁䅁䅁眸䅣䕁䅙䅁扂䕁䄰兓時䕁䅑睑䝂䕁䅅杢桂䝁䅷入穂䝁䅫督時䡁䅙免畁䡁䅧䅢穂䝁䄰兘䕂䕁䅍杒桁䍁䅑村歁䑁䅉䅍祁䅁䅁䅬䅉䕁䅙䅁扂䕁䄰兓時䕁䅑睑䝂䕁䅅杢桂䝁䅷入穂䝁䅫督時䡁䅙免畁䡁䅧䅢穂䝁䄰兘䕂䕁䅍杒桁䍁䅑村歁䑁䅉䅍穁䅁䅁朰䅅䕁䅑䅁扂䕁䄰兓時䕁䅑睑䝂䕁䅅杢桂䝁䅷入穂䝁䅫督時䡁䅙免畁䡁䅧䅢穂䝁䄰兘䕂䕁䅍杒桁䍁䅑村歁䑁䅫杍䅁佁䉧䅁䕂䅁䅁睗乂䕁䅫睘䕂䕁䅍杒䉂䝁䄴兙獂䡁䅫督灂䡁䅍睘㉂䑁䅅杌㑂䝁䅷督瑂䙁䄰䅒䑂䕁䅙光歁䕁䅉䅊㕁䑁䅍䅁䡃杁䅁杓䅁䙁䅳兔䩂䙁䄸睖䉂䕁䅍睑䉂䝁䄴兙獂䡁䅫督灂䡁䅍睘㉂䑁䅅杌㑂䝁䅷督瑂䙁䄰睖䉂䕁䅍睑桁䍁䅑睑剂䍁䅑睍㍁䅁䅁睄䅅䕁䅑䅁扂䕁䄰兓時䕁䅑睑䝂䕁䅅杢桂䝁䅷入穂䝁䅫督時䡁䅙免畁䡁䅧䅢穂䝁䄰兘䕂䕁䅍杒桁䍁䅑村歁䑁䅫兎䅁䕁䍯䅁䕂䅁䅁睗乂䕁䅫睘䕂䕁䅍杒䉂䝁䄴兙獂䡁䅫督灂䡁䅍睘㉂䑁䅅杌㑂䝁䅷督瑂䙁䄰䅒䑂䕁䅙光歁䕁䅉䅊㕁䑁䅧䅁啄杁䅁杒䅁䙁䅳睕兂䕁䅣睘䕂䕁䅍杒䉂䝁䄴兙獂䡁䅫督灂䡁䅍睘㉂䑁䅅杌㑂䝁䅷督瑂䙁䄰䅒䑂䕁䅙光歁䙁䅙䅊ぁ䑁䅙䅁癁睁䅁杒䅁䙁䅳兔䩂䙁䄸䅒䑂䕁䅙兑畂䝁䅅䅢㕂䡁䅍兡穂䙁䄸杤硁䍁䄴䅥獂䡁䅍兢摂䕁䅑睑䝂䍁䅅䅊䑂䙁䅙䅊ぁ䑁䅕䅁歄允䅁䅖䅁䙁䅳兔䩂䙁䄸䅒䑂䕁䅙兑畂䝁䅅䅢㕂䡁䅍兡穂䙁䄸杤硁䍁䄴䅥獂䡁䅍兢摂䕁䅑睑䝂䍁䅅䅊䑂䙁䅣䅊ㅁ䑁䅍杏歁䕁䅍杗歁䑁䅕睍䅁偁䍅䅁啂䅁䅁睗乂䕁䅫睘䕂䕁䅍杒䉂䝁䄴兙獂䡁䅫督灂䡁䅍睘㉂䑁䅅杌㑂䝁䅷督瑂䙁䄰䅒䑂䕁䅙光歁䕁䅍䅗歁䑁䅑睎㙁䍁䅑䅒䉂䍁䅑䅎㍁䅁䅁儵䅅䕁䅙䅁扂䕁䄰兓時䕁䅑睑䝂䕁䅅杢桂䝁䅷入穂䝁䅫督時䡁䅙免畁䡁䅧䅢穂䝁䄰兘䕂䕁䅍杒桁䍁䅑䅒䍂䍁䅑䅎㉁䅁䅁全䅉䕁䅙䅁扂䕁䄰兓時䕁䅑睑䝂䕁䅅杢桂䝁䅷入穂䝁䅫督時䡁䅙免畁䡁䅧䅢穂䝁䄰兘䕂䕁䅍杒桁䍁䅑䅒䍂䍁䅑䅎㑁䅁䅁䅓䅉䉁䅯䅁呂䙁䅁睕ぁ䑁䅅䅏ぁ䑁䅫兎睁䑁䅧睎䅁乁䠰䅁啂䅁䅁睗乂䕁䅫睘䕂䕁䅍杒䉂䝁䄴兙獂䡁䅫督灂䡁䅍睘㉂䑁䅅杌㑂䝁䅷督瑂䙁䄰䅒䑂䕁䅙光歁䕁䅑䅒歁䑁䅕睍㙁䍁䅑䅒䝂䍁䅑兎穁䅁䅁儴䅉䙁䅑䅁扂䕁䄰兓時䕁䅑睑䝂䕁䅅杢桂䝁䅷入穂䝁䅫督時䡁䅙免畁䡁䅧䅢穂䝁䄰兘䕂䕁䅍杒桁䍁䅑䅒䙂䍁䅑䅎㍁䑁䅯䅊䕂䕁䅣䅊ぁ䑁䅣䅁湄允䅁䅖䅁䙁䅳兔䩂䙁䄸䅒䑂䕁䅙兑畂䝁䅅䅢㕂䡁䅍兡穂䙁䄸杤硁䍁䄴䅥獂䡁䅍兢摂䕁䅑睑䝂䍁䅅䅊䕂䕁䅙䅊ぁ䑁䅣杏歁䕁䅑䅓歁䑁䅑睎䅁䅁䌰䅁啂䅁䅁睗乂䕁䅫睘䕂䕁䅍杒䉂䝁䄴兙獂䡁䅫督灂䡁䅍睘㉂䑁䅅杌㑂䝁䅷督瑂䙁䄰䅒䑂䕁䅙光歁䕁䅑杒歁䑁䅑睎㙁䍁䅑䅒䩂䍁䅑䅎㍁䅁䅁睇䅉䙁䅑䅁扂䕁䄰兓時䕁䅑睑䝂䕁䅅杢桂䝁䅷入穂䝁䅫督時䡁䅙免畁䡁䅧䅢穂䝁䄰兘䕂䕁䅍杒桁䍁䅑兒歁䑁䅉免睁䑁䅯䅊䙂䍁䅑杍穁䑁䅁䅁慂杁䅁䅖䅁䙁䅳兔䩂䙁䄸䅒䑂䕁䅙兑畂䝁䅅䅢㕂䡁䅍兡穂䙁䄸杤硁䍁䄴䅥獂䡁䅍兢摂䕁䅑睑䝂䍁䅅䅊䕂䕁䄰䅊ぁ䑁䅣杏歁䕁䅑睔歁䑁䅑睎䅁䉁䌰䅁䝂䅁䅁睗乂䕁䅫睘䕂䕁䅍杒䉂䝁䄴兙獂䡁䅫督灂䡁䅍睘㉂䑁䅅杌㑂䝁䅷督瑂䙁䄰䅒䑂䕁䅙光歁䕁䅑杔歁䑁䅑睍䅁䡁䍑䅁啂䅁䅁睗乂䕁䅫睘䕂䕁䅍杒䉂䝁䄴兙獂䡁䅫督灂䡁䅍睘㉂䑁䅅杌㑂䝁䅷督瑂䙁䄰䅒䑂䕁䅙光歁䕁䅑杔歁䑁䅑李㙁䍁䅑䅒佂䍁䅑兎祁䅁䅁公䅉䕁䅙䅁扂䕁䄰兓時䕁䅑睑䝂䕁䅅杢桂䝁䅷入穂䝁䅫督時䡁䅙免畁䡁䅧䅢穂䝁䄰兘䕂䕁䅍杒桁䍁䅑䅒佂䍁䅑䅎㑁䅁䅁䄶䅉䙁䅑䅁扂䕁䄰兓時䕁䅑睑䝂䕁䅅杢桂䝁䅷入穂䝁䅫督時䡁䅙免畁䡁䅧䅢穂䝁䄰兘䕂䕁䅍杒桁䍁䅑䅒兂䍁䅑䅎ㅁ䑁䅯䅊䕂䙁䅅䅊ぁ䑁䅕䅁㍂杁䅁䅖䅁䙁䅳兔䩂䙁䄸䅒䑂䕁䅙兑畂䝁䅅䅢㕂䡁䅍兡穂䙁䄸杤硁䍁䄴䅥獂䡁䅍兢摂䕁䅑睑䝂䍁䅅䅊䕂䙁䅁䅊ぁ䑁䅙杏歁䕁䅑兕歁䑁䅑李䅁䑁䍯䅁啂䅁䅁睗乂䕁䅫睘䕂䕁䅍杒䉂䝁䄴兙獂䡁䅫督灂䡁䅍睘㉂䑁䅅杌㑂䝁䅷督瑂䙁䄰䅒䑂䕁䅙光歁䕁䅑䅕歁䑁䅕䅍㙁䍁䅑䅒剂䍁䅑兎睁䅁䅁眶䅉䕁䅙䅁扂䕁䄰兓時䕁䅑睑䝂䕁䅅杢桂䝁䅷入穂䝁䅫督時䡁䅙免畁䡁䅧䅢穂䝁䄰兘䕂䕁䅍杒桁䍁䅑䅒塂䍁䅑䅎ㅁ䅁䅁睋䅉䙁䅑䅁扂䙁䅍䅕䡂䙁䄸䅒䑂䕁䅙睘䉂䝁䄴兙獂䡁䅫督灂䡁䅍睘㉂䑁䅅睘䝂䝁䅫杢桂䝁䅷杌㑂䝁䅷督瑂䙁䄰䅒䑂䕁䅙光歁䕁䅷䅊祁䑁䅅䅁⽄睂䅁䅖䅁䙁䅳兔䩂䙁䄸䅒䑂䕁䅙兑畂䝁䅅䅢㕂䡁䅍兡穂䙁䄸杤硁䍁䄴䅥獂䡁䅍兢摂䕁䅑睑䝂䍁䅅䅊䙂䍁䅑杍睁䑁䅣杏歁䕁䅕䅊祁䑁䅑杍䅁偁䈸䅁啂䅁䅁睗乂䕁䅫睘䕂䕁䅍杒䉂䝁䄴兙獂䡁䅫督灂䡁䅍睘㉂䑁䅅杌㑂䝁䅷督瑂䙁䄰䅒䑂䕁䅙光歁䕁䅙䅊祁䑁䅁免㙁䍁䅑兔歁䑁䅉䅍硁䅁䅁术䅅䙁䅑䅁扂䕁䄰兓時䕁䅑睑䝂䕁䅅杢桂䝁䅷入穂䝁䅫督時䡁䅙免畁䡁䅧䅢穂䝁䄰兘䕂䕁䅍杒桁䍁䅑杒歁䑁䅉䅍ぁ䑁䅯䅊乂䍁䅑杍睁䑁䅑䅁噄允䅁䅖䅁䙁䅳兔䩂䙁䄸䅒䑂䕁䅙兑畂䝁䅅䅢㕂䡁䅍兡穂䙁䄸杤硁䍁䄴䅥獂䡁䅍兢摂䕁䅑睑䝂䍁䅅䅊䝂䍁䅑杍睁䑁䅣杏歁䕁䄰䅊祁䑁䅁睎䅁乁䌰䅁啂䅁䅁睗乂䕁䅫睘䕂䕁䅍杒䉂䝁䄴兙獂䡁䅫督灂䡁䅍睘㉂䑁䅅杌㑂䝁䅷督瑂䙁䄰䅒䑂䕁䅙光歁䕁䅙䅊祁䑁䅁䅏㙁䍁䅑兔歁䑁䅉䅍㑁䅁䅁眳䅉䙁䅑䅁扂䕁䄰兓時䕁䅑睑䝂䕁䅅杢桂䝁䅷入穂䝁䅫督時䡁䅙免畁䡁䅧䅢穂䝁䄰兘䕂䕁䅍杒桁䍁䅑睒歁䑁䅅䅍穁䑁䅯䅊䡂䍁䅑免穁䑁䅁䅁坄杁䅁杕䅁䙁䅳兔䩂䙁䄸䅒䑂䕁䅙兑畂䝁䅅䅢㕂䡁䅍兡穂䙁䄸杤硁䍁䄴䅥獂䡁䅍兢摂䕁䅑睑䝂䍁䅅䅊䡂䍁䅑兏㍁䑁䅯䅊䡂䍁䅑免祁䑁䅑䅁㡄允䅁䅥䅁䕁䄸䅣あ䝁䅫睢畂䡁䅍杏䑂䡁䅕杣祂䑁䄰兒噂䙁䅉䅌乂䝁䅅睚㥁䕁䅅睙あ䡁䅕兙獂䡁䅍䅌䑂䝁䄸杢㉂䕁䄰党あ䝁䅧睢歂䑁䄰兔䩂䡁䅉党橂䝁䄸兢瑂䝁䅕杢歂䝁䅕䅚獁䕁䄴兑㥁䕁䄴兑䅁䩁䡑䅁卂䅁䅁睗乂䕁䅫睘䕂䕁䅍杒䉂䝁䄴兙獂䡁䅫督灂䡁䅍睘㉂䑁䅅杌㑂䝁䅷督瑂䙁䄰䅒䑂䕁䅙光歁䕁䅣䅊㕁䑁䅧杏歁䕁䅣䅊硁䑁䅉䅎䅁偁䉳䅁卂䅁䅁睗乂䕁䅫睘䕂䕁䅍杒䉂䝁䄴兙獂䡁䅫督灂䡁䅍睘㉂䑁䅅杌㑂䝁䅷督瑂䙁䄰䅒䑂䕁䅙光歁䕁䅣䅊㕁䑁䅧杏歁䕁䅣䅊硁䑁䅉兎䅁䥁䍧䅁兂䅁䅁睗乂䕁䅫睘䕂䕁䅍杒䉂䝁䄴兙獂䡁䅫督灂䡁䅍睘㉂䑁䅅杌㑂䝁䅷督瑂䙁䄰䅒䑂䕁䅙光歁䕁䅧䅊㕁䑁䅉杏歁䕁䄰䅊㕁䑁䅉䅁灄允䅁䅈䅁䙁䅍䅕呂䑁䅅䅏ㅁ䑁䅫杍㍁䑁䅣睎穁䑁䅁䅁睄睂䅁杒䅁䙁䅳兔䩂䙁䄸䅒䑂䕁䅙兑畂䝁䅅䅢㕂䡁䅍兡穂䙁䄸杤硁䍁䄴䅥獂䡁䅍兢摂䕁䅑睑䝂䍁䅅䅊坂䍁䅑免ぁ䑁䅉䅁睄允䅁䅒䅁䙁䅳兔䩂䙁䄸䅒䑂䕁䅙兑畂䝁䅅䅢㕂䡁䅍兡穂䙁䄸杤硁䍁䄴䅥獂䡁䅍兢摂䕁䅑睑䝂䍁䅅䅊坂䍁䅑杍㕁䅁䅁兊䅉䙁䅁䅁扂䕁䄰兓時䕁䅑睑䝂䕁䅅杢桂䝁䅷入穂䝁䅫督時䡁䅙免畁䡁䅧䅢穂䝁䄰兘䕂䕁䅍杒桁䍁䅑杖歁䑁䅍免㙁䍁䅑杖歁䑁䅍李䅁䍁䍙䅁坂䅁䅁睊扂䙁䅍䅕䡂䙁䄸䅒䑂䕁䅙睘䉂䝁䄴兙獂䡁䅫督灂䡁䅍睘㉂䑁䅅䅉潁䑁䅉克畁䡁䅧䅢穂䝁䄰兘䕂䕁䅍杒湁䍁䅅䅊䉂䕁䅯䅊ㅁ䑁䅣䅁橃睂䅁杕䅁䙁䅳兔䩂䙁䄸䅒䑂䕁䅙兑畂䝁䅅䅢㕂䡁䅍兡穂䙁䄸杤硁䍁䄴䅥獂䡁䅍兢摂䕁䅑睑䝂䍁䅅䅊坂䍁䅑䅎硁䑁䅯䅊䉂䕁䅙䅊ぁ䑁䅅䅁橄允䅁䅕䅁䙁䅳兔䩂䙁䄸䅒䑂䕁䅙兑畂䝁䅅䅢㕂䡁䅍兡穂䙁䄸杤硁䍁䄴䅥獂䡁䅍兢摂䕁䅑睑䝂䍁䅅䅊坂䍁䅑䅎ぁ䑁䅯䅊坂䍁䅑䅎㕁䅁䅁䅃䅉䙁䅁䅁扂䕁䄰兓時䕁䅑睑䝂䕁䅅杢桂䝁䅷入穂䝁䅫督時䡁䅙免畁䡁䅧䅢穂䝁䄰兘䕂䕁䅍杒桁䍁䅑杖歁䑁䅑李㙁䍁䅑杖歁䑁䅕免䅁䡁䌴䅁䕂䅁䅁睗乂䕁䅫睘䕂䕁䅍杒䉂䝁䄴兙獂䡁䅫督灂䡁䅍睘㉂䑁䅅杌㑂䝁䅷督瑂䙁䄰䅒䑂䕁䅙光歁䙁䅣䅊祁䑁䅫䅁湁杁䅁杇䅁䙁䅍䅕呂䑁䅕䅎祁䑁䅣兏祁䑁䅙李硁䅁䅁䅍䅧䕁䅙䅁扂䕁䄰兓時䕁䅑睑䝂䕁䅅杢桂䝁䅷入穂䝁䅫督時䡁䅙免畁䡁䅧䅢穂䝁䄰兘䕂䕁䅍杒桁䍁䅑睖歁䑁䅅杍㑁䅁䅁杔䅉䕁䅙䅁扂䕁䄰兓時䕁䅑睑䝂䕁䅅杢桂䝁䅷入穂䝁䅫督時䡁䅙免畁䡁䅧䅢穂䝁䄰兘䕂䕁䅍杒桁䍁䅑睖歁䑁䅅睍硁䅁䅁䄲䅉䙁䅑䅁扂䕁䄰兓時䕁䅑睑䝂䕁䅅杢桂䝁䅷入穂䝁䅫督時䡁䅙免畁䡁䅧䅢穂䝁䄰兘䕂䕁䅍杒桁䍁䅑睖歁䑁䅅睍㑁䑁䅯䅊塂䍁䅑免穁䑁䅫䅁婄允䅁杒䅁䙁䅳兔䩂䙁䄸䅒䑂䕁䅙兑畂䝁䅅䅢㕂䡁䅍兡穂䙁䄸杤硁䍁䄴䅥獂䡁䅍兢摂䕁䅑睑䝂䍁䅅䅊塂䍁䅑免ぁ䑁䅅䅁元杁䅁杒䅁䙁䅳兔䩂䙁䄸䅒䑂䕁䅙兑畂䝁䅅䅢㕂䡁䅍兡穂䙁䄸杤硁䍁䄴䅥獂䡁䅍兢摂䕁䅑睑䝂䍁䅅䅊塂䍁䅑免ぁ䑁䅍䅁噂杁䅁杒䅁䙁䅳兔䩂䙁䄸䅒䑂䕁䅙兑畂䝁䅅䅢㕂䡁䅍兡穂䙁䄸杤硁䍁䄴䅥獂䡁䅍兢摂䕁䅑睑䝂䍁䅅䅊塂䍁䅑免ぁ䑁䅙䅁獄杁䅁䅕䅁䙁䅳兔䩂䙁䄸䅒䑂䕁䅙兑畂䝁䅅䅢㕂䡁䅍兡穂䙁䄸杤硁䍁䄴䅥獂䡁䅍兢摂䕁䅑睑䝂䍁䅅䅊塂䍁䅑杍㕁䑁䅯䅊奂䍁䅑杍㕁䅁䅁䅋䅉䕁䅙䅁扂䕁䄰兓時䕁䅑睑䝂䕁䅅杢桂䝁䅷入穂䝁䅫督時䡁䅙免畁䡁䅧䅢穂䝁䄰兘䕂䕁䅍杒桁䍁䅑䅗歁䑁䅅杍㍁䅁䅁儷䅅䙁䅑䅁扂䕁䄰兓時䕁䅑睑䝂䕁䅅杢桂䝁䅷入穂䝁䅫督時䡁䅙免畁䡁䅧䅢穂䝁䄰兘䕂䕁䅍杒桁䍁䅑䅗歁䑁䅅杍㑁䑁䅯䅊奂䍁䅑免祁䑁䅫䅁允杁䅁䅖䅁䙁䅳兔䩂䙁䄸䅒䑂䕁䅙兑畂䝁䅅䅢㕂䡁䅍兡穂䙁䄸杤硁䍁䄴䅥獂䡁䅍兢摂䕁䅑睑䝂䍁䅅䅊奂䍁䅑免祁䑁䅫杏歁䙁䅧䅊硁䑁䅍䅍䅁䥁䍳䅁啂䅁䅁睗乂䕁䅫睘䕂䕁䅍杒䉂䝁䄴兙獂䡁䅫督灂䡁䅍睘㉂䑁䅅杌㑂䝁䅷督瑂䙁䄰䅒䑂䕁䅙光歁䙁䅧䅊硁䑁䅍免㙁䍁䅑䅗歁䑁䅅睍祁䅁䅁䅕䅉䙁䅑䅁扂䕁䄰兓時䕁䅑睑䝂䕁䅅杢桂䝁䅷入穂䝁䅫督時䡁䅙免畁䡁䅧䅢穂䝁䄰兘䕂䕁䅍杒桁䍁䅑䅗歁䑁䅅睍ぁ䑁䅯䅊奂䍁䅑免穁䑁䅕䅁慄杁䅁䅖䅁䙁䅳兔䩂䙁䄸䅒䑂䕁䅙兑畂䝁䅅䅢㕂䡁䅍兡穂䙁䄸杤硁䍁䄴䅥獂䡁䅍兢摂䕁䅑睑䝂䍁䅅䅊奂䍁䅑免穁䑁䅙杏歁䙁䅧䅊硁䑁䅍睎䅁䉁䍑䅁啂䅁䅁睗乂䕁䅫睘䕂䕁䅍杒䉂䝁䄴兙獂䡁䅫督灂䡁䅍睘㉂䑁䅅杌㑂䝁䅷督瑂䙁䄰䅒䑂䕁䅙光歁䙁䅧䅊硁䑁䅑䅎㙁䍁䅑䅗歁䑁䅅䅎ㅁ䅁䅁眸䅅䙁䅑䅁扂䕁䄰兓時䕁䅑睑䝂䕁䅅杢桂䝁䅷入穂䝁䅫督時䡁䅙免畁䡁䅧䅢穂䝁䄰兘䕂䕁䅍杒桁䍁䅑䅗歁䑁䅅䅎ㅁ䑁䅯䅊奂䍁䅑免ㅁ䑁䅁䅁塂杁䅁杒䅁䙁䅳兔䩂䙁䄸䅒䑂䕁䅙兑畂䝁䅅䅢㕂䡁䅍兡穂䙁䄸杤硁䍁䄴䅥獂䡁䅍兢摂䕁䅑睑䝂䍁䅅䅊婂䍁䅑免ぁ䑁䅉䅁硄允䅁杕䅁䙁䅳兔䩂䙁䄸䅒䑂䕁䅙兑畂䝁䅅䅢㕂䡁䅍兡穂䙁䄸杤硁䍁䄴䅥獂䡁䅍兢摂䕁䅑睑䝂䍁䅅䅊奂䍁䅑䅎祁䑁䅯䅊䉂䕁䅕䅊ぁ䑁䅉䅁⽂杁䅁䅗䅁䙁䅳兔䩂䙁䄸睒䵂䕁䄸村䉂䕁䅷睘塂䕁䅅睑䑂䕁䅅杢桂䝁䅷入穂䝁䅫督時䡁䅙免畁䡁䅧䅢穂䝁䄰兘塂䕁䅅睑䑂䍁䅅䅊䉂䕁䅫䅊穁䑁䅫䅁㝃䅁䅁杕䅁䙁䅳兔䩂䙁䄸䅒䑂䕁䅙兑畂䝁䅅䅢㕂䡁䅍兡穂䙁䄸杤硁䍁䄴䅥獂䡁䅍兢摂䕁䅑睑䝂䍁䅅䅊奂䍁䅑䅎穁䑁䅯䅊䉂䕁䅕䅊ぁ䑁䅍䅁䅃杁䅁杒䅁䙁䅳兔䩂䙁䄸䅒䑂䕁䅙兑畂䝁䅅䅢㕂䡁䅍兡穂䙁䄸杤硁䍁䄴䅥獂䡁䅍兢摂䕁䅑睑䝂䍁䅅䅊婂䍁䅑免穁䑁䅉䅁扄杁䅁䅖䅁䙁䅳兔䩂䙁䄸䅒䑂䕁䅙兑畂䝁䅅䅢㕂䡁䅍兡穂䙁䄸杤硁䍁䄴䅥獂䡁䅍兢摂䕁䅑睑䝂䍁䅅䅊婂䍁䅑免ぁ䑁䅉杏歁䙁䅫䅊硁䑁䅑睎䅁䅁䍙䅁䝂䅁䅁睗乂䕁䅫睘䕂䕁䅍杒䉂䝁䄴兙獂䡁䅫督灂䡁䅍睘㉂䑁䅅杌㑂䝁䅷督瑂䙁䄰䅒䑂䕁䅙光歁䙁䅯䅊硁䑁䅑睍䅁䙁䍙䅁䝂䅁䅁睗乂䕁䅫睘䕂䕁䅍杒䉂䝁䄴兙獂䡁䅫督灂䡁䅍睘㉂䑁䅅杌㑂䝁䅷督瑂䙁䄰䅒䑂䕁䅙光歁䙁䅯䅊硁䑁䅑李䅁佁䌰䅁䥂䅁䅁睗乂䕁䅫睘䕂䕁䅍杒䉂䝁䄴兙獂䡁䅫督灂䡁䅍睘㉂䑁䅅兙畁䡁䅧䅢穂䝁䄰兘䕂䕁䅍杒桁䍁䅑杖歁䑁䅅睍ㅁ䅁䅁䄹䅅䕁䅧䅁扂䕁䄰兓時䕁䅑睑䝂䕁䅅杢桂䝁䅷入穂䝁䅫督時䡁䅙免桂䍁䄴䅥獂䡁䅍兢摂䕁䅑睑䝂䍁䅅䅊奂䍁䅑免穁䑁䅙䅁ㅄ允䅁䅗䅁䙁䅳兔䩂䙁䄸睒䵂䕁䄸村䉂䕁䅷睘塂䕁䅅睑䑂䕁䅅杢桂䝁䅷入穂䝁䅫督時䡁䅙免畁䡁䅧䅢穂䝁䄰兘塂䕁䅅睑䑂䍁䅅䅊䉂䕁䅕䅊ぁ䑁䅁䅁㥃䅁䅁杚䅁䙁䅳兔䩂䙁䄸睒䵂䕁䄸村䉂䕁䅷睘塂䕁䅅睑䑂䕁䅅杢桂䝁䅷入穂䝁䅫督時䡁䅙免畁䡁䅧䅢穂䝁䄰兘塂䕁䅅睑䑂䍁䅅䅊䉂䕁䅙䅊ぁ䑁䅉杏歁䕁䅅杒歁䑁䅑䅎䅁䱁䅷䅁浂䅁䅁睗乂䕁䅫睘䡂䕁䅷睔䍂䕁䅅䅔時䙁䅣兑䑂䕁䅍兑畂䝁䅅䅢㕂䡁䅍兡穂䙁䄸杤硁䍁䄴䅥獂䡁䅍兢摂䙁䅣兑䑂䕁䅍光歁䕁䅅杒歁䑁䅑兎㙁䍁䅑兑䝂䍁䅑兎㉁䅁䅁杶䅁䝁䅙䅁扂䕁䄰兓時䕁䅣䅔偂䕁䅉兑䵂䙁䄸睖䉂䕁䅍睑䉂䝁䄴兙獂䡁䅫督灂䡁䅍睘㉂䑁䅅杌㑂䝁䅷督瑂䙁䄰睖䉂䕁䅍睑桁䍁䅑兑䡂䍁䅑䅎ㅁ䑁䅯䅊䉂䕁䅣䅊ㅁ䑁䅙䅁奄䅁䅁䅗䅁䙁䅳兔䩂䙁䄸睒䵂䕁䄸村䉂䕁䅷睘塂䕁䅅睑䑂䕁䅅杢桂䝁䅷入穂䝁䅫督時䡁䅙免畁䡁䅧䅢穂䝁䄰兘塂䕁䅅睑䑂䍁䅅䅊䑂䕁䄸䅊穁䑁䅣䅁ぃ䅁䅁䅗䅁䙁䅳兔䩂䙁䄸睒䵂䕁䄸村䉂䕁䅷睘塂䕁䅅睑䑂䕁䅅杢桂䝁䅷入穂䝁䅫督時䡁䅙免畁䡁䅧䅢穂䝁䄰兘塂䕁䅅睑䑂䍁䅅䅊䑂䙁䅁䅊穁䑁䅫䅁䕄䅁䅁杒䅁䙁䅳睕兂䕁䅣睘䕂䕁䅍杒䉂䝁䄴兙獂䡁䅫督灂䡁䅍睘㉂䑁䅅杌㑂䝁䅷督瑂䙁䄰䅒䑂䕁䅙光歁䙁䅙䅊ぁ䑁䅣䅁穁睁䅁杚䅁䙁䅳兔䩂䙁䄸睒䵂䕁䄸村䉂䕁䅷睘塂䕁䅅睑䑂䕁䅅杢桂䝁䅷入穂䝁䅫督時䡁䅙免畁䡁䅧䅢穂䝁䄰兘塂䕁䅅睑䑂䍁䅅䅊䑂䙁䅁䅊穁䑁䅫杏歁䕁䅍睕歁䑁䅍兏䅁䱁䅙䅁奂䅁䅁睗乂䕁䅫睘䡂䕁䅷睔䍂䕁䅅䅔時䙁䅣兑䑂䕁䅍兑畂䝁䅅䅢㕂䡁䅍兡穂䙁䄸杤硁䍁䄴䅥獂䡁䅍兢摂䙁䅣兑䑂䕁䅍光歁䕁䅍兕歁䑁䅍睎䅁䵁䅷䅁浂䅁䅁睗乂䕁䅫睘䡂䕁䅷睔䍂䕁䅅䅔時䙁䅣兑䑂䕁䅍兑畂䝁䅅䅢㕂䡁䅍兡穂䙁䄸杤硁䍁䄴䅥獂䡁䅍兢摂䙁䅣兑䑂䕁䅍光歁䕁䅍睕歁䑁䅍兏㙁䍁䅑睑坂䍁䅑睍㕁䅁䅁兺䅁䙁䅧䅁扂䕁䄰兓時䕁䅣䅔偂䕁䅉兑䵂䙁䄸睖䉂䕁䅍睑䉂䝁䄴兙獂䡁䅫督灂䡁䅍睘㉂䑁䅅杌㑂䝁䅷督瑂䙁䄰睖䉂䕁䅍睑桁䍁䅑睑噂䍁䅑睍㍁䅁䅁杸䅁䝁䅙䅁扂䕁䄰兓時䕁䅣䅔偂䕁䅉兑䵂䙁䄸睖䉂䕁䅍睑䉂䝁䄴兙獂䡁䅫督灂䡁䅍睘㉂䑁䅅杌㑂䝁䅷督瑂䙁䄰睖䉂䕁䅍睑桁䍁䅑睑坂䍁䅑䅎祁䑁䅯䅊䑂䙁䅙䅊ぁ䑁䅕䅁㑃䅁䅁杚䅁䙁䅳兔䩂䙁䄸睒䵂䕁䄸村䉂䕁䅷睘塂䕁䅅睑䑂䕁䅅杢桂䝁䅷入穂䝁䅫督時䡁䅙免畁䡁䅧䅢穂䝁䄰兘塂䕁䅅睑䑂䍁䅅䅊䑂䙁䅣䅊穁䑁䅫杏歁䕁䅍兗歁䑁䅍兏䅁䱁䅫䅁楂䅁䅁睗乂䕁䅫睘䡂䕁䅷睔䍂䕁䅅䅔時䙁䅣兑䑂䕁䅍兑畂䝁䅅䅢㕂䡁䅍兡穂䙁䄸杤硁䍁䄴䅥獂䡁䅍兢摂䙁䅣兑䑂䕁䅍光歁䙁䅁䅊穁䑁䅙杏歁䙁䅁䅊ぁ䑁䅅䅁䅄䅁䅁杓䅁䙁䅳睕兂䕁䅣睘䕂䕁䅍杒䉂䝁䄴兙獂䡁䅫督灂䡁䅍睘㉂䑁䅅杌㑂䝁䅷督瑂䙁䄰䅒䑂䕁䅙光歁䕁䅅兑歁䑁䅅䅎睁䅁䅁儷䅑䙁䅧䅁扂䕁䄰兓時䕁䅣䅔偂䕁䅉兑䵂䙁䄸睖䉂䕁䅍睑䉂䝁䄴兙獂䡁䅫督灂䡁䅍睘㉂䑁䅉杌㑂䝁䅷督瑂䙁䄰睖䉂䕁䅍睑桁䍁䅑兑䩂䍁䅑睍㕁䅁䅁眶䅁䝁䅙䅁扂䕁䄰兓時䕁䅣䅔偂䕁䅉兑䵂䙁䄸睖䉂䕁䅍睑䉂䝁䄴兙獂䡁䅫督灂䡁䅍睘㉂䑁䅉杌㑂䝁䅷督瑂䙁䄰睖䉂䕁䅍睑桁䍁䅑睑呂䍁䅑睍㕁䑁䅯䅊䑂䙁䅙䅊穁䑁䅫䅁祄䅁䅁䅗䅁䙁䅳兔䩂䙁䄸睒䵂䕁䄸村䉂䕁䅷睘塂䕁䅅睑䑂䕁䅅杢桂䝁䅷入穂䝁䅫督時䡁䅙杍畁䡁䅧䅢穂䝁䄰兘塂䕁䅅睑䑂䍁䅅䅊䑂䙁䅧䅊穁䑁䅣䅁穄䅁䅁杖䅁䙁䅳兔䩂䙁䄸睒䵂䕁䄸村䉂䕁䅷睘塂䕁䅅睑䑂䕁䅅杢桂䝁䅷入穂䝁䅫督時䡁䅙杍畁䡁䅧䅢穂䝁䄰兘塂䕁䅅睑䑂䍁䅅䅊兂䍁䅑睍祁䅁䅁朷䅁䡁䅁䅁扂䕁䄰兓時䕁䅫杔呂䙁䄸睒䵂䕁䄸村䉂䕁䅷睘塂䕁䅅睑䑂䍁䄴兑畂䝁䅅䅢㕂䡁䅍兡穂䙁䄸杤硁䍁䄴䅥獂䡁䅍兢摂䙁䅣兑䑂䕁䅍光歁䕁䅅杒歁䑁䅑兎㙁䍁䅑兑䝂䍁䅑兎㉁䅁䅁睳䅁䝁䅉䅁扂䕁䄰兓時䕁䅫杔呂䙁䄸睒䵂䕁䄸村䉂䕁䅷睘塂䕁䅅睑䑂䍁䄴兑畂䝁䅅䅢㕂䡁䅍兡穂䙁䄸杤硁䍁䄴䅥獂䡁䅍兢摂䙁䅣兑䑂䕁䅍光歁䕁䅅兓歁䑁䅍兏䅁䱁䅉䅁坂䅁䅁睗呂䙁䅁睒時䕁䅑睑䝂䕁䅅杢桂䝁䅷入穂䝁䅫督時䡁䅙免畁䡁䅧䅢穂䝁䄰兘䕂䕁䅍杒桁䍁䅑睒歁䑁䅉䅎㕁䑁䅯䅊乂䍁䅑杍ぁ䑁䅫䅁杁兂䅁杓䅁䙁䅳兔䩂䙁䄸睖䉂䕁䅍睑䉂䝁䄴兙獂䡁䅫督灂䡁䅍睘㉂䑁䅅杌㑂䝁䅷督瑂䙁䄰睖䉂䕁䅍睑桁䍁䅑兑䙂䍁䅑䅎睁䅁䅁睂䅅䕁䅯䅁扂䕁䄰兓時䙁䅣兑䑂䕁䅍兑畂䝁䅅䅢㕂䡁䅍兡穂䙁䄸杤硁䍁䄴䅥獂䡁䅍兢摂䙁䅣兑䑂䕁䅍光歁䕁䅅兓歁䑁䅍兏䅁䅁䉧䅁啂䅁䅁睗乂䕁䅫睘塂䕁䅅睑䑂䕁䅅杢桂䝁䅷入穂䝁䅫督時䡁䅙免畁䡁䅧䅢穂䝁䄰兘塂䕁䅅睑䑂䍁䅅䅊兂䍁䅑睍㉁䑁䅯䅊兂䍁䅑䅎硁䅁䅁䅄䅅䙁䄴䅁扂䕁䄰兓時䙁䅣睖時䙁䅣兑䑂䕁䅍兑畂䝁䅅䅢㕂䡁䅍兡穂䙁䄸杤硁䍁䄴䅥獂䡁䅍兢摂䙁䅣兑䑂䕁䅍光歁䕁䅅睒歁䑁䅑兎㙁䍁䅑兑䡂䍁䅑兎㉁䅁䅁䄫䅁䙁䅁䅁扂䕁䄰兓時䙁䅣睖時䙁䅣兑䑂䕁䅍兑畂䝁䅅䅢㕂䡁䅍兡穂䙁䄸杤硁䍁䄴䅥獂䡁䅍兢摂䙁䅣兑䑂䕁䅍光歁䕁䅍兕歁䑁䅍睎䅁偁䅷䅁敂䅁䅁睗乂䕁䅫睘塂䙁䅣睘塂䕁䅅睑䑂䕁䅅杢桂䝁䅷入穂䝁䅫督時䡁䅙免畁䡁䅧䅢穂䝁䄰兘塂䕁䅅睑䑂䍁䅅䅊䑂䙁䅯䅊穁䑁䅫杏歁䕁䅑村歁䑁䅍兏䅁偁䄸䅁慂䅁䅁睗乂䕁䅫睘塂䙁䅣睘塂䕁䅅睑䑂䕁䅅杢桂䝁䅷入穂䝁䅫督時䡁䅙免畁䡁䅧䅢穂䝁䄰兘塂䕁䅅睑䑂䍁䅅䅊兂䍁䅑睍㉁䑁䅯䅊兂䍁䅑䅎硁䅁䅁末䅁䙁䅷䅁扂䕁䄰兓時䙁䅣睖時䙁䅣兑䑂䕁䅍兑畂䝁䅅䅢㕂䡁䅍兡穂䙁䄸杤硁䍁䄴䅥獂䡁䅍兢摂䙁䅣兑䑂䕁䅍光歁䙁䅅䅊穁䑁䅍杏歁䕁䅅兑歁䑁䅍睍䅁偁䅳䅁䭂䅁䅁睗呂䙁䅁睒時䕁䅑睑䝂䕁䅅杢桂䝁䅷入穂䝁䅫督時䡁䅙免畁䡁䅧䅢穂䝁䄰兘䕂䕁䅍杒桁䍁䅑兑䉂䍁䅑免ぁ䑁䅙䅁潄䅂䅁䅓䅁䙁䅳睕兂䕁䅣睘䕂䕁䅍杒䉂䝁䄴兙獂䡁䅫督灂䡁䅍睘㉂䑁䅅杌㑂䝁䅷督瑂䙁䄰䅒䑂䕁䅙光歁䕁䅅杓歁䑁䅕睎䅁䩁䙙䅁坂䅁䅁睗呂䙁䅁睒時䕁䅑睑䝂䕁䅅杢桂䝁䅷入穂䝁䅫督時䡁䅙免畁䡁䅧䅢穂䝁䄰兘䕂䕁䅍杒桁䍁䅑兑乂䍁䅑兎㕁䑁䅯䅊䉂䕁䄰䅊㍁䑁䅉䅁畁睁䅁䅓䅁䙁䅳睕兂䕁䅣睘䕂䕁䅍杒䉂䝁䄴兙獂䡁䅫督灂䡁䅍睘㉂䑁䅅杌㑂䝁䅷督瑂䙁䄰䅒䑂䕁䅙光歁䕁䅅睔歁䑁䅕睍䅁䍁䑷䅁卂䅁䅁睗呂䙁䅁睒時䕁䅑睑䝂䙁䄸兑畂䝁䅅䅢㕂䡁䅍兡穂䙁䄸杤硁䙁䄸睓灂䝁䅕䅢畁䡁䅧䅢穂䝁䄰兘䕂䕁䅍杒桁䍁䅑䅔歁䑁䅅睍䅁䡁䥍䅁慁䅁䅁睕兂䙁䅍睍㍁䑁䅧兎祁䑁䅫李祁䑁䅅䅁瑄睂䅁䅓䅁䙁䅳睕兂䕁䅣睘䕂䕁䅍杒䉂䝁䄴兙獂䡁䅫督灂䡁䅍睘㉂䑁䅅杌㑂䝁䅷督瑂䙁䄰䅒䑂䕁䅙光歁䕁䅅杖歁䑁䅕睎䅁䝁䝍䅁䥂䅁䅁睗呂䙁䅁睒時䕁䅑睑䝂䕁䅅杢桂䝁䅷入穂䝁䅫督時䡁䅙免畁䡁䅧䅢穂䝁䄰兘䕂䕁䅍杒桁䍁䅑村歁䑁䅉䅎㑁䅁䅁杈䅕䕁䅧䅁扂䙁䅍䅕䡂䙁䄸䅒䑂䕁䅙兑畂䝁䅅䅢㕂䡁䅍兡穂䙁䄸杤硁䍁䄴䅥獂䡁䅍兢摂䕁䅑睑䝂䍁䅅䅊䍂䙁䅙䅊ㅁ䑁䅅䅁㑂睁䅁杖䅁䙁䅳睕兂䕁䅣睘䕂䕁䅍杒䉂䝁䄴兙獂䡁䅫督灂䡁䅍睘㉂䑁䅅杌㑂䝁䅷督瑂䙁䄰䅒䑂䕁䅙光歁䕁䅍睔歁䑁䅕免㙁䍁䅑睑偂䍁䅑兎㍁䅁䅁䅤䅍䙁䅙䅁扂䙁䅍䅕䡂䙁䄸䅒䑂䕁䅙兑畂䝁䅅䅢㕂䡁䅍兡穂䙁䄸杤硁䍁䄴䅥獂䡁䅍兢摂䕁䅑睑䝂䍁䅅䅊䑂䙁䅅䅊ぁ䑁䅫杏歁䕁䅍杕歁䑁䅑兏䅁䡁䑕䅁坂䅁䅁睗呂䙁䅁睒時䕁䅑睑䝂䕁䅅杢桂䝁䅷入穂䝁䅫督時䡁䅙免畁䡁䅧䅢穂䝁䄰兘䕂䕁䅍杒桁䍁䅑睑塂䍁䅑兎穁䑁䅯䅊䑂䙁䅯䅊ㅁ䑁䅍䅁㉁睁䅁杖䅁䙁䅳睕兂䕁䅣睘䕂䕁䅍杒䉂䝁䄴兙獂䡁䅫督灂䡁䅍睘㉂䑁䅅杌㑂䝁䅷督瑂䙁䄰䅒䑂䕁䅙光歁䕁䅑䅒歁䑁䅕睍㙁䍁䅑䅒䝂䍁䅑兎穁䅁䅁䅏䅍䕁䅧䅁扂䙁䅍䅕䡂䙁䄸䅒䑂䕁䅙兑畂䝁䅅䅢㕂䡁䅍兡穂䙁䄸杤硁䍁䄴䅥獂䡁䅍兢摂䕁䅑睑䝂䍁䅅䅊䕂䕁䄴䅊ぁ䑁䅧䅁湁睁䅁杖䅁䙁䅳睕兂䕁䅣睘䕂䕁䅍杒䉂䝁䄴兙獂䡁䅫督灂䡁䅍睘㉂䑁䅅杌㑂䝁䅷督瑂䙁䄰䅒䑂䕁䅙光歁䕁䅕䅊祁䑁䅅睍㙁䍁䅑兒歁䑁䅉睍穁䅁䅁杓䅍䙁䅙䅁扂䙁䅍䅕䡂䙁䄸䅒䑂䕁䅙兑畂䝁䅅䅢㕂䡁䅍兡穂䙁䄸杤硁䍁䄴䅥獂䡁䅍兢摂䕁䅑睑䝂䍁䅅䅊䙂䍁䅑杍硁䑁䅍杏歁䕁䅕䅊祁䑁䅍䅎䅁偁䕣䅁䍂䅁䅁睔睂䡁䅑兡療䝁䄴督㙁䕁䄸䅣あ䝁䅫睢畂䡁䅍杏䑂䡁䅕杣祂䑁䄰䅌乂䝁䅅睚㥁䍁䅷杔䉂䑁䄰䅍㥁䅁䅁术䅣䙁䅙䅁扂䙁䅍䅕䡂䙁䄸䅒䑂䕁䅙兑畂䝁䅅䅢㕂䡁䅍兡穂䙁䄸杤硁䍁䄴䅥獂䡁䅍兢摂䕁䅑睑䝂䍁䅅䅊䙂䍁䅑杍ぁ䑁䅧杏歁䕁䅕䅊祁䑁䅕睍䅁䱁䑑䅁坂䅁䅁睗呂䙁䅁睒時䕁䅑睑䝂䕁䅅杢桂䝁䅷入穂䝁䅫督時䡁䅙免畁䡁䅧䅢穂䝁䄰兘䕂䕁䅍杒桁䍁䅑兒歁䑁䅉兎睁䑁䅯䅊䙂䍁䅑杍ㅁ䑁䅕䅁汄䅂䅁杖䅁䙁䅳睕兂䕁䅣睘䕂䕁䅍杒䉂䝁䄴兙獂䡁䅫督灂䡁䅍睘㉂䑁䅅杌㑂䝁䅷督瑂䙁䄰䅒䑂䕁䅙光歁䕁䅕䅊祁䑁䅕免㙁䍁䅑兒歁䑁䅉兎㉁䅁䅁睈䅕䙁䅙䅁扂䙁䅍䅕䡂䙁䄸䅒䑂䕁䅙兑畂䝁䅅䅢㕂䡁䅍兡穂䙁䄸杤硁䍁䄴䅥獂䡁䅍兢摂䕁䅑睑䝂䍁䅅䅊䝂䍁䅑杍睁䑁䅣杏歁䕁䄰䅊祁䑁䅁睎䅁䕁䑫䅁坂䅁䅁睗呂䙁䅁睒時䕁䅑睑䝂䕁䅅杢桂䝁䅷入穂䝁䅫督時䡁䅙免畁䡁䅧䅢穂䝁䄰兘䕂䕁䅍杒桁䍁䅑睒歁䑁䅅䅍穁䑁䅯䅊䡂䍁䅑免穁䑁䅁䅁㝁睁䅁杖䅁䙁䅳睕兂䕁䅣睘䕂䕁䅍杒䉂䝁䄴兙獂䡁䅫督灂䡁䅍睘㉂䑁䅅杌㑂䝁䅷督瑂䙁䄰䅒䑂䕁䅙光歁䕁䅣䅊祁䑁䅑䅏㙁䍁䅑兔歁䑁䅉䅎㑁䅁䅁兵䅍䙁䅉䅁扂䙁䅍䅕䡂䙁䄸䅒䑂䕁䅙兑畂䝁䅅䅢㕂䡁䅍兡穂䙁䄸杤硁䍁䄴䅥獂䡁䅍兢摂䕁䅑睑䝂䍁䅅䅊䡂䍁䅑兏㑁䑁䅯䅊乂䍁䅑兏㑁䅁䅁睳䅍䙁䅉䅁扂䙁䅍䅕䡂䙁䄸䅒䑂䕁䅙兑畂䝁䅅䅢㕂䡁䅍兡穂䙁䄸杤硁䍁䄴䅥獂䡁䅍兢摂䕁䅑睑䝂䍁䅅䅊䡂䍁䅑兏㕁䑁䅯䅊乂䍁䅑兏㕁䅁䅁兴䅍䙁䅉䅁扂䙁䅍䅕䡂䙁䄸䅒䑂䕁䅙兑畂䝁䅅䅢㕂䡁䅍兡穂䙁䄸杤硁䍁䄴䅥獂䡁䅍兢摂䕁䅑睑䝂䍁䅅䅊䥂䍁䅑兏㕁䑁䅯䅊乂䍁䅑兏㕁䅁䅁䅐䅍䍁䅷䅁偂䡁䅁䅤灂䝁䄸杢穂䑁䅯睑ㅂ䡁䅉杣㥁䙁䅕睕䕂䍁䅷杔䉂䑁䄰䅍䅁䱁䡑䅁䝂䅁䅁睗呂䙁䅁睒時䕁䅑睑䝂䕁䅅杢桂䝁䅷入穂䝁䅫督時䡁䅙免畁䡁䅧䅢穂䝁䄰兘䕂䕁䅍杒桁䍁䅑䅔歁䑁䅉免䅁䍁䙅䅁卂䅁䅁睗呂䙁䅁睒時䕁䅑睑䝂䕁䅅杢桂䝁䅷入穂䝁䅫督時䡁䅙免畁䡁䅧䅢穂䝁䄰兘䕂䕁䅍杒桁䍁䅑杖歁䑁䅕免㙁䍁䅑杖歁䑁䅕李䅁䑁䑁䅁捁䅁䅁睕兂䙁䅍免㍁䑁䅣睍ㅁ䑁䅉兏硁䑁䅑䅎䅁䥁䡷䅁捁䅁䅁睕兂䙁䅍免㍁䑁䅙睍㕁䑁䅧杍ㅁ䑁䅁䅏䅁䡁䠰䅁卂䅁䅁睗呂䙁䅁睒時䕁䅑睑䝂䕁䅅杢桂䝁䅷入穂䝁䅫督時䡁䅙免畁䡁䅧䅢穂䝁䄰兘䕂䕁䅍杒桁䍁䅑杖歁䑁䅕杍㙁䍁䅑杖歁䑁䅕睎䅁䍁䙙䅁䥂䅁䅁睗呂䙁䅁睒時䕁䅑睑䝂䕁䅅杢桂䝁䅷入穂䝁䅫督時䡁䅙免畁䡁䅧䅢穂䝁䄰兘䕂䕁䅍杒桁䍁䅑睖歁䑁䅅䅎睁䅁䅁兑䅍䕁䅧䅁扂䙁䅍䅕䡂䙁䄸䅒䑂䕁䅙兑畂䝁䅅䅢㕂䡁䅍兡穂䙁䄸杤硁䍁䄴䅥獂䡁䅍兢摂䕁䅑睑䝂䍁䅅䅊塂䍁䅑免ぁ䑁䅅䅁煁兂䅁杖䅁䙁䅳睕兂䕁䅣睘䕂䕁䅍杒䉂䝁䄴兙獂䡁䅫督灂䡁䅍睘㉂䑁䅅杌㑂䝁䅷督瑂䙁䄰䅒䑂䕁䅙光歁䙁䅧䅊硁䑁䅑睍㙁䍁䅑䅗歁䑁䅅䅎ぁ䅁䅁䅌䅕䙁䅑䅁扂䙁䅍䅕䡂䙁䄸䅒䑂䕁䅙兑畂䝁䅅䅢㕂䡁䅍兡穂䙁䄸杤硁䍁䄴䅥獂䡁䅍兢摂䕁䅑睑䝂䍁䅅䅊奂䍁䅑䅎㑁䑁䅯䅊䉂䕁䅧䅊ぁ䑁䅧䅁癄䅂䅁䅖䅁䙁䅳睕兂䕁䅣睘䕂䕁䅍杒䉂䝁䄴兙獂䡁䅫督灂䡁䅍睘㉂䑁䅅杌㑂䝁䅷督瑂䙁䄰䅒䑂䕁䅙光歁䙁䅧䅊ぁ䑁䅫杏歁䕁䅅䅓歁䑁䅑兏䅁䍁䙣䅁䥂䅁䅁睗呂䙁䅁睒時䕁䅑睑䝂䕁䅅杢桂䝁䅷入穂䝁䅫督時䡁䅙免畁䡁䅧䅢穂䝁䄰兘䕂䕁䅍杒桁䍁䅑兗歁䑁䅅睍硁䅁䅁材䅍䙁䅙䅁扂䙁䅍䅕䡂䙁䄸䅒䑂䕁䅙兑畂䝁䅅䅢㕂䡁䅍兡穂䙁䄸杤硁䍁䄴䅥獂䡁䅍兢摂䕁䅑睑䝂䍁䅅䅊婂䍁䅑免ぁ䑁䅍杏歁䙁䅫䅊硁䑁䅑䅎䅁䍁䘰䅁坂䅁䅁睗呂䙁䅁睒時䕁䅑睑䝂䕁䅅杢桂䝁䅷入穂䝁䅫督時䡁䅙免畁䡁䅧䅢穂䝁䄰兘䕂䕁䅍杒桁䍁䅑兗歁䑁䅅䅎㑁䑁䅯䅊婂䍁䅑免ㅁ䑁䅍䅁䡂睁䅁䅓䅁䙁䅳睕兂䕁䅣睘䕂䕁䅍杒䉂䝁䄴兙獂䡁䅫督灂䡁䅍睘㉂䑁䅅杌㑂䝁䅷督瑂䙁䄰䅒䑂䕁䅙光歁䙁䅯䅊硁䑁䅑䅍䅁佁䕳䅁敁䅁䅁兡硂䙁䄸杙療䝁䄴䅚時䝁䅍睢ㅂ䡁䅁睢畂䅁䅁朵䅑䝁䅑䅁湁䙁䅳睕兂䕁䅣睘䕂䕁䅍杒䉂䝁䄴兙獂䡁䅫督灂䡁䅍睘㉂䑁䅅䅉瑁䍁䅁睔䡂䍁䅁兌杁䕁䅍睢睂䡁䅫杌㑂䝁䅷督瑂䙁䄰䅒䑂䕁䅙睊桁䍁䅑兑䭂䍁䅑兎㍁䅁䅁兔䅣䙁䄴䅁湁䙁䅳睕兂䕁䅣睘䕂䕁䅍杒䉂䝁䄴兙獂䡁䅫督灂䡁䅍睘㉂䑁䅅䅉瑁䍁䅁杣求䡁䅙兡穂䝁䅕䅚畁䡁䅧䅢穂䝁䄰兘䕂䕁䅍杒湁䍁䅅䅊䵂䍁䅑免穁䅁䅁兕䅣䝁䅁䅁湁䙁䅳睕兂䕁䅣睘䕂䕁䅍杒䉂䝁䄴兙獂䡁䅫督灂䡁䅍睘㉂䑁䅅䅉瑁䍁䅁杣求䡁䅙兡穂䝁䅕䅚畁䡁䅧䅢穂䝁䄰兘䕂䕁䅍杒湁䍁䅅䅊䉂䙁䅙䅊ㅁ䑁䅣䅁卂睂䅁䅉䅁䙁䅍䅕啂䙁䄸兒偂䕁䅑睘婂䙁䅑兔時䕁䄰兓䕂䅁䅁䅖䅣䑁䅧䅁橁䕁䅫杔坂䕁䅅䅔䩂䕁䅑䅉䝂䙁䅕杔䑂䙁䅑兓偂䕁䄴䅉兂䕁䅅杕䉂䕁䄰兒啂䕁䅕杕䅁䙁䡕䅁十䅁䅁杔婂䙁䅍兒㙁䕁䅙䅒呂䅁䅁杗䅣䉁䅉䅁佂䙁䅫睕䙂䑁䅯兔䑂䕁䄸䅁摂睂䅁材䅁䕁䄰睢療䝁䅑入湁䡁䅍䅉䑂䝁䄸杣睂䝁䄸杣桂䡁䅑兡療䝁䄴䅉潁䕁䄴兗呂䕁䅕杏乂䕁䅍睔灁䅁䅁睙䅣䅁䄴䅁乂䕁䅍睔瑁䙁䅕睕䅁䝁䡑䅁獁䅁䅁䅖祂䝁䅅杢穂䙁䅕杢灂䝁䄸杢杁䍁䅧杔婂䙁䅍兒㙁䙁䅑杕噂䍁䅫䅁浂睂䅁䅅䅁䕁䄰睕䑂䕁䅫兌噂䙁䅍䅁潂睂䅁䅅䅁䕁䅍睔䩂䕁䄴兌噂䙁䅍䅁灂睂䅁䅈䅁䙁䅍䅕呂䑁䅉䅍硁䑁䅉兎ㅁ䑁䅑睎ㅁ䑁䅅䅁㝄睂䅁䅙䅁䍁䅣睗呂䙁䅁睒時䕁䅑睑䝂䕁䅅杢桂䝁䅷入穂䝁䅫督時䡁䅙免杁䍁䄰䅉祂䝁䅕杤灂䡁䅍党歂䍁䄴䅥獂䡁䅍兢摂䕁䅑睑䝂䍁䅣光歁䕁䅅䅗歁䑁䅕睎䅁䝁䠰䅁杁䅁䅁兒偂䕁䅑䅉䑂䝁䅷睢穂䝁䅕䅉兂䡁䅉兡橂䝁䅕䅁祂睂䅁䅈䅁䙁䅍䅕呂䑁䅅睎㉁䑁䅍兏㑁䑁䅉兎睁䑁䅫䅁穂睂䅁杇䅁䙁䅍䅕呂䑁䅕睎ぁ䑁䅙杍ㅁ䑁䅍䅏祁䅁䅁兤䅣䉁䅷䅁呂䙁䅁睕硁䑁䅧杍硁䑁䅑免睁䑁䅉兏㍁䅁䅁杤䅣䉁䅯䅁呂䙁䅁睕㉁䑁䅁䅏㍁䑁䅉睍睁䑁䅉䅎䅁䡁䡣䅁捁䅁䅁睕兂䙁䅍免㍁䑁䅣睍ぁ䑁䅧免穁䑁䅅䅏䅁䡁䡧䅁捁䅁䅁睕兂䙁䅍免㍁䑁䅣睍ぁ䑁䅧免穁䑁䅅兏䅁䡁䡫䅁捁䅁䅁睕兂䙁䅍免㍁䑁䅣睍ㅁ䑁䅉兏硁䑁䅑免䅁䥁䡅䅁慁䅁䅁睕兂䙁䅍李ぁ䑁䅑兏硁䑁䅑兏㕁䑁䅙䅁䍃睂䅁杇䅁䙁䅍䅕呂䑁䅍睍睁䑁䅉兏ぁ䑁䅙䅎祁䅁䅁全䅣䉁䅷䅁呂䙁䅁睕硁䑁䅧杍㉁䑁䅅睎ㅁ䑁䅕䅎㍁䅁䅁杨䅣䉁䅷䅁呂䙁䅁睕硁䑁䅧杍硁䑁䅑免睁䑁䅉兏㑁䅁䅁睨䅣䡁䅙䅁䑂䝁䄸睚畂䝁䅫来桂䝁䄴䅤杁䙁䅑党橂䝁䅧杢療䝁䅷睢湂䡁䅫䅉呂䝁䄸䅢ㅂ䡁䅑兡療䝁䄴督杁䕁䅍睢祂䡁䅁睢祂䝁䅅䅤灂䝁䄸杢杁䍁䅧杔䉂䙁䅍䅒䉂䙁䅅睒呂䑁䅯睑啂䙁䅍䅓灁䅁䅁兲䅣䉁䅷䅁呂䙁䅁睕硁䑁䅧兎ㅁ䑁䅍免㕁䑁䅧䅍祁䅁䅁兪䅣䉁䅷䅁呂䙁䅁睕硁䑁䅧兎ㅁ䑁䅍李㉁䑁䅑兏ぁ䅁䅁杪䅣䉁䅷䅁呂䙁䅁睕硁䑁䅧兎ㅁ䑁䅍李㉁䑁䅕睍㍁䅁䅁睪䅣䉁䅷䅁呂䙁䅁睕硁䑁䅣睎穁䑁䅑䅏硁䑁䅍杍硁䅁䅁八䅣䕁䅧䅁扂䙁䅍䅕䡂䙁䄸䅒䑂䕁䅙兑畂䝁䅅䅢㕂䡁䅍兡穂䙁䄸杤硁䍁䄴䅥獂䡁䅍兢摂䕁䅑睑䝂䍁䅅䅊䉂䙁䅧䅊ㅁ䑁䅣䅁呃睂䅁䅉䅁䍁䅍䅒偂䙁䅣杔䵂䕁䄸兑䕂䍁䅁䅔䩂䕁䄰兓啂䅁䅁公䅣䉁䅷䅁呂䙁䅁睕硁䑁䅫䅏硁䑁䅑䅍㍁䑁䅫䅍㕁䅁䅁睭䅣䉁䅷䅁呂䙁䅁睕硁䑁䅫䅏硁䑁䅑䅍㍁䑁䅫䅍㍁䅁䅁杮䅣䙁䄴䅁偂䡁䅁䅤灂䝁䄸杢穂䑁䅯睑ㅂ䡁䅉杣㥁䕁䅕兖卂䍁䅷睑療䝁䄴杤乂䝁䅕䅤潂䝁䄸䅚㥁䕁䄰兓祂䝁䅕睙療䝁䄰兢求䝁䄴䅚求䝁䅑䅌佂䕁䅅児睁䅁䅁䅯䅣䙁䅑䅁湁䙁䅳睕兂䕁䅣睘䕂䕁䅍杒時䕁䅅杢桂䝁䅷入穂䝁䅫督時䡁䅙免杁䍁䅧杍灁䍁䄴䅥獂䡁䅍兢摂䕁䅑睑䝂䍁䅣光歁䕁䅷䅊硁䑁䅍䅁歃睂䅁杒䅁䕁䄸䅣あ䝁䅫睢畂䡁䅍杏䑂䡁䅕杣祂䑁䄰兖呂䕁䅑䅌乂䝁䅅睚㥁䕁䄰兡獂䝁䅷兡療䝁䄴督獁䕁䄴兑㥁䑁䅁䅁湃睂䅁杈䅁䕁䅫兕時䕁䅕村䩂䙁䅑睘乂䕁䅅杕䡂䕁䅫杔䅁䭁䡧䅁坁䅁䅁兓剂䙁䄸兓佂䕁䅍睘啂䕁䅅䅗䅁䭁䡫䅁坁䅁䅁睕兂䕁䅣睔兂䙁䅑兓偂䕁䄴睕䅁䭁䡯䅁啂䅁䅁睊扂䙁䅍䅕䡂䙁䄸䅒䑂䕁䅙睘䉂䝁䄴兙獂䡁䅫督灂䡁䅍睘㉂䑁䅅䅉潁䑁䅉克畁䡁䅧䅢穂䝁䄰兘䕂䕁䅍杒湁䍁䅅䅊䵂䍁䅑杍硁䅁䅁睱䅣䉁䅷䅁佂䕁䅅睕䕂䕁䅅兕䡂䙁䅍杏乂䙁䅍杒啂䅁䅁杲䅣䕁䅁䅁偂䡁䅁䅤灂䝁䄸杢穂䑁䅯睑ㅂ䡁䅉杣㥁䍁䅷兔桂䝁䅣児乂䝁䅫䅢獂䝁䅫睢畂䡁䅍䅌佂䕁䅅児睁䅁䅁䅂䅧䍁䅉䅁䩂䙁䅅睘䑂䕁䅅䅕䙂䙁䅧睘兂䕁䅍䅖時䙁䅉兒坂䅁䅁䅳䅣䉁䅉䅁䩂䙁䅅睘䕂䕁䅅睘䑂䕁䅙䅁硃睂䅁䅇䅁䕁䅫兕時䕁䄴兒啂䙁䄸䅒䙂䕁䅉䅖䅁䱁䡍䅁䭁䅁䅁兔呂䕁䅙䅖䅁䱁䡕䅁⭁䅁䅁兑獂䡁䅁䅡桂䝁䅉党あ䍁䅁兓畂䝁䅍杌杁䍁䅧杔䉂䙁䅍䅒䉂䙁䅅睒呂䑁䅯睒偂䕁䄸睒䵂䍁䅫䅁㙃睂䅁杓䅁䕁䄰党あ䝁䅅䅉兂䝁䅷兙あ䝁䅙睢祂䝁䄰督獁䍁䅁兓畂䝁䅍杌杁䍁䅧杔䉂䙁䅍䅒䉂䙁䅅睒呂䑁䅯兔䙂䙁䅑兑灁䅁䅁睶䅣䑁䅙䅁䉂䡁䅁䅣獂䝁䅕䅉䩂䝁䄴睙畁䍁䅁䅋佂䕁䅅睕䕂䕁䅅兕䡂䙁䅍杏䉂䕁䅅䅕䵂䍁䅫䅁䅄睂䅁䅗䅁䍁䅣睗呂䙁䅁睒時䕁䅑睑䝂䙁䄸兑畂䝁䅅䅢㕂䡁䅍兡穂䙁䄸杤硁䍁䅁杒灂䝁䄴兙獂䍁䄴䅥獂䡁䅍兢摂䕁䅑睑䝂䍁䅣光歁䕁䅷䅊硁䑁䅍䅁䍄睂䅁杇䅁䙁䅍䅕呂䑁䅙䅏祁䑁䅉免祁䑁䅍睎硁䅁䅁䅸䅣䉁䅯䅁呂䙁䅁睕㍁䑁䅁䅎㍁䑁䅅杍㍁䑁䅕兎䅁䵁䡧䅁慁䅁䅁睕兂䙁䅍杍ㅁ䑁䅉䅎穁䑁䅕䅍㕁䑁䅍䅁䩄睂䅁䅈䅁䙁䅍䅕呂䑁䅅䅏ㅁ䑁䅫杍㍁䑁䅣睎祁䑁䅣䅁䱄睂䅁杇䅁䙁䅍䅕呂䑁䅍䅏ぁ䑁䅁兏穁䑁䅉兏㕁䅁䅁䅺䅣䉁䅷䅁呂䙁䅁睕硁䑁䅧兎㕁䑁䅉睎㍁䑁䅣杍㕁䅁䅁兺䅣䉁䅷䅁呂䙁䅁睕硁䑁䅧兎㕁䑁䅧免㍁䑁䅍䅎ぁ䅁䅁睺䅣䉁䅷䅁呂䙁䅁睕硁䑁䅧兎㕁䑁䅉睎㕁䑁䅑睎㑁䅁䅁眰䅣䉁䅯䅁呂䙁䅁睕祁䑁䅕杍ぁ䑁䅫䅎ぁ䑁䅉䅍䅁乁䡕䅁捁䅁䅁睕兂䙁䅍免㑁䑁䅕兏㑁䑁䅅睎穁䑁䅑杍䅁乁䡙䅁慁䅁䅁睕兂䙁䅍李㉁䑁䅙李穁䑁䅕睎穁䑁䅍䅁敄睂䅁䅈䅁䙁䅍䅕呂䑁䅅䅏ㅁ䑁䅫杍㍁䑁䅫䅎㍁䑁䅫䅁桄睂䅁䅈䅁䙁䅍䅕呂䑁䅅䅏ㅁ䑁䅫杍㍁䑁䅣睎祁䑁䅧䅁楄睂䅁䅈䅁䙁䅍䅕呂䑁䅅䅏ㅁ䑁䅫䅏硁䑁䅣睍ぁ䑁䅕䅁湄睂䅁䅈䅁䙁䅍䅕呂䑁䅅䅏ㅁ䑁䅫䅏硁䑁䅣睍ぁ䑁䅧䅁灄睂䅁杇䅁䙁䅍䅕呂䑁䅅免㕁䑁䅅睍穁䑁䅉杍祁䅁䅁朶䅣䉁䅷䅁呂䙁䅁睕硁䑁䅧兎㕁䑁䅉睎㕁䑁䅑䅏祁䅁䅁儸䅣䉁䅯䅁呂䙁䅁睕㍁䑁䅁䅎㍁䑁䅅杍㍁䑁䅑睎䅁偁䡑䅁坂䅁䅁睗呂䙁䅁睒時䕁䅑睑䝂䙁䄸兑畂䝁䅅䅢㕂䡁䅍兡穂䙁䄸杤硁䙁䄸杒灂䝁䄴兙獂䍁䄴䅥獂䡁䅍兢摂䕁䅑睑䝂䍁䅅䅊䉂䕁䅯䅊ㅁ䑁䅣䅁㉄睂䅁䅍䅁䕁䄸䅣あ䝁䅫睢畂䡁䅍杏䑂䡁䅕杣祂䑁䄰䅌乂䝁䅅睚㥁䍁䅷杔䉂䑁䄰䅍䅁偁䡫䅁奂䅁䅁睔睂䡁䅑兡療䝁䄴督㙁䕁䄸䅣あ䝁䅫睢畂䡁䅍杏䑂䡁䅕杣祂䑁䄰兖呂䕁䅑䅌乂䝁䅅睚㥁䕁䄰兡獂䝁䅷兡療䝁䄴督獁䕁䄴兑㥁䑁䅁児䅁偁䡯䅁捁䅁䅁睕兂䙁䅍杍睁䑁䅅杍祁䑁䅕兎祁䑁䅫李䅁偁䡷䅁杂䅁䅁睊扂䙁䅍䅕䡂䙁䄸䅒䑂䕁䅙睘䉂䝁䄴兙獂䡁䅫督灂䡁䅍睘㉂䑁䅅睘䝂䝁䅫杢桂䝁䅷䅉潁䑁䅉克畁䡁䅧䅢穂䝁䄰兘䕂䕁䅍杒湁䍁䅅䅊䵂䍁䅑杍硁䅁䅁䅁䅧䝁䅁䅁湁䙁䅳睕兂䕁䅣睘䕂䕁䅍杒時䕁䅅杢桂䝁䅷入穂䝁䅫督時䡁䅙免時䕁䅙兡畂䝁䅅䅢杁䍁䅧杍灁䍁䄴䅥獂䡁䅍兢摂䕁䅑睑䝂䍁䅣光歁䕁䅷䅊硁䑁䅍䅁䉁䅃䅁杙䅁䍁䅣睗呂䙁䅁睒時䕁䅑睑䝂䙁䄸兑畂䝁䅅䅢㕂䡁䅍兡穂䙁䄸杤硁䙁䄸杒灂䝁䄴兙獂䍁䅁䅋祁䍁䅫杌㑂䝁䅷督瑂䙁䄰䅒䑂䕁䅙睊桁䍁䅑兑䭂䍁䅑兎㍁䅁䅁杁䅧䝁䅯䅁偂䡁䅁䅤灂䝁䄸杢穂䑁䅯睑ㅂ䡁䅉杣㥁䕁䅣村兂䍁䅷兔桂䝁䅣児睁䍁䅷睑療䝁䄴杤乂䝁䅕䅤潂䝁䄸䅚㥁䕁䄰兓祂䝁䅕睙療䝁䄰兢求䝁䄴䅚求䝁䅑䅌佂䕁䅅児睁䅁䅁兂䅧䑁䅙䅁偂䡁䅁䅤灂䝁䄸杢穂䑁䅯睑ㅂ䡁䅉杣㥁䕁䅣村兂䍁䅷兔桂䝁䅣児獁䕁䄴兑㥁䑁䅁䅁䝁䅃䅁䅢䅁䕁䄸䅣あ䝁䅫睢畂䡁䅍杏䑂䡁䅕杣祂䑁䄰睒䍂䙁䅁䅌乂䝁䅅睚㥁䑁䅁䅌䑂䝁䄸杢㉂䕁䄰党あ䝁䅧睢歂䑁䄰兔䩂䡁䅉党橂䝁䄸兢瑂䝁䅕杢歂䝁䅕䅚獁䕁䄴兑㥁䕁䄴兑䅁䅁䥧䅁䕂䅁䅁睔睂䡁䅑兡療䝁䄴督㙁䕁䅍兤祂䡁䅉児䡂䕁䅉䅕獁䕁䄰兙湂䑁䄰兑橂䡁䅑兤桂䝁䅷督獁䕁䄴兑㥁䑁䅁䅁䩁䅃䅁杖䅁䕁䄸䅣あ䝁䅫睢畂䡁䅍杏偂䡁䅁䅤灂䝁䄸杢穂䑁䅯睑ㅂ䡁䅉杣㥁䕁䅣村兂䍁䅷兔桂䝁䅣児䉂䝁䅍䅤ㅂ䝁䅅䅢穂䍁䅷杔䉂䑁䄰䅍㥁䅁䅁䅄䅧䕁䅙䅁偂䡁䅁䅤灂䝁䄸杢穂䑁䅯睑ㅂ䡁䅉杣㥁䕁䅣村兂䍁䅷兔桂䝁䅣児乂䝁䅫䅢獂䝁䅫睢畂䡁䅍䅌佂䕁䅅児睁䅁䅁兄䅧䡁䅯䅁偂䡁䅁䅤灂䝁䄸杢穂䑁䅯睑ㅂ䡁䅉杣㥁䕁䅣村兂䍁䅷兔桂䝁䅣児乂䝁䅫䅢獂䝁䅫睢畂䡁䅍䅌䑂䝁䄸杢㉂䕁䄰党あ䝁䅧睢歂䑁䄰兔䩂䡁䅉党橂䝁䄸兢瑂䝁䅕杢歂䝁䅕䅚獁䕁䄴兑㥁䕁䄴兑䅁䅁䤴䅁㑂䅁䅁睔睂䡁䅑兡療䝁䄴督㙁䕁䅍兤祂䡁䅉児䡂䕁䅉䅕獁䕁䄰兙湂䑁䄰兔灂䝁䅷䅢灂䝁䄸杢穂䍁䅷睑療䝁䄴杤乂䝁䅕䅤潂䝁䄸䅚㥁䕁䄰兓祂䝁䅕睙療䝁䄰兢求䝁䄴䅚求䝁䅑䅌佂䕁䅅児睁䅁䅁睄䅧䙁䅧䅁偂䡁䅁䅤灂䝁䄸杢穂䑁䅯睔睂䡁䅑兡療䝁䄴督㙁䕁䅍兤祂䡁䅉児䡂䕁䅉䅕獁䕁䄰兙湂䑁䄰兔灂䝁䅷䅢灂䝁䄸杢穂䍁䅷杔䉂䑁䄰䅍㥁䅁䅁䅅䅧䝁䅷䅁偂䡁䅁䅤灂䝁䄸杢穂䑁䅯睑ㅂ䡁䅉杣㥁䙁䅕睕䕂䍁䅷兔桂䝁䅣児睁䍁䅷睑療䝁䄴杤乂䝁䅕䅤潂䝁䄸䅚㥁䕁䄰兓祂䝁䅕睙療䝁䄰兢求䝁䄴䅚求䝁䅑䅌佂䕁䅅児佂䕁䅅䅁啁䅃䅁䅤䅁䕁䄸䅣あ䝁䅫睢畂䡁䅍杏䑂䡁䅕杣祂䑁䄰䅌乂䝁䅅睚㥁䕁䄰兡獂䝁䅷兡療䝁䄴督獁䕁䅍睢畂䡁䅙兔求䡁䅑䅡療䝁䅑児乂䕁䅫杣求䝁䅍睢瑂䝁䄰党畂䝁䅑党歂䍁䅷杔䉂䑁䄰杔䉂䅁䅁兆䅧䡁䅉䅁偂䡁䅁䅤灂䝁䄸杢穂䑁䅯睑ㅂ䡁䅉杣㥁䍁䅷兔桂䝁䅣児乂䝁䅫䅢獂䝁䅫睢畂䡁䅍䅌䑂䝁䄸杢㉂䕁䄰党あ䝁䅧睢歂䑁䄰兔䩂䡁䅉党橂䝁䄸兢瑂䝁䅕杢歂䝁䅕䅚獁䕁䄴兑㥁䑁䅁䅁坁䅃䅁条䅁䕁䄸䅣あ䝁䅫睢畂䡁䅍杏䑂䡁䅕杣祂䑁䄰兒噂䙁䅉䅌乂䝁䅅睚㥁䑁䅁䅌䑂䝁䄸杢㉂䕁䄰党あ䝁䅧睢歂䑁䄰兔䩂䡁䅉党橂䝁䄸兢瑂䝁䅕杢歂䝁䅕䅚獁䕁䄴兑㥁䑁䅁䅁奁䅃䅁䅢䅁䕁䄸䅣あ䝁䅫睢畂䡁䅍杏䑂䡁䅕杣祂䑁䄰兒噂䙁䅉䅌乂䝁䅅睚㥁䑁䅁䅌䑂䝁䄸杢㉂䕁䄰党あ䝁䅧睢歂䑁䄰兔䩂䡁䅉党橂䝁䄸兢瑂䝁䅕杢歂䝁䅕䅚獁䕁䄴兑㥁䕁䄴兑䅁䉁䥫䅁䥂䅁䅁睔睂䡁䅑兡療䝁䄴督㙁䕁䄸䅣あ䝁䅫睢畂䡁䅍杏䑂䡁䅕杣祂䑁䄰兒噂䙁䅉䅌乂䝁䅅睚㥁䍁䅷杔䉂䑁䄰䅍㥁䅁䅁杇䅧䕁䅙䅁偂䡁䅁䅤灂䝁䄸杢穂䑁䅯睑ㅂ䡁䅉杣㥁䕁䅕兖卂䍁䅷兔桂䝁䅣児乂䝁䅫䅢獂䝁䅫睢畂䡁䅍䅌佂䕁䅅児睁䅁䅁睇䅧䡁䅯䅁偂䡁䅁䅤灂䝁䄸杢穂䑁䅯睑ㅂ䡁䅉杣㥁䕁䅕兖卂䍁䅷兔桂䝁䅣児乂䝁䅫䅢獂䝁䅫睢畂䡁䅍䅌䑂䝁䄸杢㉂䕁䄰党あ䝁䅧睢歂䑁䄰兔䩂䡁䅉党橂䝁䄸兢瑂䝁䅕杢歂䝁䅕䅚獁䕁䄴兑㥁䕁䄴兑䅁䉁䥷䅁奂䅁䅁睔睂䡁䅑兡療䝁䄴督㙁䕁䄸䅣あ䝁䅫睢畂䡁䅍杏䑂䡁䅕杣祂䑁䄰兒噂䙁䅉䅌乂䝁䅅睚㥁䕁䄰兡獂䝁䅷兡療䝁䄴督獁䕁䄴兑㥁䑁䅁児䅁䉁䤴䅁䥂䅁䅁睗呂䙁䅁睒時䕁䅑睑䝂䙁䄸兑畂䝁䅅䅢㕂䡁䅍兡穂䙁䄸杤硁䍁䄴䅥獂䡁䅍兢摂䕁䅑睑䝂䍁䅅䅊䵂䍁䅑免穁䅁䅁䅉䅧䕁䅯䅁扂䙁䅍䅕䡂䙁䄸䅒䑂䕁䅙睘䉂䝁䄴兙獂䡁䅫督灂䡁䅍睘㉂䑁䅅杌㑂䝁䅷督瑂䙁䄰䅒䑂䕁䅙光歁䕁䅅杓歁䑁䅕睎䅁䍁䥉䅁䭂䅁䅁睗呂䙁䅁睒時䕁䅑睑䝂䙁䄸兑畂䝁䅅䅢㕂䡁䅍兡穂䙁䄸杤硁䍁䄴䅥獂䡁䅍兢摂䕁䅑睑䝂䍁䅅䅊䉂䙁䅧䅊ㅁ䑁䅣䅁橁䅃䅁杇䅁䙁䅍䅕呂䑁䅑免㑁䑁䅫杍硁䑁䅉杍㕁䅁䅁䅋䅧䉁䅯䅁呂䙁䅁睕ㅁ䑁䅕李ㅁ䑁䅁免睁䑁䅅䅎䅁䍁䥫䅁慁䅁䅁睕兂䙁䅍兎ㅁ䑁䅑睎穁䑁䅑杍硁䑁䅉䅁牁䅃䅁䅈䅁䙁䅍䅕呂䑁䅅睎㕁䑁䅁兎㑁䑁䅫兎㉁䑁䅙䅁瑁䅃䅁杇䅁䙁䅍䅕呂䑁䅑杍㕁䑁䅣䅎ㅁ䑁䅍兎祁䅁䅁杌䅧䉁䅷䅁呂䙁䅁睕硁䑁䅧免硁䑁䅫杍ㅁ䑁䅉兏睁䅁䅁睌䅧䉁䅯䅁呂䙁䅁睕ㅁ䑁䅑杍㍁䑁䅫杍㉁䑁䅙䅎䅁䑁䥅䅁慁䅁䅁睕兂䙁䅍兎ㅁ䑁䅫䅍㍁䑁䅫杍硁䑁䅫䅁祁䅃䅁䅈䅁䙁䅍䅕呂䑁䅅䅏硁䑁䅅兏祁䑁䅕杍㍁䑁䅧䅁穁䅃䅁杇䅁䙁䅍䅕呂䑁䅍䅍㍁䑁䅙免㑁䑁䅧䅎ぁ䅁䅁䅎䅧䉁䅯䅁呂䙁䅁睕穁䑁䅁睎㉁䑁䅅䅏㑁䑁䅑兎䅁䑁䥕䅁捁䅁䅁睕兂䙁䅍免㍁䑁䅧免睁䑁䅍杍ㅁ䑁䅣兏䅁䑁䥙䅁慁䅁䅁睕兂䙁䅍李㉁䑁䅙兎㉁䑁䅧䅏ㅁ䑁䅍䅁㍁䅃䅁杇䅁䙁䅍䅕呂䑁䅙李㉁䑁䅕李㑁䑁䅧兎ぁ䅁䅁䅏䅧䉁䅯䅁呂䙁䅁睕ㅁ䑁䅕李㑁䑁䅕杍ㅁ䑁䅍䅎䅁䑁䥳䅁慁䅁䅁睕兂䙁䅍李穁䑁䅕睎硁䑁䅉免祁䑁䅅䅁㥁䅃䅁杇䅁䙁䅍䅕呂䑁䅉睎㉁䑁䅅杍祁䑁䅣䅎硁䅁䅁材䅧䉁䅯䅁呂䙁䅁睕㉁䑁䅑睍穁䑁䅉兏㍁䑁䅉䅏䅁䑁䤸䅁慁䅁䅁睕兂䙁䅍杍㕁䑁䅣免穁䑁䅅䅎㍁䑁䅣䅁䅂䅃䅁杇䅁䙁䅍䅕呂䑁䅕兎㑁䑁䅉兏ぁ䑁䅣睎睁䅁䅁兑䅧䉁䅷䅁呂䙁䅁睕硁䑁䅧睍㍁䑁䅉免㕁䑁䅫睎硁䅁䅁睑䅧䉁䅷䅁呂䙁䅁睕硁䑁䅧睍㍁䑁䅉杍睁䑁䅁睍ぁ䅁䅁䅒䅧䉁䅯䅁呂䙁䅁睕ㅁ䑁䅍李㉁䑁䅍杍㑁䑁䅙李䅁䕁䥙䅁慁䅁䅁睕兂䙁䅍睍硁䑁䅅杍祁䑁䅉睍㍁䑁䅉䅁䡂䅃䅁䅈䅁䙁䅍䅕呂䑁䅅睎㕁䑁䅑睍睁䑁䅙睎ㅁ䑁䅫䅁䥂䅃䅁杇䅁䙁䅍䅕呂䑁䅣䅍祁䑁䅫杍硁䑁䅙睎硁䅁䅁杓䅧䉁䅯䅁呂䙁䅁睕㍁䑁䅁杍㕁䑁䅉免㉁䑁䅣睍䅁䕁䥷䅁慁䅁䅁睕兂䙁䅍睎睁䑁䅉兏祁䑁䅅李㍁䑁䅑䅁乂䅃䅁䅈䅁䙁䅍䅕呂䑁䅅䅏穁䑁䅣杍硁䑁䅫兏㍁䑁䅑䅁佂䅃䅁䅈䅁䙁䅍䅕呂䑁䅅李㍁䑁䅕李睁䑁䅅兏硁䑁䅙䅁兂䅃䅁杇䅁䙁䅍䅕呂䑁䅑睍硁䑁䅉睍㉁䑁䅫兎穁䅁䅁兕䅧䉁䅷䅁呂䙁䅁睕硁䑁䅣兏ぁ䑁䅍䅍㉁䑁䅣兎㑁䅁䅁杕䅧䉁䅷䅁呂䙁䅁睕硁䑁䅧睍㍁䑁䅉免㕁䑁䅫睎穁䅁䅁䅖䅧䉁䅷䅁呂䙁䅁睕硁䑁䅫䅎祁䑁䅅䅍睁䑁䅧兎ぁ䅁䅁杖䅧䉁䅯䅁呂䙁䅁睕㉁䑁䅧睍ㅁ䑁䅉䅍穁䑁䅫睍䅁䙁䥣䅁慁䅁䅁睕兂䙁䅍李㑁䑁䅍兎祁䑁䅁睍㕁䑁䅑䅁奂䅃䅁䅈䅁䙁䅍䅕呂䑁䅅李㍁䑁䅕李睁䑁䅅兏㉁䑁䅧䅁慂䅃䅁䅈䅁䙁䅍䅕呂䑁䅅兏ぁ䑁䅉免睁䑁䅁兎穁䑁䅫䅁扂䅃䅁䅈䅁䙁䅍䅕呂䑁䅅睎㕁䑁䅑睍睁䑁䅙睎㉁䑁䅁䅁摂䅃䅁杇䅁䙁䅍䅕呂䑁䅉李祁䑁䅧兏睁䑁䅁睎硁䅁䅁杘䅧䉁䅯䅁呂䙁䅁睕穁䑁䅉兎㑁䑁䅅䅏睁䑁䅫兏䅁䝁䥁䅁捁䅁䅁睕兂䙁䅍免㍁䑁䅫䅎睁䑁䅣睎硁䑁䅅兏䅁䝁䥅䅁慁䅁䅁睕兂䙁䅍杍㑁䑁䅍兎睁䑁䅕李硁䑁䅫䅁楂䅃䅁䅈䅁䙁䅍䅕呂䑁䅅李㍁䑁䅕李睁䑁䅉睎ㅁ䑁䅫䅁歂䅃䅁䅅䅁䕁䅅杔䙂䙁䅑兌噂䙁䅍䅁潂䅃䅁杕䅁䙁䅁兙獂䝁䄸䅉䉂䝁䅷䅤療䍁䅁杔求䡁䅑睤療䡁䅉睡穂䍁䅷䅉䩂䝁䄴睙畁䍁䅁䅋佂䕁䅅睕䕂䕁䅅兕䡂䙁䅍杏兂䕁䅅杔塂䍁䅫䅁灂䅃䅁䅒䅁䕁䅅杣灂䡁䅍䅤桂䍁䅁杔求䡁䅑睤療䡁䅉睡穂䍁䅷䅉䩂䝁䄴睙畁䍁䅁䅋佂䙁䅫睕䙂䑁䅯兑佂䕁䅕䅖灁䅁䅁条䅧䉁䅷䅁呂䙁䅁睕祁䑁䅁免ぁ䑁䅍杍穁䑁䅕兏ㅁ䅁䅁兢䅧䉁䅷䅁呂䙁䅁睕祁䑁䅁免ぁ䑁䅍杍穁䑁䅉䅏睁䅁䅁杢䅧䉁䅷䅁呂䙁䅁睕祁䑁䅁免ぁ䑁䅑䅏㉁䑁䅍免穁䅁䅁䅣䅧䉁䅷䅁呂䙁䅁睕祁䑁䅁免硁䑁䅅䅏祁䑁䅉䅎㕁䅁䅁兣䅧䙁䅑䅁扂䙁䅍䅕䡂䙁䄸䅒䑂䕁䅙睘䉂䝁䄴兙獂䡁䅫督灂䡁䅍睘㉂䑁䅅睘䱂䝁䅫党獂䍁䄴䅥獂䡁䅍兢摂䕁䅑睑䝂䍁䅅䅊䉂䕁䅯䅊ㅁ䑁䅣䅁祂䅃䅁䅖䅁䍁䅣睗呂䙁䅁睒時䕁䅑睑䝂䙁䄸兑畂䝁䅅䅢㕂䡁䅍兡穂䙁䄸杤硁䍁䅁䅋穁䍁䅫杌㑂䝁䅷督瑂䙁䄰䅒䑂䕁䅙睊桁䍁䅑䅔歁䑁䅉免䅁䡁䥕䅁啂䅁䅁睊扂䙁䅍䅕䡂䙁䄸䅒䑂䕁䅙睘䉂䝁䄴兙獂䡁䅫督灂䡁䅍睘㉂䑁䅅䅉潁䑁䅍克畁䡁䅧䅢穂䝁䄰兘䕂䕁䅍杒湁䍁䅅䅊䵂䍁䅑免穁䅁䅁杤䅧䙁䅙䅁湁䙁䅳睕兂䕁䅣睘䕂䕁䅍杒時䕁䅅杢桂䝁䅷入穂䝁䅫督時䡁䅙免杁䍁䅧睍灁䍁䄴䅥獂䡁䅍兢摂䕁䅑睑䝂䍁䅣光歁䕁䅅杓歁䑁䅕睎䅁䡁䥣䅁坂䅁䅁睊扂䙁䅍䅕䡂䙁䄸䅒䑂䕁䅙睘䉂䝁䄴兙獂䡁䅫督灂䡁䅍睘㉂䑁䅅䅉潁䑁䅍克畁䡁䅧䅢穂䝁䄰兘䕂䕁䅍杒湁䍁䅅䅊䉂䙁䅧䅊ㅁ䑁䅣䅁㑂䅃䅁睶䅉䅁杷允䅁䅁䅕䅁䑁䅁䅷䅁䭁䕁䙳䅁䭁䑁䙅䅁䙁䅁䅁䅁杁敬䅚权祁兂䅁允䅁䅁䅅䅁䭁䩁䉑䅁䵁䅉䅅䅁䑁䅁䅁睁䵁䅁䅁权㑃睂䅁权䩃兂䅁允䅁䅁䅅䅁啁䉁㡷睐䅁䅁䅁䍄䉁䅁䅁杂䅁䅁䅍䅄䅁䅁䅯兴䅣䅁䅯䅧䅍䅁䅯全䅕䅁䅕䅁䅁䝁噃欵䭁䝁䝣䅁䉁䅁䅁允䅁䉁䅑噣䄴䅁䅁䅁䵁䅉䅅䅁䝁䅁䅁睁䵁䅁䅁权ㅃ睂䅁权煂杂䅁权䙃兂䅁兂䅁䅁䅁䩙浘䅑䅯睚䅙䅁䅅䅁䉁䅁䅁䅆求杘䅉䅁䅁䅁杷允䅁䅁䅙䅁䑁䅁䅷䅁䭁䱁䡕䅁䭁䡁䝷䅁䭁䥁䙯䅁䙁䅁䅁䅁杂敬䅚权湂杂䅁允䅁䅁䅅䅁啁佁啑䅁䅁䅁䅁䍄䉁䅁䅁兂䅁䅁䅍䅄䅁䅁䅯䅖䅕䅁䅯免䅕䅁䅕䅁䅁䕁噃欵䭁䑁䙉䅁䉁䅁䅁允䅁䅁䅯䅬䅅䅁杷允䅁䅁䅕䅁䑁䅁䅷䅁䭁偁䡑䅁䭁䙁䡍䅁䙁䅁䅁䅁杂敬䅚权祁兂䅁允䅁䅁䅅䅁䙁䱁䱺塒湷桨䅨䍄䉁䅁䅁兂䅁䅁䅍䅄䅁䅁䅯督䅕䅁䅯免䅕䅁䅕䅁䅁䍁噃欵䭁䑁䙉䅁䉁䅁䅁允䅁䅁䅯䅬䅅䅁杷允䅁䅁䅕䅁䑁䅁䅷䅁䭁䑁䙳䅁䭁䑁䙅䅁䙁䅁䅁䅁杂敬䅚权祁兂䅁允䅁䅁䅅䅁䙁䭁捷浗㝑砳䅊䍄䉁䅁䅁兂䅁䅁䅍䅄䅁䅁䅯䅡䅕䅁䅯免䅕䅁䅕䅁䅁䍁噃欵䭁䑁䙉䅁䉁䅁䅁允䅁䅁䅯䅬䅅䅁杷允䅁䅁䅕䅁䑁䅁䅷䅁䭁䑁䙣䅁䭁䑁䙅䅁䙁䅁䅁䅁䅂敬䅚权祁兂䅁允䅁䅁䅅䅁䭁䩁䉑䅁䵁䅉䅅䅁䙁䅁䅁睁䵁䅁䅁权䩂兂䅁权硁兂䅁兂䅁䅁䅁䩑浘䅑䅯杍䅕䅁䅅䅁䉁䅁䅁权啃允䅁䍄䉁䅁䅁兂䅁䅁䅍䅄䅁䅁䅯䅚䅕䅁䅯免䅕䅁䅕䅁䅁䝁噃欵䭁䑁䙉䅁䉁䅁䅁允䅁䅁䅕椹捨㡪ㅌ䐯䴸䅉䅅䅁䑁䅁䅁睁䵁䅁䅁权啄睂䅁权敃兂䅁允䅁䅁䅅䅁䡁䅁䅁䅁䅄⭹䅒䍄䉁䅁䅁兂䅁䅁䅍䅄䅁䅁䅯杔䅕䅁䅯免䅕䅁䅕䅁䅁䍁噃欵䭁䑁䙉䅁䉁䅁䅁允䅁䅁䅯䅬䅅䅁杷允䅁䅁䅕䅁䑁䅁䅷䅁䭁䵁䡧䅁䭁䙁䡍䅁䙁䅁䅁䅁杂敬䅚权祁兂䅁允䅁䅁䅅䅁䙁乁伶䙣睲桙䅨䍄䉁䅁䅁杂䅁䅁䅍䅄䅁䅁䅯䅵䅣䅁䅯䅎䅉䅁䅯杨䅕䅁䅕䅁䅁䝁噃欵䭁䥁䙣䅁䉁䅁䅁允䅁䅁䅯䅬䅅䅁杷允䅁䅁䅕䅁䑁䅁䅷䅁䭁䡁䙍䅁䭁䑁䙅䅁䙁䅁䅁䅁䅂敬䅚权祁兂䅁允䅁䅁䅅䅁䭁䩁䉑䅁䵁䅉䅅䅁䑁䅁䅁睁䵁䅁䅁权ㅃ睂䅁权啃杂䅁允䅁䅁䅅䅁䭁䩁䝕䅁䵁䅉䅅䅁䑁䅁䅁睁䵁䅁䅁权灁兂䅁权䱃兂䅁允䅁䅁䅅䅁䭁䡁䍉䅁䵁䅉䅅䅁䙁䅁䅁睁䵁䅁䅁权啂兂䅁权硁兂䅁兂䅁䅁䅁䩉浘䅑䅯杍䅕䅁䅅䅁䉁䅁䅁权啃允䅁䍄䉁䅁䅁兂䅁䅁䅍䅄䅁䅁䅯兗䅕䅁䅯免䅕䅁䅕䅁䅁䕁噃欵䭁䑁䙉䅁䉁䅁䅁允䅁䅁䅯䅬䅅䅁杷允䅁䅁䅍䅁䑁䅁䅷䅁䭁乁䡯䅁䭁䩁䘴䅁䉁䅁䅁允䅁䅁䅣䅁䅁䥁楄䔵䵁䅉䅅䅁䑁䅁䅁睁䵁䅁䅁权敄睂䅁权敃兂䅁允䅁䅁䅅䅁䡁䅁䅁䅁杄敥䅖䍄䉁䅁䅁睁䅁䅁䅍䅄䅁䅁䅯睢䅑䅁䅯睩䅕䅁䅅䅁䉁䅁䅁权睂杁䅁䍄䉁䅁䅁兂䅁䅁䅍䅄䅁䅁䅯杧䅕䅁䅯免䅕䅁䅕䅁䅁䝁噃欵䭁䑁䙉䅁䉁䅁䅁允䅁䅁䅕捺䵺䵺䵸商䵁䅉䅅䅁䙁䅁䅁睁䵁䅁䅁权㥁兂䅁权硁兂䅁兂䅁䅁䅁䩉浘䅑䅯杍䅕䅁䅅䅁䉁䅁䅁权啃允䅁䍄䉁䅁䅁睁䅁䅁䅍䅄䅁䅁䅯睢䅑䅁䅯免䅅䅁䅅䅁䉁䅁䅁权噃兂䅁䍄䉁䅁䅁杂䅁䅁䅍䅄䅁䅁䅯兴䅣䅁䅯兪䅙䅁䅯䅩䅕䅁䅕䅁䅁䝁噃欵䭁䭁䡣䅁䉁䅁䅁允䅁䉁䅑塚䉅䅁䅁䅁䵁䅉䅅䅁䙁䅁䅁睁䵁䅁䅁权坂兂䅁权硁兂䅁兂䅁䅁䅁䩉浘䅑䅯杍䅕䅁䅅䅁䉁䅁䅁权啃允䅁䍄䉁䅁䅁兂䅁䅁䅍䅄䅁䅁䅯兖䅕䅁䅯免䅕䅁䅕䅁䅁䍁噃欵䭁䑁䙉䅁䉁䅁䅁允䅁䅁䅯䅬䅅䅁杷允䅁䅁䅕䅁䑁䅁䅷䅁䭁䕁䘸䅁䭁䑁䙅䅁䙁䅁䅁䅁杁敬䅚权祁兂䅁允䅁䅁䅅䅁䭁䩁䉑䅁䵁䅉䅅䅁䑁䅁䅁睁䵁䅁䅁权㡃睂䅁权䩃兂䅁允䅁䅁䅅䅁啁䝁娰児䅁䅁䅁䍄䉁䅁䅁杂䅁䅁䅍䅄䅁䅁䅯兴䅣䅁䅯䅤䅙䅁䅯䅪䅕䅁䅕䅁䅁䝁噃欵䭁䝁䝣䅁䉁䅁䅁允䅁䉁䅑灷䉫䅁䅁䅁䵁䅉䅅䅁䝁䅁䅁睁䵁䅁䅁权ㅃ睂䅁权㙂杂䅁权乃兂䅁兂䅁䅁䅁䩙浘䅑䅯睚䅙䅁䅅䅁䉁䅁䅁䅆摃⼫⼯⼯⼯眯杷允䅁䅁䅙䅁䑁䅁䅷䅁䭁偁䡑䅁䭁䙁䡑䅁䭁䡁䡉䅁䙁䅁䅁䅁杂敬䅚权祁兂䅁允䅁䅁䅅䅁䙁䩁䉔晕煌䉦䅨䍄䉁䅁䅁兂䅁䅁䅍䅄䅁䅁䅯䅒䅕䅁䅯免䅕䅁䅕䅁䅁䝁噃欵䭁䑁䙉䅁䉁䅁䅁允䅁䅁䅕扰䈳祆呚歃䵁䅉䅅䅁䑁䅁䅁睁䵁䅁䅁权㑃睂䅁权硁允䅁允䅁䅁䅅䅁䭁䱁䠸䅁䵁䅉䅅䅁䝁䅁䅁睁䵁䅁䅁权㑃睂䅁权扁䅂䅁权䵃兂䅁兂䅁䅁䅁䩙浘䅑䅯杍䅕䅁䅅䅁䉁䅁䅁兂穂䩡瑈䡦稸䅑杷允䅁䅁䅙䅁䑁䅁䅷䅁䭁䱁䡕䅁䭁䡁䝕䅁䭁䥁䙧䅁䙁䅁䅁䅁杂敬䅚权湂杂䅁允䅁䅁䅅䅁啁䅁䅁䅁䅁䅁䅁䍄䉁䅁䅁杂䅁䅁䅍䅄䅁䅁䅯䅸䅣䅁䅯䅖䅣䅁䅯杣䅣䅁䅕䅁䅁䝁噃欵䭁䑁䙉䅁䉁䅁䅁允䅁䅁䅕歬䱏佢㝤歆䵁䅉䅅䅁䙁䅁䅁睁䵁䅁䅁权灂兂䅁权硁兂䅁兂䅁䅁䅁䩑浘䅑䅯杍䅕䅁䅅䅁䉁䅁䅁权啃允䅁䍄䉁䅁䅁睁䅁䅁䅍䅄䅁䅁䅯儲䅣䅁䅯杮䅕䅁䅅䅁䉁䅁䅁睂䅁䅁䅁䤴武䅑杷允䅁䅁䅙䅁䑁䅁䅷䅁䭁佁䠴䅁䭁䙁䡑䅁䭁䡁䡉䅁䙁䅁䅁䅁杂敬䅚权祁兂䅁允䅁䅁䅅䅁䙁䝁眯捨啬剧䅨䍄䉁䅁䅁兂䅁䅁䅍䅄䅁䅁䅯児䅕䅁䅯免䅕䅁䅕䅁䅁䕁噃欵䭁䑁䙉䅁䉁䅁䅁允䅁䅁䅯䅬䅅䅁杷允䅁䅁䅕䅁䑁䅁䅷䅁䭁偁䡅䅁䭁䙁䡍䅁䙁䅁䅁䅁杂敬䅚权祁兂䅁允䅁䅁䅅䅁䙁䩁卫晓祑桓䅨䍄䉁䅁䅁兂䅁䅁䅍䅄䅁䅁䅯儲䅣䅁䅯睕䅣䅁䅕䅁䅁䝁噃欵䭁䑁䙉䅁䉁䅁䅁允䅁䅁䅕剅琵䱈㉈う䵁䅉䅅䅁䝁䅁䅁睁䵁䅁䅁权ㅃ睂䅁权㕂杂䅁权䭃兂䅁兂䅁䅁䅁䩙浘䅑䅯睚䅙䅁䅅䅁䉁䅁䅁䅆灄⼴⼯⼯⼯眯杷允䅁䅁䅙䅁䑁䅁䅷䅁䭁䱁䡕䅁䭁䥁䑉䅁䭁䥁䙕䅁䙁䅁䅁䅁杂敬䅚权湂杂䅁允䅁䅁䅅䅁啁䉁㝑瘯⼯⼯⼯䍄䉁䅁䅁杂䅁䅁䅍䅄䅁䅁䅯兴䅣䅁䅯䅥䅙䅁䅯䅩䅕䅁䅕䅁䅁䝁噃欵䭁䝁䝣䅁䉁䅁䅁允䅁䉁䅑兏䅉䅁䅁䅁䵁䅉䅅䅁䝁䅁䅁睁䵁䅁䅁权ㅃ睂䅁权㥂杂䅁权灂杂䅁兂䅁䅁䅁䩙浘䅑䅯睚䅙䅁䅅䅁䉁䅁䅁䅆䥃䅂䅁䅁䅁䅁杷允䅁䅁䅕䅁䑁䅁䅷䅁䭁䙁䙳䅁䭁䑁䙅䅁䙁䅁䅁䅁杁敬䅚权祁兂䅁允䅁䅁䅅䅁䭁䩁䉑䅁䵁䅉䅅䅁䙁䅁䅁睁䵁䅁䅁权兂兂䅁权硁兂䅁兂䅁䅁䅁䩙浘䅑䅯杍䅕䅁䅅䅁䉁䅁䅁兂㑃潈牘呕畧䅑杷允䅁䅁䅙䅁䑁䅁䅷䅁䭁䱁䡕䅁䭁䥁䝧䅁䭁䥁䙧䅁䙁䅁䅁䅁杂敬䅚权湃睂䅁允䅁䅁䅅䅁啁䩁煶杁䅁䅁䅁䍄䉁䅁䅁兂䅁䅁䅍䅄䅁䅁䅯睏䅕䅁䅯免䅕䅁䅕䅁䅁䕁噃欵䭁䑁䙉䅁䉁䅁䅁允䅁䅁䅯䅬䅅䅁杷允䅁䅁䅕䅁䑁䅁䅷䅁䭁䡁䙅䅁䭁䑁䙅䅁䙁䅁䅁䅁杁敬䅚权祁兂䅁允䅁䅁䅅䅁䭁䩁䉑䅁䵁䅉䅅䅁䝁䅁䅁睁䵁䅁䅁权ㅃ睂䅁权扁䅂䅁权䙃兂䅁兂䅁䅁䅁䩙浘䅑䅯杍䅕䅁䅅䅁䉁䅁䅁兂䵂㑎䉬䝙穕䅑杷允䅁䅁䅙䅁䑁䅁䅷䅁䭁乁䡧䅁䭁䙁䡑䅁䭁䡁䡉䅁䙁䅁䅁䅁杂敬䅚权祁兂䅁允䅁䅁䅅䅁䙁䍁穐䉹䴸䉮䅤䍄䉁䅁䅁睁䅁䅁䅍䅄䅁䅁䅯儸䅣䅁䅯杮䅕䅁䅅䅁䉁䅁䅁睂䅁䅁䅁䉧浢䅑杷允䅁䅁䅕䅁䑁䅁䅷䅁䭁䑁䙧䅁䭁䑁䙅䅁䙁䅁䅁䅁杁敬䅚权祁兂䅁允䅁䅁䅅䅁䭁䩁䉑䅁䵁䅉䅅䅁䙁䅁䅁睁䵁䅁䅁权睁兂䅁权硁兂䅁兂䅁䅁䅁䩑浘䅑䅯杍䅕䅁䅅䅁䉁䅁䅁权啃允䅁䍄䉁䅁䅁杂䅁䅁䅍䅄䅁䅁䅯睢䅑䅁䅯睌䅉䅁䅯杨䅕䅁䅕䅁䅁䝁噃欵䭁䥁䙣䅁䉁䅁䅁允䅁䉁䅑䥃䌴䅁䅁䅁䵁䅉䅅䅁䑁䅁䅁睁䵁䅁䅁权噄睂䅁权敃兂䅁允䅁䅁䅅䅁䡁䅁䅁䅁䅄敕䅒䍄䉁䅁䅁睁䅁䅁䅍䅄䅁䅁䅯䄹䅣䅁䅯杮䅕䅁䅅䅁䉁䅁䅁睂䅁䅁䅁䩁氷䅑杷允䅁䅁䅕䅁䑁䅁䅷䅁䭁䙁䙷䅁䭁䑁䙅䅁䙁䅁䅁䅁杁敬䅚权祁兂䅁允䅁䅁䅅䅁䭁䩁䉑䅁䵁䅉䅅䅁䙁䅁䅁睁䵁䅁䅁权ㅁ兂䅁权硁兂䅁兂䅁䅁䅁䩉浘䅑䅯杍䅕䅁䅅䅁䉁䅁䅁权啃允䅁䍄䉁䅁䅁杂䅁䅁䅍䅄䅁䅁䅯兴䅣䅁䅯兩䅙䅁䅯䅪䅕䅁䅕䅁䅁䝁噃欵䭁䝁䝣䅁䉁䅁䅁允䅁䉁䅑杆䄴䅁䅁䅁䵁䅉䅅䅁䙁䅁䅁睁䵁䅁䅁权卂兂䅁权硁兂䅁兂䅁䅁䅁䩉浘䅑䅯杍䅕䅁䅅䅁䉁䅁䅁权啃允䅁䍄䉁䅁䅁杂䅁䅁䅍䅄䅁䅁䅯朲䅣䅁䅯䅖䅣䅁䅯杣䅣䅁䅕䅁䅁䝁噃欵䭁䑁䙉䅁䉁䅁䅁允䅁䅁䅕余兘瑉㕵う䵁䅉䅅䅁䙁䅁䅁睁䵁䅁䅁权䍂兂䅁权硁兂䅁兂䅁䅁䅁䩑浘䅑䅯杍䅕䅁䅅䅁䉁䅁䅁权啃允䅁䍄䉁䅁䅁杂䅁䅁䅍䅄䅁䅁䅯兴䅣䅁䅯杤䅙䅁䅯全䅕䅁䅕䅁䅁䝁噃欵䭁䝁䝣䅁䉁䅁䅁允䅁䉁䅑䅁䅁䅁䅁䅁䵁䅉䅅䅁䑁䅁䅁睁䵁䅁䅁权剄睂䅁权敃兂䅁允䅁䅁䅅䅁䡁䅁䅁䅁杄位䅚䍄䉁䅁䅁兂䅁䅁䅍䅄䅁䅁䅯兎䅕䅁䅯免䅕䅁䅕䅁䅁䝁噃欵䭁䑁䙉䅁䉁䅁䅁允䅁䅁䅕桙奂扏䥔啃䵁䅉䅅䅁䑁䅁䅁睁䵁䅁䅁权扄睂䅁权敃兂䅁允䅁䅁䅅䅁䡁䅁䅁䅁䅃甴䅒䍄䉁䅁䅁兂䅁䅁䅍䅄䅁䅁䅯朶䅣䅁䅯睕䅣䅁䅕䅁䅁䝁噃欵䭁䑁䙉䅁䉁䅁䅁允䅁䅁䅕㈳穸㍙楲商䵁䅉䅅䅁䑁䅁䅁睁䵁䅁䅁权歄睂䅁权敃兂䅁允䅁䅁䅅䅁䡁䅁䅁䅁䅃畎䅒䍄䉁䅁䅁杂䅁䅁䅍䅄䅁䅁䅯朶䅣䅁䅯䅖䅣䅁䅯杣䅣䅁䅕䅁䅁䝁噃欵䭁䑁䙉䅁䉁䅁䅁允䅁䅁䅕夸祃噋奦商䵁䅉䅅䅁䑁䅁䅁睁䵁䅁䅁权偄睂䅁权敃兂䅁允䅁䅁䅅䅁䡁䅁䅁䅁杄位䅚䍄䉁䅁䅁睁䅁䅁䅍䅄䅁䅁䅯朰䅣䅁䅯杮䅕䅁䅅䅁䉁䅁䅁睂䅁䅁䅁䉧浢䅑杷允䅁䅁䅙䅁䑁䅁䅷䅁䭁䱁䡕䅁䭁䡁䝙䅁䭁䥁䙯䅁䙁䅁䅁䅁杂敬䅚权湂杂䅁允䅁䅁䅅䅁啁䅁䅁䅁䅁䅁䅁䍄䉁䅁䅁睁䅁䅁䅍䅄䅁䅁䅯眴䅣䅁䅯杮䅕䅁䅅䅁䉁䅁䅁睂䅁䅁䅁䉧浢䅑杷允䅁䅁䅑䅁䑁䅁䅷䅁䭁偁䡕䅁䭁䩁䙯䅁䭁䑁䙉䅁䉁䅁䅁允䅁䉁䅑䅁䅁䅁䅁䅁䵁䅉䅅䅁䑁䅁䅁睁䵁䅁䅁权䱄睂䅁权敃兂䅁允䅁䅁䅅䅁䡁䅁䅁䅁䅃畆䅚䍄䉁䅁䅁兂䅁䅁䅍䅄䅁䅁䅯䅑䅕䅁䅯免䅕䅁䅕䅁䅁䍁噃欵䭁䑁䙉䅁䉁䅁䅁允䅁䅁䅯䅬䅅䅁杷允䅁䅁䅕䅁䑁䅁䅷䅁䭁䑁䘸䅁䭁䑁䙅䅁䙁䅁䅁䅁䅂敬䅚权祁兂䅁允䅁䅁䅅䅁䭁䩁䉑䅁䵁䅉䅅䅁䙁䅁䅁睁䵁䅁䅁权⽁兂䅁权硁兂䅁兂䅁䅁䅁䩉浘䅑䅯杍䅕䅁䅅䅁䉁䅁䅁权啃允䅁䍄䉁䅁䅁兂䅁䅁䅍䅄䅁䅁䅯䅐䅕䅁䅯免䅕䅁䅕䅁䅁䕁噃欵䭁䑁䙉䅁䉁䅁䅁允䅁䅁䅯䅬䅅䅁杷允䅁䅁䅙䅁䑁䅁䅷䅁䭁䱁䡕䅁䭁䡁䐴䅁䭁䥁䙯䅁䙁䅁䅁䅁杂敬䅚权湂杂䅁允䅁䅁䅅䅁啁佁乍䅁䅁䅁䅁䍄䉁䅁䅁兂䅁䅁䅍䅄䅁䅁䅯睕䅕䅁䅯免䅕䅁䅕䅁䅁䍁噃欵䭁䑁䙉䅁䉁䅁䅁允䅁䅁䅯䅬䅅䅁杷允䅁䅁䅙䅁䑁䅁䅷䅁䭁䱁䡕䅁䭁䡁䝍䅁䭁䥁䙕䅁䙁䅁䅁䅁杂敬䅚权湂杂䅁允䅁䅁䅅䅁啁䥁晡允䅁䅁䅁䍄䉁䅁䅁兂䅁䅁䅍䅄䅁䅁䅯杗䅕䅁䅯免䅕䅁䅕䅁䅁䕁噃欵䭁䑁䙉䅁䉁䅁䅁允䅁䅁䅯䅬䅅䅁杷允䅁䅁䅕䅁䑁䅁䅷䅁䭁䝁䙫䅁䭁䑁䙅䅁䙁䅁䅁䅁杁敬䅚权祁兂䅁允䅁䅁䅅䅁䭁䩁䉑䅁䵁䅉䅅䅁䙁䅁䅁睁䵁䅁䅁权㍂兂䅁权硁兂䅁兂䅁䅁䅁䩙浘䅑䅯杍䅕䅁䅅䅁䉁䅁䅁兂浃㡭村䡳䭉䅑杷允䅁䅁䅍䅁䑁䅁䅷䅁䭁䍁䙫䅁䭁䥁䙫䅁䉁䅁䅁允䅁䉁䅑㠵㥍䅁䅁䅁䵁䅉䅅䅁䙁䅁䅁睁䵁䅁䅁权㍂兂䅁权硁兂䅁兂䅁䅁䅁䩉浘䅑䅯杍䅕䅁䅅䅁䉁䅁䅁权啃允䅁䍄䉁䅁䅁睁䅁䅁䅍䅄䅁䅁䅯䄰䅣䅁䅯杮䅕䅁䅅䅁䉁䅁䅁睂䅁䅁䅁䑧止䅑杷允䅁䅁䅙䅁䑁䅁䅷䅁䭁䱁䡕䅁䭁䡁䝑䅁䭁䝁䝫䅁䙁䅁䅁䅁杂敬䅚权湂杂䅁允䅁䅁䅅䅁啁偁䐹允䅁䅁䅁䍄䉁䅁䅁睁䅁䅁䅍䅄䅁䅁䅯䄷䅣䅁䅯杮䅕䅁䅅䅁䉁䅁䅁睂䅁䅁䅁䐴浄䅑杷允䅁䅁䅕䅁䑁䅁䅷䅁䭁䝁䙧䅁䭁䑁䙅䅁䙁䅁䅁䅁䅂敬䅚权祁兂䅁允䅁䅁䅅䅁䭁䩁䉑䅁䵁䅉䅅䅁䝁䅁䅁睁䵁䅁䅁权ㅃ睂䅁权㕂杂䅁权䥃兂䅁兂䅁䅁䅁䩙浘䅑䅯睚䅙䅁䅅䅁䉁䅁䅁䅆牃瘱⼯⼯⼯眯杷允䅁䅁䅑䅁䑁䅁䅷䅁䭁䍁䘴䅁䭁䍁䘸䅁䙁䅁䅁䅁䅄⭚䅚允䅁䅁䅅䅁䙁䡁爱伶䱺才䅬䍄䉁䅁䅁睁䅁䅁䅍䅄䅁䅁䅯䄳䅣䅁䅯杮䅕䅁䅅䅁䉁䅁䅁睂䅁䅁䅁佧歌䅑杷允䅁䅁䅕䅁䑁䅁䅷䅁䭁䑁䙙䅁䭁䑁䙅䅁䙁䅁䅁䅁杂敬䅚权祁兂䅁允䅁䅁䅅䅁䙁䭁扡䍸睃档䅆䍄䉁䅁䅁兂䅁䅁䅍䅄䅁䅁䅯党䅕䅁䅯免䅕䅁䅕䅁䅁䍁噃欵䭁䑁䙉䅁䉁䅁䅁允䅁䅁䅯䅬䅅䅁杷允䅁䅁䅕䅁䑁䅁䅷䅁䭁乁䡯䅁䭁䙁䡍䅁䙁䅁䅁䅁杂敬䅚权祁兂䅁允䅁䅁䅅䅁䙁䕁䩹䡊婯剸䅤䍄䉁䅁䅁兂䅁䅁䅍䅄䅁䅁䅯兎䅕䅁䅯免䅕䅁䅕䅁䅁䕁噃欵䭁䑁䙉䅁䉁䅁䅁允䅁䅁䅯䅬䅅䅁杷允䅁䅁䅙䅁䑁䅁䅷䅁䭁䱁䡕䅁䭁䡁䝧䅁䭁䝁䝫䅁䙁䅁䅁䅁杂敬䅚权湂杂䅁允䅁䅁䅅䅁啁佁䬴䅁䅁䅁䅁䍄䉁䅁䅁兂䅁䅁䅍䅄䅁䅁䅯䅙䅕䅁䅯免䅕䅁䅕䅁䅁䕁噃欵䭁䑁䙉䅁䉁䅁䅁允䅁䅁䅯䅬䅅䅁杷允䅁䅁䅙䅁䑁䅁䅷䅁䭁䱁䡕䅁䭁䉁䕳䅁䭁䥁䙯䅁䙁䅁䅁䅁杂敬䅚权祁兂䅁允䅁䅁䅅䅁䙁䕁杊搵楁穏䅊䍄䉁䅁䅁兂䅁䅁䅍䅄䅁䅁䅯䅐䅕䅁䅯免䅕䅁䅕䅁䅁䍁噃欵䭁䑁䙉䅁䉁䅁䅁允䅁䅁䅯䅬䅅䅁杷允䅁䅁䅕䅁䑁䅁䅷䅁䭁䝁䙳䅁䭁䑁䙅䅁䙁䅁䅁䅁杁敬䅚权祁兂䅁允䅁䅁䅅䅁䭁䩁䉑䅁䵁䅉䅅䅁䙁䅁䅁睁䵁䅁䅁权塂兂䅁权硁兂䅁兂䅁䅁䅁䩙浘䅑䅯杍䅕䅁䅅䅁䉁䅁䅁权啃允䅁䍄䉁䅁䅁兂䅁䅁䅍䅄䅁䅁䅯睖䅕䅁䅯免䅕䅁䅕䅁䅁䍁噃欵䭁䑁䙉䅁䉁䅁䅁允䅁䅁䅯䅬䅅䅁杷允䅁䅁䅙䅁䑁䅁䅷䅁䭁䱁䡷䅁䭁䉁䕳䅁䭁䥁䙯䅁䙁䅁䅁䅁杂敬䅚权祁兂䅁允䅁䅁䅅䅁䙁佁汏㡭村䍣䄱䍄䉁䅁䅁杂䅁䅁䅍䅄䅁䅁䅯克䅕䅁䅯䅎䅉䅁䅯杨䅕䅁䅕䅁䅁䝁噃欵䭁䥁䙣䅁䉁䅁䅁允䅁䅁䅯䅬䅅䅁杷允䅁䅁䅕䅁䑁䅁䅷䅁䭁䙁䘸䅁䭁䑁䙅䅁䙁䅁䅁䅁杁敬䅚权祁兂䅁允䅁䅁䅅䅁䭁䩁䉑䅁䵁䅉䅅䅁䙁䅁䅁睁䵁䅁䅁权䕂兂䅁权硁兂䅁兂䅁䅁䅁䩉浘䅑䅯杍䅕䅁䅅䅁䉁䅁䅁权啃允䅁䍄䉁䅁䅁兂䅁䅁䅍䅄䅁䅁䅯兕䅕䅁䅯免䅕䅁䅕䅁䅁䍁噃欵䭁䑁䙉䅁䉁䅁䅁允䅁䅁䅯䅬䅅䅁杷允䅁䅁䅕䅁䑁䅁䅷䅁䭁䕁䙧䅁䭁䑁䙅䅁䙁䅁䅁䅁䅂敬䅚权祁兂䅁允䅁䅁䅅䅁䭁䩁䉑䅁䵁䅉䅅䅁䙁䅁䅁睁䵁䅁䅁权乂兂䅁权硁兂䅁兂䅁䅁䅁䩉浘䅑䅯杍䅕䅁䅅䅁䉁䅁䅁权啃允䅁䍄䉁䅁䅁兂䅁䅁䅍䅄䅁䅁䅯䅏䅕䅁䅯免䅕䅁䅕䅁䅁䝁噃欵䭁䑁䙉䅁䉁䅁䅁允䅁䅁䅕癱午坔兊啌䵁䅉䅅䅁䙁䅁䅁睁䵁䅁䅁权㙁兂䅁权硁兂䅁兂䅁䅁䅁䩑浘䅑䅯杍䅕䅁䅅䅁䉁䅁䅁权啃允䅁䍄䉁䅁䅁兂䅁䅁䅍䅄䅁䅁䅯䅑䅕䅁䅯免䅕䅁䅕䅁䅁䕁噃欵䭁䑁䙉䅁䉁䅁䅁允䅁䅁䅯䅬䅅䅁杷允䅁䅁䅕䅁䑁䅁䅷䅁䭁䑁䘰䅁䭁䑁䙅䅁䙁䅁䅁䅁杂敬䅚权祁兂䅁允䅁䅁䅅䅁䙁䍁扐堫焵䉶䅬䍄䉁䅁䅁兂䅁䅁䅍䅄䅁䅁䅯內䅕䅁䅯免䅕䅁䅕䅁䅁䍁噃欵䭁䑁䙉䅁䉁䅁䅁允䅁䅁䅯䅬䅅䅁杷允䅁䅁䅕䅁䑁䅁䅷䅁䭁䙁䘰䅁䭁䑁䙅䅁䙁䅁䅁䅁杂敬䅚权祁兂䅁允䅁䅁䅅䅁䙁䕁婴橨坪兒䅆䍄䉁䅁䅁兂䅁䅁䅍䅄䅁䅁䅯兴䅣䅁䅯兢䅅䅁䅕䅁䅁䅁噃欵䭁偁䕅䅁䉁䅁䅁允䅁䉁䅑㥅套杵䅅䅁䵁䅉䅅䅁䝁䅁䅁睁䵁䅁䅁权ㅃ睂䅁权䭃杂䅁权䥃兂䅁兂䅁䅁䅁䩙浘䅑䅯睚䅙䅁䅅䅁䉁䅁䅁䅆䅁䅁䅁䅁䅁䅁杷允䅁䅁䅕䅁䑁䅁䅷䅁䭁䝁䙁䅁䭁䑁䙅䅁䙁䅁䅁䅁杁敬䅚权祁兂䅁允䅁䅁䅅䅁䭁䩁䉑䅁䵁䅉䅅䅁䝁䅁䅁睁䵁䅁䅁权ㅃ睂䅁权㡂杂䅁权䵃兂䅁兂䅁䅁䅁䩙浘䅑䅯睚䅙䅁䅅䅁䉁䅁䅁䅆晃兆䅁䅁䅁䅁杷允䅁䅁䅕䅁䑁䅁䅷䅁䭁䑁䙧䅁䭁䑁䙅䅁䙁䅁䅁䅁䅂敬䅚权祁兂䅁允䅁䅁䅅䅁䭁䩁䉑䅁䵁䅉䅅䅁䙁䅁䅁睁䵁䅁䅁权䥂兂䅁权硁兂䅁兂䅁䅁䅁䩉浘䅑䅯杍䅕䅁䅅䅁䉁䅁䅁权啃允䅁䍄䉁䅁䅁兂䅁䅁䅍䅄䅁䅁䅯典䅣䅁䅯睕䅣䅁䅕䅁䅁䝁噃欵䭁䑁䙉䅁䉁䅁䅁允䅁䅁䅕搵楁⼲⭮ぇ䵁䅉䅅䅁䙁䅁䅁睁䵁䅁䅁权祂兂䅁权硁兂䅁兂䅁䅁䅁䩙浘䅑䅯杍䅕䅁䅅䅁䉁䅁䅁兂楃扒穢嘯卑䅑杷允䅁䅁䅙䅁䑁䅁䅷䅁䭁䱁䡕䅁䭁䡁䐴䅁䭁䥁䙷䅁䙁䅁䅁䅁杂敬䅚权湂杂䅁允䅁䅁䅅䅁啁䑁䱳䅁䅁䅁䅁䍄䉁䅁䅁兂䅁䅁䅍䅄䅁䅁䅯䄱䅣䅁䅯睕䅣䅁䅕䅁䅁䝁噃欵䭁䑁䙉䅁䉁䅁䅁允䅁䅁䅕䍦浤剶煩䕆䵁䅉䅅䅁䝁䅁䅁睁䵁䅁䅁权灁兂䅁权佃兂䅁兂䅁䅁䅁䩙浘䅑䅯䅉䅁䅁䅯睨䅕䅁䅅䅁䉁䅁䅁兂浂浚浚煔㑦䅑杷允䅁䅁䅕䅁䑁䅁䅷䅁䭁䝁䙙䅁䭁䑁䙅䅁䙁䅁䅁䅁杁敬䅚权祁兂䅁允䅁䅁䅅䅁䭁䩁䉑䅁䵁䅉䅅䅁䙁䅁䅁睁䵁䅁䅁权瑂兂䅁权硁兂䅁兂䅁䅁䅁䩉浘䅑䅯杍䅕䅁䅅䅁䉁䅁䅁权啃允䅁䍄䉁䅁䅁杂䅁䅁䅍䅄䅁䅁䅯兴䅣䅁䅯督䅙䅁䅯䅪䅕䅁䅕䅁䅁䝁噃欵䭁䝁䝣䅁䉁䅁䅁允䅁䉁䅑睒䉅䅁䅁䅁䵁䅉䅅䅁䑁䅁䅁睁䵁䅁䅁权ㅃ睂䅁权硁允䅁允䅁䅁䅅䅁䭁䭁䠸䅁䵁䅉䅅䅁䙁䅁䅁睁䵁䅁䅁权呂兂䅁权硁兂䅁兂䅁䅁䅁䩙浘䅑䅯杍䅕䅁䅅䅁䉁䅁䅁兂偃癷潕䥘䄸䅑杷允䅁䅁䅕䅁䑁䅁䅷䅁䭁䙁䙙䅁䭁䑁䙅䅁䙁䅁䅁䅁䅂敬䅚权祁兂䅁允䅁䅁䅅䅁䭁䩁䉑䅁䵁䅉䅅䅁䑁䅁䅁睁䵁䅁䅁权㉃睂䅁权硁允䅁允䅁䅁䅅䅁䭁䱁䠴䅁䵁䅉䅅䅁䑁䅁䅁睁䵁䅁䅁权ㅃ睂䅁权䱃兂䅁允䅁䅁䅅䅁䭁䭁䄰䅁䵁䅉䅅䅁䙁䅁䅁睁䵁䅁䅁权慂兂䅁权硁兂䅁兂䅁䅁䅁䩙浘䅑䅯杍䅕䅁䅅䅁䉁䅁䅁兂䩃坑汄䌰佉䅑杷允䅁䅁䅕䅁䑁䅁䅷䅁䭁䝁䙳䅁䭁䑁䙅䅁䙁䅁䅁䅁杂敬䅚权祁兂䅁允䅁䅁䅅䅁䙁䵁ㅐ䙋偹桑䅆䍄䉁䅁䅁睁䅁䅁䅍䅄䅁䅁䅯兵䅣䅁䅯免䅅䅁䅅䅁䉁䅁䅁权㙃睂䅁䍄䉁䅁䅁兂䅁䅁䅍䅄䅁䅁䅯兏䅕䅁䅯免䅕䅁䅕䅁䅁䕁噃欵䭁䑁䙉䅁䉁䅁䅁允䅁䅁䅯䅬䅅䅁杷允䅁䅁䅍䅁䑁䅁䅷䅁䭁䱁䡫䅁䭁䥁䙳䅁䉁䅁䅁允䅁䅁䅯睭䅅䅁杷允䅁䅁䅍䅁䑁䅁䅷䅁䭁䱁䡕䅁䭁䥁䙫䅁䉁䅁䅁允䅁䉁䅑桤㥫䅁䅁䅁䵁䅉䅅䅁䑁䅁䅁睁䵁䅁䅁权ㅃ睂䅁权千杂䅁允䅁䅁䅅䅁䭁䱁䡳䅁䵁䅉䅅䅁䑁䅁䅁睁䵁䅁䅁权療䅂䅁权䩃兂䅁允䅁䅁䅅䅁啁䩁煏児䅁䅁䅁䍄䉁䅁䅁杂䅁䅁䅍䅄䅁䅁䅯兴䅣䅁䅯兪䅙䅁䅯全䅕䅁䅕䅁䅁䝁噃欵䭁䝁䝣䅁䉁䅁䅁允䅁䉁䅑祋䉷䅁䅁䅁䵁䅉䅅䅁䑁䅁䅁睁䵁䅁䅁权㕃睂䅁权䩃兂䅁允䅁䅁䅅䅁啁䉁か杒䅁䅁䅁䍄䉁䅁䅁兂䅁䅁䅍䅄䅁䅁䅯杣䅕䅁䅯免䅕䅁䅕䅁䅁䍁噃欵䭁䑁䙉䅁䉁䅁䅁允䅁䅁䅯䅬䅅䅁杷允䅁䅁䅍䅁䑁䅁䅷䅁䭁䱁䡙䅁䭁䥁䙳䅁䉁䅁䅁允䅁䅁䅯睴䅣䅁杷允䅁䅁䅙䅁䑁䅁䅷䅁䭁䱁䡕䅁䭁䝁䝙䅁䭁䥁䙯䅁䙁䅁䅁䅁杂敬䅚权湂杂䅁允䅁䅁䅅䅁啁䩁㕮允䅁䅁䅁䍄䉁䅁䅁兂䅁䅁䅍䅄䅁䅁䅯兴䅣䅁䅯兦䅍䅁䅕䅁䅁䝁噃欵䭁偁䕅䅁䉁䅁䅁允䅁䅁䅕卑穄睇奓吸䴸䅉䅅䅁䙁䅁䅁睁䵁䅁䅁权晄睂䅁权呂睂䅁兂䅁䅁䅁䩙浘䅑䅯杍䅕䅁䅅䅁䉁䅁䅁兂睄㕶獘䤲奧䅑杷允䅁䅁䅙䅁䑁䅁䅷䅁䭁䱁䡕䅁䭁䥁䝙䅁䭁䥁䘰䅁䙁䅁䅁䅁杂敬䅚权湂杂䅁允䅁䅁䅅䅁啁䑁䭨䅁䅁䅁䅁䍄䉁䅁䅁杂䅁䅁䅍䅄䅁䅁䅯儸䅣䅁䅯䅖䅣䅁䅯杣䅣䅁䅕䅁䅁䝁噃欵䭁䑁䙉䅁䉁䅁䅁允䅁䅁䅕伯㥏浡䍖䕇䵁䅉䅅䅁䕁䅁䅁睁䵁䅁䅁权畁兂䅁权癁兂䅁兂䅁䅁䅁䍉汪䅑䅅䅁䉁䅁䅁兂穂灮楨け浓䅑杷允䅁䅁䅍䅁䑁䅁䅷䅁䭁佁䡁䅁䭁䩁䘴䅁䉁䅁䅁允䅁䅁䅣䅁䅁䍁睄䔵䵁䅉䅅䅁䑁䅁䅁睁䵁䅁䅁权㡃睂䅁权硁允䅁允䅁䅁䅅䅁䭁䵁䡁䅁䵁䅉䅅䅁䝁䅁䅁睁䵁䅁䅁权灁兂䅁权扁䅂䅁权䙃兂䅁兂䅁䅁䅁䩙浘䅑䅯杍䅕䅁䅅䅁䉁䅁䅁兂㥁瑃橥䙣礰䅑杷允䅁䅁䅕䅁䑁䅁䅷䅁䭁䑁䙑䅁䭁䑁䙅䅁䙁䅁䅁䅁杁敬䅚权祁兂䅁允䅁䅁䅅䅁䭁䩁䉑䅁䵁䅉䅅䅁䙁䅁䅁睁䵁䅁䅁权佂兂䅁权硁兂䅁兂䅁䅁䅁䩙浘䅑䅯杍䅕䅁䅅䅁䉁䅁䅁兂睄㡰䱚㑎䙫䅑杷允䅁䅁䅕䅁䑁䅁䅷䅁䭁乁䠰䅁䭁䙁䡍䅁䙁䅁䅁䅁杂敬䅚权祁兂䅁允䅁䅁䅅䅁䙁䭁㑡畱㝹桉䅨䍄䉁䅁䅁兂䅁䅁䅍䅄䅁䅁䅯䅕䅕䅁䅯免䅕䅁䅕䅁䅁䍁噃欵䭁䑁䙉䅁䉁䅁䅁允䅁䅁䅯䅬䅅䅁杷允䅁䅁䅍䅁䑁䅁䅷䅁䭁䱁䡷䅁䭁䥁䙳䅁䉁䅁䅁允䅁䅁䅯克䅅䅁杷允䅁䅁䅕䅁䑁䅁䅷䅁䭁䕁䙣䅁䭁䑁䙅䅁䙁䅁䅁䅁䅂敬䅚权祁兂䅁允䅁䅁䅅䅁䭁䩁䉑䅁䵁䅉䅅䅁䑁䅁䅁睁䵁䅁䅁权浄睂䅁权敃兂䅁允䅁䅁䅅䅁䡁䅁䅁䅁杄佱䅒䍄䉁䅁䅁睁䅁䅁䅍䅄䅁䅁䅯杴䅣䅁䅯兩䅕䅁䅅䅁䉁䅁䅁䅆佂呥䄴䅁䅁䅁杷允䅁䅁䅍䅁䑁䅁䅷䅁䭁䵁䡯䅁䭁䩁䘴䅁䉁䅁䅁允䅁䅁䅣䅁䅁䥁坁欵䵁䅉䅅䅁䝁䅁䅁睁䵁䅁䅁权浄睂䅁权啂睂䅁权祂睂䅁兂䅁䅁䅁䩙浘䅑䅯杍䅕䅁䅅䅁䉁䅁䅁兂煂渳䭇煪塑䅑杷允䅁䅁䅍䅁䑁䅁䅷䅁䭁䍁䙫䅁䭁䑁䉅䅁䉁䅁䅁允䅁䅁䅯睫䅕䅁杷允䅁䅁䅕䅁䑁䅁䅷䅁䭁䝁䙣䅁䭁䑁䙅䅁䙁䅁䅁䅁杁敬䅚权祁兂䅁允䅁䅁䅅䅁䭁䩁䉑䅁䵁䅉䅅䅁䝁䅁䅁睁䵁䅁䅁权䩄睂䅁权啂睂䅁权祂睂䅁兂䅁䅁䅁䩙浘䅑䅯杍䅕䅁䅅䅁䉁䅁䅁兂療㥵捂㥰䡅䅑杷允䅁䅁䅑䅁䑁䅁䅷䅁䭁䍁䘴䅁䭁䍁䘸䅁䙁䅁䅁䅁杂敬䅚允䅁䅁䅅䅁䙁䱁䥧䝹佣扑䄵䍄䉁䅁䅁睁䅁䅁䅍䅄䅁䅁䅯䅵䅣䅁䅯睩䅕䅁䅅䅁䉁䅁䅁权㥃睂䅁䍄䉁䅁䅁兂䅁䅁䅍䅄䅁䅁䅯睑䅕䅁䅯免䅕䅁䅕䅁䅁䝁噃欵䭁䑁䙉䅁䉁䅁䅁允䅁䅁䅕桄䵄攰㍍啃䵁䅉䅅䅁䝁䅁䅁睁䵁䅁䅁权療䅂䅁权佃兂䅁兂䅁䅁䅁䩙浘䅑䅯䅉䅁䅁䅯睨䅕䅁䅅䅁䉁䅁䅁兂䭃佳䩆䵖婧兑杷允䅁䅁䅕䅁䑁䅁䅷䅁䭁䕁䙣䅁䭁䑁䙅䅁䙁䅁䅁䅁杁敬䅚权祁兂䅁允䅁䅁䅅䅁䭁䩁䉑䅁䵁䅉䅅䅁䝁䅁䅁睁䵁䅁䅁权ㅃ睂䅁权㝂杂䅁权䵃兂䅁兂䅁䅁䅁䩙浘䅑䅯睚䅙䅁䅅䅁䉁䅁䅁䅆䅁䅁䅁䅁䅁䅁杷允䅁䅁䅕䅁䑁䅁䅷䅁䭁乁䡙䅁䭁䙁䡍䅁䙁䅁䅁䅁杂敬䅚权祁兂䅁允䅁䅁䅅䅁䙁䅁桑捗䕁桌䅆䍄䉁䅁䅁兂䅁䅁䅍䅄䅁䅁䅯䅗䅕䅁䅯免䅕䅁䅕䅁䅁䕁噃欵䭁䑁䙉䅁䉁䅁䅁允䅁䅁䅯䅬䅅䅁杷允䅁䅁䅍䅁䑁䅁䅷䅁䭁佁䠰䅁䭁䩁䘴䅁䉁䅁䅁允䅁䅁䅣䅁䅁䵁䱄䔵䵁䅉䅅䅁䙁䅁䅁睁䵁䅁䅁权婂兂䅁权硁兂䅁兂䅁䅁䅁䩙浘䅑䅯杍䅕䅁䅅䅁䉁䅁䅁兂剄瑉㕶浦䱯䅑杷允䅁䅁䅙䅁䑁䅁䅷䅁䭁䱁䡕䅁䭁䡁䜴䅁䭁䥁䙙䅁䙁䅁䅁䅁杂敬䅚权湂杂䅁允䅁䅁䅅䅁啁䅁䅁䅁䅁䅁䅁䍄䉁䅁䅁杂䅁䅁䅍䅄䅁䅁䅯兴䅣䅁䅯杧䅍䅁䅯䅡䅙䅁䅕䅁䅁䝁噃欵䭁䝁䝣䅁䉁䅁䅁允䅁䉁䅑㡲⽐⼯⼯⼯䴸䅉䅅䅁䝁䅁䅁睁䵁䅁䅁权㕃睂䅁权ぁ杁䅁权䝃兂䅁兂䅁䅁䅁䩙浘䅑䅯睨䅕䅁䅅䅁䉁䅁䅁䅆湂杒䅁䅁䅁䅁杷允䅁䅁䅕䅁䑁䅁䅷䅁䭁䝁䙉䅁䭁䑁䙅䅁䙁䅁䅁䅁䅂敬䅚权祁兂䅁允䅁䅁䅅䅁䭁䩁䉑䅁䵁䅉䅅䅁䝁䅁䅁睁䵁䅁䅁权ㅃ睂䅁权㙂杂䅁权䙃兂䅁兂䅁䅁䅁䩙浘䅑䅯睚䅙䅁䅅䅁䉁䅁䅁䅆穁瘯⼯⼯⼯眯杷允䅁䅁䅙䅁䑁䅁䅷䅁䭁䱁䡕䅁䭁䥁䜰䅁䭁䥁䙧䅁䙁䅁䅁䅁杂敬䅚权湂杂䅁允䅁䅁䅅䅁啁䝁硖允䅁䅁䅁䍄䉁䅁䅁兂䅁䅁䅍䅄䅁䅁䅯䅙䅕䅁䅯免䅕䅁䅕䅁䅁䝁噃欵䭁䑁䙉䅁䉁䅁䅁允䅁䅁䅕祇搯䅊䉢䕉䵁䅉䅅䅁䝁䅁䅁睁䵁䅁䅁权歄睂䅁权啂睂䅁权祂睂䅁兂䅁䅁䅁䩙浘䅑䅯杍䅕䅁䅅䅁䉁䅁䅁兂剂捍昷䵨䭉䅑杷允䅁䅁䅙䅁䑁䅁䅷䅁䭁䝁䔸䅁䭁䉁䕳䅁䭁䥁䘰䅁䙁䅁䅁䅁杂敬䅚权祁兂䅁允䅁䅁䅅䅁䙁䉁䘫ㄶ㑇楘䅨䍄䉁䅁䅁睁䅁䅁䅍䅄䅁䅁䅯杺䅣䅁䅯杮䅕䅁䅅䅁䉁䅁䅁睂䅁䅁䅁䉧浢䅑杷允䅁䅁䅕䅁䑁䅁䅷䅁䭁䡁䙷䅁䭁䑁䙅䅁䙁䅁䅁䅁䅂敬䅚权祁兂䅁允䅁䅁䅅䅁䭁䩁䉑䅁䵁䅉䅅䅁䙁䅁䅁睁䵁䅁䅁权あ兂䅁权硁兂䅁兂䅁䅁䅁䩙浘䅑䅯杍䅕䅁䅅䅁䉁䅁䅁兂橁⼲⭬牡䩷䅑杷允䅁䅁䅕䅁䑁䅁䅷䅁䭁䡁䙑䅁䭁䑁䙅䅁䙁䅁䅁䅁䅂敬䅚权祁兂䅁允䅁䅁䅅䅁䭁䩁䉑䅁䵁䅉䅅䅁䝁䅁䅁睁䵁䅁䅁权ㅃ睂䅁权䅃睁䅁权䭃兂䅁兂䅁䅁䅁䩙浘䅑䅯睚䅙䅁䅅䅁䉁䅁䅁䅆剁杓䅁䅁䅁䅁杷允䅁䅁䅍䅁䑁䅁䅷䅁䭁偁䡁䅁䭁䩁䘴䅁䉁䅁䅁允䅁䅁䅣䅁䅁䥁坁欵䵁䅉䅅䅁䙁䅁䅁睁䵁䅁䅁权摂兂䅁权硁兂䅁兂䅁䅁䅁䩉浘䅑䅯杍䅕䅁䅅䅁䉁䅁䅁权啃允䅁䍄䉁䅁䅁睁䅁䅁䅍䅄䅁䅁䅯典䅣䅁䅯杮䅕䅁䅅䅁䉁䅁䅁睂䅁䅁䅁䥯汌䅑杷允䅁䅁䅕䅁䑁䅁䅷䅁䭁䝁䙣䅁䭁䑁䙅䅁䙁䅁䅁䅁䅂敬䅚权祁兂䅁允䅁䅁䅅䅁䭁䩁䉑䅁䵁䅉䅅䅁䙁䅁䅁睁䵁䅁䅁权㍁兂䅁权硁兂䅁兂䅁䅁䅁䩉浘䅑䅯杍䅕䅁䅅䅁䉁䅁䅁权啃允䅁䍄䉁䅁䅁兂䅁䅁䅍䅄䅁䅁䅯睢䅕䅁䅯免䅕䅁䅕䅁䅁䍁噃欵䭁䑁䙉䅁䉁䅁䅁允䅁䅁䅯䅬䅅䅁杷允䅁䅁䅙䅁䑁䅁䅷䅁䭁䱁䡕䅁䭁䥁䝳䅁䭁䝁䝫䅁䙁䅁䅁䅁杂敬䅚权湂杂䅁允䅁䅁䅅䅁啁䕁䭷䅁䅁䅁䅁䍄䉁䅁䅁杂䅁䅁䅍䅄䅁䅁䅯兴䅣䅁䅯兩䅙䅁䅯兪䅕䅁䅕䅁䅁䝁噃欵䭁䝁䝣䅁䉁䅁䅁允䅁䉁䅑䄲䅷䅁䅁䅁䵁䅉䅅䅁䙁䅁䅁睁䵁䅁䅁权㑂兂䅁权硁兂䅁兂䅁䅁䅁䩙浘䅑䅯杍䅕䅁䅅䅁䉁䅁䅁兂硂児塲㍯佁䅑杷允䅁䅁䅙䅁䑁䅁䅷䅁䭁乁䡕䅁䭁䙁䡑䅁䭁䡁䡉䅁䙁䅁䅁䅁杂敬䅚权祁兂䅁允䅁䅁䅅䅁䙁䵁畺捹䍎割䅚䍄䉁䅁䅁杂䅁䅁䅍䅄䅁䅁䅯兴䅣䅁䅯䅧䅍䅁䅯兪䅕䅁䅕䅁䅁䝁噃欵䭁䝁䝣䅁䉁䅁䅁允䅁䉁䅑䑘䅍䅁䅁䅁䵁䅉䅅䅁䙁䅁䅁睁䵁䅁䅁权婂兂䅁权硁兂䅁兂䅁䅁䅁䩉浘䅑䅯杍䅕䅁䅅䅁䉁䅁䅁权啃允䅁䍄䉁䅁䅁杂䅁䅁䅍䅄䅁䅁䅯兴䅣䅁䅯杧䅍䅁䅯杩䅕䅁䅕䅁䅁䝁噃欵䭁䝁䝣䅁䉁䅁䅁允䅁䉁䅑ㅑ⽌⼯⼯⼯䴸䅉䅅䅁䙁䅁䅁睁䵁䅁䅁权煂兂䅁权硁兂䅁兂䅁䅁䅁䩉浘䅑䅯杍䅕䅁䅅䅁䉁䅁䅁权啃允䅁䍄䉁䅁䅁兂䅁䅁䅍䅄䅁䅁䅯杏䅕䅁䅯免䅕䅁䅕䅁䅁䍁噃欵䭁䑁䙉䅁䉁䅁䅁允䅁䅁䅯䅬䅅䅁杷允䅁䅁䅙䅁䑁䅁䅷䅁䭁䱁䡕䅁䭁䥁䝕䅁䭁䥁䙕䅁䙁䅁䅁䅁杂敬䅚权湂杂䅁允䅁䅁䅅䅁啁䥁潓允䅁䅁䅁䍄䉁䅁䅁兂䅁䅁䅍䅄䅁䅁䅯兦䅕䅁䅯免䅕䅁䅕䅁䅁䍁噃欵䭁䑁䙉䅁䉁䅁䅁允䅁䅁䅯䅬䅅䅁杷允䅁䅁䅕䅁䑁䅁䅷䅁䭁䕁䙣䅁䭁䑁䙅䅁䙁䅁䅁䅁杂敬䅚权祁兂䅁允䅁䅁䅅䅁䙁䥁牘払敧全䅸䍄䉁䅁䅁兂䅁䅁䅍䅄䅁䅁䅯入䅕䅁䅯免䅕䅁䅕䅁䅁䕁噃欵䭁䑁䙉䅁䉁䅁䅁允䅁䅁䅯䅬䅅䅁杷允䅁䅁䅍䅁䑁䅁䅷䅁䭁乁䠰䅁䭁䩁䘴䅁䉁䅁䅁允䅁䅁䅣䅁䅁䥁楄䔵䵁䅉䅅䅁䝁䅁䅁睁䵁䅁䅁权ㅃ睂䅁权䵃杂䅁权乃兂䅁兂䅁䅁䅁䩙浘䅑䅯睚䅙䅁䅅䅁䉁䅁䅁䅆汃克䅁䅁䅁䅁杷允䅁䅁䅕䅁䑁䅁䅷䅁䭁䝁䙅䅁䭁䑁䙅䅁䙁䅁䅁䅁䅂敬䅚权祁兂䅁允䅁䅁䅅䅁䭁䩁䉑䅁䵁䅉䅅䅁䙁䅁䅁睁䵁䅁䅁权䕂兂䅁权硁兂䅁兂䅁䅁䅁䩑浘䅑䅯杍䅕䅁䅅䅁䉁䅁䅁权啃允䅁䍄䉁䅁䅁杂䅁䅁䅍䅄䅁䅁䅯兴䅣䅁䅯共䅣䅁䅯全䅕䅁䅕䅁䅁䝁噃欵䭁䭁䡣䅁䉁䅁䅁允䅁䉁䅑塵䄰䅁䅁䅁䵁䅉䅅䅁䝁䅁䅁睁䵁䅁䅁权㡃睂䅁权扁䅂䅁权䙃兂䅁兂䅁䅁䅁䩙浘䅑䅯杍䅕䅁䅅䅁䉁䅁䅁兂㑃潈牘呕癧䅑杷允䅁䅁䅕䅁䑁䅁䅷䅁䭁䝁䙳䅁䭁䑁䙅䅁䙁䅁䅁䅁䅂敬䅚权祁兂䅁允䅁䅁䅅䅁䭁䩁䉑䅁䵁䅉䅅䅁䝁䅁䅁睁䵁䅁䅁权ㅃ睂䅁权浂杂䅁权䥃兂䅁兂䅁䅁䅁䩙浘䅑䅯睚䅙䅁䅅䅁䉁䅁䅁䅆睂睙䅉䅁䅁䅁杷允䅁䅁䅕䅁䑁䅁䅷䅁䭁䡁䙙䅁䭁䑁䙅䅁䙁䅁䅁䅁杂敬䅚权祁兂䅁允䅁䅁䅅䅁䙁䱁䵍慣䱹⼲⽯䍄䉁䅁䅁杂䅁䅁䅍䅄䅁䅁䅯兴䅣䅁䅯入䅙䅁䅯兡䅙䅁䅕䅁䅁䝁噃欵䭁䝁䝣䅁䉁䅁䅁允䅁䉁䅑⭲⽢⼯⼯⼯䴸䅉䅅䅁䑁䅁䅁睁䵁䅁䅁权汄睂䅁权敃兂䅁允䅁䅁䅅䅁䡁䅁䅁䅁杄佱䅒䍄䉁䅁䅁兂䅁䅁䅍䅄䅁䅁䅯儵䅣䅁䅯睕䅣䅁䅕䅁䅁䝁噃欵䭁䑁䙉䅁䉁䅁䅁允䅁䅁䅕牘䩰䅄牌ぅ䵁䅉䅅䅁䙁䅁䅁睁䵁䅁䅁权䅃兂䅁权硁兂䅁兂䅁䅁䅁䩑浘䅑䅯杍䅕䅁䅅䅁䉁䅁䅁权啃允䅁䍄䉁䅁䅁兂䅁䅁䅍䅄䅁䅁䅯兴䅣䅁䅯杪䅕䅁䅕䅁䅁䅁噃欵䭁䭁䡣䅁䉁䅁䅁允䅁䅁䅕祦㥧獮关䕔䵅䅉䅅䅁䝁䅁䅁睁䵁䅁䅁权㉃睂䅁权扁䅂䅁权䭃兂䅁兂䅁䅁䅁䩙浘䅑䅯杍䅕䅁䅅䅁䉁䅁䅁兂䅁䅁䅁䅁潁䅑杷允䅁䅁䅕䅁䑁䅁䅷䅁䭁䙁䙕䅁䭁䑁䙅䅁䙁䅁䅁䅁䅂敬䅚权祁兂䅁允䅁䅁䅅䅁䭁䩁䉑䅁䵁䅉䅅䅁䑁䅁䅁睁䵁䅁䅁权奄睂䅁权敃兂䅁允䅁䅁䅅䅁䡁䅁䅁䅁杄⭨䅒䍄䉁䅁䅁兂䅁䅁䅍䅄䅁䅁䅯兴䅣䅁䅯睡䅙䅁䅯兡䅙䅁䅕䅁䅁䝁噃欵䉁䅁䅁允䅁䅁䅯杢䅙䅁杷允䅁䅁䅙䅁䑁䅁䅷䅁䭁䱁䡕䅁䭁䥁䝫䅁䭁䥁䙕䅁䙁䅁䅁䅁杂敬䅚权湂杂䅁允䅁䅁䅅䅁啁乁汍䅁䅁䅁䅁䍄䉁䅁䅁杂䅁䅁䅍䅄䅁䅁䅯兴䅣䅁䅯䅥䅙䅁䅯䅪䅕䅁䅕䅁䅁䝁噃欵䭁䝁䝣䅁䉁䅁䅁允䅁䉁䅑⽘⽘⼯⼯⼯䴸䅉䅅䅁䝁䅁䅁睁䵁䅁䅁权ㅃ睂䅁权穂杂䅁权䭃兂䅁兂䅁䅁䅁䩙浘䅑䅯睚䅙䅁䅅䅁䉁䅁䅁䅆䍃光䅅䅁䅁䅁杷允䅁䅁䅕䅁䑁䅁䅷䅁䭁䡁䙳䅁䭁䑁䙅䅁䙁䅁䅁䅁杂敬䅚权祁兂䅁允䅁䅁䅅䅁䙁䝁汄䌰扌剏䅴䍄䉁䅁䅁杂䅁䅁䅍䅄䅁䅁䅯兴䅣䅁䅯睩䅙䅁䅯兪䅕䅁䅕䅁䅁䝁噃欵䭁䝁䝣䅁䉁䅁䅁允䅁䉁䅑杮䄴䅁䅁䅁䵁䅉䅅䅁䑁䅁䅁睁䵁䅁䅁权晄睂䅁权敃兂䅁允䅁䅁䅅䅁䡁䅁䅁䅁杄敥䅖䍄䉁䅁䅁兂䅁䅁䅍䅄䅁䅁䅯睢䅕䅁䅯免䅕䅁䅕䅁䅁䕁噃欵䭁䑁䙉䅁䉁䅁䅁允䅁䅁䅯䅬䅅䅁杷允䅁䅁䅍䅁䑁䅁䅷䅁䭁佁䡫䅁䭁䩁䘴䅁䉁䅁䅁允䅁䅁䅣䅁䅁佁睁欵䵁䅉䅅䅁䙁䅁䅁睁䵁䅁䅁权䱄睂䅁权呂睂䅁兂䅁䅁䅁䩙浘䅑䅯杍䅕䅁䅅䅁䉁䅁䅁兂䱂瑁啔湳剕䅑杷允䅁䅁䅕䅁䑁䅁䅷䅁䭁偁䡁䅁䭁䙁䡍䅁䙁䅁䅁䅁杂敬䅚权祁兂䅁允䅁䅁䅅䅁䙁䕁捪⭙䑬砱䅤䍄䉁䅁䅁睁䅁䅁䅍䅄䅁䅁䅯朶䅣䅁䅯杮䅕䅁䅅䅁䉁䅁䅁睂䅁䅁䅁乷橄䅑杷允䅁䅁䅑䅁䑁䅁䅷䅁䭁䍁䘴䅁䭁䍁䘸䅁䙁䅁䅁䅁杂佄䅚允䅁䅁䅅䅁䙁䭁汖䍌挱牅䅆䍄䉁䅁䅁杂䅁䅁䅍䅄䅁䅁䅯兴䅣䅁䅯睤䅙䅁䅯兡䅙䅁䅕䅁䅁䝁噃欵䭁䝁䝣䅁䉁䅁䅁允䅁䉁䅑⼫⽢⼯⼯⼯䴸䅉䅅䅁䝁䅁䅁睁䵁䅁䅁权灁兂䅁权癁杁䅁权䝃兂䅁兂䅁䅁䅁䩙浘䅑䅯睨䅕䅁䅅䅁䉁䅁䅁䅆汃睇䅁䅁䅁䅁杷允䅁䅁䅙䅁䑁䅁䅷䅁䭁䱁䡕䅁䭁䥁䝫䅁䭁䝁䝫䅁䙁䅁䅁䅁杂敬䅚权湂杂䅁允䅁䅁䅅䅁啁䵁䭅䅁䅁䅁䅁䍄䉁䅁䅁䅂䅁䅁䅍䅄䅁䅁䅯杌䅕䅁䅯睌䅕䅁䅕䅁䅁䥁㙄䔵䉁䅁䅁允䅁䅁䅕乍污䅃㡔歯䵁䅉䅅䅁䙁䅁䅁睁䵁䅁䅁权剄睂䅁权呂睂䅁兂䅁䅁䅁䩙浘䅑䅯杍䅕䅁䅅䅁䉁䅁䅁兂䱂瑁啔湳剕䅑杷允䅁䅁䅕䅁䑁䅁䅷䅁䭁䝁䙯䅁䭁䑁䙅䅁䙁䅁䅁䅁䅂敬䅚权祁兂䅁允䅁䅁䅅䅁䭁䩁䉑䅁䵁䅉䅅䅁䙁䅁䅁睁䵁䅁䅁权㡃睂䅁权㥂睁䅁兂䅁䅁䅁䩙浘䅑䅯儸䅑䅁䅅䅁䉁䅁䅁兂摂䕚橲圲硈睐杷允䅁䅁䅕䅁䑁䅁䅷䅁䭁䡁䙳䅁䭁䑁䙅䅁䙁䅁䅁䅁杁敬䅚权祁兂䅁允䅁䅁䅅䅁䭁䩁䉑䅁䵁䅉䅅䅁䙁䅁䅁睁䵁䅁䅁权硂兂䅁权硁兂䅁兂䅁䅁䅁䩑浘䅑䅯杍䅕䅁䅅䅁䉁䅁䅁权啃允䅁䍄䉁䅁䅁兂䅁䅁䅍䅄䅁䅁䅯来䅕䅁䅯免䅕䅁䅕䅁䅁䍁噃欵䭁䑁䙉䅁䉁䅁䅁允䅁䅁䅯䅬䅅䅁杷允䅁䅁䅑䅁䑁䅁䅷䅁䭁䍁䘴䅁䭁䍁䘸䅁䙁䅁䅁䅁䅄敖䅖允䅁䅁䅅䅁䙁䙁䩔卙扂慫䅚䍄䉁䅁䅁兂䅁䅁䅍䅄䅁䅁䅯村䅕䅁䅯免䅕䅁䅕䅁䅁䍁噃欵䭁䑁䙉䅁䉁䅁䅁允䅁䅁䅯䅬䅅䅁杷允䅁䅁䅕䅁䑁䅁䅷䅁䭁䑁䙙䅁䭁䑁䙅䅁䙁䅁䅁䅁䅂敬䅚权祁兂䅁允䅁䅁䅅䅁䭁䩁䉑䅁䵁䅉䅅䅁䙁䅁䅁睁䵁䅁䅁权獂兂䅁权硁兂䅁兂䅁䅁䅁䩉浘䅑䅯杍䅕䅁䅅䅁䉁䅁䅁权啃允䅁䍄䉁䅁䅁杂䅁䅁䅍䅄䅁䅁䅯兴䅣䅁䅯杤䅙䅁䅯䅩䅕䅁䅕䅁䅁䝁噃欵䭁䝁䝣䅁䉁䅁䅁允䅁䉁䅑䅁䅁䅁䅁䅁䵁䅉䅅䅁䝁䅁䅁睁䵁䅁䅁权ㅃ睂䅁权㥂杂䅁权䙃兂䅁兂䅁䅁䅁䩙浘䅑䅯睚䅙䅁䅅䅁䉁䅁䅁䅆摃瘷⼯⼯⼯眯杷允䅁䅁䅕䅁䑁䅁䅷䅁䭁䥁䙁䅁䭁䑁䙅䅁䙁䅁䅁䅁杁敬䅚权祁兂䅁允䅁䅁䅅䅁䭁䩁䉑䅁䵁䅉䅅䅁䙁䅁䅁睁䵁䅁䅁权灁兂䅁权㥂睁䅁兂䅁䅁䅁䩙浘䅑䅯儸䅑䅁䅅䅁䉁䅁䅁兂瑁卢䨱噡㉦睐杷允䅁䅁䅙䅁䑁䅁䅷䅁䭁䱁䡕䅁䭁䥁䝑䅁䭁䥁䙷䅁䙁䅁䅁䅁杂敬䅚权湂杂䅁允䅁䅁䅅䅁啁乁块允䅁䅁䅁䍄䉁䅁䅁兂䅁䅁䅍䅄䅁䅁䅯杒䅕䅁䅯免䅕䅁䅕䅁䅁䕁噃欵䭁䑁䙉䅁䉁䅁䅁允䅁䅁䅯䅬䅅䅁杷允䅁䅁䅕䅁䑁䅁䅷䅁䭁䡁䙫䅁䭁䑁䙅䅁䙁䅁䅁䅁杁敬䅚权祁兂䅁允䅁䅁䅅䅁䭁䩁䉑䅁䵁䅉䅅䅁䙁䅁䅁睁䵁䅁䅁权楄睂䅁权呂睂䅁兂䅁䅁䅁䩙浘䅑䅯杍䅕䅁䅅䅁䉁䅁䅁兂䕁噉䅮䍂刴䅑杷允䅁䅁䅕䅁䑁䅁䅷䅁䭁䑁䙍䅁䭁䑁䙅䅁䙁䅁䅁䅁杁敬䅚权祁兂䅁允䅁䅁䅅䅁䭁䩁䉑䅁䵁䅉䅅䅁䝁䅁䅁睁䵁䅁䅁权ㅃ睂䅁权扁䅂䅁权䥃兂䅁兂䅁䅁䅁䩙浘䅑䅯杍䅕䅁䅅䅁䉁䅁䅁兂桄桥畓㙒硅䅑杷允䅁䅁䅍䅁䑁䅁䅷䅁䭁乁䡣䅁䭁䩁䘴䅁䉁䅁䅁允䅁䅁䅣䅁䅁佁䡃䔵䵁䅉䅅䅁䑁䅁䅁睁䵁䅁䅁权楄睂䅁权敃兂䅁允䅁䅁䅅䅁䡁䅁䅁䅁䅃畆䅚䍄䉁䅁䅁睁䅁䅁䅍䅄䅁䅁䅯儴䅣䅁䅯杮䅕䅁䅅䅁䉁䅁䅁睂䅁䅁䅁䉧浢䅑杷允䅁䅁䅍䅁䑁䅁䅷䅁䭁䵁䡷䅁䭁䩁䘴䅁䉁䅁䅁允䅁䅁䅣䅁䅁䭁睄䔵䵁䅉䅅䅁䝁䅁䅁睁䵁䅁䅁权ㅃ睂䅁权㝂杂䅁权䥃兂䅁兂䅁䅁䅁䩙浘䅑䅯睚䅙䅁䅅䅁䉁䅁䅁䅆䅁䅁䅁䅁䅁䅁杷允䅁䅁䅍䅁䑁䅁䅷䅁䭁乁䡍䅁䭁䩁䘴䅁䉁䅁䅁允䅁䅁䅣䅁䅁䥁坁欵䵁䅉䅅䅁䙁䅁䅁睁䵁䅁䅁权佂兂䅁权硁兂䅁兂䅁䅁䅁䩑浘䅑䅯杍䅕䅁䅅䅁䉁䅁䅁权啃允䅁䍄䉁䅁䅁睁䅁䅁䅍䅄䅁䅁䅯兺䅣䅁䅯杮䅕䅁䅅䅁䉁䅁䅁睂䅁䅁䅁䉧浢䅑杷允䅁䅁䅕䅁䑁䅁䅷䅁䭁䕁䙅䅁䭁䑁䙅䅁䙁䅁䅁䅁䅂敬䅚权祁兂䅁允䅁䅁䅅䅁䭁䩁䉑䅁䵁䅉䅅䅁䙁䅁䅁睁䵁䅁䅁权卂兂䅁权硁兂䅁兂䅁䅁䅁䩑浘䅑䅯杍䅕䅁䅅䅁䉁䅁䅁权啃允䅁䍄䉁䅁䅁杂䅁䅁䅍䅄䅁䅁䅯兴䅣䅁䅯杦䅍䅁䅯兡䅙䅁䅕䅁䅁䝁噃欵䭁䝁䝣䅁䉁䅁䅁允䅁䉁䅑睔䅧䅁䅁䅁䵁䅉䅅䅁䙁䅁䅁睁䵁䅁䅁权⽂兂䅁权硁兂䅁兂䅁䅁䅁䩑浘䅑䅯杍䅕䅁䅅䅁䉁䅁䅁权啃允䅁䍄䉁䅁䅁杂䅁䅁䅍䅄䅁䅁䅯兴䅣䅁䅯杚䅙䅁䅯全䅕䅁䅕䅁䅁䝁噃欵䭁䝁䝣䅁䉁䅁䅁允䅁䉁䅑晶䍙䅁䅁䅁䵁䅉䅅䅁䝁䅁䅁睁䵁䅁䅁权卄睂䅁权啂睂䅁权祂睂䅁兂䅁䅁䅁䩙浘䅑䅯杍䅕䅁䅅䅁䉁䅁䅁兂权硎灗䩍剙䅑杷允䅁䅁䅕䅁䑁䅁䅷䅁䭁䑁䙫䅁䭁䑁䙅䅁䙁䅁䅁䅁杁敬䅚权祁兂䅁允䅁䅁䅅䅁䭁䩁䉑䅁䵁䅉䅅䅁䑁䅁䅁睁䵁䅁䅁权坄睂䅁权敃兂䅁允䅁䅁䅅䅁䡁䅁䅁䅁杄位䅚䍄䉁䅁䅁兂䅁䅁䅍䅄䅁䅁䅯兤䅕䅁䅯免䅕䅁䅕䅁䅁䕁噃欵䭁䑁䙉䅁䉁䅁䅁允䅁䅁䅯䅬䅅䅁杷允䅁䅁䅍䅁䑁䅁䅷䅁䭁䵁䡫䅁䭁䩁䘴䅁䉁䅁䅁允䅁䅁䅣䅁䅁䵁剂䔵䵁䅉䅅䅁䙁䅁䅁睁䵁䅁䅁权楂兂䅁权硁兂䅁兂䅁䅁䅁䩉浘䅑䅯杍䅕䅁䅅䅁䉁䅁䅁权啃允䅁䍄䉁䅁䅁睁䅁䅁䅍䅄䅁䅁䅯䄶䅣䅁䅯杮䅕䅁䅅䅁䉁䅁䅁睂䅁䅁䅁䤴橈䅑杷允䅁䅁䅍䅁䑁䅁䅷䅁䭁</t>
  </si>
  <si>
    <t>䵁䡧䅁䭁䩁䘴䅁䉁䅁䅁允䅁䅁䅣䅁䅁䅁敃唵䵁䅉䅅䅁䝁䅁䅁睁䵁䅁䅁权ㅃ睂䅁权㥂杂䅁权乃兂䅁兂䅁䅁䅁䩙浘䅑䅯睚䅙䅁䅅䅁䉁䅁䅁䅆湃瘯⼯⼯⼯眯杷允䅁䅁䅍䅁䑁䅁䅷䅁䭁䵁䡑䅁䭁䩁䘴䅁䉁䅁䅁允䅁䅁䅣䅁䅁䭁䍃唵䵁䅉䅅䅁䙁䅁䅁睁䵁䅁䅁权㉂兂䅁权硁兂䅁兂䅁䅁䅁䩉浘䅑䅯杍䅕䅁䅅䅁䉁䅁䅁权啃允䅁䍄䉁䅁䅁杂䅁䅁䅍䅄䅁䅁䅯䅵䅣䅁䅯睌䅉䅁䅯杨䅕䅁䅕䅁䅁䝁噃欵䭁䥁䙣䅁䉁䅁䅁允䅁䉁䅑牶䉙䅁䅁䅁䵁䅉䅅䅁䑁䅁䅁睁䵁䅁䅁权湄睂䅁权敃兂䅁允䅁䅁䅅䅁䡁䅁䅁䅁䅃畆䅚䍄䉁䅁䅁睁䅁䅁䅍䅄䅁䅁䅯睸䅣䅁䅯杮䅕䅁䅅䅁䉁䅁䅁睂䅁䅁䅁䵁橄䅑杷允䅁䅁䅍䅁䑁䅁䅷䅁䭁佁䡳䅁䭁䩁䘴䅁䉁䅁䅁允䅁䅁䅣䅁䅁䥁杁䔵䵁䅉䅅䅁䑁䅁䅁睁䵁䅁䅁权畄睂䅁权敃兂䅁允䅁䅁䅅䅁䡁䅁䅁䅁䅄⭹䅒䍄䉁䅁䅁睁䅁䅁䅍䅄䅁䅁䅯眷䅣䅁䅯杮䅕䅁䅅䅁䉁䅁䅁睂䅁䅁䅁偉歄䅑杷允䅁䅁䅕䅁䑁䅁䅷䅁䭁䑁䙙䅁䭁䑁䙅䅁䙁䅁䅁䅁杁敬䅚权祁兂䅁允䅁䅁䅅䅁䭁䩁䉑䅁䵁䅉䅅䅁䙁䅁䅁睁䵁䅁䅁权求兂䅁权硁兂䅁兂䅁䅁䅁䩙浘䅑䅯杍䅕䅁䅅䅁䉁䅁䅁兂卂䉵䘶㤶癅䅑杷允䅁䅁䅙䅁䑁䅁䅷䅁䭁䱁䡕䅁䭁䥁䑉䅁䭁䥁䙧䅁䙁䅁䅁䅁杂敬䅚权湂杂䅁允䅁䅁䅅䅁啁乁䑫⼯⼯⼯⼯䍄䉁䅁䅁兂䅁䅁䅍䅄䅁䅁䅯睖䅕䅁䅯免䅕䅁䅕䅁䅁䕁噃欵䭁䑁䙉䅁䉁䅁䅁允䅁䅁䅯䅬䅅䅁杷允䅁䅁䅕䅁䑁䅁䅷䅁䭁䑁䙍䅁䭁䑁䙅䅁䙁䅁䅁䅁杂敬䅚权祁兂䅁允䅁䅁䅅䅁䙁䙁㑋潈牘兕䅸䍄䉁䅁䅁睁䅁䅁䅍䅄䅁䅁䅯朸䅣䅁䅯杮䅕䅁䅅䅁䉁䅁䅁睂䅁䅁䅁䉧浢䅑杷允䅁䅁䅍䅁䑁䅁䅷䅁䭁偁䡍䅁䭁䩁䘴䅁䉁䅁䅁允䅁䅁䅣䅁䅁佁潃䔵䵁䅉䅅䅁䙁䅁䅁睁䵁䅁䅁权⭂兂䅁权硁兂䅁兂䅁䅁䅁䩉浘䅑䅯杍䅕䅁䅅䅁䉁䅁䅁权啃允䅁䍄䉁䅁䅁杂䅁䅁䅍䅄䅁䅁䅯兴䅣䅁䅯杦䅍䅁䅯兪䅕䅁䅕䅁䅁䝁噃欵䭁䝁䝣䅁䉁䅁䅁允䅁䉁䅑兮䅫䅁䅁䅁䵁䅉䅅䅁䡁䅁䅁睁䵁䅁䅁权ㅃ睂䅁权橄睁䅁权歄睁䅁权ㅄ䅂䅁权䕁䅁䅋权㉄䅂䅁允䅁䅁䅅䅁䙁䡁猫⽕発橸䅊䍄䉁䅁䅁兂䅁䅁䅍䅄䅁䅁䅯䅚䅕䅁䅯免䅕䅁䅕䅁䅁䍁噃欵䭁䑁䙉䅁䉁䅁䅁允䅁䅁䅯䅬䅅䅁杷允䅁䅁䅕䅁䑁䅁䅷䅁䭁䡁䙧䅁䭁䑁䙅䅁䙁䅁䅁䅁杁敬䅚权祁兂䅁允䅁䅁䅅䅁䭁䩁䉑䅁䵁䅉䅅䅁䙁䅁䅁睁䵁䅁䅁权䑃兂䅁权硁兂䅁兂䅁䅁䅁䩑浘䅑䅯杍䅕䅁䅅䅁䉁䅁䅁权啃允䅁䍄䉁䅁䅁兂䅁䅁䅍䅄䅁䅁䅯䅎䅕䅁䅯免䅕䅁䅕䅁䅁䝁噃欵䭁䑁䙉䅁䉁䅁䅁允䅁䅁䅕乪潴䝁䈸樹䴸䅉䅅䅁䙁䅁䅁睁䵁䅁䅁权㡄睂䅁权呂睂䅁兂䅁䅁䅁䩙浘䅑䅯杍䅕䅁䅅䅁䉁䅁䅁权啃允䅁䍄䉁䅁䅁杂䅁䅁䅍䅄䅁䅁䅯兴䅣䅁䅯督䅙䅁䅯兡䅙䅁䅕䅁䅁䝁噃欵䭁䝁䝣䅁䉁䅁䅁允䅁䉁䅑䵃䅷䅁䅁䅁䵁䅉䅅䅁䙁䅁䅁睁䵁䅁䅁权䍃兂䅁权硁兂䅁兂䅁䅁䅁䩉浘䅑䅯杍䅕䅁䅅䅁䉁䅁䅁权啃允䅁䍄䉁䅁䅁杂䅁䅁䅍䅄䅁䅁䅯兴䅣䅁䅯兤䅙䅁䅯䅪䅕䅁䅕䅁䅁䝁噃欵䭁䝁䝣䅁䉁䅁䅁允䅁䉁䅑䅁䅁䅁䅁䅁䵁䅉䅅䅁䝁䅁䅁睁䵁䅁䅁权ㅃ睂䅁权䙃杂䅁权䵃兂䅁兂䅁䅁䅁䩙浘䅑䅯睚䅙䅁䅅䅁䉁䅁䅁䅆杁朴䅁䅁䅁䅁杷允䅁䅁䅕䅁䑁䅁䅷䅁䭁䝁䔸䅁䭁䡁䐰䅁䙁䅁䅁䅁杂敬䅚权硄䅂䅁允䅁䅁䅅䅁䙁䭁汳噬扇晦⽳䍄䉁䅁䅁杂䅁䅁䅍䅄䅁䅁䅯兵䅣䅁䅯杪䅕䅁䅕䅁䅁䝁噃欵䭁䍁䅁䅁䭁䥁䙣䅁䉁䅁䅁允䅁䅁䅕積積㑅㥈ご䵅䅉䅅䅁䙁䅁䅁睁䵁䅁䅁权䑂兂䅁权硁兂䅁兂䅁䅁䅁䩉浘䅑䅯杍䅕䅁䅅䅁䉁䅁䅁权啃允䅁䍄䉁䅁䅁杂䅁䅁䅍䅄䅁䅁䅯兵䅣䅁䅯睇䅑䅁䅯全䅕䅁䅕䅁䅁䝁噃欵䭁䑁䙉䅁䉁䅁䅁允䅁䅁䅕䵮村䡳䥌䕍䵁䅉䅅䅁䙁䅁䅁睁䵁䅁䅁权睁兂䅁权硁兂䅁兂䅁䅁䅁䩉浘䅑䅯杍䅕䅁䅅䅁䉁䅁䅁权啃允䅁䍄䉁䅁䅁兂䅁䅁䅍䅄䅁䅁䅯杘䅕䅁䅯免䅕䅁䅕䅁䅁䕁噃欵䭁䑁䙉䅁䉁䅁䅁允䅁䅁䅯䅬䅅䅁杷允䅁䅁䅕䅁䑁䅁䅷䅁䭁䙁䙅䅁䭁䑁䙅䅁䙁䅁䅁䅁䅂敬䅚权祁兂䅁允䅁䅁䅅䅁䭁䩁䉑䅁䵁䅉䅅䅁䙁䅁䅁睁䵁䅁䅁权㍂兂䅁权硁兂䅁兂䅁䅁䅁䩑浘䅑䅯杍䅕䅁䅅䅁䉁䅁䅁权啃允䅁䍄䉁䅁䅁兂䅁䅁䅍䅄䅁䅁䅯杘䅕䅁䅯免䅕䅁䅕䅁䅁䝁噃欵䭁䑁䙉䅁䉁䅁䅁允䅁䅁䅕潂噇㑑獴䕄䵁䅉䅅䅁䙁䅁䅁睁䵁䅁䅁权䵂兂䅁权硁兂䅁兂䅁䅁䅁䩉浘䅑䅯杍䅕䅁䅅䅁䉁䅁䅁权啃允䅁䍄䉁䅁䅁兂䅁䅁䅍䅄䅁䅁䅯兺䅣䅁䅯睕䅣䅁䅕䅁䅁䝁噃欵䭁䑁䙉䅁䉁䅁䅁允䅁䅁䅕潸䑕噉杭啅䵁䅉䅅䅁䝁䅁䅁睁䵁䅁䅁权ㅃ睂䅁权䕃睁䅁权潂杂䅁兂䅁䅁䅁䩙浘䅑䅯睚䅙䅁䅅䅁䉁䅁䅁䅆䅁䅁䅁䅁䅁䅁杷允䅁䅁䅑䅁䑁䅁䅷䅁䭁䍁䘴䅁䭁䍁䘸䅁䙁䅁䅁䅁杁敳䅖允䅁䅁䅅䅁䙁䭁睑歷吰䱙䅆䍄䉁䅁䅁兂䅁䅁䅍䅄䅁䅁䅯䅗䅕䅁䅯免䅕䅁䅕䅁䅁䝁噃欵䭁䑁䙉䅁䉁䅁䅁允䅁䅁䅕䘯⽉祢卯䕄䵁䅉䅅䅁䙁䅁䅁睁䵁䅁䅁权敄睂䅁权呂睂䅁兂䅁䅁䅁䩙浘䅑䅯杍䅕䅁䅅䅁䉁䅁䅁兂㡃填歮㉄奙䅑杷允䅁䅁䅕䅁䑁䅁䅷䅁䭁䕁䙕䅁䭁䑁䙅䅁䙁䅁䅁䅁䅂敬䅚权祁兂䅁允䅁䅁䅅䅁䭁䩁䉑䅁䵁䅉䅅䅁䙁䅁䅁睁䵁䅁䅁权ㅃ睂䅁权牂杂䅁权乃兂䅁兂䅁䅁䅁䩙浘䅑䅅䅁䉁䅁䅁权睂杂䅁䍄䉁䅁䅁兂䅁䅁䅍䅄䅁䅁䅯兢䅕䅁䅯免䅕䅁䅕䅁䅁䕁噃欵䭁䑁䙉䅁䉁䅁䅁允䅁䅁䅯䅬䅅䅁杷允䅁䅁䅙䅁䑁䅁䅷䅁䭁䱁䡫䅁䭁䉁䕳䅁䭁䥁䘰䅁䙁䅁䅁䅁杂敬䅚权祁兂䅁允䅁䅁䅅䅁䙁䵁䭈啯㉗積䅂䍄䉁䅁䅁杂䅁䅁䅍䅄䅁䅁䅯杴䅣䅁䅯杪䅕䅁䅕䅁䅁䝁噃欵䭁䍁䅁䅁䭁䥁䙣䅁䉁䅁䅁允䅁䅁䅕唫杰䍇䭈䕖䵅䅉䅅䅁䙁䅁䅁睁䵁䅁䅁权扂兂䅁权硁兂䅁兂䅁䅁䅁䩑浘䅑䅯杍䅕䅁䅅䅁䉁䅁䅁权啃允䅁䍄䉁䅁䅁兂䅁䅁䅍䅄䅁䅁䅯睎䅕䅁䅯免䅕䅁䅕䅁䅁䝁噃欵䭁䑁䙉䅁䉁䅁䅁允䅁䅁䅕㑈牘払⭧䕑䵁䅉䅅䅁䙁䅁䅁睁䵁䅁䅁权桂兂䅁权硁兂䅁兂䅁䅁䅁䩉浘䅑䅯杍䅕䅁䅅䅁䉁䅁䅁权啃允䅁䍄䉁䅁䅁杂䅁䅁䅍䅄䅁䅁䅯䄴䅣䅁䅯䅖䅣䅁䅯杣䅣䅁䅕䅁䅁䝁噃欵䭁䑁䙉䅁䉁䅁䅁允䅁䅁䅕卩㙒捇卖商䵁䅉䅅䅁䙁䅁䅁睁䵁䅁䅁权橂兂䅁权硁兂䅁兂䅁䅁䅁䩑浘䅑䅯杍䅕䅁䅅䅁䉁䅁䅁权啃允䅁䍄䉁䅁䅁兂䅁䅁䅍䅄䅁䅁䅯杢䅕䅁䅯免䅕䅁䅕䅁䅁䍁噃欵䭁䑁䙉䅁䉁䅁䅁允䅁䅁䅯䅬䅅䅁杷允䅁䅁䅕䅁䑁䅁䅷䅁䭁䑁䙫䅁䭁䑁䙅䅁䙁䅁䅁䅁杂敬䅚权祁兂䅁允䅁䅁䅅䅁䙁䩁瑈䑦ㄸ桘䅴䍄䉁䅁䅁兂䅁䅁䅍䅄䅁䅁䅯䅣䅕䅁䅯免䅕䅁䅕䅁䅁䕁噃欵䭁䑁䙉䅁䉁䅁䅁允䅁䅁䅯䅬䅅䅁杷允䅁䅁䅕䅁䑁䅁䅷䅁䭁䑁䙑䅁䭁䑁䙅䅁䙁䅁䅁䅁䅂敬䅚权祁兂䅁允䅁䅁䅅䅁䭁䩁䉑䅁䵁䅉䅅䅁䙁䅁䅁睁䵁䅁䅁权煂兂䅁权硁兂䅁兂䅁䅁䅁䩙浘䅑䅯杍䅕䅁䅅䅁䉁䅁䅁兂瑄卭䉕浡割睐杷允䅁䅁䅕䅁䑁䅁䅷䅁䭁䕁䙯䅁䭁䑁䙅䅁䙁䅁䅁䅁䅂敬䅚权祁兂䅁允䅁䅁䅅䅁䭁䩁䉑䅁䵁䅉䅅䅁䝁䅁䅁睁䵁䅁䅁权ㅃ睂䅁权穂杂䅁权䥃兂䅁兂䅁䅁䅁䩙浘䅑䅯睚䅙䅁䅅䅁䉁䅁䅁䅆塁睖䅅䅁䅁䅁杷允䅁䅁䅕䅁䑁䅁䅷䅁䭁䑁䙍䅁䭁䑁䙅䅁䙁䅁䅁䅁䅂敬䅚权祁兂䅁允䅁䅁䅅䅁䭁䩁䉑䅁䵁䅉䅅䅁䝁䅁䅁睁䵁䅁䅁权ㅃ睂䅁权䍃睁䅁权乃兂䅁兂䅁䅁䅁䩙浘䅑䅯睚䅙䅁䅅䅁䉁䅁䅁䅆祃癯⼯⼯⼯眯杷允䅁䅁䅕䅁䑁䅁䅷䅁䭁䕁䙯䅁䭁䑁䙅䅁䙁䅁䅁䅁杁敬䅚权祁兂䅁允䅁䅁䅅䅁䭁䩁䉑䅁䵁䅉䅅䅁䙁䅁䅁睁䵁䅁䅁权䵂兂䅁权硁兂䅁兂䅁䅁䅁䩑浘䅑䅯杍䅕䅁䅅䅁䉁䅁䅁权啃允䅁䍄䉁䅁䅁兂䅁䅁䅍䅄䅁䅁䅯督䅕䅁䅯免䅕䅁䅕䅁䅁䝁噃欵䭁䑁䙉䅁䉁䅁䅁允䅁䅁䅕浗㝑〳丸䕆䵁䅉䅅䅁䙁䅁䅁睁䵁䅁䅁权䝂兂䅁权硁兂䅁兂䅁䅁䅁䩉浘䅑䅯杍䅕䅁䅅䅁䉁䅁䅁权啃允䅁䍄䉁䅁䅁杂䅁䅁䅍䅄䅁䅁䅯䅶䅣䅁䅯睇䅑䅁䅯䅩䅕䅁䅕䅁䅁䝁噃欵䭁䑁䙉䅁䉁䅁䅁允䅁䅁䅕畮渫歸塳䕏䵁䅉䅅䅁䝁䅁䅁睁䵁䅁䅁权ㅃ睂䅁权あ杂䅁权䭃兂䅁兂䅁䅁䅁䩙浘䅑䅯睚䅙䅁䅅䅁䉁䅁䅁䅆㡂睂䅉䅁䅁䅁杷允䅁䅁䅕䅁䑁䅁䅷䅁䭁䕁䙫䅁䭁䑁䙅䅁䙁䅁䅁䅁杁敬䅚权祁兂䅁允䅁䅁䅅䅁䭁䩁䉑䅁䵁䅉䅅䅁䙁䅁䅁睁䵁䅁䅁权䑂兂䅁权硁兂䅁兂䅁䅁䅁䩑浘䅑䅯杍䅕䅁䅅䅁䉁䅁䅁权啃允䅁䍄䉁䅁䅁兂䅁䅁䅍䅄䅁䅁䅯杚䅕䅁䅯免䅕䅁䅕䅁䅁䝁噃欵䭁䑁䙉䅁䉁䅁䅁允䅁䅁䅕場啯歲桦歅䵁䅉䅅䅁䝁䅁䅁睁䵁䅁䅁权ㅃ睂䅁权牂杂䅁权䙃兂䅁兂䅁䅁䅁䩙浘䅑䅯杯䅣䅁䅅䅁䉁䅁䅁权㥄睂䅁䍄䉁䅁䅁兂䅁䅁䅍䅄䅁䅁䅯䅑䅕䅁䅯免䅕䅁䅕䅁䅁䝁噃欵䭁䑁䙉䅁䉁䅁䅁允䅁䅁䅕匶硙䭃捷い䵁䅉䅅䅁䙁䅁䅁睁䵁䅁䅁权摂兂䅁权硁兂䅁兂䅁䅁䅁䩑浘䅑䅯杍䅕䅁䅅䅁䉁䅁䅁权啃允䅁䍄䉁䅁䅁兂䅁䅁䅍䅄䅁䅁䅯睓䅕䅁䅯免䅕䅁䅕䅁䅁䕁噃欵䭁䑁䙉䅁䉁䅁䅁允䅁䅁䅯䅬䅅䅁杷允䅁䅁䅕䅁䑁䅁䅷䅁䭁䡁䙳䅁䭁䑁䙅䅁䙁䅁䅁䅁䅂敬䅚权祁兂䅁允䅁䅁䅅䅁䭁䩁䉑䅁䵁䅉䅅䅁䝁䅁䅁睁䵁䅁䅁权ㅃ睂䅁权㍂杂䅁权䙃兂䅁兂䅁䅁䅁䩙浘䅑䅯睚䅙䅁䅅䅁䉁䅁䅁䅆瑃倫⼯⼯⼯眯杷允䅁䅁䅕䅁䑁䅁䅷䅁䭁䙁䙯䅁䭁䑁䙅䅁䙁䅁䅁䅁杁敬䅚权祁兂䅁允䅁䅁䅅䅁䭁䩁䉑䅁䵁䅉䅅䅁䙁䅁䅁睁䵁䅁䅁权橂兂䅁权硁兂䅁兂䅁䅁䅁䩉浘䅑䅯杍䅕䅁䅅䅁䉁䅁䅁权啃允䅁䍄䉁䅁䅁兂䅁䅁䅍䅄䅁䅁䅯兔䅕䅁䅯免䅕䅁䅕䅁䅁䕁噃欵䭁䑁䙉䅁䉁䅁䅁允䅁䅁䅯䅬䅅䅁杷允䅁䅁䅙䅁䑁䅁䅷䅁䭁䱁䡕䅁䭁䥁䝯䅁䭁䝁䝫䅁䙁䅁䅁䅁杂敬䅚权湂杂䅁允䅁䅁䅅䅁啁䅁䅁䅁䅁䅁䅁䍄䉁䅁䅁兂䅁䅁䅍䅄䅁䅁䅯党䅕䅁䅯免䅕䅁䅕䅁䅁䕁噃欵䭁䑁䙉䅁䉁䅁䅁允䅁䅁䅯䅬䅅䅁杷允䅁䅁䅕䅁䑁䅁䅷䅁䭁䝁䘰䅁䭁䑁䙅䅁䙁䅁䅁䅁杂敬䅚权祁兂䅁允䅁䅁䅅䅁䙁䥁牘払敧剨䅆䍄䉁䅁䅁兂䅁䅁䅍䅄䅁䅁䅯兒䅕䅁䅯免䅕䅁䅕䅁䅁䍁噃欵䭁䑁䙉䅁䉁䅁䅁允䅁䅁䅯䅬䅅䅁杷允䅁䅁䅕䅁䑁䅁䅷䅁䭁䝁䙷䅁䭁䑁䙅䅁䙁䅁䅁䅁䅂敬䅚权祁兂䅁允䅁䅁䅅䅁䭁䩁䉑䅁䵁䅉䅅䅁䙁䅁䅁睁䵁䅁䅁权畂兂䅁权硁兂䅁兂䅁䅁䅁䩑浘䅑䅯杍䅕䅁䅅䅁䉁䅁䅁权啃允䅁䍄䉁䅁䅁杂䅁䅁䅍䅄䅁䅁䅯兴䅣䅁䅯杣䅙䅁䅯兡䅙䅁䅕䅁䅁䝁噃欵䭁䝁䝣䅁䉁䅁䅁允䅁䉁䅑䩭䍁䅁䅁䅁䵁䅉䅅䅁䙁䅁䅁睁䵁䅁䅁权歂兂䅁权硁兂䅁兂䅁䅁䅁䩑浘䅑䅯杍䅕䅁䅅䅁䉁䅁䅁权啃允䅁䍄䉁䅁䅁杂䅁䅁䅍䅄䅁䅁䅯兴䅣䅁䅯杩䅙䅁䅯全䅕䅁䅕䅁䅁䝁噃欵䭁䝁䝣䅁䉁䅁䅁允䅁䉁䅑䅁䅁䅁䅁䅁䵁䅉䅅䅁䝁䅁䅁睁䵁䅁䅁权㑃睂䅁权佃兂䅁兂䅁䅁䅁䩙浘䅑䅯䅉䅁䅁䅯睨䅕䅁䅅䅁䉁䅁䅁兂偃佈摭样㈰兑杷允䅁䅁䅕䅁䑁䅁䅷䅁䭁䡁䙫䅁䭁䑁䙅䅁䙁䅁䅁䅁杂敬䅚权祁兂䅁允䅁䅁䅅䅁䙁䥁堲桢䑋䉑䅂䍄䉁䅁䅁兂䅁䅁䅍䅄䅁䅁䅯兴䅣䅁䅯內䅙䅁䅕䅁䅁䝁噃欵䭁䥁䝉䅁䉁䅁䅁允䅁䅁䅕灭婭婭䙫武䵁䅉䅅䅁䙁䅁䅁睁䵁䅁䅁权睁兂䅁权硁兂䅁兂䅁䅁䅁䩙浘䅑䅯杍䅕䅁䅅䅁䉁䅁䅁兂扄堫焵䡶卑䅑杷允䅁䅁䅕䅁䑁䅁䅷䅁䭁䡁䙁䅁䭁䑁䙅䅁䙁䅁䅁䅁杁敬䅚权祁兂䅁允䅁䅁䅅䅁䭁䩁䉑䅁䵁䅉䅅䅁䝁䅁䅁睁䵁䅁䅁权ㅃ睂䅁权浂杂䅁权乃兂䅁兂䅁䅁䅁䩙浘䅑䅯睚䅙䅁䅅䅁䉁䅁䅁䅆⽃杦䅅䅁䅁䅁杷允䅁䅁䅕䅁䑁䅁䅷䅁䭁䡁䙉䅁䭁䑁䙅䅁䙁䅁䅁䅁䅂敬䅚权祁兂䅁允䅁䅁䅅䅁䭁䩁䉑䅁䵁䅉䅅䅁䙁䅁䅁睁䵁䅁䅁权䉂兂䅁权硁兂䅁兂䅁䅁䅁䩉浘䅑䅯杍䅕䅁䅅䅁䉁䅁䅁权啃允䅁䍄䉁䅁䅁杂䅁䅁䅍䅄䅁䅁䅯兴䅣䅁䅯兤䅙䅁䅯兡䅙䅁䅕䅁䅁䝁噃欵䭁䝁䝣䅁䉁䅁䅁允䅁䉁䅑䅁䅁䅁䅁䅁䵁䅉䅅䅁䝁䅁䅁睁䵁䅁䅁权ㅃ睂䅁权ㅂ杂䅁权乃兂䅁兂䅁䅁䅁䩙浘䅑䅯睚䅙䅁䅅䅁䉁䅁䅁䅆䅁䅁䅁䅁䅁䅁杷允䅁䅁䅕䅁䑁䅁䅷䅁䭁䙁䙷䅁䭁䑁䙅䅁䙁䅁䅁䅁䅂敬䅚权祁兂䅁允䅁䅁䅅䅁䭁䩁䉑䅁䵁䅉䅅䅁䙁䅁䅁睁䵁䅁䅁权ㅂ兂䅁权硁兂䅁兂䅁䅁䅁䩉浘䅑䅯杍䅕䅁䅅䅁䉁䅁䅁权啃允䅁䍄䉁䅁䅁杂䅁䅁䅍䅄䅁䅁䅯兴䅣䅁䅯䅥䅙䅁䅯兪䅕䅁䅕䅁䅁䝁噃欵䭁䝁䝣䅁䉁䅁䅁允䅁䉁䅑睦䅳䅁䅁䅁䵁䅉䅅䅁䙁䅁䅁睁䵁䅁䅁权㉂兂䅁权硁兂䅁兂䅁䅁䅁䩑浘䅑䅯杍䅕䅁䅅䅁䉁䅁䅁权啃允䅁䍄䉁䅁䅁杂䅁䅁䅍䅄䅁䅁䅯兴䅣䅁䅯睥䅙䅁䅯兡䅙䅁䅕䅁䅁䝁噃欵䭁䝁䝣䅁䉁䅁䅁允䅁䉁䅑䅁䅁䅁䅁䅁䵁䅉䅅䅁䙁䅁䅁睁䵁䅁䅁权䝂兂䅁权硁兂䅁兂䅁䅁䅁䩙浘䅑䅯杍䅕䅁䅅䅁䉁䅁䅁兂穂䩡瑈䑦䠸䅑杷允䅁䅁䅙䅁䑁䅁䅷䅁䭁䱁䡕䅁䭁䉁䕳䅁䭁䥁䘰䅁䙁䅁䅁䅁杂敬䅚权祁兂䅁允䅁䅁䅅䅁䙁䝁汄䌰扌协䅰䍄䉁䅁䅁杂䅁䅁䅍䅄䅁䅁䅯兴䅣䅁䅯全䅙䅁䅯杩䅕䅁䅕䅁䅁䝁噃欵䭁䝁䝣䅁䉁䅁䅁允䅁䉁䅑䅙䉣䅁䅁䅁䵁䅉䅅䅁䙁䅁䅁睁䵁䅁䅁权ㅃ睂䅁权牂杂䅁权䥃兂䅁兂䅁䅁䅁䩙浘䅑䅅䅁䉁䅁䅁权桃睂䅁䍄䉁䅁䅁兂䅁䅁䅍䅄䅁䅁䅯䅤䅕䅁䅯免䅕䅁䅕䅁䅁䍁噃欵䭁䑁䙉䅁䉁䅁䅁允䅁䅁䅯䅬䅅䅁杷允䅁䅁䅙䅁䑁䅁䅷䅁䭁䱁䡕䅁䭁䝁䝙䅁䭁䥁䙷䅁䙁䅁䅁䅁杂敬䅚权湂杂䅁允䅁䅁䅅䅁啁䥁佥允䅁䅁䅁䍄䉁䅁䅁杂䅁䅁䅍䅄䅁䅁䅯兴䅣䅁䅯杩䅙䅁䅯兪䅕䅁䅕䅁䅁䝁噃欵䭁䝁䝣䅁䉁䅁䅁允䅁䉁䅑䅁䅁䅁䅁䅁䵁䅉䅅䅁䝁䅁䅁睁䵁䅁䅁权ㅃ睂䅁权䕃睁䅁权䥃兂䅁兂䅁䅁䅁䩙浘䅑䅯睚䅙䅁䅅䅁䉁䅁䅁䅆䅁䅁䅁䅁䅁䅁杷允䅁䅁䅙䅁䑁䅁䅷䅁䭁䱁䡕䅁䭁䥁䝷䅁䭁䥁䙷䅁䙁䅁䅁䅁杂敬䅚权湂杂䅁允䅁䅁䅅䅁啁䅁牅䅁䅁䅁䅁䍄䉁䅁䅁杂䅁䅁䅍䅄䅁䅁䅯兴䅣䅁䅯来䅙䅁䅯䅪䅕䅁䅕䅁䅁䝁噃欵䭁䝁䝣䅁䉁䅁䅁允䅁䉁䅑朲䅑䅁䅁䅁䵁䅉䅅䅁䙁䅁䅁睁䵁䅁䅁权⭁兂䅁权硁兂䅁兂䅁䅁䅁䩑浘䅑䅯杍䅕䅁䅅䅁䉁䅁䅁权啃允䅁䍄䉁䅁䅁兂䅁䅁䅍䅄䅁䅁䅯材䅕䅁䅯免䅕䅁䅕䅁䅁䍁噃欵䭁䑁䙉䅁䉁䅁䅁允䅁䅁䅯䅬䅅䅁杷允䅁䅁䅕䅁䑁䅁䅷䅁䭁䕁䘸䅁䭁䑁䙅䅁䙁䅁䅁䅁䅂敬䅚权祁兂䅁允䅁䅁䅅䅁䭁䩁䉑䅁䵁䅉䅅䅁䙁䅁䅁睁䵁䅁䅁权兂兂䅁权硁兂䅁兂䅁䅁䅁䩑浘䅑䅯杍䅕䅁䅅䅁䉁䅁䅁权啃允䅁䍄䉁䅁䅁杂䅁䅁䅍䅄䅁䅁䅯兴䅣䅁䅯䅦䅙䅁䅯兪䅕䅁䅕䅁䅁䝁噃欵䭁䝁䝣䅁䉁䅁䅁允䅁䉁䅑刹䅍䅁䅁䅁䵁䅉䅅䅁䙁䅁䅁睁䵁䅁䅁权奂兂䅁权硁兂䅁兂䅁䅁䅁䩉浘䅑䅯杍䅕䅁䅅䅁䉁䅁䅁权啃允䅁䍄䉁䅁䅁兂䅁䅁䅍䅄䅁䅁䅯睘䅕䅁䅯免䅕䅁䅕䅁䅁䕁噃欵䭁䑁䙉䅁䉁䅁䅁允䅁䅁䅯䅬䅅䅁杷允䅁䅁䅙䅁䑁䅁䅷䅁䭁䍁䙫䅁䭁䉁䕳䅁䭁䥁䙷䅁䙁䅁䅁䅁杂敬䅚权祁兂䅁允䅁䅁䅅䅁䙁䉁奂扏䥔樱䅒䍄䉁䅁䅁杂䅁䅁䅍䅄䅁䅁䅯兴䅣䅁䅯杦䅍䅁䅯䅡䅙䅁䅕䅁䅁䝁噃欵䭁䝁䝣䅁䉁䅁䅁允䅁䉁䅑眫䅣䅁䅁䅁䵁䅉䅅䅁䙁䅁䅁睁䵁䅁䅁权㑂兂䅁权硁兂䅁兂䅁䅁䅁䩑浘䅑䅯杍䅕䅁䅅䅁䉁䅁䅁权啃允䅁䍄䉁䅁䅁兂䅁䅁䅍䅄䅁䅁䅯䅦䅕䅁䅯免䅕䅁䅕䅁䅁䍁噃欵䭁䑁䙉䅁䉁䅁䅁允䅁䅁䅯䅬䅅䅁杷允䅁䅁䅕䅁䑁䅁䅷䅁䭁䡁䘰䅁䭁䑁䙅䅁䙁䅁䅁䅁䅂敬䅚权祁兂䅁允䅁䅁䅅䅁䭁䩁䉑䅁䵁䅉䅅䅁䙁䅁䅁睁䵁䅁䅁权⭂兂䅁权硁兂䅁兂䅁䅁䅁䩑浘䅑䅯杍䅕䅁䅅䅁䉁䅁䅁权啃允䅁䍄䉁䅁䅁兂䅁䅁䅍䅄䅁䅁䅯睏䅕䅁䅯免䅕䅁䅕䅁䅁䍁噃欵䭁䑁䙉䅁䉁䅁䅁允䅁䅁䅯䅬䅅䅁杷允䅁䅁䅕䅁䑁䅁䅷䅁䭁䡁䘸䅁䭁䑁䙅䅁䙁䅁䅁䅁杁敬䅚权祁兂䅁允䅁䅁䅅䅁䭁䩁䉑䅁䵁䅉䅅䅁䙁䅁䅁睁䵁䅁䅁权敂兂䅁权硁兂䅁兂䅁䅁䅁䩉浘䅑䅯杍䅕䅁䅅䅁䉁䅁䅁权啃允䅁䍄䉁䅁䅁兂䅁䅁䅍䅄䅁䅁䅯来䅕䅁䅯免䅕䅁䅕䅁䅁䕁噃欵䭁䑁䙉䅁䉁䅁䅁允䅁䅁䅯䅬䅅䅁杷允䅁䅁䅕䅁䑁䅁䅷䅁䭁䥁䙅䅁䭁䑁䙅䅁䙁䅁䅁䅁䅂敬䅚权祁兂䅁允䅁䅁䅅䅁䭁䩁䉑䅁䵁䅉䅅䅁䝁䅁䅁睁䵁䅁䅁权ㅃ睂䅁权㍂杂䅁权䭃兂䅁兂䅁䅁䅁䩙浘䅑䅯睚䅙䅁䅅䅁䉁䅁䅁䅆塃杂䅁䅁䅁䅁杷允䅁䅁䅕䅁䑁䅁䅷䅁䭁䕁䙕䅁䭁䑁䙅䅁䙁䅁䅁䅁杂敬䅚权祁兂䅁允䅁䅁䅅䅁䙁䑁積積積硍䅂䍄䉁䅁䅁兂䅁䅁䅍䅄䅁䅁䅯睕䅕䅁䅯免䅕䅁䅕䅁䅁䕁噃欵䭁䑁䙉䅁䉁䅁䅁允䅁䅁䅯䅬䅅䅁杷允䅁䅁䅙䅁䑁䅁䅷䅁䭁䱁䡕䅁䭁䥁䝑䅁䭁䥁䙕䅁䙁䅁䅁䅁杂敬䅚权湂杂䅁允䅁䅁䅅䅁啁䡁呭杁䅁䅁䅁䍄䉁䅁䅁兂䅁䅁䅍䅄䅁䅁䅯䅣䅕䅁䅯免䅕䅁䅕䅁䅁䝁噃欵䭁䑁䙉䅁䉁䅁䅁允䅁䅁䅕䡳潊敫㠱䐫䴸䅉䅅䅁䙁䅁䅁睁䵁䅁䅁权䍃兂䅁权硁兂䅁兂䅁䅁䅁䩑浘䅑䅯杍䅕䅁䅅䅁䉁䅁䅁权啃允䅁䍄䉁䅁䅁兂䅁䅁䅍䅄䅁䅁䅯杚䅕䅁䅯免䅕䅁䅕䅁䅁䕁噃欵䭁䑁䙉䅁䉁䅁䅁允䅁䅁䅯䅬䅅䅁杷允䅁䅁䅕䅁䑁䅁䅷䅁䭁䥁䙍䅁䭁䑁䙅䅁䙁䅁䅁䅁杁敬䅚权祁兂䅁允䅁䅁䅅䅁䭁䩁䉑䅁䵁䅉䅅䅁䝁䅁䅁睁䵁䅁䅁权ㅃ睂䅁权煂杂䅁权潂杂䅁兂䅁䅁䅁䩙浘䅑䅯睚䅙䅁䅅䅁䉁䅁䅁䅆晄杺䅁䅁䅁䅁杷允䅁䅁䅑䅁䑁䅁䅷䅁䭁䍁䘴䅁䭁䍁䘸䅁䙁䅁䅁䅁杄佺䅒允䅁䅁䅅䅁䙁䩁䍣硍睊䭄䅆䍄䉁䅁䅁兂䅁䅁䅍䅄䅁䅁䅯兖䅕䅁䅯免䅕䅁䅕䅁䅁䝁噃欵䭁䑁䙉䅁䉁䅁䅁允䅁䅁䅕䥒獴⼵灵ぃ䵁䅉䅅䅁䝁䅁䅁睁䵁䅁䅁权ㅃ睂䅁权牂杂䅁权䥃兂䅁兂䅁䅁䅁䩙浘䅑䅯杯䅣䅁䅅䅁䉁䅁䅁权桃睂䅁䍄䉁䅁䅁杂䅁䅁䅍䅄䅁䅁䅯兴䅣䅁䅯䅤䅙䅁䅯兪䅕䅁䅕䅁䅁䝁噃欵䭁䝁䝣䅁䉁䅁䅁允䅁䉁䅑䥘䉧䅁䅁䅁䵁䅉䅅䅁䙁䅁䅁睁䵁䅁䅁权湂兂䅁权硁兂䅁兂䅁䅁䅁䩙浘䅑䅯杍䅕䅁䅅䅁䉁䅁䅁兂䙃ㄶ㑇潈⽘睐杷允䅁䅁䅙䅁䑁䅁䅷䅁䭁䱁䡙䅁䭁䑁䍑䅁䭁䥁䙙䅁䙁䅁䅁䅁杂敬䅚权䡃兂䅁允䅁䅁䅅䅁䭁䩁䉑䅁䵁䅉䅅䅁䙁䅁䅁睁䵁䅁䅁权ㅃ睂䅁权瑂允䅁兂䅁䅁䅁䩙浘䅑䅯䅧䅙䅁䅅䅁䉁䅁䅁䅆呁娱㙩允䅁䅁杷允䅁䅁䅙䅁䑁䅁䅷䅁䭁䱁䡕䅁䭁䥁䝕䅁䭁䥁䙧䅁䙁䅁䅁䅁杂敬䅚权湂杂䅁允䅁䅁䅅䅁啁䉁硫允䅁䅁䅁䍄䉁䅁䅁兂䅁䅁䅍䅄䅁䅁䅯儷䅣䅁䅯睕䅣䅁䅕䅁䅁䝁噃欵䭁䑁䙉䅁䉁䅁䅁允䅁䅁䅕㙭剸㥄潈う䵁䅉䅅䅁䝁䅁䅁睁䵁䅁䅁权ㅃ睂䅁权㍂杂䅁权䵃兂䅁兂䅁䅁䅁䩙浘䅑䅯睚䅙䅁䅅䅁䉁䅁䅁䅆慃瘯⼯⼯⼯眯杷允䅁䅁䅙䅁䑁䅁䅷䅁䭁䱁䡕䅁䭁䡁䝯䅁䭁䝁䝫䅁䙁䅁䅁䅁杂敬䅚权湂杂䅁允䅁䅁䅅䅁啁䉁㤯⼯⼯⼯⼯䍄䉁䅁䅁杂䅁䅁䅍䅄䅁䅁䅯兴䅣䅁䅯䅧䅍䅁䅯䅡䅙䅁䅕䅁䅁䝁噃欵䭁䝁䝣䅁䉁䅁䅁允䅁䉁䅑卍䅉䅁䅁䅁䵁䅉䅅䅁䙁䅁䅁睁䵁䅁䅁权䡄睂䅁权呂睂䅁兂䅁䅁䅁䩙浘䅑䅯杍䅕䅁䅅䅁䉁䅁䅁兂䕁⽣㑔敶嘰䅑杷允䅁䅁䅙䅁䑁䅁䅷䅁䭁䱁䡕䅁䭁䡁䝫䅁䭁䥁䘰䅁䙁䅁䅁䅁杂敬䅚权湂杂䅁允䅁䅁䅅䅁啁䕁氷⼯⼯⼯⼯䍄䉁䅁䅁杂䅁䅁䅍䅄䅁䅁䅯兴䅣䅁䅯杤䅙䅁䅯兪䅕䅁䅕䅁䅁䝁噃欵䭁䝁䝣䅁䉁䅁䅁允䅁䉁䅑䅁䅁䅁䅁䅁䵁䅉䅅䅁䝁䅁䅁睁䵁䅁䅁权療䅂䅁权扁䅂䅁权䭃兂䅁兂䅁䅁䅁䩙浘䅑䅯杍䅕䅁䅅䅁䉁䅁䅁兂䉄煹䙆牴汍䅑杷允䅁䅁䅕䅁䑁䅁䅷䅁䭁䱁䡕䅁䭁䥁䝍䅁䭁䥁䙙䅁䙁䅁䅁䅁杂敬䅚允䅁䅁䅅䅁䡁䅁䅁䅁杂⭪䅚䍄䉁䅁䅁兂䅁䅁䅍䅄䅁䅁䅯兴䅣䅁䅯杰䅣䅁䅯全䅕䅁䅕䅁䅁䝁噃欵䉁䅁䅁允䅁䅁䅕䥒獴⼵䩶啍䵁䅉䅅䅁䝁䅁䅁睁䵁䅁䅁权晄睂䅁权啂睂䅁权祂睂䅁兂䅁䅁䅁䩙浘䅑䅯杍䅕䅁䅅䅁䉁䅁䅁兂杄杶挶㑍奉䅑杷允䅁䅁䅕䅁䑁䅁䅷䅁䭁䙁䙑䅁䭁䑁䙅䅁䙁䅁䅁䅁杂敬䅚权祁兂䅁允䅁䅁䅅䅁䙁䑁䥅䉲慸䅚䅸䍄䉁䅁䅁杂䅁䅁䅍䅄䅁䅁䅯杴䅣䅁䅯睇䅑䅁䅯兪䅕䅁䅕䅁䅁䝁噃欵䭁䑁䙉䅁䉁䅁䅁允䅁䅁䅕匰扌堫焵樯䴸䅉䅅䅁䝁䅁䅁睁䵁䅁䅁权捄睂䅁权啂睂䅁权祂睂䅁兂䅁䅁䅁䩙浘䅑䅯杍䅕䅁䅅䅁䉁䅁䅁兂⭄䠱灪灊啅䅑杷允䅁䅁䅙䅁䑁䅁䅷䅁䭁偁䡷䅁䭁䙁䡑䅁䭁䡁䡉䅁䙁䅁䅁䅁杂敬䅚权祁兂䅁允䅁䅁䅅䅁䭁䩁䉑䅁䵁䅉䅅䅁䝁䅁䅁睁䵁䅁䅁权灁兂䅁权扁䅂䅁权䭃兂䅁兂䅁䅁䅁䩙浘䅑䅯杍䅕䅁䅅䅁䉁䅁䅁兂䭁㘱睎卐は䅑杷允䅁䅁䅙䅁䑁䅁䅷䅁䭁䱁䡕䅁䭁䝁䝙䅁䭁䝁䝧䅁䙁䅁䅁䅁杂敬䅚权湂杂䅁允䅁䅁䅅䅁啁佁⭶䅁䅁䅁䅁䍄䉁䅁䅁杂䅁䅁䅍䅄䅁䅁䅯兴䅣䅁䅯䅥䅙䅁䅯杩䅕䅁䅕䅁䅁䝁噃欵䭁䝁䝣䅁䉁䅁䅁允䅁䉁䅑儲䄰䅁䅁䅁䵁䅉䅅䅁䝁䅁䅁䍄䉁䅁䅁兂䅁䅁䅯睈䅧䅁䅯䅉䅧䅁䅯睉䅕䅁䅕䅁䅁䅁䅁䐸䘸䅁䅁䅁䅁䉁䅨䅆潃坓末䡭噯剌䅑牺ㄫ㉏汊灡啁䅁煕杩⭙䙖⽨䅆㑃扈灯浍硭桱䅑奌啈穊潉煤䉧䅁䅁允䅁䅁䅯䅊䅕䅁杷允䅁䅁䅙䅁䑁䅁䅷䅁䭁䱁䡕䅁䭁䡁䝳䅁䭁䥁䘰䅁䙁䅁䅁䅁杂敬䅚权湂杂䅁允䅁䅁䅅䅁啁䅁䅁䅁䅁䅁䅁䍄䉁䅁䅁杂䅁䅁杷允䅁䅁䅕䅁䭁䍁䥉䅁䭁䍁䥁䅁䭁䩁䙣䅁䙁䅁䅁䅁䅁偁⽁兂䅁䅁䅁䕁偃䉑䅑䕱癬䩯㙨卆唰䵁⼶呴楴坚共䅆剃琯獐㡆塥桶䅑䉵㘲呋灊慳啯䥁乌佢眸癆⽤允䅁䅁䅅䅁䭁䩁䙧䅁䵁䅉䅅䅁䝁䅁䅁䍄䉁䅁䅁兂䅁䅁䅯睉䅧䅁䅯䅉䅧䅁䅯䅚䅙䅁䅕䅁䅁䅁䅁䐸䘸䅁䅁䅁䅁䥑䄹䅆潃坓末䡭噯剌䅑牺ㄫ㉏汊灡啁䍁䌵㙓扳卫汱䅆㑃扈灯浍硭桱䅑獧猱稷坁㌹䈸䅁䅁允䅁䅁䅯䅃䅑䅁杷允䅁䅁䅙䅁䑁䅁䅷䅁䭁䱁䡕䅁䭁䡁䝷䅁䭁䝁䝫䅁䙁䅁䅁䅁杂敬䅚权湂杂䅁允䅁䅁䅅䅁啁䉁卫䅁䅁䅁䅁䍄䉁䅁䅁杂䅁䅁䅍䅄䅁䅁䅯兵䅣䅁䅯睇䅑䅁䅯䅩䅕䅁䅕䅁䅁䝁噃欵䭁䑁䙉䅁䉁䅁䅁允䅁䅁䅕呣䬰㘱睎䕍䵁䅉䅅䅁䝁䅁䅁睁䵁䅁䅁权㡃睂䅁权扁䅂䅁权乃兂䅁兂䅁䅁䅁䩙浘䅑䅯杍䅕䅁䅅䅁䉁䅁䅁兂ぃ䡹⭡㕮煯䅑杷允䅁䅁䅙䅁䑁䅁䅷䅁䭁䱁䡫䅁䭁䉁䕳䅁䭁䥁䙯䅁䙁䅁䅁䅁杂敬䅚权祁兂䅁允䅁䅁䅅䅁䙁䵁杕䡳潊匰䅴䍄䉁䅁䅁兂䅁䅁䅍䅄䅁䅁䅯睗䅕䅁䅯免䅕䅁䅕䅁䅁䝁噃欵䭁䑁䙉䅁䉁䅁䅁允䅁䅁䅕䬯确欰椱あ䵁䅉䅅䅁䙁䅁䅁睁䵁䅁䅁权㕃睂䅁权㥂睁䅁兂䅁䅁䅁䩙浘䅑䅯儸䅑䅁䅅䅁䉁䅁䅁兂㝂佩䅰捫穦睐杷允䅁䅁䅙䅁䑁䅁䅷䅁䭁䱁䡕䅁䭁䡁䝷䅁䭁䥁䙕䅁䙁䅁䅁䅁杂敬䅚权湂杂䅁允䅁䅁䅅䅁啁䩁歅䅁䅁䅁䅁䍄䉁䅁䅁杂䅁䅁䅍䅄䅁䅁䅯杴䅣䅁䅯睇䅑䅁䅯䅪䅕䅁䅕䅁䅁䝁噃欵䭁䑁䙉䅁䉁䅁䅁允䅁䅁䅯䅬䅕䅁杷允䅁䅁䅙䅁䑁䅁䅷䅁䭁䵁䡳䅁䭁䙁䡑䅁䭁䡁䡉䅁䙁䅁䅁䅁杂敬䅚权祁兂䅁允䅁䅁䅅䅁䙁䩁匷晷⽯硚䅆䍄䉁䅁䅁兂䅁䅁䅍䅄䅁䅁䅯儴䅣䅁䅯睕䅣䅁䅕䅁䅁䝁噃欵䭁䑁䙉䅁䉁䅁䅁允䅁䅁䅕䍂婆䅷畑啅䵁䅉䅅䅁䝁䅁䅁睁䵁䅁䅁权㕃睂䅁权扁䅂䅁权䵃兂䅁兂䅁䅁䅁䩙浘䅑䅯杍䅕䅁䅅䅁䉁䅁䅁兂歂㥏倹摪癣䅑杷允䅁䅁䅙䅁䑁䅁䅷䅁䭁䱁䡷䅁䭁䍁䌸䅁䭁䥁䙙䅁䙁䅁䅁䅁杂敬䅚权䡃兂䅁允䅁䅁䅅䅁啁䡁䩨允䅁䅁䅁䍄䉁䅁䅁兂䅁䅁䅍䅄䅁䅁䅯来䅕䅁䅯免䅕䅁䅕䅁䅁䝁噃欵䭁䑁䙉䅁䉁䅁䅁允䅁䅁䅕〰椱䙅㕧䕃䵁䅉䅅䅁䝁䅁䅁睁䵁䅁䅁权ㅃ睂䅁权䕃杂䅁权乃兂䅁兂䅁䅁䅁䩙浘䅑䅯睚䅙䅁䅅䅁䉁䅁䅁䅆煂督䅅䅁䅁䅁杷允䅁䅁䅙䅁䑁䅁䅷䅁䭁䱁䡷䅁䭁䑁䍑䅁䭁䥁䙙䅁䙁䅁䅁䅁杂敬䅚权䡃兂䅁允䅁䅁䅅䅁䭁䩁䉑䅁䵁䅉䅅䅁䝁䅁䅁睁䵁䅁䅁权㑃睂䅁权扁䅂䅁权䥃兂䅁兂䅁䅁䅁䩙浘䅑䅯杍䅕䅁䅅䅁䉁䅁䅁兂䅁䅁䅁䥁湁䅑杷允䅁䅁䅙䅁䑁䅁䅷䅁䭁䱁䡷䅁䭁䥁䘴䅁䙁䅁䅁䅁杂敬䅚权杁䅁䅁权䡃兂䅁允䅁䅁䅅䅁䙁䥁㑙琱伱ㅁ䉆䍄䉁䅁䅁兂䅁䅁䅍䅄䅁䅁䅯內䅕䅁䅯免䅕䅁䅕䅁䅁䝁噃欵䭁䑁䙉䅁䉁䅁䅁允䅁䅁䅕㘲橦免噏吲䴸䅉䅅䅁䝁䅁䅁睁䵁䅁䅁权㕃睂䅁权癁杁䅁权䝃兂䅁兂䅁䅁䅁䩙浘䅑䅯睨䅕䅁䅅䅁䉁䅁䅁䅆塄眱䅅䅁䅁䅁杷允䅁䅁䅙䅁䑁䅁䅷䅁䭁䱁䡧䅁䭁䉁䕳䅁䭁䥁䘰䅁䙁䅁䅁䅁杂敬䅚权祁兂䅁允䅁䅁䅅䅁䙁佁浫免獩䑶䅂䍄䉁䅁䅁杂䅁䅁䅍䅄䅁䅁䅯兴䅣䅁䅯兤䅙䅁䅯全䅕䅁䅕䅁䅁䝁噃欵䭁䝁䝣䅁䉁䅁䅁允䅁䉁䅑䅁䅁䅁䅁䅁䵁䅉䅅䅁䝁䅁䅁睁䵁䅁䅁权㉃睂䅁权癁杁䅁权䝃兂䅁兂䅁䅁䅁䩙浘䅑䅯睨䅕䅁䅅䅁䉁䅁䅁䅆佁杍䅁䅁䅁䅁杷允䅁䅁䅕䅁䑁䅁䅷䅁䭁佁䡑䅁䭁䙁䡍䅁䙁䅁䅁䅁杂敬䅚权祁兂䅁允䅁䅁䅅䅁䙁䙁獹䵱ぅ䅄䅴䍄䉁䅁䅁杂䅁䅁䅍䅄䅁䅁䅯兴䅣䅁䅯杣䅙䅁䅯全䅕䅁䅕䅁䅁䝁噃欵䭁䝁䝣䅁䉁䅁䅁允䅁䉁䅑硐䙁䅁䅁䅁䵁䅉䅅䅁䝁䅁䅁睁䵁䅁䅁权ㅃ睂䅁权䕃杂䅁权䙃兂䅁兂䅁䅁䅁䩙浘䅑䅯睰䅣䅁䅅䅁䉁䅁䅁䅆㕂睫䅉䅁䅁䅁杷允䅁䅁䅙䅁䑁䅁䅷䅁䭁䝁䔸䅁䭁䉁䕳䅁䭁䥁䙕䅁䙁䅁䅁䅁杂敬䅚权祁兂䅁允䅁䅁䅅䅁䙁䅁獩䙈歰祏䅬䍄䉁䅁䅁杂䅁䅁䅍䅄䅁䅁䅯睢䅑䅁䅯睇䅑䅁䅯䅪䅕䅁䅕䅁䅁䝁噃欵䭁䑁䙉䅁䉁䅁䅁允䅁䅁䅕楁䡵瑆佬ぇ䵁䅉䅅䅁䝁䅁䅁睁䵁䅁䅁权ㅃ睂䅁权䱃杂䅁权䥃兂䅁兂䅁䅁䅁䩙浘䅑䅯睚䅙䅁䅅䅁䉁䅁䅁䅆煃睁䅁䅁䅁䅁杷允䅁䅁䅕䅁䑁䅁䅷䅁䭁䱁䡕䅁䭁䝁䝳䅁䭁䥁䙕䅁䙁䅁䅁䅁杂敬䅚允䅁䅁䅅䅁䭁偁䠰䅁䵁䅉䅅䅁䝁䅁䅁睁䵁䅁䅁权ㅃ睂䅁权䩃杂䅁权䥃兂䅁兂䅁䅁䅁䩙浘䅑䅯睚䅙䅁䅅䅁䉁䅁䅁䅆啃光䅁䅁䅁䅁杷允䅁䅁䅙䅁䑁䅁䅷䅁䭁䝁䔸䅁䭁䉁䕳䅁䭁䥁䙧䅁䙁䅁䅁䅁杂敬䅚权祁兂䅁允䅁䅁䅅䅁䙁䥁堲桢䑋䍑䅨䍄䉁䅁䅁杂䅁䅁䅍䅄䅁䅁䅯克䅕䅁䅯睇䅑䅁䅯兪䅕䅁䅕䅁䅁䝁噃欵䭁䑁䙉䅁䉁䅁䅁允䅁䅁䅕⼲⭬牡ぺ歌䵁䅉䅅䅁䝁䅁䅁睁䵁䅁䅁权ㅃ睂䅁权䱃杂䅁权䙃兂䅁兂䅁䅁䅁䩙浘䅑䅯睚䅙䅁䅅䅁䉁䅁䅁䅆ㅂ兂䅁䅁䅁䅁杷允䅁䅁䅙䅁䑁䅁䅷䅁䭁䱁䡧䅁䭁䉁䕳䅁䭁䥁䙯䅁䙁䅁䅁䅁杂敬䅚权祁兂䅁允䅁䅁䅅䅁䙁佁汏㡭村䑫䅆䍄䉁䅁䅁䅂䅁䅁䅍䅄䅁䅁䅯杌䅕䅁䅯睌䅕䅁䅕䅁䅁䍁㙁欵䉁䅁䅁允䅁䅁䅕奦湏啒祃啴䵁䅉䅅䅁䝁䅁䅁睁䵁䅁䅁权療䅂䅁权ぁ杁䅁权䝃兂䅁兂䅁䅁䅁䩙浘䅑䅯睨䅕䅁䅅䅁䉁䅁䅁䅆慂睅䅁䅁䅁䅁杷允䅁䅁䅙䅁䑁䅁䅷䅁䭁䱁䡷䅁䭁䉁䕳䅁䭁䥁䙷䅁䙁䅁䅁䅁杂敬䅚权祁兂䅁允䅁䅁䅅䅁䙁䕁椵䙅㕧䑎䅂䍄䉁䅁䅁兂䅁䅁䅍䅄䅁䅁䅯兴䅣䅁䅯睡䅙䅁䅯䅪䅕䅁䅕䅁䅁䝁噃欵䉁䅁䅁允䅁䅁䅯兣䅙䅁杷允䅁䅁䅕䅁䑁䅁䅷䅁䭁䱁䡙䅁䭁䡁䐰䅁䙁䅁䅁䅁杂敬䅚权硄䅂䅁允䅁䅁䅅䅁䙁偁剖煤睚睴䅆䍄䉁䅁䅁兂䅁䅁䅍䅄䅁䅁䅯䅵䅣䅁䅯兦䅍䅁䅕䅁䅁䝁噃欵䭁偁䕅䅁䉁䅁䅁允䅁䅁䅕奺䕦牰歮稸䴸䅉䅅䅁䝁䅁䅁睁䵁䅁䅁权㉃睂䅁权扁䅂䅁权䙃兂䅁兂䅁䅁䅁䩙浘䅑䅯杍䅕䅁䅅䅁䉁䅁䅁兂坃㑑獴稵畳䅑杷允䅁䅁䅕䅁䑁䅁䅷䅁䭁乁䡉䅁䭁䙁䡍䅁䙁䅁䅁䅁杂敬䅚权祁兂䅁允䅁䅁䅅䅁䙁䵁䙡祁婆䉯䅆䍄䉁䅁䅁杂䅁䅁䅍䅄䅁䅁䅯杴䅣䅁䅯睇䅑䅁䅯䅩䅕䅁䅕䅁䅁䝁噃欵䭁䑁䙉䅁䉁䅁䅁允䅁䅁䅕体㙆䭆䠶歋䵁䅉䅅䅁䝁䅁䅁睁䵁䅁䅁权ㅃ睂䅁权䡃杂䅁权䵃兂䅁兂䅁䅁䅁䩙浘䅑䅯睚䅙䅁䅅䅁䉁䅁䅁䅆⽂䅆䅁䅁䅁䅁杷允䅁䅁䅙䅁䑁䅁䅷䅁䭁䍁䙫䅁䭁䉁䕳䅁䭁䥁䙧䅁䙁䅁䅁䅁杂敬䅚权祁兂䅁允䅁䅁䅅䅁䙁䅁琴灳瘳穸䅎䍄䉁䅁䅁兂䅁䅁䅍䅄䅁䅁䅯兴䅣䅁䅯睧䅙䅁䅯全䅕䅁䅕䅁䅁䝁噃欵䉁䅁䅁允䅁䅁䅣䅁䅁䝁偃欵䵁䅉䅅䅁䝁䅁䅁睁䵁䅁䅁权ㅃ睂䅁权䕃杂䅁权䥃兂䅁兂䅁䅁䅁䩙浘䅑䅯睰䅣䅁䅅䅁䉁䅁䅁䅆楃睊䅉䅁䅁䅁杷允䅁䅁䅕䅁䑁䅁䅷䅁䭁䕁䙯䅁䭁䑁䙅䅁䙁䅁䅁䅁杂敬䅚权祁兂䅁允䅁䅁䅅䅁䭁䩁䉑䅁䵁䅉䅅䅁䝁䅁䅁睁䵁䅁䅁权㑃睂䅁权扁䅂䅁权䙃兂䅁兂䅁䅁䅁䩙浘䅑䅯杍䅕䅁䅅䅁䉁䅁䅁兂⭃确癯愳㥑䅑杷允䅁䅁䅙䅁䑁䅁䅷䅁䭁䱁䡕䅁䭁䍁䌸䅁䭁䥁䙙䅁䙁䅁䅁䅁杂敬䅚权䡃兂䅁允䅁䅁䅅䅁啁䍁㌳允䅁䅁䅁䍄䉁䅁䅁兂䅁䅁䅍䅄䅁䅁䅯兴䅣䅁䅯杪䅕䅁䅕䅁䅁䝁噃欵䭁䥁䙣䅁䉁䅁䅁允䅁䅁䅕牦湂㑙㉙こ䵅䅉䅅䅁䝁䅁䅁睁䵁䅁䅁权ㅃ睂䅁权扁䅂䅁权䵃兂䅁兂䅁䅁䅁䩙浘䅑䅯杍䅕䅁䅅䅁䉁䅁䅁兂ぃ䡹⭡⽮祯䅑杷允䅁䅁䅙䅁䑁䅁䅷䅁䭁䱁䡕䅁䭁䑁䍑䅁䭁䥁䙙䅁䙁䅁䅁䅁杂敬䅚权䡃兂䅁允䅁䅁䅅䅁䭁䩁䉑䅁䵁䅉䅅䅁䝁䅁䅁睁䵁䅁䅁权ㅃ睂䅁权煂杂䅁权䵃兂䅁兂䅁䅁䅁䩙浘䅑䅯睚䅙䅁䅅䅁䉁䅁䅁䅆䱄兗䅅䅁䅁䅁杷允䅁䅁䅙䅁䑁䅁䅷䅁䭁䱁䡕䅁䭁䥁䝫䅁䭁䥁䙯䅁䙁䅁䅁䅁杂敬䅚权湂杂䅁允䅁䅁䅅䅁啁䍁填䅁䅁䅁䅁䍄䉁䅁䅁䅂䅁䅁䅍䅄䅁䅁䅯杌䅕䅁䅯睌䅕䅁䅕䅁䅁䵁敄唵䉁䅁䅁允䅁䅁䅕㥌浙儵祭䕳䵁䅉䅅䅁䕁䅁䅁睁䵁䅁䅁权畁兂䅁权癁兂䅁兂䅁䅁䅁䥧汐䅑䅅䅁䉁䅁䅁兂流卹瑂圯煵䅑杷允䅁䅁䅙䅁䑁䅁䅷䅁䭁䱁䡕䅁䭁䩁䝁䅁䭁䥁䙕䅁䙁䅁䅁䅁杂敬䅚权祁兂䅁允䅁䅁䅅䅁䭁䕁䕧䅁䵁䅉䅅䅁䙁䅁䅁睁䵁䅁䅁权㙁兂䅁权硁兂䅁兂䅁䅁䅁䩙浘䅑䅯杍䅕䅁䅅䅁䉁䅁䅁兂㥂穐敖歵䥫䅑杷允䅁䅁䅙䅁䑁䅁䅷䅁䭁䱁䡕䅁䭁䡁䝳䅁䭁䥁䙯䅁䙁䅁䅁䅁杂敬䅚权湂杂䅁允䅁䅁䅅䅁啁䅁䅁䅁䅁䅁䅁䍄䉁䅁䅁兂䅁䅁䅍䅄䅁䅁䅯䅔䅕䅁䅯免䅕䅁䅕䅁䅁䝁噃欵䭁䑁䙉䅁䉁䅁䅁允䅁䅁䅕桙奂扏䥒啅䵁䅉䅅䅁䙁䅁䅁睁䵁䅁䅁权ㅂ兂䅁权硁兂䅁兂䅁䅁䅁䩙浘䅑䅯杍䅕䅁䅅䅁䉁䅁䅁兂晁敨剴䩵琴䅑杷允䅁䅁䅙䅁䑁䅁䅷䅁䭁䱁䡕䅁䭁䥁䜰䅁䭁䥁䙷䅁䙁䅁䅁䅁杂敬䅚权湂杂䅁允䅁䅁䅅䅁啁䩁祩允䅁䅁䅁䍄䉁䅁䅁杂䅁䅁䅍䅄䅁䅁䅯兴䅣䅁䅯兤䅙䅁䅯杩䅕䅁䅕䅁䅁䝁噃欵䭁䝁䝣䅁䉁䅁䅁允䅁䉁䅑䅁䅁䅁䅁䅁䵁䅉䅅䅁䙁䅁䅁睁䵁䅁䅁权卂兂䅁权硁兂䅁兂䅁䅁䅁䩙浘䅑䅯杍䅕䅁䅅䅁䉁䅁䅁兂塁挲㌷⭕䥍䅑杷允䅁䅁䅙䅁䑁䅁䅷䅁䭁䱁䡕䅁䭁䡁䝫䅁䭁䥁䙕䅁䙁䅁䅁䅁杂敬䅚权湂杂䅁允䅁䅁䅅䅁啁䑁伯⼯⼯⼯⼯䍄䉁䅁䅁兂䅁䅁䅍䅄䅁䅁䅯兓䅕䅁䅯免䅕䅁䅕䅁䅁䝁噃欵䭁䑁䙉䅁䉁䅁䅁允䅁䅁䅕䙅㕧䵴㉨あ䵁䅉䅅䅁䙁䅁䅁睁䵁䅁䅁权⽁兂䅁权硁兂䅁兂䅁䅁䅁䩙浘䅑䅯杍䅕䅁䅅䅁䉁䅁䅁兂橄婰䕶䱉䡁䅑杷允䅁䅁䅕䅁䑁䅁䅷䅁䭁䕁䙉䅁䭁䑁䙅䅁䙁䅁䅁䅁杂敬䅚权祁兂䅁允䅁䅁䅅䅁䙁䝁㡱䩤奍䅂䅴䍄䉁䅁䅁杂䅁䅁䅍䅄䅁䅁䅯眶䅣䅁䅯䅖䅣䅁䅯杣䅣䅁䅕䅁䅁䝁噃欵䭁䑁䙉䅁䉁䅁䅁允䅁䅁䅕穋㝖䉯奘歆䵁䅉䅅䅁䝁䅁䅁睁䵁䅁䅁权ㅃ睂䅁权䍃睁䅁权灂杂䅁兂䅁䅁䅁䩙浘䅑䅯睚䅙䅁䅅䅁䉁䅁䅁䅆祂⽲⼯⼯⼯眯杷允䅁䅁䅙䅁䑁䅁䅷䅁䭁䱁䡕䅁䭁䥁䑑䅁䭁䥁䙯䅁䙁䅁䅁䅁杂敬䅚权湂杂䅁允䅁䅁䅅䅁啁䅁䅁䅁䅁䅁䅁䍄䉁䅁䅁兂䅁䅁䅍䅄䅁䅁䅯睓䅕䅁䅯免䅕䅁䅕䅁䅁䝁噃欵䭁䑁䙉䅁䉁䅁䅁允䅁䅁䅕瑃橥䑣䬰ぉ䵁䅉䅅䅁䙁䅁䅁睁䵁䅁䅁权桂兂䅁权硁兂䅁兂䅁䅁䅁䩙浘䅑䅯杍䅕䅁䅅䅁䉁䅁䅁兂䙄䱉祂䩡充䅑杷允䅁䅁䅕䅁䑁䅁䅷䅁䭁䕁䙅䅁䭁䑁䙅䅁䙁䅁䅁䅁杂敬䅚权祁兂䅁允䅁䅁䅅䅁䙁乁倹婪畤桫䅎䍄䉁䅁䅁杂䅁䅁䅍䅄䅁䅁䅯兴䅣䅁䅯䅦䅙䅁䅯䅩䅕䅁䅕䅁䅁䝁噃欵䭁䝁䝣䅁䉁䅁䅁允䅁䉁䅑桐䅕䅁䅁䅁䵁䅉䅅䅁䝁䅁䅁睁䵁䅁䅁权ㅃ睂䅁权䥃杂䅁权䭃兂䅁兂䅁䅁䅁䩙浘䅑䅯睚䅙䅁䅅䅁䉁䅁䅁䅆㉄睢䅉䅁䅁䅁杷允䅁䅁䅕䅁䑁䅁䅷䅁䭁䱁䡕䅁䭁䝁䝳䅁䭁䥁䙯䅁䙁䅁䅁䅁杂敬䅚允䅁䅁䅅䅁䭁䥁䜴䅁䵁䅉䅅䅁䙁䅁䅁睁䵁䅁䅁权橂兂䅁权硁兂䅁兂䅁䅁䅁䩙浘䅑䅯杍䅕䅁䅅䅁䉁䅁䅁兂浂浚浚畚扙䅑杷允䅁䅁䅙䅁䑁䅁䅷䅁䭁䱁䡕䅁䭁䝁䝯䅁䭁䥁䙧䅁䙁䅁䅁䅁杂敬䅚权湂杂䅁允䅁䅁䅅䅁啁䉁㉄允䅁䅁䅁䍄䉁䅁䅁兂䅁䅁䅍䅄䅁䅁䅯兔䅕䅁䅯免䅕䅁䅕䅁䅁䝁噃欵䭁䑁䙉䅁䉁䅁䅁允䅁䅁䅕硥畓⭒㙆䕃䵁䅉䅅䅁䝁䅁䅁睁䵁䅁䅁权ㅃ睂䅁权祂杂䅁权乃兂䅁兂䅁䅁䅁䩙浘䅑䅯睚䅙䅁䅅䅁䉁䅁䅁䅆⭂杂䅍䅁䅁䅁杷允䅁䅁䅙䅁䑁䅁䅷䅁䭁䱁䡕䅁䭁䡁䝉䅁䭁䥁䙷䅁䙁䅁䅁䅁杂敬䅚权湂杂䅁允䅁䅁䅅䅁啁䵁㝳睁䅁䅁䅁䍄䉁䅁䅁兂䅁䅁䅍䅄䅁䅁䅯兕䅕䅁䅯免䅕䅁䅕䅁䅁䝁噃欵䭁䑁䙉䅁䉁䅁䅁允䅁䅁䅕䝌婕水塩啄䵁䅉䅅䅁䝁䅁䅁睁䵁䅁䅁权ㅃ睂䅁权祂杂䅁权䭃兂䅁兂䅁䅁䅁䩙浘䅑䅯睚䅙䅁䅅䅁䉁䅁䅁䅆䍃其䅍䅁䅁䅁杷允䅁䅁䅙䅁䑁䅁䅷䅁䭁䱁䡕䅁䭁䡁䝉䅁䭁䥁䙧䅁䙁䅁䅁䅁杂敬䅚权湂杂䅁允䅁䅁䅅䅁啁䡁䵸䅂䅁䅁䅁䍄䉁䅁䅁兂䅁䅁䅍䅄䅁䅁䅯杖䅕䅁䅯免䅕䅁䅕䅁䅁䝁噃欵䭁䑁䙉䅁䉁䅁䅁允䅁䅁䅕瑃橥䑣䬰稯䴸䅉䅅䅁䝁䅁䅁睁䵁䅁䅁权ㅃ睂䅁权穂杂䅁权乃兂䅁兂䅁䅁䅁䩙浘䅑䅯睚䅙䅁䅅䅁䉁䅁䅁䅆㙃䄹䅁䅁䅁䅁杷允䅁䅁䅕䅁䑁䅁䅷䅁䭁䝁䙉䅁䭁䑁䙅䅁䙁䅁䅁䅁杂敬䅚权祁兂䅁允䅁䅁䅅䅁䙁䡁啳歲桦椫䅨䍄䉁䅁䅁兂䅁䅁䅍䅄䅁䅁䅯䅢䅕䅁䅯免䅕䅁䅕䅁䅁䝁噃欵䭁䑁䙉䅁䉁䅁䅁允䅁䅁䅕敢㝦晱午䕃䵁䅉䅅䅁䝁䅁䅁睁䵁䅁䅁权ㅃ睂䅁权㉂杂䅁权䵃兂䅁兂䅁䅁䅁䩙浘䅑䅯睚䅙䅁䅅䅁䉁䅁䅁䅆䅁䅁䅁䅁䅁䅁杷允䅁䅁䅙䅁䑁䅁䅷䅁䭁䱁䡕䅁䭁䡁䝑䅁䭁䥁䙧䅁䙁䅁䅁䅁杂敬䅚权湂杂䅁允䅁䅁䅅䅁啁䅁㕒杁䅁䅁䅁䍄䉁䅁䅁兂䅁䅁䅍䅄䅁䅁䅯杢䅕䅁䅯免䅕䅁䅕䅁䅁䝁噃欵䭁䑁䙉䅁䉁䅁䅁允䅁䅁䅕積積積積啂䵁䅉䅅䅁䝁䅁䅁睁䵁䅁䅁权ㅃ睂䅁权あ杂䅁权䙃兂䅁兂䅁䅁䅁䩙浘䅑䅯睚䅙䅁䅅䅁䉁䅁䅁䅆ㅄ充䅍䅁䅁䅁杷允䅁䅁䅙䅁䑁䅁䅷䅁䭁䱁䡕䅁䭁䡁䜰䅁䭁䥁䙷䅁䙁䅁䅁䅁杂敬䅚权湂杂䅁允䅁䅁䅅䅁啁䑁㑈⼯⼯⼯⼯䍄䉁䅁䅁杂䅁䅁䅍䅄䅁䅁䅯兴䅣䅁䅯杚䅙䅁䅯兡䅙䅁䅕䅁䅁䝁噃欵䭁䝁䝣䅁䉁䅁䅁允䅁䉁䅑䑳䉳䅁䅁䅁䵁䅉䅅䅁䝁䅁䅁睁䵁䅁䅁权ㅃ睂䅁权㉂杂䅁权灂杂䅁兂䅁䅁䅁䩙浘䅑䅯睚䅙䅁䅅䅁䉁䅁䅁䅆䅁䅁䅁䅁䅁䅁杷允䅁䅁䅙䅁䑁䅁䅷䅁䭁䱁䡕䅁䭁䡁䝯䅁䭁䥁䙯䅁䙁䅁䅁䅁杂敬䅚权湂杂䅁允䅁䅁䅅䅁啁䅁䙑䅁䅁䅁䅁䍄䉁䅁䅁杂䅁䅁䅍䅄䅁䅁䅯兴䅣䅁䅯条䅙䅁䅯兡䅙䅁䅕䅁䅁䝁噃欵䭁䝁䝣䅁䉁䅁䅁允䅁䉁䅑䉈䉅䅁䅁䅁䵁䅉䅅䅁䝁䅁䅁睁䵁䅁䅁权ㅃ睂䅁权煂杂䅁权乃兂䅁兂䅁䅁䅁䩙浘䅑䅯睚䅙䅁䅅䅁䉁䅁䅁䅆㍃兒䅅䅁䅁䅁杷允䅁䅁䅙䅁䑁䅁䅷䅁䭁䱁䡕䅁䭁䡁䝣䅁䭁䥁䘰䅁䙁䅁䅁䅁杂敬䅚权湂杂䅁允䅁䅁䅅䅁啁䱁䍧䅁䅁䅁䅁䍄䉁䅁䅁杂䅁䅁䅍䅄䅁䅁䅯兴䅣䅁䅯条䅙䅁䅯杩䅕䅁䅕䅁䅁䝁噃欵䭁䝁䝣䅁䉁䅁䅁允䅁䉁䅑慥䉳䅁䅁䅁䵁䅉䅅䅁䝁䅁䅁睁䵁䅁䅁权ㅃ睂䅁权⭂睁䅁权䥃兂䅁兂䅁䅁䅁䩙浘䅑䅯睚䅙䅁䅅䅁䉁䅁䅁䅆啃兆䅁䅁䅁䅁杷允䅁䅁䅙䅁䑁䅁䅷䅁䭁䱁䡕䅁䭁䡁䐴䅁䭁䥁䙕䅁䙁䅁䅁䅁杂敬䅚权湂杂䅁允䅁䅁䅅䅁啁䑁执䅁䅁䅁䅁䍄䉁䅁䅁杂䅁䅁䅍䅄䅁䅁䅯兴䅣䅁䅯䅨䅍䅁䅯全䅕䅁䅕䅁䅁䝁噃欵䭁䝁䝣䅁䉁䅁䅁允䅁䉁䅑䅁䅁䅁䅁䅁䵁䅉䅅䅁䝁䅁䅁睁䵁䅁䅁权ㅃ睂䅁权䕃睁䅁权䵃兂䅁兂䅁䅁䅁䩙浘䅑䅯睚䅙䅁䅅䅁䉁䅁䅁䅆䅁䅁䅁䅁䅁䅁杷允䅁䅁䅙䅁䑁䅁䅷䅁䭁䱁䡕䅁䭁䥁䑑䅁䭁䝁䝫䅁䙁䅁䅁䅁杂敬䅚权湂杂䅁允䅁䅁䅅䅁啁䅁䅁䅁䅁䅁䅁䍄䉁䅁䅁兂䅁䅁䅍䅄䅁䅁䅯䅓䅕䅁䅯免䅕䅁䅕䅁䅁䝁噃欵䭁䑁䙉䅁䉁䅁䅁允䅁䅁䅕䵱䱚㑎䉬啄䵁䅉䅅䅁䝁䅁䅁睁䵁䅁䅁权ㅃ睂䅁权䕃睁䅁权乃兂䅁兂䅁䅁䅁䩙浘䅑䅯睚䅙䅁䅅䅁䉁䅁䅁䅆䅁䅁䅁䅁䅁䅁杷允䅁䅁䅙䅁䑁䅁䅷䅁䭁䱁䡕䅁䭁䥁䑉䅁䭁䥁䙷䅁䙁䅁䅁䅁杂敬䅚权湂杂䅁允䅁䅁䅅䅁啁䑁南⼯⼯⼯⼯䍄䉁䅁䅁兂䅁䅁䅍䅄䅁䅁䅯兣䅕䅁䅯免䅕䅁䅕䅁䅁䝁噃欵䭁䑁䙉䅁䉁䅁䅁允䅁䅁䅕硥畓⭒慈啑䵁䅉䅅䅁䙁䅁䅁睁䵁䅁䅁权捂兂䅁权硁兂䅁兂䅁䅁䅁䩙浘䅑䅯杍䅕䅁䅅䅁䉁䅁䅁兂硁䭃捷浗剑䅑杷允䅁䅁䅙䅁䑁䅁䅷䅁䭁䱁䡕䅁䭁䥁䑉䅁䭁䥁䙕䅁䙁䅁䅁䅁杂敬䅚权湃睂䅁允䅁䅁䅅䅁啁䉁㝑瘯⼯⼯⼯䍄䉁䅁䅁杂䅁䅁䅍䅄䅁䅁䅯兴䅣䅁䅯入䅙䅁䅯䅪䅕䅁䅕䅁䅁䝁噃欵䭁䝁䝣䅁䉁䅁䅁允䅁䉁䅑晃⽄⼯⼯⼯䴸䅉䅅䅁䙁䅁䅁睁䵁䅁䅁权杄睂䅁权呂睂䅁兂䅁䅁䅁䩙浘䅑䅯杍䅕䅁䅅䅁䉁䅁䅁兂㍁䥖空㉎噅䅑杷允䅁䅁䅙䅁䑁䅁䅷䅁䭁䱁䡕䅁䭁䡁䜰䅁䭁䥁䙯䅁䙁䅁䅁䅁杂敬䅚权湂杂䅁允䅁䅁䅅䅁啁乁〯⼯⼯⼯⼯䍄䉁䅁䅁兂䅁䅁䅍䅄䅁䅁䅯䅡䅕䅁䅯免䅕䅁䅕䅁䅁䝁噃欵䭁䑁䙉䅁䉁䅁䅁允䅁䅁䅕噋偹癷潕䕈䵁䅉䅅䅁䝁䅁䅁睁䵁䅁䅁权ㅃ睂䅁权㙂杂䅁权䥃兂䅁兂䅁䅁䅁䩙浘䅑䅯睚䅙䅁䅅䅁䉁䅁䅁䅆ㅁ允䅁䅁䅁䅁杷允䅁䅁䅙䅁䑁䅁䅷䅁䭁䱁䡕䅁䭁䡁䝣䅁䭁䥁䙧䅁䙁䅁䅁䅁杂敬䅚权湂杂䅁允䅁䅁䅅䅁啁乁⽲⼯⼯⼯⼯䍄䉁䅁䅁杂䅁䅁䅍䅄䅁䅁䅯兴䅣䅁䅯兦䅙䅁䅯䅩䅕䅁䅕䅁䅁䝁噃欵䭁䝁䝣䅁䉁䅁䅁允䅁䉁䅑昶⽶⼯⼯⼯䴸䅉䅅䅁䝁䅁䅁睁䵁䅁䅁权ㅃ睂䅁权㑂杂䅁权䙃兂䅁兂䅁䅁䅁䩙浘䅑䅯睚䅙䅁䅅䅁䉁䅁䅁䅆啃䅆䅁䅁䅁䅁杷允䅁䅁䅙䅁䑁䅁䅷䅁䭁䱁䡕䅁䭁䡁䝳䅁䭁䥁䙕䅁䙁䅁䅁䅁杂敬䅚权湂杂䅁允䅁䅁䅅䅁啁䅁䅁䅁䅁䅁䅁䍄䉁䅁䅁兂䅁䅁䅍䅄䅁䅁䅯材䅕䅁䅯免䅕䅁䅕䅁䅁䝁噃欵䭁䑁䙉䅁䉁䅁䅁允䅁䅁䅯䅬䅅䅁杷允䅁䅁䅕䅁䑁䅁䅷䅁䭁䕁䘸䅁䭁䑁䙅䅁䙁䅁䅁䅁杂敬䅚权祁兂䅁允䅁䅁䅅䅁䙁䕁䵯楁䡵杆䅨䍄䉁䅁䅁杂䅁䅁䅍䅄䅁䅁䅯䄷䅣䅁䅯䅖䅣䅁䅯杣䅣䅁䅕䅁䅁䝁噃欵䭁䑁䙉䅁䉁䅁䅁允䅁䅁䅕兒洲晙䥪う䵁䅉䅅䅁䙁䅁䅁睁䵁䅁䅁权療兂䅁权硁兂䅁兂䅁䅁䅁䩙浘䅑䅯杍䅕䅁䅅䅁䉁䅁䅁兂㑃潈牘払䩧䅑杷允䅁䅁䅕䅁䑁䅁䅷䅁䭁䙁䘸䅁䭁䑁䙅䅁䙁䅁䅁䅁杂敬䅚权祁兂䅁允䅁䅁䅅䅁䙁䉁婦発呤眴䅰䍄䉁䅁䅁杂䅁䅁䅍䅄䅁䅁䅯兴䅣䅁䅯睦䅙䅁䅯杨䅕䅁䅕䅁䅁䝁噃欵䭁䝁䝣䅁䉁䅁䅁允䅁䉁䅑ㅸ䅅䅁䅁䅁䵁䅉䅅䅁䙁䅁䅁睁䵁䅁䅁权灂兂䅁权硁兂䅁兂䅁䅁䅁䩙浘䅑䅯杍䅕䅁䅅䅁䉁䅁䅁兂㙃兓䍷睋兣䅑杷允䅁䅁䅕䅁䑁䅁䅷䅁䭁䡁䙷䅁䭁䑁䙅䅁䙁䅁䅁䅁杂敬䅚权祁兂䅁允䅁䅁䅅䅁䙁䭁唫奚橨兘䅤䍄䉁䅁䅁兂䅁䅁䅍䅄䅁䅁䅯兦䅕䅁䅯免䅕䅁䅕䅁䅁䝁噃欵䭁䑁䙉䅁䉁䅁䅁允䅁䅁䅕䘷㑇潈牘啄䵁䅉䅅䅁䙁䅁䅁睁䵁䅁䅁权⭂兂䅁权硁兂䅁兂䅁䅁䅁䩙浘䅑䅯杍䅕䅁䅅䅁䉁䅁䅁兂楃扒穢嘯楑䅑杷允䅁䅁䅕䅁䑁䅁䅷䅁䭁䑁䙷䅁䭁䑁䙅䅁䙁䅁䅁䅁杂敬䅚权祁兂䅁允䅁䅁䅅䅁䙁乁㑖匶硙䉩䅆䍄䉁䅁䅁兂䅁䅁䅍䅄䅁䅁䅯睦䅕䅁䅯免䅕䅁䅕䅁䅁䝁噃欵䭁䑁䙉䅁䉁䅁䅁允䅁䅁䅕䅁䅁䅁䅂啈䵁䅉䅅䅁䙁䅁䅁睁䵁䅁䅁权䅃兂䅁权硁兂䅁兂䅁䅁䅁䩙浘䅑䅯杍䅕䅁䅅䅁䉁䅁䅁兂㥁瑃橥䑣䌰䅑杷允䅁䅁䅕䅁䑁䅁䅷䅁䭁䥁䙍䅁䭁䑁䙅䅁䙁䅁䅁䅁杂敬䅚权祁兂䅁允䅁䅁䅅䅁䙁䍁礲敮渫桒䅊䍄䉁䅁䅁杂䅁䅁䅍䅄䅁䅁䅯兴䅣䅁䅯全䅙䅁䅯兡䅙䅁䅕䅁䅁䝁噃欵䭁䝁䝣䅁䉁䅁䅁允䅁䉁䅑㕭䅑䅁䅁䅁䵁䅉䅅䅁䝁䅁䅁睁䵁䅁䅁权ㅃ睂䅁权䱃杂䅁权䵃兂䅁兂䅁䅁䅁䩙浘䅑䅯睚䅙䅁䅅䅁䉁䅁䅁䅆䕄元䅁䅁䅁䅁杷允䅁䅁䅙䅁䑁䅁䅷䅁䭁䱁䡕䅁䭁䥁䝕䅁䭁䥁䘰䅁䙁䅁䅁䅁杂敬䅚权湂杂䅁允䅁䅁䅅䅁啁䱁䕮䅁䅁䅁䅁䍄䉁䅁䅁杂䅁䅁䅍䅄䅁䅁䅯兴䅣䅁䅯睩䅙䅁䅯杩䅕䅁䅕䅁䅁䝁噃欵䭁䝁䝣䅁䉁䅁䅁允䅁䉁䅑朳䅑䅁䅁䅁䵁䅉䅅䅁䝁䅁䅁睁䵁䅁䅁权ㅃ睂䅁权䵃杂䅁权灂杂䅁兂䅁䅁䅁䩙浘䅑䅯睚䅙䅁䅅䅁䉁䅁䅁䅆䩂睊䅁䅁䅁䅁杷允䅁䅁䅙䅁䑁䅁䅷䅁䭁䱁䡕䅁䭁䥁䝧䅁䭁䝁䝫䅁䙁䅁䅁䅁杂敬䅚权湂杂䅁允䅁䅁䅅䅁啁䙁兢杁䅁䅁䅁䍄䉁䅁䅁杂䅁䅁䅍䅄䅁䅁䅯兴䅣䅁䅯兪䅙䅁䅯兡䅙䅁䅕䅁䅁䝁噃欵䭁䝁䝣䅁䉁䅁䅁允䅁䉁䅑倰䉷䅁䅁䅁䵁䅉䅅䅁䝁䅁䅁睁䵁䅁䅁权ㅃ睂䅁权䥃杂䅁权乃兂䅁兂䅁䅁䅁䩙浘䅑䅯睚䅙䅁䅅䅁䉁䅁䅁䅆啄杬䅉䅁䅁䅁杷允䅁䅁䅙䅁䑁䅁䅷䅁䭁䱁䡕䅁䭁䥁䜰䅁䭁䥁䘰䅁䙁䅁䅁䅁杂敬䅚权湂杂䅁允䅁䅁䅅䅁啁䍁娲允䅁䅁䅁䍄䉁䅁䅁杂䅁䅁䅍䅄䅁䅁䅯兴䅣䅁䅯䅩䅙䅁䅯䅪䅕䅁䅕䅁䅁䝁噃欵䭁䝁䝣䅁䉁䅁䅁允䅁䉁䅑捷䌸䅁䅁䅁䵁䅉䅅䅁䝁䅁䅁睁䵁䅁䅁权ㅃ睂䅁权乃杂䅁权䭃兂䅁兂䅁䅁䅁䩙浘䅑䅯睚䅙䅁䅅䅁䉁䅁䅁䅆䱁睊䅅䅁䅁䅁杷允䅁䅁䅙䅁䑁䅁䅷䅁䭁䱁䡕䅁䭁䥁䝧䅁䭁䥁䙧䅁䙁䅁䅁䅁杂敬䅚权湂杂䅁允䅁䅁䅅䅁啁䩁煶杁䅁䅁䅁䍄䉁䅁䅁杂䅁䅁䅍䅄䅁䅁䅯兴䅣䅁䅯杨䅙䅁䅯兡䅙䅁䅕䅁䅁䝁噃欵䭁䝁䝣䅁䉁䅁䅁允䅁䉁䅑穏䅳䅁䅁䅁䵁䅉䅅䅁䝁䅁䅁睁䵁䅁䅁权ㅃ睂䅁权䥃杂䅁权䙃兂䅁兂䅁䅁䅁䩙浘䅑䅯睚䅙䅁䅅䅁䉁䅁䅁䅆敂睋䅍䅁䅁䅁杷允䅁䅁䅙䅁䑁䅁䅷䅁䭁䱁䡕䅁䭁䥁䝙䅁䭁䥁䙷䅁䙁䅁䅁䅁杂敬䅚权湂杂䅁允䅁䅁䅅䅁啁䭁䜹䅁䅁䅁䅁䍄䉁䅁䅁杂䅁䅁䅍䅄䅁䅁䅯兴䅣䅁䅯杨䅙䅁䅯杩䅕䅁䅕䅁䅁䝁噃欵䭁䝁䝣䅁䉁䅁䅁允䅁䉁䅑䘷䅕䅁䅁䅁䵁䅉䅅䅁䝁䅁䅁睁䵁䅁䅁权ㅃ睂䅁权䝃杂䅁权䥃兂䅁兂䅁䅁䅁䩙浘䅑䅯睚䅙䅁䅅䅁䉁䅁䅁䅆䵂䅢䅁䅁䅁䅁杷允䅁䅁䅙䅁䑁䅁䅷䅁䭁䱁䡕䅁䭁䥁䝙䅁䭁䥁䙕䅁䙁䅁䅁䅁杂敬䅚权湂杂䅁允䅁䅁䅅䅁啁䱁汃䅁䅁䅁䅁䍄䉁䅁䅁䅃䅁䅁䅍䅄䅁䅁䅯兴䅣䅁䅯䅳䅣䅁䅯全䅕䅁䅕䅁䅁䝁噃欵䭁䭁䡯䅁䭁䩁䉑䅁䙁䅁䅁䅁䅁䅁䅁允䅁䅁䅅䅁䙁䩁䕺䱉祂䕥䅆䍄䉁䅁䅁杂䅁䅁䅍䅄䅁䅁䅯兴䅣䅁䅯䅪䅙䅁䅯杩䅕䅁䅕䅁䅁䝁噃欵䭁䝁䝣䅁䉁䅁䅁允䅁䉁䅑䑆䅅䅁䅁䅁䵁䅉䅅䅁䝁䅁䅁睁䵁䅁䅁权ㅃ睂䅁权䵃杂䅁权䥃兂䅁兂䅁䅁䅁䩙浘䅑䅯睚䅙䅁䅅䅁䉁䅁䅁䅆乃兎䅁䅁䅁䅁杷允䅁䅁䅙䅁䑁䅁䅷䅁䭁䱁䡕䅁䭁䥁䝷䅁䭁䥁䙕䅁䙁䅁䅁䅁杂敬䅚权湂杂䅁允䅁䅁䅅䅁啁䝁㙅䅁䅁䅁䅁䍄䉁䅁䅁杂䅁䅁䅍䅄䅁䅁䅯兴䅣䅁䅯䅨䅙䅁䅯兡䅙䅁䅕䅁䅁䝁噃欵䭁䝁䝣䅁䉁䅁䅁允䅁䉁䅑噕䉯䅁䅁䅁䵁䅉䅅䅁䝁䅁䅁睁䵁䅁䅁权ㅃ睂䅁权䡃杂䅁权灂杂䅁兂䅁䅁䅁䩙浘䅑䅯睚䅙䅁䅅䅁䉁䅁䅁䅆䥃睈䅁䅁䅁䅁杷允䅁䅁䅙䅁䑁䅁䅷䅁䭁䱁䡕䅁䭁䥁䝣䅁䭁䥁䘰䅁䙁䅁䅁䅁杂敬䅚权湂杂䅁允䅁䅁䅅䅁啁䱁䬰䅁䅁䅁䅁䍄䉁䅁䅁杂䅁䅁䅍䅄䅁䅁䅯兴䅣䅁䅯䅨䅙䅁䅯杩䅕䅁䅕䅁䅁䝁噃欵䭁䝁䝣䅁䉁䅁䅁允䅁䉁䅑畚䉫䅁䅁䅁䵁䅉䅅䅁䝁䅁䅁睁䵁䅁䅁权ㅃ睂䅁权䭃杂䅁权䵃兂䅁兂䅁䅁䅁䩙浘䅑䅯睚䅙䅁䅅䅁䉁䅁䅁䅆䅁䅁䅁䅁䅁䅁杷允䅁䅁䅙䅁䑁䅁䅷䅁䭁䱁䡕䅁䭁䥁䝯䅁䭁䥁䙯䅁䙁䅁䅁䅁杂敬䅚权湂杂䅁允䅁䅁䅅䅁啁䍁慕䅁䅁䅁䅁䍄䉁䅁䅁杂䅁䅁䅍䅄䅁䅁䅯兴䅣䅁䅯睨䅙䅁䅯杩䅕䅁䅕䅁䅁䝁噃欵䭁䝁䝣䅁䉁䅁䅁允䅁䉁䅑兹䅧䅁䅁䅁䵁䅉䅅䅁䝁䅁䅁睁䵁䅁䅁权ㅃ睂䅁权䕃杂䅁权䥃兂䅁兂䅁䅁䅁䩙浘䅑䅯睚䅙䅁䅅䅁䉁䅁䅁䅆楃睊䅉䅁䅁䅁杷允䅁䅁䅙䅁䑁䅁䅷䅁䭁䱁䡕䅁䭁䥁䝣䅁䭁䥁䙧䅁䙁䅁䅁䅁杂敬䅚权湂杂䅁允䅁䅁䅅䅁啁䱁䱣䅁䅁䅁䅁䍄䉁䅁䅁杂䅁䅁䅍䅄䅁䅁䅯兴䅣䅁䅯睨䅙䅁䅯全䅕䅁䅕䅁䅁䝁噃欵䭁䝁䝣䅁䉁䅁䅁允䅁䉁䅑祃䅑䅁䅁䅁䵁䅉䅅䅁䝁䅁䅁睁䵁䅁䅁权ㅃ睂䅁权䅃睁䅁权灂杂䅁兂䅁䅁䅁䩙浘䅑䅯睚䅙䅁䅅䅁䉁䅁䅁䅆兂睋䅁䅁䅁䅁杷允䅁䅁䅙䅁䑁䅁䅷䅁䭁䱁䡕䅁䭁䥁䑁䅁䭁䥁䙷䅁䙁䅁䅁䅁杂敬䅚权湂杂䅁允䅁䅁䅅䅁啁䅁㑯䅁䅁䅁䅁䍄䉁䅁䅁杂䅁䅁䅍䅄䅁䅁䅯兴䅣䅁䅯䅧䅍䅁䅯䅩䅕䅁䅕䅁䅁䝁噃欵䭁䝁䝣䅁䉁䅁䅁允䅁䉁䅑㈹䅁䅁䅁䅁䵁䅉䅅䅁䝁䅁䅁睁䵁䅁䅁权ㅃ睂䅁权扁䅂䅁权䙃兂䅁兂䅁䅁䅁䩙浘䅑䅯儸䅑䅁䅅䅁䉁䅁䅁兂䵂㑎䉬䝙穕䅑杷允䅁䅁䅙䅁䑁䅁䅷䅁䭁䱁䡕䅁䭁䥁䝧䅁䭁䥁䙕䅁䙁䅁䅁䅁杂敬䅚权湃睂䅁允䅁䅁䅅䅁啁䙁爴睁䅁䅁䅁䍄䉁䅁䅁杂䅁䅁䅍䅄䅁䅁䅯兴䅣䅁䅯睳䅣䅁䅯全䅕䅁䅕䅁䅁䝁噃欵䭁䭁䡣䅁䉁䅁䅁允䅁䉁䅑獁䅳䅁䅁䅁䵁䅉䅅䅁䝁䅁䅁睁䵁䅁䅁权ㅃ睂䅁权癁杁䅁权䥃兂䅁兂䅁䅁䅁䩙浘䅑䅯末䅣䅁䅅䅁䉁䅁䅁䅆㑁杴䅅䅁䅁䅁杷允䅁䅁䅙䅁䑁䅁䅷䅁䭁䱁䡕䅁䭁䥁䜰䅁䭁䥁䙕䅁䙁䅁䅁䅁杂敬䅚权湃睂䅁允䅁䅁䅅䅁啁䍁獳允䅁䅁䅁䍄䉁䅁䅁杂䅁䅁䅍䅄䅁䅁䅯兴䅣䅁䅯睌䅉䅁䅯全䅕䅁䅕䅁䅁䝁噃欵䭁偁䡯䅁䉁䅁䅁允䅁䉁䅑晌䉣䅁䅁䅁䵁䅉䅅䅁䙁䅁䅁睁䵁䅁䅁权塄睂䅁权呂睂䅁兂䅁䅁䅁䩙浘䅑䅯杍䅕䅁䅅䅁䉁䅁䅁兂歃東業猷呍䅑杷允䅁䅁䅕䅁䑁䅁䅷䅁䭁乁䡧䅁䭁䙁䡍䅁䙁䅁䅁䅁杂敬䅚权祁兂䅁允䅁䅁䅅䅁䙁䡁丹焱䡩䉱䅤䍄䉁䅁䅁兂䅁䅁䅍䅄䅁䅁䅯䄰䅣䅁䅯睕䅣䅁䅕䅁䅁䝁噃欵䭁䑁䙉䅁䉁䅁䅁允䅁䅁䅕祸㙫獫晵う䵁䅉䅅䅁䙁䅁䅁睁䵁䅁䅁权浄睂䅁权呂睂䅁兂䅁䅁䅁䩙浘䅑䅯杍䅕䅁䅅䅁䉁䅁䅁兂灄剚䱔慌堰䅑杷允䅁䅁䅕䅁䑁䅁䅷䅁䭁佁䠴䅁䭁䙁䡍䅁䙁䅁䅁䅁杂敬䅚权祁兂䅁允䅁䅁䅅䅁䙁䱁普卯兪硨䅨䍄䉁䅁䅁兂䅁䅁䅍䅄䅁䅁䅯眷䅣䅁䅯睕䅣䅁䅕䅁䅁䝁噃欵䭁䑁䙉䅁䉁䅁䅁允䅁䅁䅕で祷档㉚䕈䵁䅉䅅䅁䝁䅁䅁睁䵁䅁䅁权瑄睂䅁权啂睂䅁权祂睂䅁兂䅁䅁䅁䩙浘䅑䅯杍䅕䅁䅅䅁䉁䅁䅁兂奂㑣杂瑪場䅑杷允䅁䅁䅕䅁䑁䅁䅷䅁䭁佁䡍䅁䭁䙁䡍䅁䙁䅁䅁䅁杂敬䅚权祁兂䅁允䅁䅁䅅䅁䙁䕁捪⭙䑬砱䅤䍄䉁䅁䅁杂䅁䅁䅍䅄䅁䅁䅯眲䅣䅁䅯䅖䅣䅁䅯杣䅣䅁䅕䅁䅁䝁噃欵䭁䑁䙉䅁䉁䅁䅁允䅁䅁䅕䡥㠫㙖猲䕅䵁䅉䅅䅁䝁䅁䅁睁䵁䅁䅁权摄睂䅁权啂睂䅁权祂睂䅁兂䅁䅁䅁䩙浘䅑䅯杍䅕䅁䅅䅁䉁䅁䅁兂ㅃ桇㍌䉗奯䅑杷允䅁䅁䅕䅁䑁䅁䅷䅁䭁乁䡳䅁䭁䙁䡍䅁䙁䅁䅁䅁杂敬䅚权祁兂䅁允䅁䅁䅅䅁䙁䱁硒䙸㡰桹䅂䍄䉁䅁䅁杂䅁䅁䅍䅄䅁䅁䅯朳䅣䅁䅯䅖䅣䅁䅯杣䅣䅁䅕䅁䅁䝁噃欵䭁䑁䙉䅁䉁䅁䅁允䅁䅁䅕灲吶樳敤䕇䵁䅉䅅䅁䙁䅁䅁睁䵁䅁䅁权捄睂䅁权呂睂䅁兂䅁䅁䅁䩙浘䅑䅯杍䅕䅁䅅䅁䉁䅁䅁兂杂㕈㘲瀸啫䅑杷允䅁䅁䅕䅁䑁䅁䅷䅁䭁偁䡍䅁䭁䙁䡍䅁䙁䅁䅁䅁杂敬䅚权祁兂䅁允䅁䅁䅅䅁䙁䵁硓浌樶剉䅨䍄䉁䅁䅁杂䅁䅁䅍䅄䅁䅁䅯眸䅣䅁䅯䅖䅣䅁䅯杣䅣䅁䅕䅁䅁䝁噃欵䭁䑁䙉䅁䉁䅁䅁允䅁䅁䅕浰㑈䩩卧䕇䵁䅉䅅䅁䝁䅁䅁睁䵁䅁䅁权塄睂䅁权啂睂䅁权祂睂䅁兂䅁䅁䅁䩙浘䅑䅯杍䅕䅁䅅䅁䉁䅁䅁兂䍂畐婪䱲呯䅑杷允䅁䅁䅙䅁䑁䅁䅷䅁䭁乁䡫䅁䭁䙁䡑䅁䭁䡁䡉䅁䙁䅁䅁䅁杂敬䅚权祁兂䅁允䅁䅁䅅䅁䙁䥁癍䭔䭙栵䅤䍄䉁䅁䅁杂䅁䅁䅍䅄䅁䅁䅯儶䅣䅁䅯䅖䅣䅁䅯杣䅣䅁䅕䅁䅁䝁噃欵䭁䑁䙉䅁䉁䅁䅁允䅁䅁䅕伯㥏浡䍖䕇䵁䅉䅅䅁䝁䅁䅁睁䵁䅁䅁权䵄睂䅁权啂睂䅁权祂睂䅁兂䅁䅁䅁䩙浘䅑䅯杍䅕䅁䅅䅁䉁䅁䅁兂㕁愰䌵杹堸䅑杷允䅁䅁䅙䅁䑁䅁䅷䅁䭁䵁䡧䅁䭁䙁䡑䅁䭁䡁䡉䅁䙁䅁䅁䅁杂敬䅚权祁兂䅁允䅁䅁䅅䅁䙁䡁䥵湒兣硗䅨䍄䉁䅁䅁兂䅁䅁䅍䅄䅁䅁䅯儶䅣䅁䅯睕䅣䅁䅕䅁䅁䝁噃欵䭁䑁䙉䅁䉁䅁䅁允䅁䅁䅕剭䩊䐹䭊䕇䵁䅉䅅䅁䝁䅁䅁睁䵁䅁䅁权湄睂䅁权啂睂䅁权祂睂䅁兂䅁䅁䅁䩙浘䅑䅯杍䅕䅁䅅䅁䉁䅁䅁兂䙂慄桚䴫塧䅑杷允䅁䅁䅙䅁䑁䅁䅷䅁䭁䵁䠰䅁䭁䙁䡑䅁䭁䡁䡉䅁䙁䅁䅁䅁杂敬䅚权祁兂䅁允䅁䅁䅅䅁䙁䭁㍁慆睫桬䅆䍄䉁䅁䅁杂䅁䅁䅍䅄䅁䅁䅯朸䅣䅁䅯䅖䅣䅁䅯杣䅣䅁䅕䅁䅁䝁噃欵䭁䑁䙉䅁䉁䅁䅁允䅁䅁䅕伯㥏浡䍖䕇䵁䅉䅅䅁䙁䅁䅁睁䵁䅁䅁权祄睂䅁权呂睂䅁兂䅁䅁䅁䩙浘䅑䅯杍䅕䅁䅅䅁䉁䅁䅁兂婃歅の歍奯䅑杷允䅁䅁䅕䅁䑁䅁䅷䅁䭁䵁䡑䅁䭁䙁䡍䅁䙁䅁䅁䅁杂敬䅚权祁兂䅁允䅁䅁䅅䅁䙁䡁䩈慣つ䉳䅚䍄䉁䅁䅁杂䅁䅁䅍䅄䅁䅁䅯典䅣䅁䅯䅖䅣䅁䅯杣䅣䅁䅕䅁䅁䝁噃欵䭁䑁䙉䅁䉁䅁䅁允䅁䅁䅕䅵㉡牓㑄ぇ䵁䅉䅅䅁䝁䅁䅁睁䵁䅁䅁权睄睂䅁权啂睂䅁权祂睂䅁兂䅁䅁䅁䩙浘䅑䅯杍䅕䅁䅅䅁䉁䅁䅁兂䙂慄桚䴫塧䅑杷允䅁䅁䅙䅁䑁䅁䅷䅁䭁佁䡍䅁䭁䙁䡑䅁䭁䡁䡉䅁䙁䅁䅁䅁杂敬䅚权祁兂䅁允䅁䅁䅅䅁䙁䕁乕浰㑈䉹䅤䍄䉁䅁䅁兂䅁䅁䅍䅄䅁䅁䅯眵䅣䅁䅯睕䅣䅁䅕䅁䅁䝁噃欵䭁䑁䙉䅁䉁䅁䅁允䅁䅁䅕乓橸唶塐う䵁䅉䅅䅁䙁䅁䅁睁䵁䅁䅁权獄睂䅁权呂睂䅁兂䅁䅁䅁䩙浘䅑䅯杍䅕䅁䅅䅁䉁䅁䅁兂䥂䜳灐㥑塣䅑杷允䅁䅁䅙䅁䑁䅁䅷䅁䭁佁䠸䅁䭁䙁䡑䅁䭁䡁䡉䅁䙁䅁䅁䅁杂敬䅚权祁兂䅁允䅁䅁䅅䅁䙁䍁啣畉允桡䅸䍄䉁䅁䅁杂䅁䅁䅍䅄䅁䅁䅯儵䅣䅁䅯䅖䅣䅁䅯杣䅣䅁䅕䅁䅁䝁噃欵䭁䑁䙉䅁䉁䅁䅁允䅁䅁䅕䵣䤶琰朷ぅ䵁䅉䅅䅁䙁䅁䅁睁䵁䅁䅁权噄睂䅁权呂睂䅁兂䅁䅁䅁䩙浘䅑䅯杍䅕䅁䅅䅁䉁䅁䅁兂扂㐶䕵牴坷䅑杷允䅁䅁䅙䅁䑁䅁䅷䅁䭁乁䡁䅁䭁䙁䡑䅁䭁䡁䡉䅁䙁䅁䅁䅁杂敬䅚权祁兂䅁允䅁䅁䅅䅁䙁䅁獩䙈歰硥䅤䍄䉁䅁䅁兂䅁䅁䅍䅄䅁䅁䅯眶䅣䅁䅯睕䅣䅁䅕䅁䅁䝁噃欵䭁䑁䙉䅁䉁䅁䅁允䅁䅁䅕㐶䕵灴牺歆䵁䅉䅅䅁䝁䅁䅁睁䵁䅁䅁权䡄睂䅁权啂睂䅁权祂睂䅁兂䅁䅁䅁䩙浘䅑䅯杍䅕䅁䅅䅁䉁䅁䅁兂㝄ㅖ慡佬噉䅑杷允䅁䅁䅙䅁䑁䅁䅷䅁䭁佁䡧䅁䭁䙁䡑䅁䭁䡁䡉䅁䙁䅁䅁䅁杂敬䅚权祁兂䅁允䅁䅁䅅䅁䙁佁㙆䭆䠵剁䅖䍄䉁䅁䅁兂䅁䅁䅍䅄䅁䅁䅯䄶䅣䅁䅯睕䅣䅁䅕䅁䅁䝁噃欵䭁䑁䙉䅁䉁䅁䅁允䅁䅁䅕慤湶偰乣商䵁䅉䅅䅁䝁䅁䅁睁䵁䅁䅁权啄睂䅁权啂睂䅁权祂睂䅁兂䅁䅁䅁䩙浘䅑䅯杍䅕䅁䅅䅁䉁䅁䅁兂䅁䝪兦䨰唸䅑杷允䅁䅁䅕䅁䑁䅁䅷䅁䭁乁䡍䅁䭁䙁䡍䅁䙁䅁䅁䅁杂敬䅚权祁兂䅁允䅁䅁䅅䅁䙁䕁䍳丱祓剤䅆䍄䉁䅁䅁杂䅁䅁䅍䅄䅁䅁䅯眫䅣䅁䅯䅖䅣䅁䅯杣䅣䅁䅕䅁䅁䝁噃欵䭁䑁䙉䅁䉁䅁䅁允䅁䅁䅯䅬䅅䅁杷允䅁䅁䅕䅁䑁䅁䅷䅁䭁偁䡳䅁䭁䙁䡍䅁䙁䅁䅁䅁杂敬䅚权祁兂䅁允䅁䅁䅅䅁䭁䩁䉑䅁䵁䅉䅅䅁䝁䅁䅁睁䵁䅁䅁权偄睂䅁权啂睂䅁权祂睂䅁兂䅁䅁䅁䩙浘䅑䅯杍䅕䅁䅅䅁䉁䅁䅁兂权硎灗䩍剙䅑杷允䅁䅁䅕䅁䑁䅁䅷䅁䭁䵁䠸䅁䭁䙁䡍䅁䙁䅁䅁䅁杂敬䅚权祁兂䅁允䅁䅁䅅䅁䙁䵁䙡祁婆䉯䅆䍄䉁䅁䅁杂䅁䅁䅍䅄䅁䅁䅯杹䅣䅁䅯䅖䅣䅁䅯杣䅣䅁䅕䅁䅁䝁噃欵䭁䑁䙉䅁䉁䅁䅁允䅁䅁䅕䑯噣呱坃啅䵁䅉䅅䅁䙁䅁䅁睁䵁䅁䅁权䭄睂䅁权呂睂䅁兂䅁䅁䅁䩙浘䅑䅯杍䅕䅁䅅䅁䉁䅁䅁兂䝄全桍慗剁䅑杷允䅁䅁䅕䅁䑁䅁䅷䅁䭁䵁䡫䅁䭁䙁䡍䅁䙁䅁䅁䅁杂敬䅚权祁兂䅁允䅁䅁䅅䅁䙁䉁扨䡃兊杁䅨䍄䉁䅁䅁杂䅁䅁䅍䅄䅁䅁䅯朱䅣䅁䅯䅖䅣䅁䅯杣䅣䅁䅕䅁䅁䝁噃欵䭁䑁䙉䅁䉁䅁䅁允䅁䅁䅕㤲她牮歁啅䵁䅉䅅䅁䝁䅁䅁睁䵁䅁䅁权楄睂䅁权啂睂䅁权祂睂䅁兂䅁䅁䅁䩙浘䅑䅯杍䅕䅁䅅䅁䉁䅁䅁兂扄䨳敩䍳剑䅑杷允䅁䅁䅙䅁䑁䅁䅷䅁䭁佁䡅䅁䭁䙁䡑䅁䭁䡁䡉䅁䙁䅁䅁䅁杂敬䅚权祁兂䅁允䅁䅁䅅䅁䙁乁捶䩭眶䉊䅆䍄䉁䅁䅁杂䅁䅁䅍䅄䅁䅁䅯眰䅣䅁䅯䅖䅣䅁䅯杣䅣䅁䅕䅁䅁䝁噃欵䭁䑁䙉䅁䉁䅁䅁允䅁䅁䅕瑮䉌樫渹啅䵁䅉䅅䅁䝁䅁䅁睁䵁䅁䅁权佄睂䅁权啂睂䅁权祂睂䅁兂䅁䅁䅁䩙浘䅑䅯杍䅕䅁䅅䅁䉁䅁䅁兂敃猰㙈㉐剣䅑杷允䅁䅁䅕䅁䑁䅁䅷䅁䭁䵁䠴䅁䭁䙁䡍䅁䙁䅁䅁䅁杂敬䅚权祁兂䅁允䅁䅁䅅䅁䙁䕁䍳丱祓剤䅆䍄䉁䅁䅁杂䅁䅁䅍䅄䅁䅁䅯儰䅣䅁䅯䅖䅣䅁䅯杣䅣䅁䅕䅁䅁䝁噃欵䭁䑁䙉䅁䉁䅁䅁允䅁䅁䅕瑮䉌樫渹啅䵁䅉䅅䅁䙁䅁䅁睁䵁䅁䅁权䵄睂䅁权呂睂䅁兂䅁䅁䅁䩙浘䅑䅯杍䅕䅁䅅䅁䉁䅁䅁兂煄灳奪偦塷䅑杷允䅁䅁䅍䅁䑁䅁䅷䅁䭁偁䡷䅁䭁䩁䘴䅁䉁䅁䅁允䅁䅁䅣䅁䅁䥁偃欵䵁䅉䅅䅁䑁䅁䅁睁䵁䅁䅁权㝄睂䅁权敃兂䅁允䅁䅁䅅䅁䡁䅁䅁䅁䅃⭪䅚</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</si>
</sst>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3" formatCode="_(* #,##0.00_);_(* \(#,##0.00\);_(* &quot;-&quot;??_);_(@_)"/>
    <numFmt numFmtId="164" formatCode="#,##0.0"/>
    <numFmt numFmtId="165" formatCode="#,##0.0000"/>
    <numFmt numFmtId="166" formatCode="0.0"/>
    <numFmt numFmtId="167" formatCode="0.0%_);\(0.0%\);0.0%_);@_)"/>
    <numFmt numFmtId="168" formatCode="0.000"/>
    <numFmt numFmtId="169" formatCode="#,##0.0_);\(#,##0.0\)"/>
    <numFmt numFmtId="170" formatCode="0.0%"/>
    <numFmt numFmtId="171" formatCode="_(* #,##0_);_(* \(#,##0\);_(* &quot;-&quot;??_);_(@_)"/>
    <numFmt numFmtId="172" formatCode="0.000%"/>
    <numFmt numFmtId="173" formatCode="0.0%;\(0.0%\)"/>
    <numFmt numFmtId="174" formatCode="0.0\x"/>
    <numFmt numFmtId="175" formatCode="####"/>
    <numFmt numFmtId="176" formatCode="#,##0;\(#,##0\)"/>
    <numFmt numFmtId="177" formatCode="0.0%_);\(0.0%\)"/>
    <numFmt numFmtId="178" formatCode="mm/dd/yyyy"/>
    <numFmt numFmtId="179" formatCode="####&quot;E&quot;"/>
    <numFmt numFmtId="180" formatCode="0.00\x"/>
    <numFmt numFmtId="181" formatCode="mm/dd/yy"/>
    <numFmt numFmtId="182" formatCode="#,##0.0;\(#,##0.0\)"/>
    <numFmt numFmtId="183" formatCode="#,##0.00;\(#,##0.00\)"/>
    <numFmt numFmtId="184" formatCode="0.0000"/>
    <numFmt numFmtId="185" formatCode="0%;\(0%\)"/>
    <numFmt numFmtId="186" formatCode="0.0%;\(0.0%"/>
    <numFmt numFmtId="187" formatCode="#,##0.000"/>
    <numFmt numFmtId="188" formatCode="0.00000"/>
    <numFmt numFmtId="189" formatCode="#,##0.00000"/>
    <numFmt numFmtId="190" formatCode="0.00%;\(0.00%\)"/>
  </numFmts>
  <fonts count="54" x14ac:knownFonts="1">
    <font>
      <sz val="8"/>
      <color theme="1"/>
      <name val="Arial"/>
      <family val="2"/>
    </font>
    <font>
      <sz val="11"/>
      <color theme="1"/>
      <name val="Calibri"/>
      <family val="2"/>
      <scheme val="minor"/>
    </font>
    <font>
      <sz val="8"/>
      <color theme="1"/>
      <name val="Arial"/>
      <family val="2"/>
    </font>
    <font>
      <sz val="8"/>
      <name val="Arial"/>
      <family val="2"/>
    </font>
    <font>
      <b/>
      <sz val="8"/>
      <name val="Arial"/>
      <family val="2"/>
    </font>
    <font>
      <sz val="8"/>
      <color rgb="FF000000"/>
      <name val="Arial"/>
      <family val="2"/>
    </font>
    <font>
      <b/>
      <sz val="18"/>
      <color theme="1"/>
      <name val="Arial"/>
      <family val="2"/>
    </font>
    <font>
      <sz val="8"/>
      <color indexed="56"/>
      <name val="Arial"/>
      <family val="2"/>
    </font>
    <font>
      <sz val="8"/>
      <color indexed="17"/>
      <name val="Arial"/>
      <family val="2"/>
    </font>
    <font>
      <i/>
      <sz val="8"/>
      <color rgb="FF525252"/>
      <name val="Arial"/>
      <family val="2"/>
    </font>
    <font>
      <sz val="8"/>
      <color indexed="12"/>
      <name val="Arial"/>
      <family val="2"/>
    </font>
    <font>
      <i/>
      <sz val="8"/>
      <name val="Arial"/>
      <family val="2"/>
    </font>
    <font>
      <u/>
      <sz val="8"/>
      <color indexed="12"/>
      <name val="Arial"/>
      <family val="2"/>
    </font>
    <font>
      <i/>
      <sz val="8"/>
      <color indexed="23"/>
      <name val="Arial"/>
      <family val="2"/>
    </font>
    <font>
      <b/>
      <sz val="8"/>
      <color rgb="FF525252"/>
      <name val="Arial"/>
      <family val="2"/>
    </font>
    <font>
      <b/>
      <sz val="8"/>
      <color rgb="FF223D92"/>
      <name val="Arial"/>
      <family val="2"/>
    </font>
    <font>
      <sz val="8"/>
      <color indexed="8"/>
      <name val="Arial"/>
      <family val="2"/>
    </font>
    <font>
      <b/>
      <sz val="8"/>
      <color indexed="8"/>
      <name val="Arial"/>
      <family val="2"/>
    </font>
    <font>
      <sz val="8"/>
      <color rgb="FF008000"/>
      <name val="Arial"/>
      <family val="2"/>
    </font>
    <font>
      <b/>
      <sz val="8"/>
      <color rgb="FF008000"/>
      <name val="Arial"/>
      <family val="2"/>
    </font>
    <font>
      <b/>
      <sz val="8"/>
      <color theme="0"/>
      <name val="Arial"/>
      <family val="2"/>
    </font>
    <font>
      <sz val="8"/>
      <color rgb="FF0000FF"/>
      <name val="Arial"/>
      <family val="2"/>
    </font>
    <font>
      <b/>
      <sz val="12"/>
      <color theme="1"/>
      <name val="Arial"/>
      <family val="2"/>
    </font>
    <font>
      <b/>
      <u/>
      <sz val="9"/>
      <color theme="1"/>
      <name val="Arial"/>
      <family val="2"/>
    </font>
    <font>
      <sz val="10"/>
      <name val="Times New Roman"/>
      <family val="1"/>
    </font>
    <font>
      <b/>
      <sz val="8"/>
      <color indexed="9"/>
      <name val="Arial"/>
      <family val="2"/>
    </font>
    <font>
      <sz val="8"/>
      <color indexed="9"/>
      <name val="Arial"/>
      <family val="2"/>
    </font>
    <font>
      <b/>
      <sz val="8"/>
      <color indexed="12"/>
      <name val="Arial"/>
      <family val="2"/>
    </font>
    <font>
      <vertAlign val="superscript"/>
      <sz val="8"/>
      <name val="Arial"/>
      <family val="2"/>
    </font>
    <font>
      <b/>
      <sz val="8"/>
      <color rgb="FF0000FF"/>
      <name val="Arial"/>
      <family val="2"/>
    </font>
    <font>
      <b/>
      <sz val="8"/>
      <color rgb="FF000000"/>
      <name val="Arial"/>
      <family val="2"/>
    </font>
    <font>
      <b/>
      <sz val="8"/>
      <color theme="1"/>
      <name val="Arial"/>
      <family val="2"/>
    </font>
    <font>
      <sz val="10"/>
      <name val="Arial"/>
      <family val="2"/>
    </font>
    <font>
      <b/>
      <i/>
      <sz val="8"/>
      <name val="Arial"/>
      <family val="2"/>
    </font>
    <font>
      <b/>
      <sz val="9"/>
      <color indexed="81"/>
      <name val="Tahoma"/>
      <family val="2"/>
    </font>
    <font>
      <sz val="9"/>
      <color indexed="81"/>
      <name val="Tahoma"/>
      <family val="2"/>
    </font>
    <font>
      <b/>
      <sz val="8"/>
      <color theme="4"/>
      <name val="Arial"/>
      <family val="2"/>
    </font>
    <font>
      <i/>
      <sz val="8"/>
      <color indexed="12"/>
      <name val="Arial"/>
      <family val="2"/>
    </font>
    <font>
      <i/>
      <sz val="8"/>
      <color rgb="FF0000FF"/>
      <name val="Arial"/>
      <family val="2"/>
    </font>
    <font>
      <b/>
      <sz val="10"/>
      <color indexed="81"/>
      <name val="Tahoma"/>
      <family val="2"/>
    </font>
    <font>
      <sz val="6"/>
      <color indexed="81"/>
      <name val="Tahoma"/>
      <family val="2"/>
    </font>
    <font>
      <b/>
      <u/>
      <sz val="9"/>
      <color indexed="81"/>
      <name val="Tahoma"/>
      <family val="2"/>
    </font>
    <font>
      <b/>
      <u/>
      <sz val="8"/>
      <name val="Arial"/>
      <family val="2"/>
    </font>
    <font>
      <i/>
      <sz val="8"/>
      <color indexed="8"/>
      <name val="Arial"/>
      <family val="2"/>
    </font>
    <font>
      <sz val="10"/>
      <color theme="1"/>
      <name val="Arial"/>
      <family val="2"/>
    </font>
    <font>
      <b/>
      <u/>
      <sz val="8"/>
      <color theme="1"/>
      <name val="Arial"/>
      <family val="2"/>
    </font>
    <font>
      <sz val="8"/>
      <color rgb="FF525252"/>
      <name val="Arial"/>
      <family val="2"/>
    </font>
    <font>
      <u/>
      <sz val="8"/>
      <color rgb="FF223D92"/>
      <name val="Arial"/>
      <family val="2"/>
    </font>
    <font>
      <b/>
      <sz val="18"/>
      <name val="Arial"/>
      <family val="2"/>
    </font>
    <font>
      <b/>
      <sz val="14"/>
      <name val="Arial"/>
      <family val="2"/>
    </font>
    <font>
      <sz val="11"/>
      <name val="Calibri"/>
      <family val="2"/>
    </font>
    <font>
      <b/>
      <sz val="8"/>
      <color rgb="FFFFFFFF"/>
      <name val="Arial"/>
      <family val="2"/>
    </font>
    <font>
      <i/>
      <sz val="8"/>
      <color theme="1"/>
      <name val="Arial"/>
      <family val="2"/>
    </font>
    <font>
      <b/>
      <sz val="14"/>
      <color theme="1"/>
      <name val="Arial"/>
      <family val="2"/>
    </font>
  </fonts>
  <fills count="7">
    <fill>
      <patternFill patternType="none"/>
    </fill>
    <fill>
      <patternFill patternType="gray125"/>
    </fill>
    <fill>
      <patternFill patternType="solid">
        <fgColor rgb="FFFFFFCC"/>
        <bgColor indexed="64"/>
      </patternFill>
    </fill>
    <fill>
      <patternFill patternType="solid">
        <fgColor theme="0" tint="-0.14999847407452621"/>
        <bgColor indexed="64"/>
      </patternFill>
    </fill>
    <fill>
      <patternFill patternType="solid">
        <fgColor rgb="FF525252"/>
        <bgColor indexed="64"/>
      </patternFill>
    </fill>
    <fill>
      <patternFill patternType="solid">
        <fgColor theme="0"/>
        <bgColor indexed="64"/>
      </patternFill>
    </fill>
    <fill>
      <patternFill patternType="solid">
        <fgColor indexed="9"/>
        <bgColor indexed="64"/>
      </patternFill>
    </fill>
  </fills>
  <borders count="35">
    <border>
      <left/>
      <right/>
      <top/>
      <bottom/>
      <diagonal/>
    </border>
    <border>
      <left/>
      <right/>
      <top style="thin">
        <color indexed="64"/>
      </top>
      <bottom/>
      <diagonal/>
    </border>
    <border>
      <left style="thin">
        <color rgb="FF525252"/>
      </left>
      <right style="thin">
        <color rgb="FF525252"/>
      </right>
      <top style="thin">
        <color rgb="FF525252"/>
      </top>
      <bottom style="thin">
        <color rgb="FF525252"/>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23"/>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medium">
        <color indexed="64"/>
      </bottom>
      <diagonal/>
    </border>
    <border>
      <left/>
      <right/>
      <top/>
      <bottom style="medium">
        <color rgb="FF525252"/>
      </bottom>
      <diagonal/>
    </border>
    <border>
      <left style="thin">
        <color rgb="FF525252"/>
      </left>
      <right/>
      <top style="thin">
        <color rgb="FF525252"/>
      </top>
      <bottom style="thin">
        <color rgb="FF525252"/>
      </bottom>
      <diagonal/>
    </border>
    <border>
      <left/>
      <right style="thin">
        <color rgb="FF525252"/>
      </right>
      <top style="thin">
        <color rgb="FF525252"/>
      </top>
      <bottom style="thin">
        <color rgb="FF525252"/>
      </bottom>
      <diagonal/>
    </border>
    <border>
      <left style="thin">
        <color rgb="FF525252"/>
      </left>
      <right style="thin">
        <color rgb="FF525252"/>
      </right>
      <top style="thin">
        <color indexed="64"/>
      </top>
      <bottom style="thin">
        <color rgb="FF525252"/>
      </bottom>
      <diagonal/>
    </border>
    <border>
      <left/>
      <right/>
      <top style="thin">
        <color rgb="FF525252"/>
      </top>
      <bottom style="thin">
        <color rgb="FF525252"/>
      </bottom>
      <diagonal/>
    </border>
    <border>
      <left style="thin">
        <color rgb="FF999999"/>
      </left>
      <right style="thin">
        <color rgb="FF999999"/>
      </right>
      <top style="thin">
        <color rgb="FF999999"/>
      </top>
      <bottom style="thin">
        <color rgb="FF999999"/>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top/>
      <bottom style="thin">
        <color rgb="FF525252"/>
      </bottom>
      <diagonal/>
    </border>
  </borders>
  <cellStyleXfs count="16">
    <xf numFmtId="0" fontId="0" fillId="0" borderId="0"/>
    <xf numFmtId="9" fontId="2" fillId="0" borderId="0" applyFont="0" applyFill="0" applyBorder="0" applyAlignment="0" applyProtection="0"/>
    <xf numFmtId="0" fontId="12" fillId="0" borderId="0" applyNumberFormat="0" applyFill="0" applyBorder="0" applyAlignment="0" applyProtection="0">
      <alignment vertical="top"/>
      <protection locked="0"/>
    </xf>
    <xf numFmtId="0" fontId="16" fillId="0" borderId="0"/>
    <xf numFmtId="43" fontId="2" fillId="0" borderId="0" applyFont="0" applyFill="0" applyBorder="0" applyAlignment="0" applyProtection="0"/>
    <xf numFmtId="0" fontId="24" fillId="0" borderId="0"/>
    <xf numFmtId="0" fontId="32" fillId="0" borderId="0"/>
    <xf numFmtId="0" fontId="24" fillId="0" borderId="0"/>
    <xf numFmtId="0" fontId="1" fillId="0" borderId="0"/>
    <xf numFmtId="0" fontId="3" fillId="0" borderId="0"/>
    <xf numFmtId="0" fontId="1" fillId="0" borderId="0"/>
    <xf numFmtId="0" fontId="2" fillId="0" borderId="0"/>
    <xf numFmtId="0" fontId="2" fillId="0" borderId="0"/>
    <xf numFmtId="0" fontId="44" fillId="0" borderId="24" applyNumberFormat="0" applyFont="0" applyFill="0" applyProtection="0">
      <alignment vertical="top" wrapText="1"/>
    </xf>
    <xf numFmtId="0" fontId="3" fillId="0" borderId="0"/>
    <xf numFmtId="0" fontId="50" fillId="0" borderId="0"/>
  </cellStyleXfs>
  <cellXfs count="498">
    <xf numFmtId="0" fontId="0" fillId="0" borderId="0" xfId="0"/>
    <xf numFmtId="0" fontId="0" fillId="0" borderId="0" xfId="0" applyAlignment="1">
      <alignment horizontal="left"/>
    </xf>
    <xf numFmtId="0" fontId="0" fillId="0" borderId="0" xfId="0" applyAlignment="1">
      <alignment horizontal="right"/>
    </xf>
    <xf numFmtId="14" fontId="0" fillId="0" borderId="0" xfId="0" applyNumberFormat="1" applyAlignment="1">
      <alignment horizontal="right"/>
    </xf>
    <xf numFmtId="4" fontId="0" fillId="0" borderId="0" xfId="0" applyNumberFormat="1" applyAlignment="1">
      <alignment horizontal="right"/>
    </xf>
    <xf numFmtId="14" fontId="0" fillId="0" borderId="0" xfId="0" applyNumberFormat="1"/>
    <xf numFmtId="3" fontId="0" fillId="0" borderId="0" xfId="0" applyNumberFormat="1" applyAlignment="1">
      <alignment horizontal="right"/>
    </xf>
    <xf numFmtId="0" fontId="3" fillId="0" borderId="0" xfId="0" applyFont="1"/>
    <xf numFmtId="0" fontId="4" fillId="0" borderId="0" xfId="0" applyFont="1"/>
    <xf numFmtId="0" fontId="6" fillId="0" borderId="0" xfId="0" applyFont="1" applyAlignment="1">
      <alignment horizontal="left" vertical="center" indent="24"/>
    </xf>
    <xf numFmtId="0" fontId="11" fillId="0" borderId="0" xfId="0" applyFont="1" applyAlignment="1">
      <alignment horizontal="right"/>
    </xf>
    <xf numFmtId="0" fontId="12" fillId="0" borderId="0" xfId="2" applyFill="1" applyBorder="1" applyAlignment="1" applyProtection="1">
      <alignment vertical="center" wrapText="1"/>
    </xf>
    <xf numFmtId="0" fontId="12" fillId="0" borderId="3" xfId="2" applyFill="1" applyBorder="1" applyAlignment="1" applyProtection="1">
      <alignment vertical="center" wrapText="1"/>
    </xf>
    <xf numFmtId="0" fontId="15" fillId="0" borderId="0" xfId="2" applyFont="1" applyFill="1" applyBorder="1" applyAlignment="1" applyProtection="1">
      <alignment vertical="center" wrapText="1"/>
    </xf>
    <xf numFmtId="0" fontId="0" fillId="0" borderId="6" xfId="0" applyBorder="1"/>
    <xf numFmtId="0" fontId="0" fillId="0" borderId="3" xfId="0" applyBorder="1"/>
    <xf numFmtId="0" fontId="0" fillId="0" borderId="15" xfId="0" applyBorder="1" applyAlignment="1">
      <alignment horizontal="left"/>
    </xf>
    <xf numFmtId="0" fontId="0" fillId="0" borderId="16" xfId="0" applyBorder="1" applyAlignment="1">
      <alignment horizontal="left"/>
    </xf>
    <xf numFmtId="0" fontId="0" fillId="0" borderId="17" xfId="0" applyBorder="1"/>
    <xf numFmtId="4" fontId="0" fillId="0" borderId="15" xfId="0" applyNumberFormat="1" applyBorder="1" applyAlignment="1">
      <alignment horizontal="right"/>
    </xf>
    <xf numFmtId="4" fontId="0" fillId="0" borderId="16" xfId="0" applyNumberFormat="1" applyBorder="1" applyAlignment="1">
      <alignment horizontal="right"/>
    </xf>
    <xf numFmtId="3" fontId="0" fillId="0" borderId="16" xfId="0" applyNumberFormat="1" applyBorder="1" applyAlignment="1">
      <alignment horizontal="right"/>
    </xf>
    <xf numFmtId="164" fontId="0" fillId="0" borderId="16" xfId="0" applyNumberFormat="1" applyBorder="1" applyAlignment="1">
      <alignment horizontal="right"/>
    </xf>
    <xf numFmtId="0" fontId="0" fillId="0" borderId="13" xfId="0" applyBorder="1"/>
    <xf numFmtId="0" fontId="0" fillId="0" borderId="1" xfId="0" applyBorder="1"/>
    <xf numFmtId="0" fontId="0" fillId="0" borderId="14" xfId="0" applyBorder="1"/>
    <xf numFmtId="0" fontId="0" fillId="0" borderId="10" xfId="0" applyBorder="1"/>
    <xf numFmtId="0" fontId="0" fillId="0" borderId="11" xfId="0" applyBorder="1"/>
    <xf numFmtId="0" fontId="0" fillId="0" borderId="7" xfId="0" applyBorder="1"/>
    <xf numFmtId="0" fontId="19" fillId="0" borderId="13" xfId="0" applyFont="1" applyBorder="1"/>
    <xf numFmtId="0" fontId="19" fillId="0" borderId="0" xfId="0" applyFont="1"/>
    <xf numFmtId="14" fontId="18" fillId="0" borderId="0" xfId="0" applyNumberFormat="1" applyFont="1"/>
    <xf numFmtId="0" fontId="18" fillId="0" borderId="14" xfId="0" applyFont="1" applyBorder="1" applyAlignment="1">
      <alignment horizontal="right"/>
    </xf>
    <xf numFmtId="0" fontId="18" fillId="0" borderId="1" xfId="0" applyFont="1" applyBorder="1" applyAlignment="1">
      <alignment horizontal="left"/>
    </xf>
    <xf numFmtId="0" fontId="18" fillId="0" borderId="0" xfId="0" applyFont="1" applyAlignment="1">
      <alignment horizontal="left"/>
    </xf>
    <xf numFmtId="0" fontId="18" fillId="0" borderId="13" xfId="0" applyFont="1" applyBorder="1" applyAlignment="1">
      <alignment horizontal="left"/>
    </xf>
    <xf numFmtId="4" fontId="18" fillId="0" borderId="14" xfId="0" applyNumberFormat="1" applyFont="1" applyBorder="1" applyAlignment="1">
      <alignment horizontal="left"/>
    </xf>
    <xf numFmtId="0" fontId="18" fillId="0" borderId="10" xfId="0" applyFont="1" applyBorder="1" applyAlignment="1">
      <alignment horizontal="left"/>
    </xf>
    <xf numFmtId="4" fontId="18" fillId="0" borderId="11" xfId="0" applyNumberFormat="1" applyFont="1" applyBorder="1" applyAlignment="1">
      <alignment horizontal="left"/>
    </xf>
    <xf numFmtId="0" fontId="18" fillId="0" borderId="11" xfId="0" applyFont="1" applyBorder="1" applyAlignment="1">
      <alignment horizontal="left"/>
    </xf>
    <xf numFmtId="0" fontId="20" fillId="4" borderId="0" xfId="0" applyFont="1" applyFill="1"/>
    <xf numFmtId="0" fontId="4" fillId="0" borderId="18" xfId="0" applyFont="1" applyBorder="1"/>
    <xf numFmtId="0" fontId="3" fillId="0" borderId="9" xfId="0" applyFont="1" applyBorder="1"/>
    <xf numFmtId="0" fontId="0" fillId="0" borderId="15" xfId="0" applyBorder="1"/>
    <xf numFmtId="0" fontId="0" fillId="0" borderId="16" xfId="0" applyBorder="1"/>
    <xf numFmtId="4" fontId="0" fillId="0" borderId="0" xfId="0" applyNumberFormat="1"/>
    <xf numFmtId="0" fontId="0" fillId="0" borderId="19" xfId="0" applyBorder="1"/>
    <xf numFmtId="0" fontId="0" fillId="0" borderId="0" xfId="0" applyAlignment="1">
      <alignment horizontal="left" indent="3"/>
    </xf>
    <xf numFmtId="0" fontId="7" fillId="0" borderId="3" xfId="0" applyFont="1" applyBorder="1" applyAlignment="1">
      <alignment vertical="center"/>
    </xf>
    <xf numFmtId="0" fontId="0" fillId="0" borderId="0" xfId="0" applyAlignment="1">
      <alignment horizontal="left" indent="4"/>
    </xf>
    <xf numFmtId="0" fontId="0" fillId="0" borderId="0" xfId="0" applyAlignment="1">
      <alignment horizontal="left" indent="5"/>
    </xf>
    <xf numFmtId="0" fontId="6" fillId="0" borderId="0" xfId="0" applyFont="1" applyAlignment="1">
      <alignment horizontal="left" vertical="center" indent="4"/>
    </xf>
    <xf numFmtId="0" fontId="4" fillId="0" borderId="0" xfId="0" applyFont="1" applyAlignment="1">
      <alignment horizontal="right"/>
    </xf>
    <xf numFmtId="0" fontId="4" fillId="0" borderId="3" xfId="0" applyFont="1" applyBorder="1"/>
    <xf numFmtId="0" fontId="4" fillId="0" borderId="3" xfId="0" applyFont="1" applyBorder="1" applyAlignment="1">
      <alignment horizontal="right"/>
    </xf>
    <xf numFmtId="170" fontId="3" fillId="0" borderId="0" xfId="1" applyNumberFormat="1" applyFont="1" applyAlignment="1">
      <alignment horizontal="right"/>
    </xf>
    <xf numFmtId="168" fontId="3" fillId="0" borderId="0" xfId="0" applyNumberFormat="1" applyFont="1" applyAlignment="1">
      <alignment horizontal="right"/>
    </xf>
    <xf numFmtId="171" fontId="27" fillId="0" borderId="0" xfId="4" applyNumberFormat="1" applyFont="1" applyFill="1" applyBorder="1"/>
    <xf numFmtId="0" fontId="8" fillId="0" borderId="0" xfId="0" applyFont="1"/>
    <xf numFmtId="168" fontId="8" fillId="0" borderId="0" xfId="0" applyNumberFormat="1" applyFont="1"/>
    <xf numFmtId="169" fontId="8" fillId="0" borderId="0" xfId="0" applyNumberFormat="1" applyFont="1"/>
    <xf numFmtId="170" fontId="3" fillId="0" borderId="0" xfId="1" applyNumberFormat="1" applyFont="1"/>
    <xf numFmtId="168" fontId="3" fillId="0" borderId="0" xfId="0" applyNumberFormat="1" applyFont="1"/>
    <xf numFmtId="0" fontId="4" fillId="0" borderId="4" xfId="0" applyFont="1" applyBorder="1"/>
    <xf numFmtId="0" fontId="4" fillId="0" borderId="9" xfId="0" applyFont="1" applyBorder="1"/>
    <xf numFmtId="170" fontId="4" fillId="0" borderId="9" xfId="1" applyNumberFormat="1" applyFont="1" applyBorder="1"/>
    <xf numFmtId="0" fontId="10" fillId="0" borderId="0" xfId="0" applyFont="1" applyAlignment="1">
      <alignment horizontal="center"/>
    </xf>
    <xf numFmtId="0" fontId="16" fillId="0" borderId="0" xfId="0" applyFont="1"/>
    <xf numFmtId="37" fontId="28" fillId="0" borderId="9" xfId="0" applyNumberFormat="1" applyFont="1" applyBorder="1" applyAlignment="1">
      <alignment horizontal="left"/>
    </xf>
    <xf numFmtId="0" fontId="3" fillId="0" borderId="3" xfId="0" applyFont="1" applyBorder="1"/>
    <xf numFmtId="0" fontId="3" fillId="0" borderId="10" xfId="0" applyFont="1" applyBorder="1"/>
    <xf numFmtId="0" fontId="3" fillId="0" borderId="11" xfId="0" applyFont="1" applyBorder="1"/>
    <xf numFmtId="0" fontId="4" fillId="0" borderId="10" xfId="0" applyFont="1" applyBorder="1" applyAlignment="1">
      <alignment horizontal="center"/>
    </xf>
    <xf numFmtId="0" fontId="4" fillId="0" borderId="3" xfId="0" applyFont="1" applyBorder="1" applyAlignment="1">
      <alignment horizontal="centerContinuous"/>
    </xf>
    <xf numFmtId="0" fontId="3" fillId="0" borderId="3" xfId="0" applyFont="1" applyBorder="1" applyAlignment="1">
      <alignment horizontal="centerContinuous"/>
    </xf>
    <xf numFmtId="0" fontId="3" fillId="0" borderId="7" xfId="0" applyFont="1" applyBorder="1" applyAlignment="1">
      <alignment horizontal="centerContinuous"/>
    </xf>
    <xf numFmtId="10" fontId="4" fillId="0" borderId="9" xfId="0" applyNumberFormat="1" applyFont="1" applyBorder="1" applyAlignment="1">
      <alignment horizontal="center"/>
    </xf>
    <xf numFmtId="10" fontId="4" fillId="0" borderId="5" xfId="0" applyNumberFormat="1" applyFont="1" applyBorder="1" applyAlignment="1">
      <alignment horizontal="center"/>
    </xf>
    <xf numFmtId="170" fontId="4" fillId="0" borderId="10" xfId="0" applyNumberFormat="1" applyFont="1" applyBorder="1" applyAlignment="1">
      <alignment horizontal="right"/>
    </xf>
    <xf numFmtId="170" fontId="3" fillId="0" borderId="0" xfId="0" applyNumberFormat="1" applyFont="1" applyAlignment="1">
      <alignment horizontal="center"/>
    </xf>
    <xf numFmtId="170" fontId="3" fillId="0" borderId="11" xfId="0" applyNumberFormat="1" applyFont="1" applyBorder="1" applyAlignment="1">
      <alignment horizontal="center"/>
    </xf>
    <xf numFmtId="0" fontId="3" fillId="0" borderId="6" xfId="0" applyFont="1" applyBorder="1"/>
    <xf numFmtId="43" fontId="3" fillId="0" borderId="3" xfId="4" applyFont="1" applyBorder="1"/>
    <xf numFmtId="0" fontId="3" fillId="0" borderId="7" xfId="0" applyFont="1" applyBorder="1"/>
    <xf numFmtId="10" fontId="30" fillId="0" borderId="9" xfId="0" applyNumberFormat="1" applyFont="1" applyBorder="1" applyAlignment="1">
      <alignment horizontal="centerContinuous"/>
    </xf>
    <xf numFmtId="10" fontId="4" fillId="0" borderId="9" xfId="0" applyNumberFormat="1" applyFont="1" applyBorder="1" applyAlignment="1">
      <alignment horizontal="centerContinuous"/>
    </xf>
    <xf numFmtId="10" fontId="4" fillId="0" borderId="5" xfId="0" applyNumberFormat="1" applyFont="1" applyBorder="1" applyAlignment="1">
      <alignment horizontal="centerContinuous"/>
    </xf>
    <xf numFmtId="170" fontId="3" fillId="0" borderId="0" xfId="0" applyNumberFormat="1" applyFont="1" applyAlignment="1">
      <alignment horizontal="centerContinuous"/>
    </xf>
    <xf numFmtId="170" fontId="3" fillId="0" borderId="11" xfId="0" applyNumberFormat="1" applyFont="1" applyBorder="1" applyAlignment="1">
      <alignment horizontal="centerContinuous"/>
    </xf>
    <xf numFmtId="0" fontId="25" fillId="4" borderId="0" xfId="0" applyFont="1" applyFill="1" applyAlignment="1">
      <alignment vertical="center"/>
    </xf>
    <xf numFmtId="0" fontId="25" fillId="4" borderId="0" xfId="0" applyFont="1" applyFill="1"/>
    <xf numFmtId="0" fontId="26" fillId="4" borderId="0" xfId="0" applyFont="1" applyFill="1"/>
    <xf numFmtId="0" fontId="25" fillId="4" borderId="4" xfId="0" applyFont="1" applyFill="1" applyBorder="1" applyAlignment="1">
      <alignment vertical="center"/>
    </xf>
    <xf numFmtId="0" fontId="25" fillId="4" borderId="9" xfId="0" applyFont="1" applyFill="1" applyBorder="1"/>
    <xf numFmtId="0" fontId="26" fillId="4" borderId="9" xfId="0" applyFont="1" applyFill="1" applyBorder="1"/>
    <xf numFmtId="0" fontId="26" fillId="4" borderId="5" xfId="0" applyFont="1" applyFill="1" applyBorder="1"/>
    <xf numFmtId="0" fontId="3" fillId="0" borderId="0" xfId="0" applyFont="1" applyAlignment="1">
      <alignment horizontal="left"/>
    </xf>
    <xf numFmtId="167" fontId="3" fillId="0" borderId="0" xfId="0" applyNumberFormat="1" applyFont="1" applyAlignment="1">
      <alignment horizontal="right"/>
    </xf>
    <xf numFmtId="169" fontId="3" fillId="0" borderId="0" xfId="0" applyNumberFormat="1" applyFont="1" applyAlignment="1">
      <alignment horizontal="right"/>
    </xf>
    <xf numFmtId="0" fontId="19" fillId="0" borderId="10" xfId="0" applyFont="1" applyBorder="1"/>
    <xf numFmtId="0" fontId="9" fillId="0" borderId="0" xfId="0" applyFont="1" applyAlignment="1">
      <alignment horizontal="left" indent="6"/>
    </xf>
    <xf numFmtId="10" fontId="29" fillId="2" borderId="9" xfId="0" applyNumberFormat="1" applyFont="1" applyFill="1" applyBorder="1" applyAlignment="1">
      <alignment horizontal="centerContinuous"/>
    </xf>
    <xf numFmtId="170" fontId="29" fillId="2" borderId="10" xfId="0" applyNumberFormat="1" applyFont="1" applyFill="1" applyBorder="1" applyAlignment="1">
      <alignment horizontal="right"/>
    </xf>
    <xf numFmtId="10" fontId="27" fillId="2" borderId="9" xfId="0" applyNumberFormat="1" applyFont="1" applyFill="1" applyBorder="1" applyAlignment="1">
      <alignment horizontal="center"/>
    </xf>
    <xf numFmtId="172" fontId="10" fillId="2" borderId="15" xfId="0" applyNumberFormat="1" applyFont="1" applyFill="1" applyBorder="1" applyAlignment="1">
      <alignment horizontal="center"/>
    </xf>
    <xf numFmtId="172" fontId="10" fillId="2" borderId="8" xfId="0" applyNumberFormat="1" applyFont="1" applyFill="1" applyBorder="1" applyAlignment="1">
      <alignment horizontal="center"/>
    </xf>
    <xf numFmtId="172" fontId="10" fillId="2" borderId="17" xfId="0" applyNumberFormat="1" applyFont="1" applyFill="1" applyBorder="1" applyAlignment="1">
      <alignment horizontal="center"/>
    </xf>
    <xf numFmtId="170" fontId="0" fillId="0" borderId="0" xfId="1" applyNumberFormat="1" applyFont="1" applyAlignment="1">
      <alignment horizontal="right"/>
    </xf>
    <xf numFmtId="170" fontId="0" fillId="0" borderId="0" xfId="0" applyNumberFormat="1" applyAlignment="1">
      <alignment horizontal="right"/>
    </xf>
    <xf numFmtId="170" fontId="21" fillId="2" borderId="2" xfId="0" applyNumberFormat="1" applyFont="1" applyFill="1" applyBorder="1" applyAlignment="1">
      <alignment horizontal="right"/>
    </xf>
    <xf numFmtId="170" fontId="0" fillId="0" borderId="9" xfId="0" applyNumberFormat="1" applyBorder="1" applyAlignment="1">
      <alignment horizontal="right"/>
    </xf>
    <xf numFmtId="170" fontId="4" fillId="0" borderId="18" xfId="0" applyNumberFormat="1" applyFont="1" applyBorder="1" applyAlignment="1">
      <alignment horizontal="right"/>
    </xf>
    <xf numFmtId="37" fontId="3" fillId="0" borderId="0" xfId="0" applyNumberFormat="1" applyFont="1" applyAlignment="1">
      <alignment horizontal="right"/>
    </xf>
    <xf numFmtId="168" fontId="4" fillId="0" borderId="9" xfId="5" applyNumberFormat="1" applyFont="1" applyBorder="1" applyAlignment="1">
      <alignment horizontal="right"/>
    </xf>
    <xf numFmtId="0" fontId="19" fillId="3" borderId="13" xfId="0" applyFont="1" applyFill="1" applyBorder="1"/>
    <xf numFmtId="0" fontId="18" fillId="3" borderId="10" xfId="0" applyFont="1" applyFill="1" applyBorder="1"/>
    <xf numFmtId="0" fontId="18" fillId="3" borderId="0" xfId="0" applyFont="1" applyFill="1"/>
    <xf numFmtId="0" fontId="18" fillId="3" borderId="11" xfId="0" applyFont="1" applyFill="1" applyBorder="1"/>
    <xf numFmtId="164" fontId="0" fillId="0" borderId="0" xfId="0" applyNumberFormat="1" applyAlignment="1">
      <alignment horizontal="right"/>
    </xf>
    <xf numFmtId="3" fontId="0" fillId="0" borderId="11" xfId="0" applyNumberFormat="1" applyBorder="1" applyAlignment="1">
      <alignment horizontal="right"/>
    </xf>
    <xf numFmtId="4" fontId="0" fillId="0" borderId="3" xfId="0" applyNumberFormat="1" applyBorder="1" applyAlignment="1">
      <alignment horizontal="right"/>
    </xf>
    <xf numFmtId="3" fontId="0" fillId="0" borderId="3" xfId="0" applyNumberFormat="1" applyBorder="1" applyAlignment="1">
      <alignment horizontal="right"/>
    </xf>
    <xf numFmtId="164" fontId="0" fillId="0" borderId="3" xfId="0" applyNumberFormat="1" applyBorder="1" applyAlignment="1">
      <alignment horizontal="right"/>
    </xf>
    <xf numFmtId="3" fontId="0" fillId="0" borderId="7" xfId="0" applyNumberFormat="1" applyBorder="1" applyAlignment="1">
      <alignment horizontal="right"/>
    </xf>
    <xf numFmtId="0" fontId="18" fillId="3" borderId="7" xfId="0" applyFont="1" applyFill="1" applyBorder="1"/>
    <xf numFmtId="170" fontId="4" fillId="3" borderId="10" xfId="0" applyNumberFormat="1" applyFont="1" applyFill="1" applyBorder="1" applyAlignment="1">
      <alignment horizontal="right"/>
    </xf>
    <xf numFmtId="0" fontId="3" fillId="0" borderId="0" xfId="0" applyFont="1" applyAlignment="1">
      <alignment horizontal="left" indent="6"/>
    </xf>
    <xf numFmtId="0" fontId="3" fillId="0" borderId="0" xfId="0" applyFont="1" applyAlignment="1">
      <alignment horizontal="left" indent="1"/>
    </xf>
    <xf numFmtId="0" fontId="10" fillId="0" borderId="0" xfId="0" applyFont="1" applyAlignment="1">
      <alignment horizontal="left"/>
    </xf>
    <xf numFmtId="0" fontId="4" fillId="0" borderId="0" xfId="0" applyFont="1" applyAlignment="1">
      <alignment horizontal="left" indent="1"/>
    </xf>
    <xf numFmtId="0" fontId="13" fillId="0" borderId="0" xfId="0" applyFont="1" applyAlignment="1">
      <alignment horizontal="left" indent="2"/>
    </xf>
    <xf numFmtId="0" fontId="8" fillId="0" borderId="3" xfId="0" applyFont="1" applyBorder="1"/>
    <xf numFmtId="0" fontId="9" fillId="0" borderId="0" xfId="0" applyFont="1" applyAlignment="1">
      <alignment horizontal="right" indent="2"/>
    </xf>
    <xf numFmtId="170" fontId="3" fillId="0" borderId="0" xfId="0" applyNumberFormat="1" applyFont="1" applyAlignment="1">
      <alignment horizontal="right"/>
    </xf>
    <xf numFmtId="168" fontId="4" fillId="0" borderId="5" xfId="0" applyNumberFormat="1" applyFont="1" applyBorder="1" applyAlignment="1">
      <alignment horizontal="right"/>
    </xf>
    <xf numFmtId="0" fontId="10" fillId="0" borderId="8" xfId="0" applyFont="1" applyBorder="1" applyAlignment="1">
      <alignment horizontal="right"/>
    </xf>
    <xf numFmtId="2" fontId="3" fillId="0" borderId="0" xfId="0" applyNumberFormat="1" applyFont="1" applyAlignment="1">
      <alignment horizontal="right"/>
    </xf>
    <xf numFmtId="2" fontId="8" fillId="0" borderId="0" xfId="0" applyNumberFormat="1" applyFont="1" applyAlignment="1">
      <alignment horizontal="right"/>
    </xf>
    <xf numFmtId="0" fontId="4" fillId="0" borderId="0" xfId="6" applyFont="1"/>
    <xf numFmtId="0" fontId="23" fillId="0" borderId="0" xfId="0" applyFont="1" applyAlignment="1">
      <alignment horizontal="left"/>
    </xf>
    <xf numFmtId="0" fontId="32" fillId="0" borderId="0" xfId="0" applyFont="1"/>
    <xf numFmtId="0" fontId="0" fillId="0" borderId="3" xfId="0" applyBorder="1" applyAlignment="1">
      <alignment horizontal="centerContinuous"/>
    </xf>
    <xf numFmtId="0" fontId="33" fillId="0" borderId="0" xfId="0" applyFont="1"/>
    <xf numFmtId="0" fontId="11" fillId="0" borderId="0" xfId="0" applyFont="1" applyAlignment="1">
      <alignment horizontal="left" indent="2"/>
    </xf>
    <xf numFmtId="0" fontId="11" fillId="0" borderId="0" xfId="0" applyFont="1"/>
    <xf numFmtId="0" fontId="26" fillId="0" borderId="3" xfId="0" applyFont="1" applyBorder="1"/>
    <xf numFmtId="0" fontId="31" fillId="0" borderId="3" xfId="0" applyFont="1" applyBorder="1" applyAlignment="1">
      <alignment horizontal="centerContinuous"/>
    </xf>
    <xf numFmtId="0" fontId="31" fillId="0" borderId="0" xfId="0" applyFont="1" applyAlignment="1">
      <alignment horizontal="right"/>
    </xf>
    <xf numFmtId="0" fontId="31" fillId="0" borderId="3" xfId="0" applyFont="1" applyBorder="1" applyAlignment="1">
      <alignment horizontal="right"/>
    </xf>
    <xf numFmtId="0" fontId="26" fillId="4" borderId="9" xfId="0" applyFont="1" applyFill="1" applyBorder="1" applyAlignment="1">
      <alignment vertical="center"/>
    </xf>
    <xf numFmtId="0" fontId="26" fillId="4" borderId="5" xfId="0" applyFont="1" applyFill="1" applyBorder="1" applyAlignment="1">
      <alignment vertical="center"/>
    </xf>
    <xf numFmtId="0" fontId="25" fillId="4" borderId="9" xfId="0" applyFont="1" applyFill="1" applyBorder="1" applyAlignment="1">
      <alignment vertical="center"/>
    </xf>
    <xf numFmtId="0" fontId="25" fillId="4" borderId="5" xfId="0" applyFont="1" applyFill="1" applyBorder="1" applyAlignment="1">
      <alignment vertical="center"/>
    </xf>
    <xf numFmtId="10" fontId="3" fillId="0" borderId="0" xfId="0" applyNumberFormat="1" applyFont="1"/>
    <xf numFmtId="174" fontId="36" fillId="0" borderId="0" xfId="0" applyNumberFormat="1" applyFont="1"/>
    <xf numFmtId="170" fontId="3" fillId="0" borderId="0" xfId="0" applyNumberFormat="1" applyFont="1"/>
    <xf numFmtId="0" fontId="11" fillId="0" borderId="3" xfId="0" applyFont="1" applyBorder="1"/>
    <xf numFmtId="173" fontId="11" fillId="0" borderId="0" xfId="0" applyNumberFormat="1" applyFont="1" applyAlignment="1">
      <alignment horizontal="right"/>
    </xf>
    <xf numFmtId="0" fontId="3" fillId="0" borderId="0" xfId="0" applyFont="1" applyAlignment="1">
      <alignment horizontal="left" indent="2"/>
    </xf>
    <xf numFmtId="0" fontId="0" fillId="0" borderId="0" xfId="0" applyAlignment="1">
      <alignment horizontal="left" indent="2"/>
    </xf>
    <xf numFmtId="3" fontId="3" fillId="0" borderId="0" xfId="0" applyNumberFormat="1" applyFont="1" applyAlignment="1">
      <alignment horizontal="right"/>
    </xf>
    <xf numFmtId="170" fontId="3" fillId="0" borderId="8" xfId="0" applyNumberFormat="1" applyFont="1" applyBorder="1"/>
    <xf numFmtId="37" fontId="3" fillId="0" borderId="3" xfId="0" applyNumberFormat="1" applyFont="1" applyBorder="1" applyAlignment="1">
      <alignment horizontal="right"/>
    </xf>
    <xf numFmtId="0" fontId="6" fillId="0" borderId="3" xfId="0" applyFont="1" applyBorder="1" applyAlignment="1">
      <alignment horizontal="left" vertical="center" indent="4"/>
    </xf>
    <xf numFmtId="0" fontId="42" fillId="0" borderId="0" xfId="0" applyFont="1" applyAlignment="1">
      <alignment horizontal="center"/>
    </xf>
    <xf numFmtId="177" fontId="10" fillId="0" borderId="0" xfId="0" applyNumberFormat="1" applyFont="1" applyAlignment="1">
      <alignment horizontal="center"/>
    </xf>
    <xf numFmtId="173" fontId="11" fillId="0" borderId="3" xfId="0" applyNumberFormat="1" applyFont="1" applyBorder="1" applyAlignment="1">
      <alignment horizontal="right"/>
    </xf>
    <xf numFmtId="0" fontId="3" fillId="0" borderId="0" xfId="0" quotePrefix="1" applyFont="1"/>
    <xf numFmtId="0" fontId="3" fillId="4" borderId="0" xfId="0" applyFont="1" applyFill="1"/>
    <xf numFmtId="0" fontId="3" fillId="0" borderId="0" xfId="0" applyFont="1" applyAlignment="1">
      <alignment horizontal="centerContinuous"/>
    </xf>
    <xf numFmtId="0" fontId="4" fillId="0" borderId="0" xfId="0" applyFont="1" applyAlignment="1">
      <alignment horizontal="center"/>
    </xf>
    <xf numFmtId="0" fontId="4" fillId="0" borderId="4" xfId="0" applyFont="1" applyBorder="1" applyAlignment="1">
      <alignment horizontal="centerContinuous"/>
    </xf>
    <xf numFmtId="0" fontId="4" fillId="0" borderId="9" xfId="0" applyFont="1" applyBorder="1" applyAlignment="1">
      <alignment horizontal="centerContinuous"/>
    </xf>
    <xf numFmtId="0" fontId="3" fillId="0" borderId="5" xfId="0" applyFont="1" applyBorder="1" applyAlignment="1">
      <alignment horizontal="centerContinuous"/>
    </xf>
    <xf numFmtId="172" fontId="10" fillId="0" borderId="8" xfId="0" applyNumberFormat="1" applyFont="1" applyBorder="1" applyAlignment="1">
      <alignment horizontal="center"/>
    </xf>
    <xf numFmtId="0" fontId="4" fillId="0" borderId="6" xfId="0" applyFont="1" applyBorder="1" applyAlignment="1">
      <alignment horizontal="centerContinuous"/>
    </xf>
    <xf numFmtId="180" fontId="10" fillId="0" borderId="8" xfId="0" applyNumberFormat="1" applyFont="1" applyBorder="1" applyAlignment="1">
      <alignment horizontal="center"/>
    </xf>
    <xf numFmtId="0" fontId="4" fillId="0" borderId="3" xfId="0" applyFont="1" applyBorder="1" applyAlignment="1">
      <alignment horizontal="center"/>
    </xf>
    <xf numFmtId="174" fontId="4" fillId="0" borderId="4" xfId="0" applyNumberFormat="1" applyFont="1" applyBorder="1" applyAlignment="1">
      <alignment horizontal="center"/>
    </xf>
    <xf numFmtId="174" fontId="4" fillId="0" borderId="9" xfId="0" applyNumberFormat="1" applyFont="1" applyBorder="1" applyAlignment="1">
      <alignment horizontal="center"/>
    </xf>
    <xf numFmtId="174" fontId="4" fillId="0" borderId="5" xfId="0" applyNumberFormat="1" applyFont="1" applyBorder="1" applyAlignment="1">
      <alignment horizontal="center"/>
    </xf>
    <xf numFmtId="10" fontId="4" fillId="0" borderId="0" xfId="0" applyNumberFormat="1" applyFont="1" applyAlignment="1">
      <alignment horizontal="center"/>
    </xf>
    <xf numFmtId="164" fontId="3" fillId="0" borderId="0" xfId="0" applyNumberFormat="1" applyFont="1"/>
    <xf numFmtId="164" fontId="3" fillId="0" borderId="10" xfId="0" applyNumberFormat="1" applyFont="1" applyBorder="1" applyAlignment="1">
      <alignment horizontal="center"/>
    </xf>
    <xf numFmtId="164" fontId="3" fillId="0" borderId="0" xfId="0" applyNumberFormat="1" applyFont="1" applyAlignment="1">
      <alignment horizontal="center"/>
    </xf>
    <xf numFmtId="164" fontId="3" fillId="0" borderId="11" xfId="0" applyNumberFormat="1" applyFont="1" applyBorder="1" applyAlignment="1">
      <alignment horizontal="center"/>
    </xf>
    <xf numFmtId="164" fontId="4" fillId="0" borderId="0" xfId="0" applyNumberFormat="1" applyFont="1" applyAlignment="1">
      <alignment horizontal="center"/>
    </xf>
    <xf numFmtId="10" fontId="4" fillId="0" borderId="3" xfId="0" applyNumberFormat="1" applyFont="1" applyBorder="1" applyAlignment="1">
      <alignment horizontal="center"/>
    </xf>
    <xf numFmtId="170" fontId="3" fillId="0" borderId="3" xfId="0" applyNumberFormat="1" applyFont="1" applyBorder="1"/>
    <xf numFmtId="170" fontId="3" fillId="0" borderId="6" xfId="0" applyNumberFormat="1" applyFont="1" applyBorder="1"/>
    <xf numFmtId="170" fontId="3" fillId="0" borderId="7" xfId="0" applyNumberFormat="1" applyFont="1" applyBorder="1"/>
    <xf numFmtId="181" fontId="4" fillId="0" borderId="3" xfId="0" applyNumberFormat="1" applyFont="1" applyBorder="1" applyAlignment="1">
      <alignment horizontal="center"/>
    </xf>
    <xf numFmtId="169" fontId="3" fillId="0" borderId="0" xfId="0" applyNumberFormat="1" applyFont="1"/>
    <xf numFmtId="4" fontId="3" fillId="0" borderId="10" xfId="0" applyNumberFormat="1" applyFont="1" applyBorder="1" applyAlignment="1">
      <alignment horizontal="center"/>
    </xf>
    <xf numFmtId="4" fontId="3" fillId="0" borderId="0" xfId="0" applyNumberFormat="1" applyFont="1" applyAlignment="1">
      <alignment horizontal="center"/>
    </xf>
    <xf numFmtId="4" fontId="3" fillId="0" borderId="11" xfId="0" applyNumberFormat="1" applyFont="1" applyBorder="1" applyAlignment="1">
      <alignment horizontal="center"/>
    </xf>
    <xf numFmtId="0" fontId="4" fillId="0" borderId="0" xfId="0" quotePrefix="1" applyFont="1" applyAlignment="1">
      <alignment horizontal="center"/>
    </xf>
    <xf numFmtId="173" fontId="3" fillId="0" borderId="10" xfId="0" applyNumberFormat="1" applyFont="1" applyBorder="1" applyAlignment="1">
      <alignment horizontal="center"/>
    </xf>
    <xf numFmtId="173" fontId="3" fillId="0" borderId="0" xfId="0" applyNumberFormat="1" applyFont="1" applyAlignment="1">
      <alignment horizontal="center"/>
    </xf>
    <xf numFmtId="173" fontId="3" fillId="0" borderId="11" xfId="0" applyNumberFormat="1" applyFont="1" applyBorder="1" applyAlignment="1">
      <alignment horizontal="center"/>
    </xf>
    <xf numFmtId="164" fontId="4" fillId="0" borderId="0" xfId="0" quotePrefix="1" applyNumberFormat="1" applyFont="1" applyAlignment="1">
      <alignment horizontal="center"/>
    </xf>
    <xf numFmtId="0" fontId="26" fillId="0" borderId="0" xfId="0" applyFont="1" applyAlignment="1">
      <alignment horizontal="center"/>
    </xf>
    <xf numFmtId="0" fontId="26" fillId="0" borderId="0" xfId="0" applyFont="1"/>
    <xf numFmtId="179" fontId="4" fillId="0" borderId="9" xfId="0" applyNumberFormat="1" applyFont="1" applyBorder="1" applyAlignment="1">
      <alignment horizontal="right"/>
    </xf>
    <xf numFmtId="0" fontId="3" fillId="0" borderId="0" xfId="6" applyFont="1"/>
    <xf numFmtId="0" fontId="11" fillId="0" borderId="0" xfId="6" applyFont="1"/>
    <xf numFmtId="0" fontId="0" fillId="0" borderId="18" xfId="0" applyBorder="1"/>
    <xf numFmtId="0" fontId="0" fillId="0" borderId="9" xfId="0" applyBorder="1"/>
    <xf numFmtId="10" fontId="0" fillId="0" borderId="0" xfId="0" applyNumberFormat="1" applyAlignment="1">
      <alignment horizontal="right"/>
    </xf>
    <xf numFmtId="172" fontId="0" fillId="0" borderId="0" xfId="0" applyNumberFormat="1"/>
    <xf numFmtId="173" fontId="3" fillId="0" borderId="0" xfId="0" applyNumberFormat="1" applyFont="1" applyAlignment="1">
      <alignment horizontal="right"/>
    </xf>
    <xf numFmtId="173" fontId="3" fillId="0" borderId="3" xfId="0" applyNumberFormat="1" applyFont="1" applyBorder="1" applyAlignment="1">
      <alignment horizontal="right"/>
    </xf>
    <xf numFmtId="0" fontId="3" fillId="0" borderId="0" xfId="0" applyFont="1" applyAlignment="1">
      <alignment horizontal="right"/>
    </xf>
    <xf numFmtId="173" fontId="3" fillId="0" borderId="18" xfId="0" applyNumberFormat="1" applyFont="1" applyBorder="1" applyAlignment="1">
      <alignment horizontal="right"/>
    </xf>
    <xf numFmtId="39" fontId="16" fillId="0" borderId="0" xfId="0" applyNumberFormat="1" applyFont="1" applyAlignment="1">
      <alignment horizontal="right"/>
    </xf>
    <xf numFmtId="0" fontId="18" fillId="0" borderId="0" xfId="0" applyFont="1" applyAlignment="1">
      <alignment horizontal="right"/>
    </xf>
    <xf numFmtId="175" fontId="18" fillId="0" borderId="0" xfId="0" applyNumberFormat="1" applyFont="1" applyAlignment="1">
      <alignment horizontal="right"/>
    </xf>
    <xf numFmtId="184" fontId="4" fillId="0" borderId="5" xfId="0" applyNumberFormat="1" applyFont="1" applyBorder="1" applyAlignment="1">
      <alignment horizontal="right"/>
    </xf>
    <xf numFmtId="176" fontId="3" fillId="0" borderId="0" xfId="0" applyNumberFormat="1" applyFont="1" applyAlignment="1">
      <alignment horizontal="right"/>
    </xf>
    <xf numFmtId="173" fontId="0" fillId="0" borderId="0" xfId="0" applyNumberFormat="1" applyAlignment="1">
      <alignment horizontal="right"/>
    </xf>
    <xf numFmtId="176" fontId="16" fillId="0" borderId="0" xfId="0" applyNumberFormat="1" applyFont="1" applyAlignment="1">
      <alignment horizontal="right"/>
    </xf>
    <xf numFmtId="176" fontId="0" fillId="0" borderId="0" xfId="0" applyNumberFormat="1" applyAlignment="1">
      <alignment horizontal="right"/>
    </xf>
    <xf numFmtId="173" fontId="0" fillId="0" borderId="3" xfId="0" applyNumberFormat="1" applyBorder="1" applyAlignment="1">
      <alignment horizontal="right"/>
    </xf>
    <xf numFmtId="164" fontId="3" fillId="0" borderId="0" xfId="0" applyNumberFormat="1" applyFont="1" applyAlignment="1">
      <alignment horizontal="right"/>
    </xf>
    <xf numFmtId="0" fontId="18" fillId="0" borderId="0" xfId="0" applyFont="1"/>
    <xf numFmtId="39" fontId="3" fillId="0" borderId="0" xfId="0" applyNumberFormat="1" applyFont="1" applyAlignment="1">
      <alignment horizontal="right"/>
    </xf>
    <xf numFmtId="0" fontId="11" fillId="0" borderId="0" xfId="6" applyFont="1" applyAlignment="1">
      <alignment vertical="top" wrapText="1"/>
    </xf>
    <xf numFmtId="37" fontId="3" fillId="0" borderId="18" xfId="0" applyNumberFormat="1" applyFont="1" applyBorder="1" applyAlignment="1">
      <alignment horizontal="right"/>
    </xf>
    <xf numFmtId="37" fontId="3" fillId="0" borderId="0" xfId="0" applyNumberFormat="1" applyFont="1"/>
    <xf numFmtId="185" fontId="3" fillId="0" borderId="0" xfId="0" applyNumberFormat="1" applyFont="1" applyAlignment="1">
      <alignment horizontal="right"/>
    </xf>
    <xf numFmtId="164" fontId="5" fillId="0" borderId="0" xfId="0" applyNumberFormat="1" applyFont="1" applyAlignment="1">
      <alignment horizontal="center"/>
    </xf>
    <xf numFmtId="164" fontId="5" fillId="0" borderId="11" xfId="0" applyNumberFormat="1" applyFont="1" applyBorder="1" applyAlignment="1">
      <alignment horizontal="center"/>
    </xf>
    <xf numFmtId="183" fontId="43" fillId="0" borderId="0" xfId="0" applyNumberFormat="1" applyFont="1" applyAlignment="1">
      <alignment horizontal="right"/>
    </xf>
    <xf numFmtId="183" fontId="11" fillId="0" borderId="0" xfId="0" applyNumberFormat="1" applyFont="1" applyAlignment="1">
      <alignment horizontal="right"/>
    </xf>
    <xf numFmtId="183" fontId="11" fillId="0" borderId="3" xfId="0" applyNumberFormat="1" applyFont="1" applyBorder="1" applyAlignment="1">
      <alignment horizontal="right"/>
    </xf>
    <xf numFmtId="182" fontId="43" fillId="0" borderId="0" xfId="0" applyNumberFormat="1" applyFont="1" applyAlignment="1">
      <alignment horizontal="right"/>
    </xf>
    <xf numFmtId="182" fontId="11" fillId="0" borderId="0" xfId="0" applyNumberFormat="1" applyFont="1" applyAlignment="1">
      <alignment horizontal="right"/>
    </xf>
    <xf numFmtId="179" fontId="31" fillId="0" borderId="3" xfId="0" applyNumberFormat="1" applyFont="1" applyBorder="1" applyAlignment="1">
      <alignment horizontal="right"/>
    </xf>
    <xf numFmtId="3" fontId="4" fillId="0" borderId="0" xfId="0" applyNumberFormat="1" applyFont="1" applyAlignment="1">
      <alignment horizontal="right"/>
    </xf>
    <xf numFmtId="173" fontId="37" fillId="2" borderId="0" xfId="0" applyNumberFormat="1" applyFont="1" applyFill="1" applyAlignment="1">
      <alignment horizontal="right"/>
    </xf>
    <xf numFmtId="173" fontId="21" fillId="2" borderId="0" xfId="0" applyNumberFormat="1" applyFont="1" applyFill="1" applyAlignment="1">
      <alignment horizontal="right"/>
    </xf>
    <xf numFmtId="173" fontId="38" fillId="2" borderId="0" xfId="0" applyNumberFormat="1" applyFont="1" applyFill="1" applyAlignment="1">
      <alignment horizontal="right"/>
    </xf>
    <xf numFmtId="174" fontId="21" fillId="2" borderId="0" xfId="0" applyNumberFormat="1" applyFont="1" applyFill="1" applyAlignment="1">
      <alignment horizontal="right"/>
    </xf>
    <xf numFmtId="0" fontId="4" fillId="0" borderId="9" xfId="0" applyFont="1" applyBorder="1" applyAlignment="1">
      <alignment horizontal="right"/>
    </xf>
    <xf numFmtId="175" fontId="4" fillId="0" borderId="9" xfId="0" applyNumberFormat="1" applyFont="1" applyBorder="1" applyAlignment="1">
      <alignment horizontal="right"/>
    </xf>
    <xf numFmtId="175" fontId="4" fillId="0" borderId="3" xfId="0" applyNumberFormat="1" applyFont="1" applyBorder="1" applyAlignment="1">
      <alignment horizontal="right"/>
    </xf>
    <xf numFmtId="173" fontId="38" fillId="2" borderId="3" xfId="0" applyNumberFormat="1" applyFont="1" applyFill="1" applyBorder="1" applyAlignment="1">
      <alignment horizontal="right"/>
    </xf>
    <xf numFmtId="170" fontId="4" fillId="0" borderId="0" xfId="0" applyNumberFormat="1" applyFont="1" applyAlignment="1">
      <alignment horizontal="right"/>
    </xf>
    <xf numFmtId="3" fontId="0" fillId="0" borderId="0" xfId="0" applyNumberFormat="1"/>
    <xf numFmtId="0" fontId="20" fillId="0" borderId="0" xfId="0" applyFont="1"/>
    <xf numFmtId="170" fontId="21" fillId="0" borderId="0" xfId="0" applyNumberFormat="1" applyFont="1" applyAlignment="1">
      <alignment horizontal="right"/>
    </xf>
    <xf numFmtId="170" fontId="0" fillId="0" borderId="0" xfId="1" applyNumberFormat="1" applyFont="1" applyFill="1" applyAlignment="1">
      <alignment horizontal="right"/>
    </xf>
    <xf numFmtId="172" fontId="10" fillId="0" borderId="0" xfId="0" applyNumberFormat="1" applyFont="1" applyAlignment="1">
      <alignment horizontal="center"/>
    </xf>
    <xf numFmtId="181" fontId="4" fillId="0" borderId="0" xfId="0" applyNumberFormat="1" applyFont="1" applyAlignment="1">
      <alignment horizontal="center"/>
    </xf>
    <xf numFmtId="166" fontId="21" fillId="0" borderId="0" xfId="0" applyNumberFormat="1" applyFont="1" applyAlignment="1">
      <alignment horizontal="left"/>
    </xf>
    <xf numFmtId="175" fontId="3" fillId="0" borderId="0" xfId="0" applyNumberFormat="1" applyFont="1"/>
    <xf numFmtId="37" fontId="0" fillId="0" borderId="0" xfId="0" applyNumberFormat="1" applyAlignment="1">
      <alignment horizontal="right"/>
    </xf>
    <xf numFmtId="37" fontId="4" fillId="0" borderId="0" xfId="0" applyNumberFormat="1" applyFont="1" applyAlignment="1">
      <alignment horizontal="right"/>
    </xf>
    <xf numFmtId="175" fontId="3" fillId="0" borderId="0" xfId="0" applyNumberFormat="1" applyFont="1" applyAlignment="1">
      <alignment horizontal="right"/>
    </xf>
    <xf numFmtId="186" fontId="11" fillId="0" borderId="3" xfId="0" applyNumberFormat="1" applyFont="1" applyBorder="1" applyAlignment="1">
      <alignment horizontal="right"/>
    </xf>
    <xf numFmtId="1" fontId="4" fillId="0" borderId="0" xfId="0" applyNumberFormat="1" applyFont="1" applyAlignment="1">
      <alignment horizontal="center" wrapText="1"/>
    </xf>
    <xf numFmtId="0" fontId="4" fillId="0" borderId="0" xfId="0" applyFont="1" applyAlignment="1">
      <alignment horizontal="centerContinuous"/>
    </xf>
    <xf numFmtId="0" fontId="4" fillId="0" borderId="0" xfId="0" applyFont="1" applyAlignment="1">
      <alignment horizontal="left"/>
    </xf>
    <xf numFmtId="170" fontId="3" fillId="0" borderId="3" xfId="0" applyNumberFormat="1" applyFont="1" applyBorder="1" applyAlignment="1">
      <alignment horizontal="left"/>
    </xf>
    <xf numFmtId="175" fontId="4" fillId="0" borderId="0" xfId="0" applyNumberFormat="1" applyFont="1" applyAlignment="1">
      <alignment horizontal="right"/>
    </xf>
    <xf numFmtId="179" fontId="4" fillId="0" borderId="0" xfId="0" applyNumberFormat="1" applyFont="1" applyAlignment="1">
      <alignment horizontal="right"/>
    </xf>
    <xf numFmtId="0" fontId="0" fillId="0" borderId="16" xfId="0" applyBorder="1" applyAlignment="1">
      <alignment horizontal="right"/>
    </xf>
    <xf numFmtId="0" fontId="18" fillId="0" borderId="6" xfId="0" applyFont="1" applyBorder="1" applyAlignment="1">
      <alignment horizontal="left"/>
    </xf>
    <xf numFmtId="0" fontId="0" fillId="3" borderId="1" xfId="0" applyFill="1" applyBorder="1"/>
    <xf numFmtId="175" fontId="18" fillId="3" borderId="14" xfId="0" applyNumberFormat="1" applyFont="1" applyFill="1" applyBorder="1" applyAlignment="1">
      <alignment horizontal="right"/>
    </xf>
    <xf numFmtId="0" fontId="0" fillId="3" borderId="6" xfId="0" applyFill="1" applyBorder="1"/>
    <xf numFmtId="0" fontId="0" fillId="3" borderId="3" xfId="0" applyFill="1" applyBorder="1"/>
    <xf numFmtId="175" fontId="18" fillId="3" borderId="7" xfId="0" applyNumberFormat="1" applyFont="1" applyFill="1" applyBorder="1" applyAlignment="1">
      <alignment horizontal="right"/>
    </xf>
    <xf numFmtId="0" fontId="19" fillId="3" borderId="4" xfId="0" applyFont="1" applyFill="1" applyBorder="1"/>
    <xf numFmtId="0" fontId="0" fillId="3" borderId="9" xfId="0" applyFill="1" applyBorder="1"/>
    <xf numFmtId="1" fontId="18" fillId="3" borderId="5" xfId="0" applyNumberFormat="1" applyFont="1" applyFill="1" applyBorder="1" applyAlignment="1">
      <alignment horizontal="right"/>
    </xf>
    <xf numFmtId="0" fontId="0" fillId="3" borderId="13" xfId="0" applyFill="1" applyBorder="1"/>
    <xf numFmtId="0" fontId="0" fillId="3" borderId="14" xfId="0" applyFill="1" applyBorder="1"/>
    <xf numFmtId="0" fontId="0" fillId="3" borderId="10" xfId="0" applyFill="1" applyBorder="1"/>
    <xf numFmtId="1" fontId="0" fillId="3" borderId="13" xfId="0" applyNumberFormat="1" applyFill="1" applyBorder="1"/>
    <xf numFmtId="1" fontId="0" fillId="3" borderId="14" xfId="0" applyNumberFormat="1" applyFill="1" applyBorder="1"/>
    <xf numFmtId="0" fontId="0" fillId="3" borderId="10" xfId="0" applyFill="1" applyBorder="1" applyAlignment="1">
      <alignment horizontal="left"/>
    </xf>
    <xf numFmtId="1" fontId="18" fillId="3" borderId="11" xfId="0" applyNumberFormat="1" applyFont="1" applyFill="1" applyBorder="1"/>
    <xf numFmtId="4" fontId="0" fillId="0" borderId="7" xfId="0" applyNumberFormat="1" applyBorder="1" applyAlignment="1">
      <alignment horizontal="right"/>
    </xf>
    <xf numFmtId="0" fontId="0" fillId="3" borderId="5" xfId="0" applyFill="1" applyBorder="1"/>
    <xf numFmtId="0" fontId="0" fillId="3" borderId="0" xfId="0" applyFill="1"/>
    <xf numFmtId="0" fontId="18" fillId="3" borderId="14" xfId="0" applyFont="1" applyFill="1" applyBorder="1" applyAlignment="1">
      <alignment horizontal="right"/>
    </xf>
    <xf numFmtId="178" fontId="18" fillId="3" borderId="0" xfId="0" applyNumberFormat="1" applyFont="1" applyFill="1"/>
    <xf numFmtId="4" fontId="0" fillId="0" borderId="16" xfId="0" applyNumberFormat="1" applyBorder="1"/>
    <xf numFmtId="178" fontId="0" fillId="0" borderId="16" xfId="0" applyNumberFormat="1" applyBorder="1"/>
    <xf numFmtId="176" fontId="3" fillId="0" borderId="17" xfId="0" applyNumberFormat="1" applyFont="1" applyBorder="1"/>
    <xf numFmtId="0" fontId="3" fillId="0" borderId="13" xfId="0" applyFont="1" applyBorder="1" applyAlignment="1">
      <alignment horizontal="left"/>
    </xf>
    <xf numFmtId="0" fontId="3" fillId="0" borderId="14" xfId="0" applyFont="1" applyBorder="1"/>
    <xf numFmtId="0" fontId="3" fillId="0" borderId="10" xfId="0" applyFont="1" applyBorder="1" applyAlignment="1">
      <alignment horizontal="left"/>
    </xf>
    <xf numFmtId="0" fontId="3" fillId="0" borderId="6" xfId="0" applyFont="1" applyBorder="1" applyAlignment="1">
      <alignment horizontal="left"/>
    </xf>
    <xf numFmtId="0" fontId="23" fillId="0" borderId="0" xfId="0" applyFont="1"/>
    <xf numFmtId="0" fontId="10" fillId="2" borderId="2" xfId="0" applyFont="1" applyFill="1" applyBorder="1" applyAlignment="1">
      <alignment horizontal="center"/>
    </xf>
    <xf numFmtId="0" fontId="21" fillId="2" borderId="22" xfId="4" applyNumberFormat="1" applyFont="1" applyFill="1" applyBorder="1" applyAlignment="1">
      <alignment horizontal="center"/>
    </xf>
    <xf numFmtId="0" fontId="21" fillId="2" borderId="2" xfId="4" quotePrefix="1" applyNumberFormat="1" applyFont="1" applyFill="1" applyBorder="1" applyAlignment="1">
      <alignment horizontal="center"/>
    </xf>
    <xf numFmtId="0" fontId="21" fillId="2" borderId="2" xfId="4" applyNumberFormat="1" applyFont="1" applyFill="1" applyBorder="1" applyAlignment="1">
      <alignment horizontal="center"/>
    </xf>
    <xf numFmtId="0" fontId="14" fillId="0" borderId="0" xfId="0" applyFont="1" applyAlignment="1">
      <alignment horizontal="center"/>
    </xf>
    <xf numFmtId="0" fontId="14" fillId="0" borderId="0" xfId="0" applyFont="1" applyAlignment="1">
      <alignment horizontal="centerContinuous"/>
    </xf>
    <xf numFmtId="0" fontId="0" fillId="0" borderId="5" xfId="0" applyBorder="1"/>
    <xf numFmtId="184" fontId="3" fillId="0" borderId="0" xfId="0" applyNumberFormat="1" applyFont="1" applyAlignment="1">
      <alignment horizontal="right"/>
    </xf>
    <xf numFmtId="14" fontId="10" fillId="2" borderId="2" xfId="0" applyNumberFormat="1" applyFont="1" applyFill="1" applyBorder="1" applyAlignment="1">
      <alignment horizontal="center"/>
    </xf>
    <xf numFmtId="14" fontId="0" fillId="0" borderId="0" xfId="0" applyNumberFormat="1" applyAlignment="1">
      <alignment horizontal="left"/>
    </xf>
    <xf numFmtId="0" fontId="18" fillId="3" borderId="0" xfId="0" applyFont="1" applyFill="1" applyAlignment="1">
      <alignment horizontal="right"/>
    </xf>
    <xf numFmtId="0" fontId="18" fillId="3" borderId="11" xfId="0" applyFont="1" applyFill="1" applyBorder="1" applyAlignment="1">
      <alignment horizontal="right"/>
    </xf>
    <xf numFmtId="0" fontId="19" fillId="3" borderId="10" xfId="0" applyFont="1" applyFill="1" applyBorder="1"/>
    <xf numFmtId="0" fontId="0" fillId="0" borderId="17" xfId="0" applyBorder="1" applyAlignment="1">
      <alignment horizontal="left"/>
    </xf>
    <xf numFmtId="0" fontId="0" fillId="5" borderId="13" xfId="0" applyFill="1" applyBorder="1" applyAlignment="1">
      <alignment horizontal="left"/>
    </xf>
    <xf numFmtId="0" fontId="0" fillId="5" borderId="1" xfId="0" applyFill="1" applyBorder="1" applyAlignment="1">
      <alignment horizontal="left"/>
    </xf>
    <xf numFmtId="0" fontId="0" fillId="5" borderId="14" xfId="0" applyFill="1" applyBorder="1" applyAlignment="1">
      <alignment horizontal="left"/>
    </xf>
    <xf numFmtId="0" fontId="4" fillId="0" borderId="13" xfId="0" applyFont="1" applyBorder="1"/>
    <xf numFmtId="49" fontId="4" fillId="0" borderId="1" xfId="0" applyNumberFormat="1" applyFont="1" applyBorder="1" applyAlignment="1">
      <alignment horizontal="left"/>
    </xf>
    <xf numFmtId="49" fontId="31" fillId="0" borderId="1" xfId="0" applyNumberFormat="1" applyFont="1" applyBorder="1" applyAlignment="1">
      <alignment horizontal="left"/>
    </xf>
    <xf numFmtId="0" fontId="31" fillId="0" borderId="1" xfId="0" applyFont="1" applyBorder="1" applyAlignment="1">
      <alignment horizontal="left"/>
    </xf>
    <xf numFmtId="0" fontId="31" fillId="0" borderId="1" xfId="0" applyFont="1" applyBorder="1"/>
    <xf numFmtId="49" fontId="31" fillId="0" borderId="1" xfId="0" applyNumberFormat="1" applyFont="1" applyBorder="1"/>
    <xf numFmtId="49" fontId="31" fillId="0" borderId="14" xfId="0" quotePrefix="1" applyNumberFormat="1" applyFont="1" applyBorder="1"/>
    <xf numFmtId="0" fontId="0" fillId="5" borderId="8" xfId="0" applyFill="1" applyBorder="1" applyAlignment="1">
      <alignment horizontal="left"/>
    </xf>
    <xf numFmtId="0" fontId="7" fillId="0" borderId="0" xfId="0" applyFont="1" applyAlignment="1">
      <alignment vertical="center"/>
    </xf>
    <xf numFmtId="0" fontId="6" fillId="0" borderId="3" xfId="0" applyFont="1" applyBorder="1" applyAlignment="1">
      <alignment horizontal="left" vertical="center" indent="24"/>
    </xf>
    <xf numFmtId="0" fontId="3" fillId="5" borderId="0" xfId="0" applyFont="1" applyFill="1" applyAlignment="1">
      <alignment vertical="top" wrapText="1"/>
    </xf>
    <xf numFmtId="0" fontId="3" fillId="5" borderId="0" xfId="0" applyFont="1" applyFill="1" applyAlignment="1">
      <alignment vertical="top"/>
    </xf>
    <xf numFmtId="0" fontId="4" fillId="0" borderId="10" xfId="0" applyFont="1" applyBorder="1" applyAlignment="1">
      <alignment horizontal="left"/>
    </xf>
    <xf numFmtId="0" fontId="11" fillId="0" borderId="0" xfId="6" applyFont="1" applyAlignment="1">
      <alignment vertical="top"/>
    </xf>
    <xf numFmtId="49" fontId="0" fillId="0" borderId="11" xfId="0" applyNumberFormat="1" applyBorder="1"/>
    <xf numFmtId="49" fontId="0" fillId="0" borderId="0" xfId="0" applyNumberFormat="1"/>
    <xf numFmtId="0" fontId="0" fillId="0" borderId="4" xfId="0" applyBorder="1" applyAlignment="1">
      <alignment horizontal="left"/>
    </xf>
    <xf numFmtId="14" fontId="18" fillId="3" borderId="7" xfId="0" applyNumberFormat="1" applyFont="1" applyFill="1" applyBorder="1" applyAlignment="1">
      <alignment horizontal="right"/>
    </xf>
    <xf numFmtId="14" fontId="18" fillId="3" borderId="17" xfId="0" applyNumberFormat="1" applyFont="1" applyFill="1" applyBorder="1" applyAlignment="1">
      <alignment horizontal="right"/>
    </xf>
    <xf numFmtId="14" fontId="18" fillId="3" borderId="16" xfId="0" applyNumberFormat="1" applyFont="1" applyFill="1" applyBorder="1" applyAlignment="1">
      <alignment horizontal="right"/>
    </xf>
    <xf numFmtId="0" fontId="0" fillId="3" borderId="15" xfId="0" applyFill="1" applyBorder="1"/>
    <xf numFmtId="14" fontId="18" fillId="0" borderId="11" xfId="0" applyNumberFormat="1" applyFont="1" applyBorder="1" applyAlignment="1">
      <alignment horizontal="left"/>
    </xf>
    <xf numFmtId="14" fontId="18" fillId="3" borderId="3" xfId="0" applyNumberFormat="1" applyFont="1" applyFill="1" applyBorder="1" applyAlignment="1">
      <alignment horizontal="right"/>
    </xf>
    <xf numFmtId="0" fontId="0" fillId="3" borderId="3" xfId="0" applyFill="1" applyBorder="1" applyAlignment="1">
      <alignment horizontal="right"/>
    </xf>
    <xf numFmtId="0" fontId="0" fillId="0" borderId="11" xfId="0" applyBorder="1" applyAlignment="1">
      <alignment horizontal="right"/>
    </xf>
    <xf numFmtId="14" fontId="18" fillId="3" borderId="0" xfId="0" applyNumberFormat="1" applyFont="1" applyFill="1" applyAlignment="1">
      <alignment horizontal="right"/>
    </xf>
    <xf numFmtId="1" fontId="0" fillId="5" borderId="10" xfId="0" quotePrefix="1" applyNumberFormat="1" applyFill="1" applyBorder="1" applyAlignment="1">
      <alignment horizontal="left"/>
    </xf>
    <xf numFmtId="4" fontId="22" fillId="0" borderId="19" xfId="0" applyNumberFormat="1" applyFont="1" applyBorder="1"/>
    <xf numFmtId="4" fontId="3" fillId="0" borderId="0" xfId="0" applyNumberFormat="1" applyFont="1" applyAlignment="1">
      <alignment horizontal="right"/>
    </xf>
    <xf numFmtId="0" fontId="18" fillId="3" borderId="0" xfId="0" applyFont="1" applyFill="1" applyAlignment="1">
      <alignment horizontal="left"/>
    </xf>
    <xf numFmtId="0" fontId="0" fillId="3" borderId="3" xfId="0" applyFill="1" applyBorder="1" applyAlignment="1">
      <alignment horizontal="left"/>
    </xf>
    <xf numFmtId="170" fontId="21" fillId="2" borderId="2" xfId="0" applyNumberFormat="1" applyFont="1" applyFill="1" applyBorder="1" applyAlignment="1">
      <alignment horizontal="center"/>
    </xf>
    <xf numFmtId="0" fontId="9" fillId="0" borderId="0" xfId="0" applyFont="1" applyAlignment="1">
      <alignment horizontal="right"/>
    </xf>
    <xf numFmtId="0" fontId="31" fillId="0" borderId="0" xfId="0" applyFont="1" applyAlignment="1">
      <alignment horizontal="center"/>
    </xf>
    <xf numFmtId="0" fontId="19" fillId="0" borderId="0" xfId="0" applyFont="1" applyAlignment="1">
      <alignment horizontal="center"/>
    </xf>
    <xf numFmtId="0" fontId="3" fillId="3" borderId="22" xfId="4" applyNumberFormat="1" applyFont="1" applyFill="1" applyBorder="1" applyAlignment="1">
      <alignment horizontal="center" vertical="center"/>
    </xf>
    <xf numFmtId="0" fontId="45" fillId="0" borderId="0" xfId="0" applyFont="1"/>
    <xf numFmtId="0" fontId="0" fillId="0" borderId="0" xfId="0" applyAlignment="1">
      <alignment vertical="center"/>
    </xf>
    <xf numFmtId="0" fontId="3" fillId="0" borderId="22" xfId="4" applyNumberFormat="1" applyFont="1" applyFill="1" applyBorder="1" applyAlignment="1">
      <alignment horizontal="left" vertical="center"/>
    </xf>
    <xf numFmtId="0" fontId="3" fillId="3" borderId="22" xfId="4" applyNumberFormat="1" applyFont="1" applyFill="1" applyBorder="1" applyAlignment="1">
      <alignment horizontal="left" vertical="center"/>
    </xf>
    <xf numFmtId="0" fontId="46" fillId="0" borderId="0" xfId="0" applyFont="1" applyAlignment="1">
      <alignment horizontal="left" vertical="center" indent="4"/>
    </xf>
    <xf numFmtId="0" fontId="3" fillId="3" borderId="1" xfId="0" applyFont="1" applyFill="1" applyBorder="1" applyAlignment="1">
      <alignment horizontal="left"/>
    </xf>
    <xf numFmtId="0" fontId="3" fillId="3" borderId="1" xfId="0" applyFont="1" applyFill="1" applyBorder="1" applyAlignment="1">
      <alignment horizontal="right"/>
    </xf>
    <xf numFmtId="0" fontId="3" fillId="3" borderId="14" xfId="0" applyFont="1" applyFill="1" applyBorder="1" applyAlignment="1">
      <alignment horizontal="right"/>
    </xf>
    <xf numFmtId="0" fontId="3" fillId="0" borderId="3" xfId="0" applyFont="1" applyBorder="1" applyAlignment="1">
      <alignment horizontal="left"/>
    </xf>
    <xf numFmtId="0" fontId="18" fillId="3" borderId="16" xfId="0" applyFont="1" applyFill="1" applyBorder="1"/>
    <xf numFmtId="0" fontId="18" fillId="3" borderId="17" xfId="0" applyFont="1" applyFill="1" applyBorder="1"/>
    <xf numFmtId="0" fontId="0" fillId="0" borderId="8" xfId="0" applyBorder="1" applyAlignment="1">
      <alignment horizontal="right"/>
    </xf>
    <xf numFmtId="0" fontId="0" fillId="0" borderId="13" xfId="0" applyBorder="1" applyAlignment="1">
      <alignment horizontal="center"/>
    </xf>
    <xf numFmtId="0" fontId="0" fillId="0" borderId="1" xfId="0" applyBorder="1" applyAlignment="1">
      <alignment horizontal="center"/>
    </xf>
    <xf numFmtId="0" fontId="0" fillId="0" borderId="14" xfId="0" applyBorder="1" applyAlignment="1">
      <alignment horizontal="right"/>
    </xf>
    <xf numFmtId="0" fontId="0" fillId="0" borderId="3" xfId="0" applyBorder="1" applyAlignment="1">
      <alignment horizontal="right"/>
    </xf>
    <xf numFmtId="14" fontId="0" fillId="3" borderId="25" xfId="0" applyNumberFormat="1" applyFill="1" applyBorder="1" applyAlignment="1">
      <alignment horizontal="center"/>
    </xf>
    <xf numFmtId="14" fontId="0" fillId="3" borderId="26" xfId="0" applyNumberFormat="1" applyFill="1" applyBorder="1" applyAlignment="1">
      <alignment horizontal="center"/>
    </xf>
    <xf numFmtId="4" fontId="0" fillId="0" borderId="26" xfId="0" applyNumberFormat="1" applyBorder="1" applyAlignment="1">
      <alignment horizontal="right"/>
    </xf>
    <xf numFmtId="14" fontId="0" fillId="3" borderId="28" xfId="0" applyNumberFormat="1" applyFill="1" applyBorder="1" applyAlignment="1">
      <alignment horizontal="center"/>
    </xf>
    <xf numFmtId="14" fontId="0" fillId="3" borderId="29" xfId="0" applyNumberFormat="1" applyFill="1" applyBorder="1" applyAlignment="1">
      <alignment horizontal="center"/>
    </xf>
    <xf numFmtId="4" fontId="0" fillId="0" borderId="29" xfId="0" applyNumberFormat="1" applyBorder="1" applyAlignment="1">
      <alignment horizontal="right"/>
    </xf>
    <xf numFmtId="14" fontId="0" fillId="3" borderId="31" xfId="0" applyNumberFormat="1" applyFill="1" applyBorder="1" applyAlignment="1">
      <alignment horizontal="center"/>
    </xf>
    <xf numFmtId="14" fontId="0" fillId="3" borderId="32" xfId="0" applyNumberFormat="1" applyFill="1" applyBorder="1" applyAlignment="1">
      <alignment horizontal="center"/>
    </xf>
    <xf numFmtId="4" fontId="0" fillId="0" borderId="32" xfId="0" applyNumberFormat="1" applyBorder="1" applyAlignment="1">
      <alignment horizontal="right"/>
    </xf>
    <xf numFmtId="10" fontId="0" fillId="0" borderId="27" xfId="1" applyNumberFormat="1" applyFont="1" applyBorder="1" applyAlignment="1">
      <alignment horizontal="right"/>
    </xf>
    <xf numFmtId="10" fontId="0" fillId="0" borderId="30" xfId="1" applyNumberFormat="1" applyFont="1" applyBorder="1" applyAlignment="1">
      <alignment horizontal="right"/>
    </xf>
    <xf numFmtId="10" fontId="0" fillId="0" borderId="33" xfId="1" applyNumberFormat="1" applyFont="1" applyBorder="1" applyAlignment="1">
      <alignment horizontal="right"/>
    </xf>
    <xf numFmtId="187" fontId="3" fillId="0" borderId="14" xfId="0" applyNumberFormat="1" applyFont="1" applyBorder="1" applyAlignment="1">
      <alignment horizontal="right"/>
    </xf>
    <xf numFmtId="187" fontId="18" fillId="0" borderId="1" xfId="0" applyNumberFormat="1" applyFont="1" applyBorder="1" applyAlignment="1">
      <alignment horizontal="right"/>
    </xf>
    <xf numFmtId="187" fontId="18" fillId="0" borderId="14" xfId="0" applyNumberFormat="1" applyFont="1" applyBorder="1" applyAlignment="1">
      <alignment horizontal="right"/>
    </xf>
    <xf numFmtId="187" fontId="3" fillId="0" borderId="11" xfId="0" applyNumberFormat="1" applyFont="1" applyBorder="1" applyAlignment="1">
      <alignment horizontal="right"/>
    </xf>
    <xf numFmtId="0" fontId="0" fillId="0" borderId="10" xfId="0" applyBorder="1" applyAlignment="1">
      <alignment horizontal="center"/>
    </xf>
    <xf numFmtId="187" fontId="18" fillId="0" borderId="0" xfId="0" applyNumberFormat="1" applyFont="1" applyAlignment="1">
      <alignment horizontal="right"/>
    </xf>
    <xf numFmtId="187" fontId="18" fillId="0" borderId="11" xfId="0" applyNumberFormat="1" applyFont="1" applyBorder="1" applyAlignment="1">
      <alignment horizontal="right"/>
    </xf>
    <xf numFmtId="187" fontId="3" fillId="0" borderId="7" xfId="0" applyNumberFormat="1" applyFont="1" applyBorder="1" applyAlignment="1">
      <alignment horizontal="right"/>
    </xf>
    <xf numFmtId="0" fontId="0" fillId="0" borderId="6" xfId="0" applyBorder="1" applyAlignment="1">
      <alignment horizontal="center"/>
    </xf>
    <xf numFmtId="187" fontId="18" fillId="0" borderId="3" xfId="0" applyNumberFormat="1" applyFont="1" applyBorder="1" applyAlignment="1">
      <alignment horizontal="right"/>
    </xf>
    <xf numFmtId="187" fontId="18" fillId="0" borderId="7" xfId="0" applyNumberFormat="1" applyFont="1" applyBorder="1" applyAlignment="1">
      <alignment horizontal="right"/>
    </xf>
    <xf numFmtId="14" fontId="3" fillId="0" borderId="0" xfId="0" applyNumberFormat="1" applyFont="1" applyAlignment="1">
      <alignment horizontal="right"/>
    </xf>
    <xf numFmtId="165" fontId="3" fillId="0" borderId="0" xfId="0" applyNumberFormat="1" applyFont="1" applyAlignment="1">
      <alignment horizontal="right"/>
    </xf>
    <xf numFmtId="0" fontId="31" fillId="0" borderId="3" xfId="0" applyFont="1" applyBorder="1"/>
    <xf numFmtId="188" fontId="0" fillId="0" borderId="8" xfId="0" applyNumberFormat="1" applyBorder="1" applyAlignment="1">
      <alignment horizontal="right"/>
    </xf>
    <xf numFmtId="189" fontId="0" fillId="0" borderId="0" xfId="0" applyNumberFormat="1" applyAlignment="1">
      <alignment horizontal="right"/>
    </xf>
    <xf numFmtId="0" fontId="31" fillId="0" borderId="1" xfId="0" applyFont="1" applyBorder="1" applyAlignment="1">
      <alignment horizontal="right"/>
    </xf>
    <xf numFmtId="0" fontId="31" fillId="0" borderId="14" xfId="0" applyFont="1" applyBorder="1" applyAlignment="1">
      <alignment horizontal="right"/>
    </xf>
    <xf numFmtId="189" fontId="0" fillId="0" borderId="11" xfId="0" applyNumberFormat="1" applyBorder="1" applyAlignment="1">
      <alignment horizontal="right"/>
    </xf>
    <xf numFmtId="14" fontId="0" fillId="0" borderId="3" xfId="0" applyNumberFormat="1" applyBorder="1" applyAlignment="1">
      <alignment horizontal="right"/>
    </xf>
    <xf numFmtId="189" fontId="0" fillId="0" borderId="7" xfId="0" applyNumberFormat="1" applyBorder="1" applyAlignment="1">
      <alignment horizontal="right"/>
    </xf>
    <xf numFmtId="0" fontId="31" fillId="0" borderId="8" xfId="0" applyFont="1" applyBorder="1"/>
    <xf numFmtId="0" fontId="31" fillId="0" borderId="0" xfId="0" applyFont="1"/>
    <xf numFmtId="14" fontId="18" fillId="0" borderId="0" xfId="0" applyNumberFormat="1" applyFont="1" applyAlignment="1">
      <alignment horizontal="left"/>
    </xf>
    <xf numFmtId="4" fontId="3" fillId="0" borderId="8" xfId="0" applyNumberFormat="1" applyFont="1" applyBorder="1" applyAlignment="1">
      <alignment horizontal="left"/>
    </xf>
    <xf numFmtId="0" fontId="4" fillId="0" borderId="5" xfId="0" applyFont="1" applyBorder="1"/>
    <xf numFmtId="4" fontId="3" fillId="0" borderId="10" xfId="0" applyNumberFormat="1" applyFont="1" applyBorder="1" applyAlignment="1">
      <alignment horizontal="left"/>
    </xf>
    <xf numFmtId="4" fontId="3" fillId="0" borderId="0" xfId="0" applyNumberFormat="1" applyFont="1" applyAlignment="1">
      <alignment horizontal="left"/>
    </xf>
    <xf numFmtId="4" fontId="3" fillId="0" borderId="11" xfId="0" quotePrefix="1" applyNumberFormat="1" applyFont="1" applyBorder="1" applyAlignment="1">
      <alignment horizontal="left"/>
    </xf>
    <xf numFmtId="4" fontId="3" fillId="0" borderId="0" xfId="0" quotePrefix="1" applyNumberFormat="1" applyFont="1" applyAlignment="1">
      <alignment horizontal="left"/>
    </xf>
    <xf numFmtId="4" fontId="3" fillId="0" borderId="6" xfId="0" applyNumberFormat="1" applyFont="1" applyBorder="1" applyAlignment="1">
      <alignment horizontal="left"/>
    </xf>
    <xf numFmtId="4" fontId="3" fillId="0" borderId="3" xfId="0" applyNumberFormat="1" applyFont="1" applyBorder="1" applyAlignment="1">
      <alignment horizontal="left"/>
    </xf>
    <xf numFmtId="4" fontId="3" fillId="0" borderId="7" xfId="0" quotePrefix="1" applyNumberFormat="1" applyFont="1" applyBorder="1" applyAlignment="1">
      <alignment horizontal="left"/>
    </xf>
    <xf numFmtId="0" fontId="3" fillId="0" borderId="12" xfId="0" applyFont="1" applyBorder="1"/>
    <xf numFmtId="4" fontId="3" fillId="0" borderId="7" xfId="0" applyNumberFormat="1" applyFont="1" applyBorder="1" applyAlignment="1">
      <alignment horizontal="left"/>
    </xf>
    <xf numFmtId="4" fontId="3" fillId="0" borderId="11" xfId="0" applyNumberFormat="1" applyFont="1" applyBorder="1" applyAlignment="1">
      <alignment horizontal="left"/>
    </xf>
    <xf numFmtId="0" fontId="3" fillId="0" borderId="11" xfId="0" quotePrefix="1" applyFont="1" applyBorder="1" applyAlignment="1">
      <alignment horizontal="left"/>
    </xf>
    <xf numFmtId="0" fontId="3" fillId="0" borderId="11" xfId="0" applyFont="1" applyBorder="1" applyAlignment="1">
      <alignment horizontal="left"/>
    </xf>
    <xf numFmtId="0" fontId="3" fillId="0" borderId="7" xfId="0" applyFont="1" applyBorder="1" applyAlignment="1">
      <alignment horizontal="left"/>
    </xf>
    <xf numFmtId="4" fontId="4" fillId="0" borderId="9" xfId="0" applyNumberFormat="1" applyFont="1" applyBorder="1"/>
    <xf numFmtId="0" fontId="0" fillId="5" borderId="0" xfId="0" applyFill="1" applyAlignment="1">
      <alignment horizontal="left"/>
    </xf>
    <xf numFmtId="0" fontId="0" fillId="0" borderId="4" xfId="0" applyBorder="1"/>
    <xf numFmtId="0" fontId="2" fillId="6" borderId="0" xfId="0" applyFont="1" applyFill="1"/>
    <xf numFmtId="0" fontId="47" fillId="0" borderId="0" xfId="14" applyFont="1" applyAlignment="1">
      <alignment horizontal="left"/>
    </xf>
    <xf numFmtId="0" fontId="48" fillId="5" borderId="34" xfId="8" applyFont="1" applyFill="1" applyBorder="1" applyAlignment="1">
      <alignment horizontal="centerContinuous" vertical="center"/>
    </xf>
    <xf numFmtId="0" fontId="49" fillId="5" borderId="34" xfId="8" applyFont="1" applyFill="1" applyBorder="1" applyAlignment="1">
      <alignment horizontal="left" vertical="center"/>
    </xf>
    <xf numFmtId="0" fontId="2" fillId="0" borderId="0" xfId="0" applyFont="1"/>
    <xf numFmtId="0" fontId="9" fillId="5" borderId="0" xfId="0" applyFont="1" applyFill="1" applyAlignment="1">
      <alignment horizontal="right" vertical="center"/>
    </xf>
    <xf numFmtId="0" fontId="31" fillId="0" borderId="34" xfId="0" applyFont="1" applyBorder="1"/>
    <xf numFmtId="0" fontId="31" fillId="0" borderId="34" xfId="0" applyFont="1" applyBorder="1" applyAlignment="1">
      <alignment horizontal="left" indent="1"/>
    </xf>
    <xf numFmtId="171" fontId="51" fillId="4" borderId="0" xfId="15" applyNumberFormat="1" applyFont="1" applyFill="1" applyAlignment="1">
      <alignment horizontal="left" vertical="center"/>
    </xf>
    <xf numFmtId="3" fontId="51" fillId="4" borderId="0" xfId="15" applyNumberFormat="1" applyFont="1" applyFill="1" applyAlignment="1">
      <alignment horizontal="right" vertical="center"/>
    </xf>
    <xf numFmtId="0" fontId="51" fillId="4" borderId="0" xfId="15" applyFont="1" applyFill="1" applyAlignment="1">
      <alignment horizontal="right" vertical="center"/>
    </xf>
    <xf numFmtId="170" fontId="18" fillId="0" borderId="0" xfId="1" applyNumberFormat="1" applyFont="1" applyAlignment="1">
      <alignment horizontal="right"/>
    </xf>
    <xf numFmtId="170" fontId="21" fillId="2" borderId="2" xfId="1" applyNumberFormat="1" applyFont="1" applyFill="1" applyBorder="1" applyAlignment="1">
      <alignment horizontal="right" vertical="center"/>
    </xf>
    <xf numFmtId="1" fontId="0" fillId="0" borderId="0" xfId="0" applyNumberFormat="1"/>
    <xf numFmtId="0" fontId="2" fillId="0" borderId="15" xfId="0" applyFont="1" applyBorder="1"/>
    <xf numFmtId="0" fontId="2" fillId="0" borderId="16" xfId="0" applyFont="1" applyBorder="1"/>
    <xf numFmtId="0" fontId="2" fillId="0" borderId="17" xfId="0" applyFont="1" applyBorder="1"/>
    <xf numFmtId="3" fontId="18" fillId="0" borderId="0" xfId="0" applyNumberFormat="1" applyFont="1" applyAlignment="1">
      <alignment horizontal="right"/>
    </xf>
    <xf numFmtId="171" fontId="18" fillId="0" borderId="0" xfId="4" applyNumberFormat="1" applyFont="1" applyAlignment="1">
      <alignment horizontal="right"/>
    </xf>
    <xf numFmtId="171" fontId="51" fillId="4" borderId="0" xfId="15" applyNumberFormat="1" applyFont="1" applyFill="1" applyAlignment="1">
      <alignment horizontal="right" vertical="center"/>
    </xf>
    <xf numFmtId="1" fontId="0" fillId="0" borderId="0" xfId="0" applyNumberFormat="1" applyAlignment="1">
      <alignment horizontal="right"/>
    </xf>
    <xf numFmtId="171" fontId="0" fillId="0" borderId="0" xfId="4" applyNumberFormat="1" applyFont="1" applyAlignment="1">
      <alignment horizontal="right"/>
    </xf>
    <xf numFmtId="9" fontId="0" fillId="0" borderId="0" xfId="0" applyNumberFormat="1" applyAlignment="1">
      <alignment horizontal="right"/>
    </xf>
    <xf numFmtId="0" fontId="52" fillId="0" borderId="0" xfId="0" applyFont="1"/>
    <xf numFmtId="1" fontId="21" fillId="2" borderId="2" xfId="1" applyNumberFormat="1" applyFont="1" applyFill="1" applyBorder="1" applyAlignment="1">
      <alignment horizontal="right" vertical="center"/>
    </xf>
    <xf numFmtId="10" fontId="0" fillId="0" borderId="0" xfId="1" applyNumberFormat="1" applyFont="1"/>
    <xf numFmtId="10" fontId="0" fillId="0" borderId="0" xfId="0" applyNumberFormat="1"/>
    <xf numFmtId="10" fontId="21" fillId="2" borderId="2" xfId="1" applyNumberFormat="1" applyFont="1" applyFill="1" applyBorder="1" applyAlignment="1">
      <alignment horizontal="right" vertical="center"/>
    </xf>
    <xf numFmtId="170" fontId="0" fillId="0" borderId="0" xfId="0" applyNumberFormat="1"/>
    <xf numFmtId="1" fontId="31" fillId="0" borderId="0" xfId="0" applyNumberFormat="1" applyFont="1"/>
    <xf numFmtId="3" fontId="2" fillId="0" borderId="0" xfId="0" applyNumberFormat="1" applyFont="1" applyAlignment="1">
      <alignment horizontal="left"/>
    </xf>
    <xf numFmtId="171" fontId="51" fillId="0" borderId="0" xfId="15" applyNumberFormat="1" applyFont="1" applyAlignment="1">
      <alignment vertical="center"/>
    </xf>
    <xf numFmtId="171" fontId="51" fillId="0" borderId="0" xfId="15" applyNumberFormat="1" applyFont="1" applyAlignment="1">
      <alignment horizontal="left" vertical="center"/>
    </xf>
    <xf numFmtId="9" fontId="31" fillId="0" borderId="0" xfId="1" applyFont="1"/>
    <xf numFmtId="171" fontId="0" fillId="0" borderId="0" xfId="4" applyNumberFormat="1" applyFont="1" applyAlignment="1"/>
    <xf numFmtId="10" fontId="0" fillId="0" borderId="0" xfId="1" applyNumberFormat="1" applyFont="1" applyAlignment="1">
      <alignment horizontal="right"/>
    </xf>
    <xf numFmtId="2" fontId="0" fillId="0" borderId="0" xfId="0" applyNumberFormat="1" applyAlignment="1">
      <alignment horizontal="right"/>
    </xf>
    <xf numFmtId="190" fontId="0" fillId="0" borderId="0" xfId="1" applyNumberFormat="1" applyFont="1"/>
    <xf numFmtId="190" fontId="21" fillId="2" borderId="2" xfId="1" applyNumberFormat="1" applyFont="1" applyFill="1" applyBorder="1" applyAlignment="1">
      <alignment horizontal="right" vertical="center"/>
    </xf>
    <xf numFmtId="190" fontId="0" fillId="0" borderId="0" xfId="0" applyNumberFormat="1"/>
    <xf numFmtId="171" fontId="31" fillId="0" borderId="0" xfId="4" applyNumberFormat="1" applyFont="1" applyAlignment="1">
      <alignment horizontal="right"/>
    </xf>
    <xf numFmtId="0" fontId="53" fillId="0" borderId="3" xfId="0" applyFont="1" applyBorder="1" applyAlignment="1">
      <alignment vertical="center"/>
    </xf>
    <xf numFmtId="0" fontId="0" fillId="0" borderId="0" xfId="0" applyAlignment="1">
      <alignment horizontal="left" vertical="top" wrapText="1"/>
    </xf>
    <xf numFmtId="0" fontId="0" fillId="0" borderId="0" xfId="0" applyAlignment="1">
      <alignment vertical="top" wrapText="1"/>
    </xf>
    <xf numFmtId="43" fontId="0" fillId="0" borderId="0" xfId="0" applyNumberFormat="1"/>
    <xf numFmtId="10" fontId="18" fillId="0" borderId="0" xfId="0" applyNumberFormat="1" applyFont="1" applyAlignment="1">
      <alignment horizontal="right"/>
    </xf>
    <xf numFmtId="0" fontId="31" fillId="0" borderId="13" xfId="0" applyFont="1" applyBorder="1"/>
    <xf numFmtId="0" fontId="53" fillId="0" borderId="0" xfId="0" applyFont="1" applyAlignment="1">
      <alignment vertical="center"/>
    </xf>
    <xf numFmtId="0" fontId="0" fillId="0" borderId="0" xfId="0" quotePrefix="1"/>
    <xf numFmtId="10" fontId="21" fillId="2" borderId="2" xfId="8" applyNumberFormat="1" applyFont="1" applyFill="1" applyBorder="1" applyAlignment="1">
      <alignment horizontal="center" vertical="center"/>
    </xf>
    <xf numFmtId="171" fontId="51" fillId="4" borderId="0" xfId="15" applyNumberFormat="1" applyFont="1" applyFill="1" applyAlignment="1">
      <alignment vertical="center"/>
    </xf>
    <xf numFmtId="3" fontId="31" fillId="0" borderId="0" xfId="0" applyNumberFormat="1" applyFont="1" applyAlignment="1">
      <alignment horizontal="right"/>
    </xf>
    <xf numFmtId="0" fontId="3" fillId="0" borderId="8" xfId="0" applyFont="1" applyBorder="1"/>
    <xf numFmtId="0" fontId="2" fillId="0" borderId="0" xfId="0" quotePrefix="1" applyFont="1"/>
    <xf numFmtId="0" fontId="48" fillId="5" borderId="0" xfId="8" applyFont="1" applyFill="1" applyAlignment="1">
      <alignment horizontal="centerContinuous" vertical="center"/>
    </xf>
    <xf numFmtId="37" fontId="18" fillId="0" borderId="0" xfId="0" applyNumberFormat="1" applyFont="1" applyAlignment="1">
      <alignment horizontal="right"/>
    </xf>
    <xf numFmtId="0" fontId="5" fillId="0" borderId="0" xfId="0" applyFont="1" applyAlignment="1">
      <alignment horizontal="left" vertical="top" wrapText="1" indent="2"/>
    </xf>
    <xf numFmtId="166" fontId="21" fillId="2" borderId="4" xfId="0" applyNumberFormat="1" applyFont="1" applyFill="1" applyBorder="1" applyAlignment="1">
      <alignment horizontal="left"/>
    </xf>
    <xf numFmtId="166" fontId="21" fillId="2" borderId="9" xfId="0" applyNumberFormat="1" applyFont="1" applyFill="1" applyBorder="1" applyAlignment="1">
      <alignment horizontal="left"/>
    </xf>
    <xf numFmtId="166" fontId="21" fillId="2" borderId="5" xfId="0" applyNumberFormat="1" applyFont="1" applyFill="1" applyBorder="1" applyAlignment="1">
      <alignment horizontal="left"/>
    </xf>
    <xf numFmtId="0" fontId="17" fillId="0" borderId="4" xfId="3" applyFont="1" applyBorder="1" applyAlignment="1">
      <alignment horizontal="center"/>
    </xf>
    <xf numFmtId="0" fontId="17" fillId="0" borderId="5" xfId="3" applyFont="1" applyBorder="1" applyAlignment="1">
      <alignment horizontal="center"/>
    </xf>
    <xf numFmtId="0" fontId="10" fillId="0" borderId="4" xfId="3" applyFont="1" applyBorder="1" applyAlignment="1">
      <alignment horizontal="center"/>
    </xf>
    <xf numFmtId="0" fontId="10" fillId="0" borderId="5" xfId="3" applyFont="1" applyBorder="1" applyAlignment="1">
      <alignment horizontal="center"/>
    </xf>
    <xf numFmtId="0" fontId="0" fillId="0" borderId="0" xfId="0" applyAlignment="1">
      <alignment horizontal="left" wrapText="1"/>
    </xf>
    <xf numFmtId="0" fontId="46" fillId="0" borderId="0" xfId="0" applyFont="1" applyAlignment="1">
      <alignment horizontal="left" vertical="center" wrapText="1" indent="4"/>
    </xf>
    <xf numFmtId="0" fontId="31" fillId="0" borderId="4" xfId="0" applyFont="1" applyBorder="1" applyAlignment="1">
      <alignment horizontal="center"/>
    </xf>
    <xf numFmtId="0" fontId="31" fillId="0" borderId="5" xfId="0" applyFont="1" applyBorder="1" applyAlignment="1">
      <alignment horizontal="center"/>
    </xf>
    <xf numFmtId="0" fontId="10" fillId="2" borderId="20" xfId="7" applyFont="1" applyFill="1" applyBorder="1" applyAlignment="1">
      <alignment horizontal="center"/>
    </xf>
    <xf numFmtId="0" fontId="10" fillId="2" borderId="21" xfId="7" applyFont="1" applyFill="1" applyBorder="1" applyAlignment="1">
      <alignment horizontal="center"/>
    </xf>
    <xf numFmtId="0" fontId="10" fillId="2" borderId="20" xfId="0" applyFont="1" applyFill="1" applyBorder="1" applyAlignment="1">
      <alignment horizontal="center"/>
    </xf>
    <xf numFmtId="0" fontId="10" fillId="2" borderId="23" xfId="0" applyFont="1" applyFill="1" applyBorder="1" applyAlignment="1">
      <alignment horizontal="center"/>
    </xf>
    <xf numFmtId="0" fontId="10" fillId="2" borderId="21" xfId="0" applyFont="1" applyFill="1" applyBorder="1" applyAlignment="1">
      <alignment horizontal="center"/>
    </xf>
    <xf numFmtId="0" fontId="0" fillId="0" borderId="6" xfId="0" applyBorder="1" applyAlignment="1">
      <alignment horizontal="left" vertical="top" wrapText="1"/>
    </xf>
    <xf numFmtId="0" fontId="0" fillId="0" borderId="3" xfId="0" applyBorder="1" applyAlignment="1">
      <alignment horizontal="left" vertical="top" wrapText="1"/>
    </xf>
    <xf numFmtId="0" fontId="0" fillId="0" borderId="7" xfId="0" applyBorder="1" applyAlignment="1">
      <alignment horizontal="left" vertical="top" wrapText="1"/>
    </xf>
    <xf numFmtId="0" fontId="21" fillId="2" borderId="2" xfId="8" applyFont="1" applyFill="1" applyBorder="1" applyAlignment="1">
      <alignment horizontal="center" vertical="center"/>
    </xf>
    <xf numFmtId="171" fontId="51" fillId="4" borderId="0" xfId="15" applyNumberFormat="1" applyFont="1" applyFill="1" applyAlignment="1">
      <alignment horizontal="left" vertical="center"/>
    </xf>
    <xf numFmtId="0" fontId="0" fillId="0" borderId="0" xfId="0" applyAlignment="1"/>
  </cellXfs>
  <cellStyles count="16">
    <cellStyle name="Comma" xfId="4" builtinId="3"/>
    <cellStyle name="Hyperlink" xfId="2" builtinId="8"/>
    <cellStyle name="Normal" xfId="0" builtinId="0"/>
    <cellStyle name="Normal 2" xfId="7" xr:uid="{00000000-0005-0000-0000-000003000000}"/>
    <cellStyle name="Normal 2 7" xfId="9" xr:uid="{D5B06E35-3865-4336-AFB8-EEEE4797056B}"/>
    <cellStyle name="Normal 3" xfId="8" xr:uid="{FB3FD683-815E-47DC-949C-4C3727B4CF16}"/>
    <cellStyle name="Normal 30" xfId="11" xr:uid="{68133925-2370-4729-8CC1-68BC49FB7738}"/>
    <cellStyle name="Normal 31" xfId="12" xr:uid="{69632A68-F2DC-45A8-874E-6F275E9956D6}"/>
    <cellStyle name="Normal 4 2" xfId="15" xr:uid="{B0E3B13C-60B7-4731-A240-6D54A3399E67}"/>
    <cellStyle name="Normal 5" xfId="10" xr:uid="{C12FA828-5A8B-4283-BC30-844CF78BBEB0}"/>
    <cellStyle name="Normal_eps-stock_9zdq01_" xfId="6" xr:uid="{00000000-0005-0000-0000-000004000000}"/>
    <cellStyle name="Normal_Intermediate" xfId="3" xr:uid="{00000000-0005-0000-0000-000005000000}"/>
    <cellStyle name="Normal_SNL_REIT_M&amp;A-Template_v1" xfId="14" xr:uid="{AC46ED0A-2C97-41FA-A4C2-7A6ACD5E93A3}"/>
    <cellStyle name="Normal_WACC Analysis" xfId="5" xr:uid="{00000000-0005-0000-0000-000006000000}"/>
    <cellStyle name="Percent" xfId="1" builtinId="5"/>
    <cellStyle name="table" xfId="13" xr:uid="{F3A31B3F-81B4-4C96-A314-1CEB86B39919}"/>
  </cellStyles>
  <dxfs count="0"/>
  <tableStyles count="0" defaultTableStyle="TableStyleMedium2" defaultPivotStyle="PivotStyleLight16"/>
  <colors>
    <mruColors>
      <color rgb="FF008000"/>
      <color rgb="FF525252"/>
      <color rgb="FF0000FF"/>
      <color rgb="FFFFFFCC"/>
      <color rgb="FF223D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184150</xdr:colOff>
          <xdr:row>39</xdr:row>
          <xdr:rowOff>0</xdr:rowOff>
        </xdr:from>
        <xdr:to>
          <xdr:col>12</xdr:col>
          <xdr:colOff>31750</xdr:colOff>
          <xdr:row>40</xdr:row>
          <xdr:rowOff>69850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800" b="0" i="0" u="none" strike="noStrike" baseline="0">
                  <a:solidFill>
                    <a:srgbClr val="000000"/>
                  </a:solidFill>
                  <a:latin typeface="Arial"/>
                  <a:cs typeface="Arial"/>
                </a:rPr>
                <a:t>REFRESH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4</xdr:row>
          <xdr:rowOff>146050</xdr:rowOff>
        </xdr:from>
        <xdr:to>
          <xdr:col>12</xdr:col>
          <xdr:colOff>0</xdr:colOff>
          <xdr:row>6</xdr:row>
          <xdr:rowOff>69850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800" b="0" i="0" u="none" strike="noStrike" baseline="0">
                  <a:solidFill>
                    <a:srgbClr val="000000"/>
                  </a:solidFill>
                  <a:latin typeface="Arial"/>
                  <a:cs typeface="Arial"/>
                </a:rPr>
                <a:t>UPDATE TERMINOLOGY</a:t>
              </a:r>
            </a:p>
          </xdr:txBody>
        </xdr:sp>
        <xdr:clientData fPrintsWithSheet="0"/>
      </xdr:twoCellAnchor>
    </mc:Choice>
    <mc:Fallback/>
  </mc:AlternateContent>
  <xdr:twoCellAnchor editAs="oneCell">
    <xdr:from>
      <xdr:col>1</xdr:col>
      <xdr:colOff>0</xdr:colOff>
      <xdr:row>1</xdr:row>
      <xdr:rowOff>57667</xdr:rowOff>
    </xdr:from>
    <xdr:to>
      <xdr:col>3</xdr:col>
      <xdr:colOff>761667</xdr:colOff>
      <xdr:row>1</xdr:row>
      <xdr:rowOff>562429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99786" y="184667"/>
          <a:ext cx="2666667" cy="5047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31750</xdr:colOff>
          <xdr:row>8</xdr:row>
          <xdr:rowOff>31750</xdr:rowOff>
        </xdr:from>
        <xdr:to>
          <xdr:col>7</xdr:col>
          <xdr:colOff>12700</xdr:colOff>
          <xdr:row>9</xdr:row>
          <xdr:rowOff>69850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800" b="0" i="0" u="none" strike="noStrike" baseline="0">
                  <a:solidFill>
                    <a:srgbClr val="000000"/>
                  </a:solidFill>
                  <a:latin typeface="Arial"/>
                  <a:cs typeface="Arial"/>
                </a:rPr>
                <a:t>IMPUTE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hyperlink" Target="mailto:support.CapIQPro@spglobal.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4"/>
  <sheetViews>
    <sheetView workbookViewId="0"/>
  </sheetViews>
  <sheetFormatPr defaultRowHeight="10" x14ac:dyDescent="0.2"/>
  <sheetData>
    <row r="1" spans="1:1" x14ac:dyDescent="0.2">
      <c r="A1" t="s">
        <v>5533</v>
      </c>
    </row>
    <row r="2" spans="1:1" x14ac:dyDescent="0.2">
      <c r="A2" t="s">
        <v>5534</v>
      </c>
    </row>
    <row r="3" spans="1:1" x14ac:dyDescent="0.2">
      <c r="A3" t="s">
        <v>5535</v>
      </c>
    </row>
    <row r="4" spans="1:1" x14ac:dyDescent="0.2">
      <c r="A4" t="s">
        <v>5536</v>
      </c>
    </row>
  </sheetData>
  <pageMargins left="0.7" right="0.7" top="0.75" bottom="0.75" header="0.3" footer="0.3"/>
  <pageSetup orientation="portrait" horizontalDpi="90" verticalDpi="9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
  <sheetViews>
    <sheetView workbookViewId="0"/>
  </sheetViews>
  <sheetFormatPr defaultRowHeight="10" x14ac:dyDescent="0.2"/>
  <sheetData/>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BT1666"/>
  <sheetViews>
    <sheetView showGridLines="0" tabSelected="1" zoomScaleNormal="100" zoomScaleSheetLayoutView="100" workbookViewId="0"/>
  </sheetViews>
  <sheetFormatPr defaultRowHeight="10" outlineLevelRow="1" outlineLevelCol="1" x14ac:dyDescent="0.2"/>
  <cols>
    <col min="1" max="1" width="1.6640625" customWidth="1"/>
    <col min="2" max="4" width="16.6640625" customWidth="1"/>
    <col min="5" max="5" width="26.33203125" hidden="1" customWidth="1" outlineLevel="1"/>
    <col min="6" max="6" width="16.6640625" customWidth="1" collapsed="1"/>
    <col min="7" max="8" width="16.6640625" hidden="1" customWidth="1" outlineLevel="1"/>
    <col min="9" max="9" width="16.6640625" customWidth="1" collapsed="1"/>
    <col min="10" max="11" width="16.6640625" customWidth="1"/>
    <col min="12" max="12" width="18.6640625" customWidth="1"/>
    <col min="13" max="20" width="16.6640625" customWidth="1"/>
    <col min="21" max="21" width="14.6640625" customWidth="1"/>
    <col min="22" max="22" width="17.6640625" hidden="1" customWidth="1" outlineLevel="1"/>
    <col min="23" max="23" width="26.44140625" hidden="1" customWidth="1" outlineLevel="1"/>
    <col min="24" max="24" width="27.109375" hidden="1" customWidth="1" outlineLevel="1"/>
    <col min="25" max="25" width="24.6640625" hidden="1" customWidth="1" outlineLevel="1"/>
    <col min="26" max="29" width="20.33203125" hidden="1" customWidth="1" outlineLevel="1"/>
    <col min="30" max="30" width="24.33203125" hidden="1" customWidth="1" outlineLevel="1"/>
    <col min="31" max="31" width="20.33203125" hidden="1" customWidth="1" outlineLevel="1"/>
    <col min="32" max="32" width="33.44140625" hidden="1" customWidth="1" outlineLevel="1"/>
    <col min="33" max="33" width="23.109375" hidden="1" customWidth="1" outlineLevel="1"/>
    <col min="34" max="34" width="26.109375" hidden="1" customWidth="1" outlineLevel="1"/>
    <col min="35" max="35" width="9.77734375" hidden="1" customWidth="1" outlineLevel="1"/>
    <col min="36" max="36" width="15" hidden="1" customWidth="1" outlineLevel="1"/>
    <col min="37" max="39" width="9.44140625" hidden="1" customWidth="1" outlineLevel="1"/>
    <col min="40" max="40" width="10.33203125" hidden="1" customWidth="1" outlineLevel="1"/>
    <col min="41" max="41" width="8.6640625" hidden="1" customWidth="1" outlineLevel="1"/>
    <col min="42" max="42" width="10.33203125" hidden="1" customWidth="1" outlineLevel="1"/>
    <col min="43" max="43" width="8.6640625" hidden="1" customWidth="1" outlineLevel="1"/>
    <col min="44" max="44" width="5.44140625" hidden="1" customWidth="1" outlineLevel="1"/>
    <col min="45" max="45" width="2" hidden="1" customWidth="1" outlineLevel="1"/>
    <col min="46" max="46" width="15" hidden="1" customWidth="1" outlineLevel="1"/>
    <col min="47" max="48" width="10.33203125" style="7" hidden="1" customWidth="1" outlineLevel="1"/>
    <col min="49" max="49" width="9.44140625" style="7" hidden="1" customWidth="1" outlineLevel="1"/>
    <col min="50" max="50" width="21.6640625" style="7" hidden="1" customWidth="1" outlineLevel="1"/>
    <col min="51" max="51" width="9.44140625" style="7" hidden="1" customWidth="1" outlineLevel="1"/>
    <col min="52" max="52" width="10.33203125" style="7" hidden="1" customWidth="1" outlineLevel="1"/>
    <col min="53" max="53" width="8.6640625" style="7" hidden="1" customWidth="1" outlineLevel="1"/>
    <col min="54" max="54" width="10.33203125" style="7" hidden="1" customWidth="1" outlineLevel="1"/>
    <col min="55" max="55" width="8.6640625" style="7" hidden="1" customWidth="1" outlineLevel="1"/>
    <col min="56" max="56" width="5.44140625" style="7" hidden="1" customWidth="1" outlineLevel="1"/>
    <col min="57" max="57" width="2" style="7" hidden="1" customWidth="1" outlineLevel="1"/>
    <col min="58" max="58" width="15" style="7" hidden="1" customWidth="1" outlineLevel="1"/>
    <col min="59" max="59" width="10.33203125" style="7" hidden="1" customWidth="1" outlineLevel="1"/>
    <col min="60" max="60" width="9.33203125" style="7" hidden="1" customWidth="1" outlineLevel="1"/>
    <col min="61" max="61" width="9.33203125" hidden="1" customWidth="1" outlineLevel="1"/>
    <col min="62" max="62" width="23.44140625" hidden="1" customWidth="1" outlineLevel="1"/>
    <col min="63" max="63" width="37" hidden="1" customWidth="1" outlineLevel="1"/>
    <col min="64" max="64" width="18.6640625" hidden="1" customWidth="1" outlineLevel="1"/>
    <col min="65" max="68" width="9.33203125" hidden="1" customWidth="1" outlineLevel="1"/>
    <col min="69" max="69" width="36" hidden="1" customWidth="1" outlineLevel="1"/>
    <col min="70" max="70" width="13.6640625" hidden="1" customWidth="1" outlineLevel="1"/>
    <col min="71" max="71" width="9.33203125" hidden="1" customWidth="1" outlineLevel="1"/>
    <col min="72" max="72" width="9.109375" collapsed="1"/>
  </cols>
  <sheetData>
    <row r="1" spans="1:60" x14ac:dyDescent="0.2">
      <c r="A1" t="s">
        <v>304</v>
      </c>
      <c r="I1" s="7"/>
      <c r="AU1"/>
      <c r="AV1"/>
      <c r="AW1"/>
      <c r="AX1"/>
      <c r="AY1"/>
      <c r="AZ1"/>
      <c r="BA1"/>
      <c r="BB1"/>
      <c r="BC1"/>
      <c r="BD1"/>
      <c r="BE1"/>
      <c r="BF1"/>
      <c r="BG1"/>
      <c r="BH1"/>
    </row>
    <row r="2" spans="1:60" ht="45" customHeight="1" x14ac:dyDescent="0.2">
      <c r="B2" s="322"/>
      <c r="C2" s="163"/>
      <c r="D2" s="163"/>
      <c r="E2" s="163"/>
      <c r="F2" s="163"/>
      <c r="G2" s="163"/>
      <c r="H2" s="163"/>
      <c r="I2" s="163" t="str">
        <f>VLOOKUP("Discounted Cash Flow Analysis",Language_Data,Lookup_Column,FALSE)</f>
        <v>Discounted Cash Flow Analysis</v>
      </c>
      <c r="J2" s="48"/>
      <c r="K2" s="48"/>
      <c r="L2" s="48"/>
      <c r="M2" s="15"/>
      <c r="N2" s="15"/>
      <c r="O2" s="15"/>
      <c r="P2" s="15"/>
      <c r="Q2" s="15"/>
      <c r="R2" s="15"/>
      <c r="S2" s="15"/>
      <c r="T2" s="15"/>
      <c r="AU2"/>
      <c r="AV2"/>
      <c r="AW2"/>
      <c r="AX2"/>
      <c r="AY2"/>
      <c r="AZ2"/>
      <c r="BA2"/>
      <c r="BB2"/>
      <c r="BC2"/>
      <c r="BD2"/>
      <c r="BE2"/>
      <c r="BF2"/>
      <c r="BG2"/>
      <c r="BH2"/>
    </row>
    <row r="3" spans="1:60" ht="11.9" customHeight="1" x14ac:dyDescent="0.2">
      <c r="B3" s="9"/>
      <c r="C3" s="51"/>
      <c r="D3" s="51"/>
      <c r="E3" s="51"/>
      <c r="F3" s="51"/>
      <c r="G3" s="51"/>
      <c r="H3" s="51"/>
      <c r="I3" s="51"/>
      <c r="J3" s="321"/>
      <c r="K3" s="321"/>
      <c r="L3" s="321"/>
      <c r="AU3"/>
      <c r="AV3"/>
      <c r="AW3"/>
      <c r="AX3"/>
      <c r="AY3"/>
      <c r="AZ3"/>
      <c r="BA3"/>
      <c r="BB3"/>
      <c r="BC3"/>
      <c r="BD3"/>
      <c r="BE3"/>
      <c r="BF3"/>
      <c r="BG3"/>
      <c r="BH3"/>
    </row>
    <row r="4" spans="1:60" ht="11.9" customHeight="1" x14ac:dyDescent="0.25">
      <c r="B4" s="324" t="str">
        <f>VLOOKUP("Step 1: Select terminology from dropdown to be used in template.",Language_Data,Lookup_Column,FALSE)</f>
        <v>Step 1: Select terminology from dropdown to be used in template.</v>
      </c>
      <c r="C4" s="323"/>
      <c r="D4" s="323"/>
      <c r="E4" s="323"/>
      <c r="F4" s="323"/>
      <c r="G4" s="323"/>
      <c r="H4" s="51"/>
      <c r="K4" s="487" t="s">
        <v>2961</v>
      </c>
      <c r="L4" s="488"/>
      <c r="N4" s="139" t="str">
        <f>VLOOKUP("Contact:",Language_Data,Lookup_Column,FALSE)</f>
        <v>Contact:</v>
      </c>
      <c r="O4" s="126"/>
      <c r="AU4"/>
      <c r="AV4"/>
      <c r="AW4"/>
      <c r="AX4"/>
      <c r="AY4"/>
      <c r="AZ4"/>
      <c r="BA4"/>
      <c r="BB4"/>
      <c r="BC4"/>
      <c r="BD4"/>
      <c r="BE4"/>
      <c r="BF4"/>
      <c r="BG4"/>
      <c r="BH4"/>
    </row>
    <row r="5" spans="1:60" ht="11.9" customHeight="1" x14ac:dyDescent="0.2">
      <c r="B5" s="324"/>
      <c r="C5" s="323"/>
      <c r="D5" s="323"/>
      <c r="E5" s="323"/>
      <c r="F5" s="323"/>
      <c r="G5" s="323"/>
      <c r="H5" s="51"/>
      <c r="I5" s="51"/>
      <c r="J5" s="321"/>
      <c r="K5" s="321"/>
      <c r="L5" s="321"/>
      <c r="N5" s="96" t="str">
        <f>VLOOKUP("Please contact S&amp;P Capital IQ Pro Support with any questions or comments:",Language_Data,Lookup_Column,FALSE)</f>
        <v>Please contact S&amp;P Capital IQ Pro Support with any questions or comments:</v>
      </c>
      <c r="O5" s="126"/>
      <c r="AU5"/>
      <c r="AV5"/>
      <c r="AW5"/>
      <c r="AX5"/>
      <c r="AY5"/>
      <c r="AZ5"/>
      <c r="BA5"/>
      <c r="BB5"/>
      <c r="BC5"/>
      <c r="BD5"/>
      <c r="BE5"/>
      <c r="BF5"/>
      <c r="BG5"/>
      <c r="BH5"/>
    </row>
    <row r="6" spans="1:60" ht="11.9" customHeight="1" x14ac:dyDescent="0.2">
      <c r="B6" s="324" t="str">
        <f>VLOOKUP("Step 2: Hit ""UPDATE TERMINOLOGY"" button to update terminology in template.",Language_Data,Lookup_Column,FALSE)</f>
        <v>Step 2: Hit "UPDATE TERMINOLOGY" button to update terminology in template.</v>
      </c>
      <c r="C6" s="323"/>
      <c r="D6" s="323"/>
      <c r="E6" s="323"/>
      <c r="F6" s="323"/>
      <c r="G6" s="323"/>
      <c r="H6" s="51"/>
      <c r="I6" s="51"/>
      <c r="J6" s="321"/>
      <c r="K6" s="321"/>
      <c r="L6" s="321"/>
      <c r="N6" s="10" t="str">
        <f>VLOOKUP("Email:",Language_Data,Lookup_Column,FALSE)</f>
        <v>Email:</v>
      </c>
      <c r="O6" s="420" t="s">
        <v>4165</v>
      </c>
      <c r="AU6"/>
      <c r="AV6"/>
      <c r="AW6"/>
      <c r="AX6"/>
      <c r="AY6"/>
      <c r="AZ6"/>
      <c r="BA6"/>
      <c r="BB6"/>
      <c r="BC6"/>
      <c r="BD6"/>
      <c r="BE6"/>
      <c r="BF6"/>
      <c r="BG6"/>
      <c r="BH6"/>
    </row>
    <row r="7" spans="1:60" ht="11.9" customHeight="1" x14ac:dyDescent="0.2">
      <c r="B7" s="323"/>
      <c r="C7" s="323"/>
      <c r="D7" s="323"/>
      <c r="E7" s="323"/>
      <c r="F7" s="323"/>
      <c r="G7" s="323"/>
      <c r="H7" s="51"/>
      <c r="I7" s="51"/>
      <c r="J7" s="321"/>
      <c r="K7" s="321"/>
      <c r="L7" s="321"/>
      <c r="AU7"/>
      <c r="AV7"/>
      <c r="AW7"/>
      <c r="AX7"/>
      <c r="AY7"/>
      <c r="AZ7"/>
      <c r="BA7"/>
      <c r="BB7"/>
      <c r="BC7"/>
      <c r="BD7"/>
      <c r="BE7"/>
      <c r="BF7"/>
      <c r="BG7"/>
      <c r="BH7"/>
    </row>
    <row r="8" spans="1:60" ht="11.5" x14ac:dyDescent="0.25">
      <c r="B8" s="295" t="str">
        <f>VLOOKUP("Instructions:",Language_Data,Lookup_Column,FALSE)</f>
        <v>Instructions:</v>
      </c>
      <c r="C8" s="58"/>
      <c r="D8" s="58"/>
      <c r="E8" s="58"/>
      <c r="F8" s="58"/>
      <c r="G8" s="58"/>
      <c r="H8" s="58"/>
      <c r="N8" s="139" t="str">
        <f>VLOOKUP("Notes:",Language_Data,Lookup_Column,FALSE)</f>
        <v>Notes:</v>
      </c>
      <c r="AU8"/>
      <c r="AV8"/>
      <c r="AW8"/>
      <c r="AX8"/>
      <c r="AY8"/>
      <c r="AZ8"/>
      <c r="BA8"/>
      <c r="BB8"/>
      <c r="BC8"/>
      <c r="BD8"/>
      <c r="BE8"/>
      <c r="BF8"/>
      <c r="BG8"/>
      <c r="BH8"/>
    </row>
    <row r="9" spans="1:60" x14ac:dyDescent="0.2">
      <c r="B9" s="127" t="str">
        <f>VLOOKUP("1) Select S&amp;P Capital IQ Pro Add-In manual refresh option.",Language_Data,Lookup_Column,FALSE)</f>
        <v>1) Select S&amp;P Capital IQ Pro Add-In manual refresh option.</v>
      </c>
      <c r="C9" s="58"/>
      <c r="D9" s="58"/>
      <c r="E9" s="58"/>
      <c r="F9" s="58"/>
      <c r="G9" s="58"/>
      <c r="H9" s="58"/>
      <c r="N9" s="47" t="str">
        <f>VLOOKUP("1) S&amp;P Capital IQ Pro calculates WACC based on the most recent annual/quarterly reporting period,",Language_Data,Lookup_Column,FALSE)</f>
        <v>1) S&amp;P Capital IQ Pro calculates WACC based on the most recent annual/quarterly reporting period,</v>
      </c>
      <c r="AU9"/>
      <c r="AV9"/>
      <c r="AW9"/>
      <c r="AX9"/>
      <c r="AY9"/>
      <c r="AZ9"/>
      <c r="BA9"/>
      <c r="BB9"/>
      <c r="BC9"/>
      <c r="BD9"/>
      <c r="BE9"/>
      <c r="BF9"/>
      <c r="BG9"/>
      <c r="BH9"/>
    </row>
    <row r="10" spans="1:60" x14ac:dyDescent="0.2">
      <c r="B10" s="127" t="str">
        <f>"2) "&amp;VLOOKUP("This model contains VBA macros, which require specific settings to be enabled to function.",Language_Data,Lookup_Column,FALSE)</f>
        <v>2) This model contains VBA macros, which require specific settings to be enabled to function.</v>
      </c>
      <c r="C10" s="419"/>
      <c r="D10" s="58"/>
      <c r="E10" s="58"/>
      <c r="F10" s="58"/>
      <c r="G10" s="58"/>
      <c r="H10" s="58"/>
      <c r="N10" s="49" t="str">
        <f>VLOOKUP("except the following parameters:",Language_Data,Lookup_Column,FALSE)</f>
        <v>except the following parameters:</v>
      </c>
      <c r="AU10"/>
      <c r="AV10"/>
      <c r="AW10"/>
      <c r="AX10"/>
      <c r="AY10"/>
      <c r="AZ10"/>
      <c r="BA10"/>
      <c r="BB10"/>
      <c r="BC10"/>
      <c r="BD10"/>
      <c r="BE10"/>
      <c r="BF10"/>
      <c r="BG10"/>
      <c r="BH10"/>
    </row>
    <row r="11" spans="1:60" ht="20.5" customHeight="1" x14ac:dyDescent="0.2">
      <c r="B11" s="475" t="s">
        <v>4829</v>
      </c>
      <c r="C11" s="475"/>
      <c r="D11" s="475"/>
      <c r="E11" s="475"/>
      <c r="F11" s="475"/>
      <c r="G11" s="475"/>
      <c r="H11" s="475"/>
      <c r="I11" s="475"/>
      <c r="N11" s="50" t="str">
        <f>VLOOKUP("A) Risk-Free Rate of Return (Rf) – Pulls in 10y/5y US T-Note yield for most recent traded day.",Language_Data,Lookup_Column,FALSE)</f>
        <v>A) Risk-Free Rate of Return (Rf) – Pulls in 10y/5y US T-Note yield for most recent traded day.</v>
      </c>
      <c r="AU11"/>
      <c r="AV11"/>
      <c r="AW11"/>
      <c r="AX11"/>
      <c r="AY11"/>
      <c r="AZ11"/>
      <c r="BA11"/>
      <c r="BB11"/>
      <c r="BC11"/>
      <c r="BD11"/>
      <c r="BE11"/>
      <c r="BF11"/>
      <c r="BG11"/>
      <c r="BH11"/>
    </row>
    <row r="12" spans="1:60" x14ac:dyDescent="0.2">
      <c r="B12" s="128"/>
      <c r="C12" s="58"/>
      <c r="D12" s="58"/>
      <c r="E12" s="58"/>
      <c r="F12" s="58"/>
      <c r="G12" s="58"/>
      <c r="H12" s="58"/>
      <c r="N12" s="50" t="str">
        <f>VLOOKUP("B) Average of last 5 issued bonds is based on most recent issuance.",Language_Data,Lookup_Column,FALSE)</f>
        <v>B) Average of last 5 issued bonds is based on most recent issuance.</v>
      </c>
      <c r="AU12"/>
      <c r="AV12"/>
      <c r="AW12"/>
      <c r="AX12"/>
      <c r="AY12"/>
      <c r="AZ12"/>
      <c r="BA12"/>
      <c r="BB12"/>
      <c r="BC12"/>
      <c r="BD12"/>
      <c r="BE12"/>
      <c r="BF12"/>
      <c r="BG12"/>
      <c r="BH12"/>
    </row>
    <row r="13" spans="1:60" x14ac:dyDescent="0.2">
      <c r="B13" s="127" t="str">
        <f>VLOOKUP("Step 1: Enter Trading Symbol-Exchange / Entity ID / CIQ ID in Cell L13.",Language_Data,Lookup_Column,FALSE)</f>
        <v>Step 1: Enter Trading Symbol-Exchange / Entity ID / CIQ ID in Cell L13.</v>
      </c>
      <c r="J13" s="7"/>
      <c r="K13" s="7"/>
      <c r="L13" s="296" t="s">
        <v>4863</v>
      </c>
      <c r="N13" s="47" t="str">
        <f>VLOOKUP("2) Current market capitalization data is used in the calculation of equity.",Language_Data,Lookup_Column,FALSE)</f>
        <v>2) Current market capitalization data is used in the calculation of equity.</v>
      </c>
      <c r="AU13"/>
      <c r="AV13"/>
      <c r="AW13"/>
      <c r="AX13"/>
      <c r="AY13"/>
      <c r="AZ13"/>
      <c r="BA13"/>
      <c r="BB13"/>
      <c r="BC13"/>
      <c r="BD13"/>
      <c r="BE13"/>
      <c r="BF13"/>
      <c r="BG13"/>
      <c r="BH13"/>
    </row>
    <row r="14" spans="1:60" x14ac:dyDescent="0.2">
      <c r="B14" s="7"/>
      <c r="J14" s="7"/>
      <c r="K14" s="7"/>
      <c r="L14" s="7"/>
      <c r="N14" s="47" t="str">
        <f>VLOOKUP("3) The model includes only the securities issued by the Focus company.",Language_Data,Lookup_Column,FALSE)</f>
        <v>3) The model includes only the securities issued by the Focus company.</v>
      </c>
      <c r="AU14"/>
      <c r="AV14"/>
      <c r="AW14"/>
      <c r="AX14"/>
      <c r="AY14"/>
      <c r="AZ14"/>
      <c r="BA14"/>
      <c r="BB14"/>
      <c r="BC14"/>
      <c r="BD14"/>
      <c r="BE14"/>
      <c r="BF14"/>
      <c r="BG14"/>
      <c r="BH14"/>
    </row>
    <row r="15" spans="1:60" x14ac:dyDescent="0.2">
      <c r="B15" s="127" t="str">
        <f>VLOOKUP("Step 2: Enter date for analysis.",Language_Data,Lookup_Column,FALSE)</f>
        <v>Step 2: Enter date for analysis.</v>
      </c>
      <c r="J15" s="7"/>
      <c r="K15" s="7"/>
      <c r="L15" s="304" cm="1">
        <f t="array" ref="L15">_xll.SNL.Clients.Office.Excel.Functions.SPGDATE()-3</f>
        <v>46251</v>
      </c>
      <c r="N15" s="7"/>
      <c r="AU15"/>
      <c r="AV15"/>
      <c r="AW15"/>
      <c r="AX15"/>
      <c r="AY15"/>
      <c r="AZ15"/>
      <c r="BA15"/>
      <c r="BB15"/>
      <c r="BC15"/>
      <c r="BD15"/>
      <c r="BE15"/>
      <c r="BF15"/>
      <c r="BG15"/>
      <c r="BH15"/>
    </row>
    <row r="16" spans="1:60" x14ac:dyDescent="0.2">
      <c r="AU16"/>
      <c r="AV16"/>
      <c r="AW16"/>
      <c r="AX16"/>
      <c r="AY16"/>
      <c r="AZ16"/>
      <c r="BA16"/>
      <c r="BB16"/>
      <c r="BC16"/>
      <c r="BD16"/>
      <c r="BE16"/>
      <c r="BF16"/>
      <c r="BG16"/>
      <c r="BH16"/>
    </row>
    <row r="17" spans="2:60" x14ac:dyDescent="0.2">
      <c r="B17" s="100"/>
      <c r="J17" s="7"/>
      <c r="K17" s="7"/>
      <c r="AU17"/>
      <c r="AV17"/>
      <c r="AW17"/>
      <c r="AX17"/>
      <c r="AY17"/>
      <c r="AZ17"/>
      <c r="BA17"/>
      <c r="BB17"/>
      <c r="BC17"/>
      <c r="BD17"/>
      <c r="BE17"/>
      <c r="BF17"/>
      <c r="BG17"/>
      <c r="BH17"/>
    </row>
    <row r="18" spans="2:60" x14ac:dyDescent="0.2">
      <c r="B18" s="127" t="str">
        <f>VLOOKUP("Step 3: Select an index for market return.",Language_Data,Lookup_Column,FALSE)</f>
        <v>Step 3: Select an Index for Market Return.</v>
      </c>
      <c r="J18" s="489" t="s">
        <v>13</v>
      </c>
      <c r="K18" s="490"/>
      <c r="L18" s="491"/>
      <c r="AU18"/>
      <c r="AV18"/>
      <c r="AW18"/>
      <c r="AX18"/>
      <c r="AY18"/>
      <c r="AZ18"/>
      <c r="BA18"/>
      <c r="BB18"/>
      <c r="BC18"/>
      <c r="BD18"/>
      <c r="BE18"/>
      <c r="BF18"/>
      <c r="BG18"/>
      <c r="BH18"/>
    </row>
    <row r="19" spans="2:60" ht="10.5" x14ac:dyDescent="0.25">
      <c r="Y19" s="349" t="str">
        <f>VLOOKUP("Initial Check:",Language_Data,Lookup_Column,FALSE)</f>
        <v>Initial check:</v>
      </c>
      <c r="AA19" s="349" t="str">
        <f>VLOOKUP("Final Peer List:",Language_Data,Lookup_Column,FALSE)</f>
        <v>Final Peer List:</v>
      </c>
      <c r="AU19"/>
      <c r="AV19"/>
      <c r="AW19"/>
      <c r="AX19"/>
      <c r="AY19"/>
      <c r="AZ19"/>
      <c r="BA19"/>
      <c r="BB19"/>
      <c r="BC19"/>
      <c r="BD19"/>
      <c r="BE19"/>
      <c r="BF19"/>
      <c r="BG19"/>
      <c r="BH19"/>
    </row>
    <row r="20" spans="2:60" ht="10.5" x14ac:dyDescent="0.25">
      <c r="B20" s="127" t="str">
        <f>VLOOKUP("Step 4: Enter peers for beta generation.",Language_Data,Lookup_Column,FALSE)</f>
        <v>Step 4: Enter peers for beta generation.</v>
      </c>
      <c r="J20" s="7"/>
      <c r="K20" s="7"/>
      <c r="L20" s="346" t="str">
        <f>VLOOKUP("Auto-generated Peers",Language_Data,Lookup_Column,FALSE)</f>
        <v>Auto-generated Peers</v>
      </c>
      <c r="N20" s="346" t="str">
        <f>VLOOKUP("Exclude or Override Peers",Language_Data,Lookup_Column,FALSE)</f>
        <v>Exclude or Override Peers</v>
      </c>
      <c r="AU20"/>
      <c r="AV20"/>
      <c r="AW20"/>
      <c r="AX20"/>
      <c r="AY20"/>
      <c r="AZ20"/>
      <c r="BA20"/>
      <c r="BB20"/>
      <c r="BC20"/>
      <c r="BD20"/>
      <c r="BE20"/>
      <c r="BF20"/>
      <c r="BG20"/>
      <c r="BH20"/>
    </row>
    <row r="21" spans="2:60" ht="10.5" hidden="1" x14ac:dyDescent="0.25">
      <c r="B21" s="127"/>
      <c r="J21" s="7"/>
      <c r="K21" s="7"/>
      <c r="L21" s="347" t="str" cm="1">
        <f t="array" ref="L21">_xll.SNL.Clients.Office.Excel.Functions.SPGRANGEV($L$13,"SP_QUICK_COMP",1,6)</f>
        <v>Quick Comps</v>
      </c>
      <c r="N21" s="346"/>
      <c r="AU21"/>
      <c r="AV21"/>
      <c r="AW21"/>
      <c r="AX21"/>
      <c r="AY21"/>
      <c r="AZ21"/>
      <c r="BA21"/>
      <c r="BB21"/>
      <c r="BC21"/>
      <c r="BD21"/>
      <c r="BE21"/>
      <c r="BF21"/>
      <c r="BG21"/>
      <c r="BH21"/>
    </row>
    <row r="22" spans="2:60" x14ac:dyDescent="0.2">
      <c r="B22" s="353" t="str">
        <f>VLOOKUP("&gt;Automatic peers are generated in Cells L22:L27.",Language_Data,Lookup_Column,FALSE)</f>
        <v>&gt;Automatic peers are generated in Cells L22:L27.</v>
      </c>
      <c r="J22" s="132"/>
      <c r="K22" s="345" t="str">
        <f>VLOOKUP("Peer 1",Language_Data,Lookup_Column,FALSE)&amp;" ►"</f>
        <v>Peer 1 ►</v>
      </c>
      <c r="L22" s="348" t="s">
        <v>4864</v>
      </c>
      <c r="N22" s="297"/>
      <c r="X22" s="350">
        <v>1</v>
      </c>
      <c r="Y22" s="351" t="str">
        <f t="shared" ref="Y22:Y27" si="0">IF(N22="*","",IF(N22&lt;&gt;"",N22,IF(L22="","",L22)))</f>
        <v>NASDAQGS:GOOGL</v>
      </c>
      <c r="Z22" s="350">
        <f>IF(Y22="","",X22)</f>
        <v>1</v>
      </c>
      <c r="AA22" s="352" t="str">
        <f>IFERROR(INDEX($Y$22:$Y$27,MATCH(SMALL($Z$22:$Z$27,X22),$X$22:$X$27,0)),"")</f>
        <v>NASDAQGS:GOOGL</v>
      </c>
      <c r="AU22"/>
      <c r="AV22"/>
      <c r="AW22"/>
      <c r="AX22"/>
      <c r="AY22"/>
      <c r="AZ22"/>
      <c r="BA22"/>
      <c r="BB22"/>
      <c r="BC22"/>
      <c r="BD22"/>
      <c r="BE22"/>
      <c r="BF22"/>
      <c r="BG22"/>
      <c r="BH22"/>
    </row>
    <row r="23" spans="2:60" x14ac:dyDescent="0.2">
      <c r="B23" s="353" t="str">
        <f>VLOOKUP("&gt;To exclude, put an asterisk (*) in their corresponding adjacent yellow cells.",Language_Data,Lookup_Column,FALSE)</f>
        <v>&gt;To exclude, put an asterisk (*) in their corresponding adjacent yellow cells.</v>
      </c>
      <c r="J23" s="132"/>
      <c r="K23" s="345" t="str">
        <f>VLOOKUP("Peer 2",Language_Data,Lookup_Column,FALSE)&amp;" ►"</f>
        <v>Peer 2 ►</v>
      </c>
      <c r="L23" s="348" t="s">
        <v>4260</v>
      </c>
      <c r="N23" s="298"/>
      <c r="X23" s="350">
        <v>2</v>
      </c>
      <c r="Y23" s="351" t="str">
        <f t="shared" si="0"/>
        <v>NYSE:ORCL</v>
      </c>
      <c r="Z23" s="350">
        <f t="shared" ref="Z23:Z27" si="1">IF(Y23="","",X23)</f>
        <v>2</v>
      </c>
      <c r="AA23" s="352" t="str">
        <f t="shared" ref="AA23:AA27" si="2">IFERROR(INDEX($Y$22:$Y$27,MATCH(SMALL($Z$22:$Z$27,X23),$X$22:$X$27,0)),"")</f>
        <v>NYSE:ORCL</v>
      </c>
      <c r="AU23"/>
      <c r="AV23"/>
      <c r="AW23"/>
      <c r="AX23"/>
      <c r="AY23"/>
      <c r="AZ23"/>
      <c r="BA23"/>
      <c r="BB23"/>
      <c r="BC23"/>
      <c r="BD23"/>
      <c r="BE23"/>
      <c r="BF23"/>
      <c r="BG23"/>
      <c r="BH23"/>
    </row>
    <row r="24" spans="2:60" x14ac:dyDescent="0.2">
      <c r="B24" s="484" t="str">
        <f>VLOOKUP("&gt;To override, enter Trading Symbol &amp; Exchange of desired peers in their corresponding adjacent yellow cells.",Language_Data,Lookup_Column,FALSE)</f>
        <v>&gt;To override, enter Trading Symbol &amp; Exchange of desired peers in their corresponding adjacent yellow cells.</v>
      </c>
      <c r="C24" s="484"/>
      <c r="D24" s="484"/>
      <c r="E24" s="484"/>
      <c r="F24" s="484"/>
      <c r="G24" s="484"/>
      <c r="H24" s="484"/>
      <c r="I24" s="484"/>
      <c r="J24" s="132"/>
      <c r="K24" s="345" t="str">
        <f>VLOOKUP("Peer 3",Language_Data,Lookup_Column,FALSE)&amp;" ►"</f>
        <v>Peer 3 ►</v>
      </c>
      <c r="L24" s="348" t="s">
        <v>4868</v>
      </c>
      <c r="N24" s="299"/>
      <c r="X24" s="350">
        <v>3</v>
      </c>
      <c r="Y24" s="351" t="str">
        <f t="shared" si="0"/>
        <v>NASDAQGS:AAPL</v>
      </c>
      <c r="Z24" s="350">
        <f t="shared" si="1"/>
        <v>3</v>
      </c>
      <c r="AA24" s="352" t="str">
        <f t="shared" si="2"/>
        <v>NASDAQGS:AAPL</v>
      </c>
      <c r="AU24"/>
      <c r="AV24"/>
      <c r="AW24"/>
      <c r="AX24"/>
      <c r="AY24"/>
      <c r="AZ24"/>
      <c r="BA24"/>
      <c r="BB24"/>
      <c r="BC24"/>
      <c r="BD24"/>
      <c r="BE24"/>
      <c r="BF24"/>
      <c r="BG24"/>
      <c r="BH24"/>
    </row>
    <row r="25" spans="2:60" x14ac:dyDescent="0.2">
      <c r="B25" s="484"/>
      <c r="C25" s="484"/>
      <c r="D25" s="484"/>
      <c r="E25" s="484"/>
      <c r="F25" s="484"/>
      <c r="G25" s="484"/>
      <c r="H25" s="484"/>
      <c r="I25" s="484"/>
      <c r="J25" s="132"/>
      <c r="K25" s="345" t="str">
        <f>VLOOKUP("Peer 4",Language_Data,Lookup_Column,FALSE)&amp;" ►"</f>
        <v>Peer 4 ►</v>
      </c>
      <c r="L25" s="348" t="s">
        <v>4865</v>
      </c>
      <c r="N25" s="299"/>
      <c r="X25" s="350">
        <v>4</v>
      </c>
      <c r="Y25" s="351" t="str">
        <f t="shared" si="0"/>
        <v>NASDAQGS:NVDA</v>
      </c>
      <c r="Z25" s="350">
        <f t="shared" si="1"/>
        <v>4</v>
      </c>
      <c r="AA25" s="352" t="str">
        <f t="shared" si="2"/>
        <v>NASDAQGS:NVDA</v>
      </c>
      <c r="AU25"/>
      <c r="AV25"/>
      <c r="AW25"/>
      <c r="AX25"/>
      <c r="AY25"/>
      <c r="AZ25"/>
      <c r="BA25"/>
      <c r="BB25"/>
      <c r="BC25"/>
      <c r="BD25"/>
      <c r="BE25"/>
      <c r="BF25"/>
      <c r="BG25"/>
      <c r="BH25"/>
    </row>
    <row r="26" spans="2:60" x14ac:dyDescent="0.2">
      <c r="B26" s="353" t="str">
        <f>VLOOKUP("(Sample format: NYSE:ORCL or BARC-LSE)",Language_Data,Lookup_Column,FALSE)</f>
        <v>(Sample format: NYSE:ORCL or BARC-LSE)</v>
      </c>
      <c r="J26" s="132"/>
      <c r="K26" s="345" t="str">
        <f>VLOOKUP("Peer 5",Language_Data,Lookup_Column,FALSE)&amp;" ►"</f>
        <v>Peer 5 ►</v>
      </c>
      <c r="L26" s="348" t="s">
        <v>4866</v>
      </c>
      <c r="N26" s="299"/>
      <c r="X26" s="350">
        <v>5</v>
      </c>
      <c r="Y26" s="351" t="str">
        <f t="shared" si="0"/>
        <v>NASDAQGS:ADBE</v>
      </c>
      <c r="Z26" s="350">
        <f t="shared" si="1"/>
        <v>5</v>
      </c>
      <c r="AA26" s="352" t="str">
        <f t="shared" si="2"/>
        <v>NASDAQGS:ADBE</v>
      </c>
      <c r="AU26"/>
      <c r="AV26"/>
      <c r="AW26"/>
      <c r="AX26"/>
      <c r="AY26"/>
      <c r="AZ26"/>
      <c r="BA26"/>
      <c r="BB26"/>
      <c r="BC26"/>
      <c r="BD26"/>
      <c r="BE26"/>
      <c r="BF26"/>
      <c r="BG26"/>
      <c r="BH26"/>
    </row>
    <row r="27" spans="2:60" ht="10.5" x14ac:dyDescent="0.25">
      <c r="B27" s="129"/>
      <c r="J27" s="132"/>
      <c r="K27" s="345" t="str">
        <f>VLOOKUP("Peer 6",Language_Data,Lookup_Column,FALSE)&amp;" ►"</f>
        <v>Peer 6 ►</v>
      </c>
      <c r="L27" s="348" t="s">
        <v>4867</v>
      </c>
      <c r="N27" s="299"/>
      <c r="X27" s="350">
        <v>6</v>
      </c>
      <c r="Y27" s="351" t="str">
        <f t="shared" si="0"/>
        <v>NASDAQGS:META</v>
      </c>
      <c r="Z27" s="350">
        <f t="shared" si="1"/>
        <v>6</v>
      </c>
      <c r="AA27" s="352" t="str">
        <f t="shared" si="2"/>
        <v>NASDAQGS:META</v>
      </c>
      <c r="AU27"/>
      <c r="AV27"/>
      <c r="AW27"/>
      <c r="AX27"/>
      <c r="AY27"/>
      <c r="AZ27"/>
      <c r="BA27"/>
      <c r="BB27"/>
      <c r="BC27"/>
      <c r="BD27"/>
      <c r="BE27"/>
      <c r="BF27"/>
      <c r="BG27"/>
      <c r="BH27"/>
    </row>
    <row r="28" spans="2:60" ht="10.5" x14ac:dyDescent="0.25">
      <c r="B28" s="129"/>
      <c r="J28" s="7"/>
      <c r="K28" s="7"/>
      <c r="AU28"/>
      <c r="AV28"/>
      <c r="AW28"/>
      <c r="AX28"/>
      <c r="AY28"/>
      <c r="AZ28"/>
      <c r="BA28"/>
      <c r="BB28"/>
      <c r="BC28"/>
      <c r="BD28"/>
      <c r="BE28"/>
      <c r="BF28"/>
      <c r="BG28"/>
      <c r="BH28"/>
    </row>
    <row r="29" spans="2:60" ht="10.5" x14ac:dyDescent="0.25">
      <c r="B29" s="130"/>
      <c r="J29" s="301" t="str">
        <f>VLOOKUP("Currency",Language_Data,Lookup_Column,FALSE)</f>
        <v>Currency</v>
      </c>
      <c r="K29" s="301"/>
      <c r="L29" s="300" t="str">
        <f>VLOOKUP("Magnitude",Language_Data,Lookup_Column,FALSE)</f>
        <v>Magnitude</v>
      </c>
      <c r="AU29"/>
      <c r="AV29"/>
      <c r="AW29"/>
      <c r="AX29"/>
      <c r="AY29"/>
      <c r="AZ29"/>
      <c r="BA29"/>
      <c r="BB29"/>
      <c r="BC29"/>
      <c r="BD29"/>
      <c r="BE29"/>
      <c r="BF29"/>
      <c r="BG29"/>
      <c r="BH29"/>
    </row>
    <row r="30" spans="2:60" x14ac:dyDescent="0.2">
      <c r="B30" s="127" t="str">
        <f>VLOOKUP("Step 5: Select currency and magnitude.",Language_Data,Lookup_Column,FALSE)</f>
        <v>Step 5: Select currency and magnitude.</v>
      </c>
      <c r="J30" s="489" t="s">
        <v>27</v>
      </c>
      <c r="K30" s="491"/>
      <c r="L30" s="296" t="s">
        <v>252</v>
      </c>
      <c r="AU30"/>
      <c r="AV30"/>
      <c r="AW30"/>
      <c r="AX30"/>
      <c r="AY30"/>
      <c r="AZ30"/>
      <c r="BA30"/>
      <c r="BB30"/>
      <c r="BC30"/>
      <c r="BD30"/>
      <c r="BE30"/>
      <c r="BF30"/>
      <c r="BG30"/>
      <c r="BH30"/>
    </row>
    <row r="31" spans="2:60" x14ac:dyDescent="0.2">
      <c r="B31" s="130"/>
      <c r="C31" s="7"/>
      <c r="D31" s="7"/>
      <c r="E31" s="7"/>
      <c r="F31" s="7"/>
      <c r="G31" s="7"/>
      <c r="H31" s="7"/>
      <c r="J31" s="11"/>
      <c r="AU31"/>
      <c r="AV31"/>
      <c r="AW31"/>
      <c r="AX31"/>
      <c r="AY31"/>
      <c r="AZ31"/>
      <c r="BA31"/>
      <c r="BB31"/>
      <c r="BC31"/>
      <c r="BD31"/>
      <c r="BE31"/>
      <c r="BF31"/>
      <c r="BG31"/>
      <c r="BH31"/>
    </row>
    <row r="32" spans="2:60" x14ac:dyDescent="0.2">
      <c r="B32" s="127" t="str">
        <f>VLOOKUP("Step 6: Select discount factor.",Language_Data,Lookup_Column,FALSE)</f>
        <v>Step 6: Select discount factor.</v>
      </c>
      <c r="C32" s="7"/>
      <c r="D32" s="7"/>
      <c r="E32" s="7"/>
      <c r="F32" s="7"/>
      <c r="G32" s="7"/>
      <c r="H32" s="7"/>
      <c r="J32" s="7" t="str">
        <f>VLOOKUP("Discount Factor:",Language_Data,Lookup_Column,FALSE)</f>
        <v>Discount Factor:</v>
      </c>
      <c r="L32" s="299">
        <v>2</v>
      </c>
      <c r="V32" s="7"/>
      <c r="AU32"/>
      <c r="AV32"/>
      <c r="AW32"/>
      <c r="AX32"/>
      <c r="AY32"/>
      <c r="AZ32"/>
      <c r="BA32"/>
      <c r="BB32"/>
      <c r="BC32"/>
      <c r="BD32"/>
      <c r="BE32"/>
      <c r="BF32"/>
      <c r="BG32"/>
      <c r="BH32"/>
    </row>
    <row r="33" spans="2:60" x14ac:dyDescent="0.2">
      <c r="B33" s="130"/>
      <c r="C33" s="7"/>
      <c r="D33" s="7"/>
      <c r="E33" s="7"/>
      <c r="F33" s="7"/>
      <c r="G33" s="7"/>
      <c r="H33" s="7"/>
      <c r="J33" s="167" t="str">
        <f>"1 = "&amp;VLOOKUP("Mid-Period Convention",Language_Data,Lookup_Column,FALSE)</f>
        <v>1 = Mid-Period Convention</v>
      </c>
      <c r="K33" s="1"/>
      <c r="L33" s="7"/>
      <c r="V33" s="7"/>
      <c r="AU33"/>
      <c r="AV33"/>
      <c r="AW33"/>
      <c r="AX33"/>
      <c r="AY33"/>
      <c r="AZ33"/>
      <c r="BA33"/>
      <c r="BB33"/>
      <c r="BC33"/>
      <c r="BD33"/>
      <c r="BE33"/>
      <c r="BF33"/>
      <c r="BG33"/>
      <c r="BH33"/>
    </row>
    <row r="34" spans="2:60" ht="11.5" x14ac:dyDescent="0.25">
      <c r="B34" s="130"/>
      <c r="C34" s="7"/>
      <c r="D34" s="7"/>
      <c r="E34" s="7"/>
      <c r="F34" s="7"/>
      <c r="G34" s="7"/>
      <c r="H34" s="7"/>
      <c r="J34" s="167" t="str">
        <f>"2 = "&amp;VLOOKUP("End-of-Period Convention",Language_Data,Lookup_Column,FALSE)</f>
        <v>2 = End-of-Period Convention</v>
      </c>
      <c r="K34" s="1"/>
      <c r="L34" s="7"/>
      <c r="N34" s="295" t="str">
        <f>VLOOKUP("Disclaimer:",Language_Data,Lookup_Column,FALSE)</f>
        <v>Disclaimer:</v>
      </c>
      <c r="Y34" s="7" t="s">
        <v>305</v>
      </c>
      <c r="Z34" s="135">
        <f>IF(F72=Y35,1,2)</f>
        <v>1</v>
      </c>
      <c r="AU34"/>
      <c r="AV34"/>
      <c r="AW34"/>
      <c r="AX34"/>
      <c r="AY34"/>
      <c r="AZ34"/>
      <c r="BA34"/>
      <c r="BB34"/>
      <c r="BC34"/>
      <c r="BD34"/>
      <c r="BE34"/>
      <c r="BF34"/>
      <c r="BG34"/>
      <c r="BH34"/>
    </row>
    <row r="35" spans="2:60" x14ac:dyDescent="0.2">
      <c r="B35" s="130"/>
      <c r="C35" s="7"/>
      <c r="D35" s="7"/>
      <c r="E35" s="7"/>
      <c r="F35" s="7"/>
      <c r="G35" s="7"/>
      <c r="H35" s="7"/>
      <c r="J35" s="11"/>
      <c r="N35" t="str" cm="1">
        <f t="array" ref="N35">VLOOKUP("Copyright © ",Language_Data,Lookup_Column,FALSE)&amp;YEAR(_xll.SNL.Clients.Office.Excel.Functions.SPGDATE())&amp;" "&amp;VLOOKUP("S&amp;P Global Market Intelligence LLC (and its affiliates as applicable) – All rights reserved.",Language_Data,Lookup_Column,FALSE)</f>
        <v>Copyright © 2026 S&amp;P Global Market Intelligence LLC (and its affiliates as applicable) – All rights reserved.</v>
      </c>
      <c r="X35" s="3"/>
      <c r="Y35" s="7" t="str">
        <f>VLOOKUP("Bottom-Up Beta",Language_Data,Lookup_Column,FALSE)</f>
        <v>Bottom-Up Beta</v>
      </c>
      <c r="Z35" s="136">
        <f>S64</f>
        <v>1.4128100645921466</v>
      </c>
      <c r="AU35"/>
      <c r="AV35"/>
      <c r="AW35"/>
      <c r="AX35"/>
      <c r="AY35"/>
      <c r="AZ35"/>
      <c r="BA35"/>
      <c r="BB35"/>
      <c r="BC35"/>
      <c r="BD35"/>
      <c r="BE35"/>
      <c r="BF35"/>
      <c r="BG35"/>
      <c r="BH35"/>
    </row>
    <row r="36" spans="2:60" x14ac:dyDescent="0.2">
      <c r="B36" s="127" t="str">
        <f>VLOOKUP("Step 7: Select calculation method for Δ working cap.",Language_Data,Lookup_Column,FALSE)</f>
        <v>Step 7: Select calculation method for Δ working cap.</v>
      </c>
      <c r="C36" s="7"/>
      <c r="D36" s="7"/>
      <c r="E36" s="7"/>
      <c r="F36" s="7"/>
      <c r="G36" s="7"/>
      <c r="H36" s="7"/>
      <c r="J36" s="7" t="str">
        <f>VLOOKUP("Δ Working Cap. Reference:",Language_Data,Lookup_Column,FALSE)</f>
        <v>Δ Working Cap. Reference:</v>
      </c>
      <c r="L36" s="299">
        <v>1</v>
      </c>
      <c r="N36" s="483" t="str">
        <f>VLOOKUP("This model and/or any data in it are provided subject to the written agreement of S&amp;P Global Market Intelligence LLC governing the subscription service to which this model is applied.",Language_Data,Lookup_Column,FALSE)</f>
        <v>This model and/or any data in it are provided subject to the written agreement of S&amp;P Global Market Intelligence LLC governing the subscription service to which this model is applied.</v>
      </c>
      <c r="O36" s="483"/>
      <c r="P36" s="483"/>
      <c r="Q36" s="483"/>
      <c r="R36" s="483"/>
      <c r="S36" s="483"/>
      <c r="X36" s="3"/>
      <c r="Y36" s="7" t="str">
        <f>VLOOKUP("Regression Beta",Language_Data,Lookup_Column,FALSE)</f>
        <v>Regression Beta</v>
      </c>
      <c r="Z36" s="137" cm="1">
        <f t="array" ref="Z36">_xll.SNL.Clients.Office.Excel.Functions.SPG($L13,"IQ_BETA_5YR",$L$15,"Options:NA=0")</f>
        <v>1.0996132938180525</v>
      </c>
      <c r="AU36"/>
      <c r="AV36"/>
      <c r="AW36"/>
      <c r="AX36"/>
      <c r="AY36"/>
      <c r="AZ36"/>
      <c r="BA36"/>
      <c r="BB36"/>
      <c r="BC36"/>
      <c r="BD36"/>
      <c r="BE36"/>
      <c r="BF36"/>
      <c r="BG36"/>
      <c r="BH36"/>
    </row>
    <row r="37" spans="2:60" x14ac:dyDescent="0.2">
      <c r="B37" s="130"/>
      <c r="C37" s="7"/>
      <c r="D37" s="7"/>
      <c r="E37" s="7"/>
      <c r="F37" s="7"/>
      <c r="G37" s="7"/>
      <c r="H37" s="7"/>
      <c r="J37" s="7" t="str">
        <f>VLOOKUP("1 = As Reported on the Cash Flow",Language_Data,Lookup_Column,FALSE)</f>
        <v>1 = As Reported on the Cash Flow</v>
      </c>
      <c r="K37" s="7"/>
      <c r="L37" s="7"/>
      <c r="N37" s="483"/>
      <c r="O37" s="483"/>
      <c r="P37" s="483"/>
      <c r="Q37" s="483"/>
      <c r="R37" s="483"/>
      <c r="S37" s="483"/>
      <c r="X37" s="3"/>
      <c r="AU37"/>
      <c r="AV37"/>
      <c r="AW37"/>
      <c r="AX37"/>
      <c r="AY37"/>
      <c r="AZ37"/>
      <c r="BA37"/>
      <c r="BB37"/>
      <c r="BC37"/>
      <c r="BD37"/>
      <c r="BE37"/>
      <c r="BF37"/>
      <c r="BG37"/>
      <c r="BH37"/>
    </row>
    <row r="38" spans="2:60" x14ac:dyDescent="0.2">
      <c r="B38" s="130"/>
      <c r="C38" s="7"/>
      <c r="D38" s="7"/>
      <c r="E38" s="7"/>
      <c r="F38" s="7"/>
      <c r="G38" s="7"/>
      <c r="H38" s="7"/>
      <c r="J38" s="7" t="str">
        <f>VLOOKUP("2 = Calculated via WC Schedule",Language_Data,Lookup_Column,FALSE)</f>
        <v>2 = Calculated via WC Schedule</v>
      </c>
      <c r="K38" s="7"/>
      <c r="L38" s="7"/>
      <c r="X38" s="3"/>
      <c r="AU38"/>
      <c r="AV38"/>
      <c r="AW38"/>
      <c r="AX38"/>
      <c r="AY38"/>
      <c r="AZ38"/>
      <c r="BA38"/>
      <c r="BB38"/>
      <c r="BC38"/>
      <c r="BD38"/>
      <c r="BE38"/>
      <c r="BF38"/>
      <c r="BG38"/>
      <c r="BH38"/>
    </row>
    <row r="39" spans="2:60" x14ac:dyDescent="0.2">
      <c r="B39" s="130"/>
      <c r="C39" s="7"/>
      <c r="D39" s="7"/>
      <c r="E39" s="7"/>
      <c r="F39" s="7"/>
      <c r="G39" s="7"/>
      <c r="H39" s="7"/>
      <c r="J39" s="7"/>
      <c r="K39" s="7"/>
      <c r="L39" s="7"/>
      <c r="X39" s="3"/>
      <c r="AU39"/>
      <c r="AV39"/>
      <c r="AW39"/>
      <c r="AX39"/>
      <c r="AY39"/>
      <c r="AZ39"/>
      <c r="BA39"/>
      <c r="BB39"/>
      <c r="BC39"/>
      <c r="BD39"/>
      <c r="BE39"/>
      <c r="BF39"/>
      <c r="BG39"/>
      <c r="BH39"/>
    </row>
    <row r="40" spans="2:60" ht="12" customHeight="1" x14ac:dyDescent="0.2">
      <c r="B40" s="127" t="str">
        <f>VLOOKUP("Step 8: Click on ""REFRESH SHEET"" button.",Language_Data,Lookup_Column,FALSE)</f>
        <v>Step 8: Click on "REFRESH SHEET" button.</v>
      </c>
      <c r="C40" s="7"/>
      <c r="D40" s="7"/>
      <c r="E40" s="7"/>
      <c r="F40" s="7"/>
      <c r="G40" s="7"/>
      <c r="H40" s="7"/>
      <c r="J40" s="13"/>
      <c r="K40" s="13"/>
      <c r="X40" s="3"/>
      <c r="AU40"/>
      <c r="AV40"/>
      <c r="AW40"/>
      <c r="AX40"/>
      <c r="AY40"/>
      <c r="AZ40"/>
      <c r="BA40"/>
      <c r="BB40"/>
      <c r="BC40"/>
      <c r="BD40"/>
      <c r="BE40"/>
      <c r="BF40"/>
      <c r="BG40"/>
      <c r="BH40"/>
    </row>
    <row r="41" spans="2:60" ht="10.5" x14ac:dyDescent="0.2">
      <c r="J41" s="13"/>
      <c r="K41" s="13"/>
      <c r="AU41"/>
      <c r="AV41"/>
      <c r="AW41"/>
      <c r="AX41"/>
      <c r="AY41"/>
      <c r="AZ41"/>
      <c r="BA41"/>
      <c r="BB41"/>
      <c r="BC41"/>
      <c r="BD41"/>
      <c r="BE41"/>
      <c r="BF41"/>
      <c r="BG41"/>
      <c r="BH41"/>
    </row>
    <row r="42" spans="2:60" ht="3" customHeight="1" x14ac:dyDescent="0.2">
      <c r="B42" s="69"/>
      <c r="C42" s="131"/>
      <c r="D42" s="131"/>
      <c r="E42" s="131"/>
      <c r="F42" s="131"/>
      <c r="G42" s="131"/>
      <c r="H42" s="131"/>
      <c r="I42" s="69"/>
      <c r="J42" s="12"/>
      <c r="K42" s="12"/>
      <c r="L42" s="15"/>
      <c r="M42" s="15"/>
      <c r="N42" s="15"/>
      <c r="O42" s="15"/>
      <c r="P42" s="15"/>
      <c r="Q42" s="15"/>
      <c r="R42" s="15"/>
      <c r="S42" s="15"/>
      <c r="AU42"/>
      <c r="AV42"/>
      <c r="AW42"/>
      <c r="AX42"/>
      <c r="AY42"/>
      <c r="AZ42"/>
      <c r="BA42"/>
      <c r="BB42"/>
      <c r="BC42"/>
      <c r="BD42"/>
      <c r="BE42"/>
      <c r="BF42"/>
      <c r="BG42"/>
      <c r="BH42"/>
    </row>
    <row r="43" spans="2:60" x14ac:dyDescent="0.2">
      <c r="AU43"/>
      <c r="AV43"/>
      <c r="AW43"/>
      <c r="AX43"/>
      <c r="AY43"/>
      <c r="AZ43"/>
      <c r="BA43"/>
      <c r="BB43"/>
      <c r="BC43"/>
      <c r="BD43"/>
      <c r="BE43"/>
      <c r="BF43"/>
      <c r="BG43"/>
      <c r="BH43"/>
    </row>
    <row r="44" spans="2:60" x14ac:dyDescent="0.2">
      <c r="AU44"/>
      <c r="AV44"/>
      <c r="AW44"/>
      <c r="AX44"/>
      <c r="AY44"/>
      <c r="AZ44"/>
      <c r="BA44"/>
      <c r="BB44"/>
      <c r="BC44"/>
      <c r="BD44"/>
      <c r="BE44"/>
      <c r="BF44"/>
      <c r="BG44"/>
      <c r="BH44"/>
    </row>
    <row r="46" spans="2:60" ht="16" thickBot="1" x14ac:dyDescent="0.4">
      <c r="B46" s="340" t="str">
        <f>AA76</f>
        <v>Microsoft Corporation (NASDAQGS:MSFT)</v>
      </c>
      <c r="C46" s="46"/>
      <c r="D46" s="46"/>
      <c r="E46" s="46"/>
      <c r="F46" s="46"/>
      <c r="G46" s="46"/>
      <c r="H46" s="46"/>
      <c r="I46" s="46"/>
      <c r="J46" s="46"/>
      <c r="K46" s="46"/>
      <c r="L46" s="46"/>
      <c r="M46" s="46"/>
      <c r="N46" s="46"/>
      <c r="O46" s="46"/>
      <c r="P46" s="46"/>
      <c r="Q46" s="46"/>
      <c r="R46" s="46"/>
      <c r="S46" s="46"/>
    </row>
    <row r="47" spans="2:60" ht="10.5" x14ac:dyDescent="0.25">
      <c r="W47" s="114"/>
      <c r="X47" s="354" t="s">
        <v>274</v>
      </c>
      <c r="Y47" s="355" t="s">
        <v>275</v>
      </c>
      <c r="Z47" s="355" t="s">
        <v>272</v>
      </c>
      <c r="AA47" s="355" t="s">
        <v>260</v>
      </c>
      <c r="AB47" s="355" t="s">
        <v>260</v>
      </c>
      <c r="AC47" s="355" t="s">
        <v>260</v>
      </c>
      <c r="AD47" s="355" t="s">
        <v>260</v>
      </c>
      <c r="AE47" s="355" t="s">
        <v>260</v>
      </c>
      <c r="AF47" s="355" t="str">
        <f>"Total Debt ("&amp;CAP_ID&amp;")"</f>
        <v>Total Debt ($M)</v>
      </c>
      <c r="AG47" s="355" t="s">
        <v>261</v>
      </c>
      <c r="AH47" s="356" t="str">
        <f>"Total Preferred Equity ("&amp;CAP_ID&amp;")"</f>
        <v>Total Preferred Equity ($M)</v>
      </c>
    </row>
    <row r="48" spans="2:60" ht="10.5" x14ac:dyDescent="0.25">
      <c r="B48" s="40" t="str">
        <f>VLOOKUP("ASSUMPTIONS",Language_Data,Lookup_Column,FALSE)</f>
        <v>ASSUMPTIONS</v>
      </c>
      <c r="C48" s="40"/>
      <c r="D48" s="40"/>
      <c r="E48" s="40"/>
      <c r="F48" s="40"/>
      <c r="G48" s="249"/>
      <c r="H48" s="249"/>
      <c r="J48" s="89" t="str">
        <f>VLOOKUP("BETA CALCULATION",Language_Data,Lookup_Column,FALSE)</f>
        <v>BETA CALCULATION</v>
      </c>
      <c r="K48" s="90"/>
      <c r="L48" s="90"/>
      <c r="M48" s="90"/>
      <c r="N48" s="91"/>
      <c r="O48" s="91"/>
      <c r="P48" s="91"/>
      <c r="Q48" s="91"/>
      <c r="R48" s="91"/>
      <c r="S48" s="91"/>
      <c r="W48" s="308"/>
      <c r="X48" s="342" t="s">
        <v>294</v>
      </c>
      <c r="Y48" s="306" t="s">
        <v>295</v>
      </c>
      <c r="Z48" s="306" t="s">
        <v>293</v>
      </c>
      <c r="AA48" s="306" t="s">
        <v>292</v>
      </c>
      <c r="AB48" s="306" t="s">
        <v>292</v>
      </c>
      <c r="AC48" s="306" t="s">
        <v>292</v>
      </c>
      <c r="AD48" s="306" t="s">
        <v>292</v>
      </c>
      <c r="AE48" s="306" t="s">
        <v>292</v>
      </c>
      <c r="AF48" s="306" t="s">
        <v>298</v>
      </c>
      <c r="AG48" s="306" t="s">
        <v>291</v>
      </c>
      <c r="AH48" s="307" t="s">
        <v>290</v>
      </c>
      <c r="AO48" s="2"/>
      <c r="AP48" s="2"/>
      <c r="AQ48" s="4"/>
      <c r="AR48" s="4"/>
    </row>
    <row r="49" spans="2:71" ht="10.5" x14ac:dyDescent="0.25">
      <c r="J49" s="7"/>
      <c r="K49" s="7"/>
      <c r="L49" s="52" t="str">
        <f>VLOOKUP("5Yr Avg",Language_Data,Lookup_Column,FALSE)</f>
        <v>5Yr Avg</v>
      </c>
      <c r="M49" s="52" t="str">
        <f>VLOOKUP("Levered Beta",Language_Data,Lookup_Column,FALSE)</f>
        <v>Levered Beta</v>
      </c>
      <c r="N49" s="52" t="str">
        <f>VLOOKUP("Total Debt",Language_Data,Lookup_Column,FALSE)</f>
        <v>Total Debt</v>
      </c>
      <c r="O49" s="52" t="str">
        <f>VLOOKUP("Mkt. Val.",Language_Data,Lookup_Column,FALSE)</f>
        <v>Mkt. Val.</v>
      </c>
      <c r="P49" s="52" t="str">
        <f>VLOOKUP("Preferred",Language_Data,Lookup_Column,FALSE)&amp;" "&amp;VLOOKUP("Equity",Language_Data,Lookup_Column,FALSE)</f>
        <v>Preferred Equity</v>
      </c>
      <c r="Q49" s="52" t="str">
        <f>VLOOKUP("Debt/",Language_Data,Lookup_Column,FALSE)&amp;VLOOKUP("Equity",Language_Data,Lookup_Column,FALSE)</f>
        <v>Debt/Equity</v>
      </c>
      <c r="R49" s="52" t="str">
        <f>VLOOKUP("Pref/",Language_Data,Lookup_Column,FALSE)&amp;VLOOKUP("Equity",Language_Data,Lookup_Column,FALSE)</f>
        <v>Pref/Equity</v>
      </c>
      <c r="S49" s="52" t="str">
        <f>VLOOKUP("Unlevered",Language_Data,Lookup_Column,FALSE)&amp;" "&amp;VLOOKUP("Beta",Language_Data,Lookup_Column,FALSE)</f>
        <v>Unlevered Beta</v>
      </c>
      <c r="W49" s="115"/>
      <c r="X49" s="342"/>
      <c r="Y49" s="116"/>
      <c r="Z49" s="116"/>
      <c r="AA49" s="306" t="str">
        <f>Y69</f>
        <v>FY0</v>
      </c>
      <c r="AB49" s="306" t="s">
        <v>4242</v>
      </c>
      <c r="AC49" s="306" t="s">
        <v>4243</v>
      </c>
      <c r="AD49" s="306" t="s">
        <v>4244</v>
      </c>
      <c r="AE49" s="306" t="s">
        <v>4245</v>
      </c>
      <c r="AF49" s="306" t="s">
        <v>4248</v>
      </c>
      <c r="AG49" s="338">
        <f>$L$15</f>
        <v>46251</v>
      </c>
      <c r="AH49" s="307" t="s">
        <v>4248</v>
      </c>
      <c r="AO49" s="2"/>
      <c r="AP49" s="2"/>
      <c r="AQ49" s="4"/>
      <c r="AR49" s="4"/>
      <c r="BK49" s="479" t="s">
        <v>22</v>
      </c>
      <c r="BL49" s="480"/>
      <c r="BP49" s="30"/>
    </row>
    <row r="50" spans="2:71" ht="10.5" x14ac:dyDescent="0.25">
      <c r="B50" t="str">
        <f>VLOOKUP("Tax Rate (5 Year Average)",Language_Data,Lookup_Column,FALSE)</f>
        <v>Tax Rate (5 Year Average)</v>
      </c>
      <c r="F50" s="108">
        <f>IFERROR(AVERAGE(AA69:AA73)/100,0)</f>
        <v>0.17469799999999999</v>
      </c>
      <c r="G50" s="108"/>
      <c r="H50" s="108"/>
      <c r="J50" s="53" t="str">
        <f>VLOOKUP("Name",Language_Data,Lookup_Column,FALSE)</f>
        <v>Name</v>
      </c>
      <c r="K50" s="15"/>
      <c r="L50" s="54" t="str">
        <f>VLOOKUP("Tax Rate",Language_Data,Lookup_Column,FALSE)</f>
        <v>Tax Rate</v>
      </c>
      <c r="M50" s="54"/>
      <c r="N50" s="54"/>
      <c r="O50" s="54" t="str">
        <f>VLOOKUP("Equity",Language_Data,Lookup_Column,FALSE)</f>
        <v>Equity</v>
      </c>
      <c r="P50" s="54"/>
      <c r="Q50" s="54"/>
      <c r="R50" s="54"/>
      <c r="S50" s="54"/>
      <c r="W50" s="270"/>
      <c r="X50" s="343"/>
      <c r="Y50" s="271"/>
      <c r="Z50" s="271"/>
      <c r="AA50" s="335">
        <f t="shared" ref="AA50:AF50" si="3">$L$15</f>
        <v>46251</v>
      </c>
      <c r="AB50" s="335">
        <f t="shared" si="3"/>
        <v>46251</v>
      </c>
      <c r="AC50" s="335">
        <f t="shared" si="3"/>
        <v>46251</v>
      </c>
      <c r="AD50" s="335">
        <f t="shared" si="3"/>
        <v>46251</v>
      </c>
      <c r="AE50" s="335">
        <f t="shared" si="3"/>
        <v>46251</v>
      </c>
      <c r="AF50" s="335">
        <f t="shared" si="3"/>
        <v>46251</v>
      </c>
      <c r="AG50" s="336"/>
      <c r="AH50" s="330">
        <f>$L$15</f>
        <v>46251</v>
      </c>
      <c r="AN50" s="1"/>
      <c r="AO50" s="2"/>
      <c r="AP50" s="2"/>
      <c r="AQ50" s="4"/>
      <c r="AR50" s="4"/>
      <c r="BK50" s="481" t="s">
        <v>312</v>
      </c>
      <c r="BL50" s="482"/>
      <c r="BR50" s="34"/>
      <c r="BS50" s="34"/>
    </row>
    <row r="51" spans="2:71" ht="10.5" x14ac:dyDescent="0.25">
      <c r="B51" s="476" t="s">
        <v>4523</v>
      </c>
      <c r="C51" s="477"/>
      <c r="D51" s="478"/>
      <c r="E51" s="254"/>
      <c r="F51" s="208">
        <f>IF(F52&lt;&gt;"",F52,IFERROR(VLOOKUP(B51,AC76:AD157,2,0)/100,"NA"))</f>
        <v>4.3799999999999999E-2</v>
      </c>
      <c r="G51" s="208"/>
      <c r="H51" s="208"/>
      <c r="J51" s="96" t="str">
        <f t="shared" ref="J51:J56" si="4">IF(X52="","",X52)</f>
        <v>Alphabet Inc. (NASDAQGS:GOOGL)</v>
      </c>
      <c r="L51" s="97">
        <f t="shared" ref="L51:L56" si="5">IF($J51="","",IFERROR(AVERAGE(AA52:AE52)/100,0))</f>
        <v>0.15850999999999998</v>
      </c>
      <c r="M51" s="56" cm="1">
        <f t="array" ref="M51">IF($W52="","",_xll.SNL.Clients.Office.Excel.Functions.SPG($W52,"IQ_BETA_5YR",$L$15,"Options:NA=0"))</f>
        <v>1.2362225089823642</v>
      </c>
      <c r="N51" s="112">
        <f t="shared" ref="N51:P56" si="6">IF($J51="","",IF(OR(AF52="",AF52="NA"),0,AF52))</f>
        <v>120791</v>
      </c>
      <c r="O51" s="112">
        <f t="shared" si="6"/>
        <v>4193026.15</v>
      </c>
      <c r="P51" s="112">
        <f t="shared" si="6"/>
        <v>18023</v>
      </c>
      <c r="Q51" s="55">
        <f t="shared" ref="Q51:Q56" si="7">IF($O51="","",IF(ISERROR(N51/O51),0,N51/O51))</f>
        <v>2.880759520185678E-2</v>
      </c>
      <c r="R51" s="55">
        <f t="shared" ref="R51:R56" si="8">IF($O51="","",IF(ISERROR(P51/O51),0,P51/O51))</f>
        <v>4.2983275933063288E-3</v>
      </c>
      <c r="S51" s="303">
        <f t="shared" ref="S51:S56" si="9">IF($J51="","",IF(M51=0,"NA",IF(ISERROR(M51/(1+Q51*(1-$L51)+R51)),0,M51/(1+Q51*(1-$L51)+R51))))</f>
        <v>1.2019201515113374</v>
      </c>
      <c r="W51" s="333"/>
      <c r="X51" s="1"/>
      <c r="AA51" s="2"/>
      <c r="AB51" s="2"/>
      <c r="AC51" s="2"/>
      <c r="AD51" s="2"/>
      <c r="AE51" s="2"/>
      <c r="AF51" s="2"/>
      <c r="AG51" s="2"/>
      <c r="AH51" s="337"/>
      <c r="AN51" s="2"/>
      <c r="AO51" s="2"/>
      <c r="AW51" s="8"/>
      <c r="BM51" s="45" t="str">
        <f>BM52&amp;BN52</f>
        <v>$M</v>
      </c>
      <c r="BR51" s="34"/>
      <c r="BS51" s="34"/>
    </row>
    <row r="52" spans="2:71" ht="10.5" x14ac:dyDescent="0.25">
      <c r="D52" s="2" t="str">
        <f>VLOOKUP("Risk-free Rate Manual Overide ►",Language_Data,Lookup_Column,FALSE)</f>
        <v>Risk-free Rate Manual Overide ►</v>
      </c>
      <c r="F52" s="109"/>
      <c r="G52" s="108"/>
      <c r="H52" s="108"/>
      <c r="J52" s="96" t="str">
        <f t="shared" si="4"/>
        <v>Oracle Corporation (NYSE:ORCL)</v>
      </c>
      <c r="L52" s="97">
        <f t="shared" si="5"/>
        <v>0.10920999999999999</v>
      </c>
      <c r="M52" s="56" cm="1">
        <f t="array" ref="M52">IF($W53="","",_xll.SNL.Clients.Office.Excel.Functions.SPG($W53,"IQ_BETA_5YR",$L$15,"Options:NA=0"))</f>
        <v>1.7181657015629337</v>
      </c>
      <c r="N52" s="112">
        <f t="shared" si="6"/>
        <v>167432</v>
      </c>
      <c r="O52" s="112">
        <f t="shared" si="6"/>
        <v>422421.07215000002</v>
      </c>
      <c r="P52" s="112">
        <f t="shared" si="6"/>
        <v>4954</v>
      </c>
      <c r="Q52" s="55">
        <f t="shared" si="7"/>
        <v>0.39636280251792355</v>
      </c>
      <c r="R52" s="55">
        <f t="shared" si="8"/>
        <v>1.172763464375862E-2</v>
      </c>
      <c r="S52" s="303">
        <f t="shared" si="9"/>
        <v>1.2589105360617716</v>
      </c>
      <c r="W52" s="358" t="str">
        <f t="shared" ref="W52:W57" si="10">IF(AA22="","",AA22)</f>
        <v>NASDAQGS:GOOGL</v>
      </c>
      <c r="X52" s="96" t="str" cm="1">
        <f t="array" ref="X52">IF($W52="","",_xll.SNL.Clients.Office.Excel.Functions.SPG($W52,X$48))</f>
        <v>Alphabet Inc. (NASDAQGS:GOOGL)</v>
      </c>
      <c r="Y52" s="7" cm="1">
        <f t="array" ref="Y52">IF($W52="","",_xll.SNL.Clients.Office.Excel.Functions.SPG($W52,Y$48))</f>
        <v>4633618</v>
      </c>
      <c r="Z52" s="7" t="str" cm="1">
        <f t="array" ref="Z52">IF($W52="","",_xll.SNL.Clients.Office.Excel.Functions.SPG($W52,Z$48))</f>
        <v>GOOGL-US</v>
      </c>
      <c r="AA52" s="4" cm="1">
        <f t="array" ref="AA52">IF($W52="","",_xll.SNL.Clients.Office.Excel.Functions.SPG($W52,AA$48,AA$49,AA$50,"Options:NA=NA"))</f>
        <v>16.783000000000001</v>
      </c>
      <c r="AB52" s="4" cm="1">
        <f t="array" ref="AB52">IF($W52="","",_xll.SNL.Clients.Office.Excel.Functions.SPG($W52,AB$48,AB$49,AB$50,"Options:NA=NA"))</f>
        <v>16.440000000000001</v>
      </c>
      <c r="AC52" s="4" cm="1">
        <f t="array" ref="AC52">IF($W52="","",_xll.SNL.Clients.Office.Excel.Functions.SPG($W52,AC$48,AC$49,AC$50,"Options:NA=NA"))</f>
        <v>13.909000000000001</v>
      </c>
      <c r="AD52" s="4" cm="1">
        <f t="array" ref="AD52">IF($W52="","",_xll.SNL.Clients.Office.Excel.Functions.SPG($W52,AD$48,AD$49,AD$50,"Options:NA=NA"))</f>
        <v>15.920999999999999</v>
      </c>
      <c r="AE52" s="4" cm="1">
        <f t="array" ref="AE52">IF($W52="","",_xll.SNL.Clients.Office.Excel.Functions.SPG($W52,AE$48,AE$49,AE$50,"Options:NA=NA"))</f>
        <v>16.202000000000002</v>
      </c>
      <c r="AF52" s="6" cm="1">
        <f t="array" ref="AF52">IF($W52="","",_xll.SNL.Clients.Office.Excel.Functions.SPG($W52,AF$48,AF$49,AF$50,"Options:Curr="&amp;$BL$52&amp;",Mag="&amp;$BK$135&amp;",ConvMethod="&amp;$BL$145&amp;",NA=NA"))</f>
        <v>120791</v>
      </c>
      <c r="AG52" s="118" cm="1">
        <f t="array" ref="AG52">IF($W52="","",_xll.SNL.Clients.Office.Excel.Functions.SPG($W52,AG$48,AG$49,AG$50,"Options:Curr="&amp;$BL$52&amp;",Mag="&amp;$BK$135&amp;",ConvMethod="&amp;$BL$145&amp;",NA=NA"))</f>
        <v>4193026.15</v>
      </c>
      <c r="AH52" s="119" cm="1">
        <f t="array" ref="AH52">IF($W52="","",_xll.SNL.Clients.Office.Excel.Functions.SPG($W52,AH$48,AH$49,AH$50,"Options:Curr="&amp;$BL$52&amp;",Mag="&amp;$BK$135&amp;",ConvMethod="&amp;$BL$145&amp;",NA=NA"))</f>
        <v>18023</v>
      </c>
      <c r="AN52" s="2"/>
      <c r="AO52" s="2"/>
      <c r="AS52" s="5"/>
      <c r="AU52" s="8"/>
      <c r="AV52" s="8"/>
      <c r="AW52" s="8"/>
      <c r="BB52" s="8"/>
      <c r="BC52" s="8"/>
      <c r="BD52" s="8"/>
      <c r="BE52" s="8"/>
      <c r="BF52" s="8"/>
      <c r="BK52" s="401" t="str">
        <f>IF(J30="","",J30)</f>
        <v>U.S. Dollar</v>
      </c>
      <c r="BL52" s="401" t="str">
        <f>IFERROR(VLOOKUP(BK52,$BJ$55:$BN$1138,3,FALSE),"")</f>
        <v>USD</v>
      </c>
      <c r="BM52" s="401" t="str">
        <f>IFERROR(VLOOKUP(BK52,$BJ$55:$BN$133,4,FALSE),"")</f>
        <v>$</v>
      </c>
      <c r="BN52" s="401" t="str">
        <f>IFERROR(BL135,"")</f>
        <v>M</v>
      </c>
      <c r="BP52" s="224"/>
    </row>
    <row r="53" spans="2:71" x14ac:dyDescent="0.2">
      <c r="B53" t="str">
        <f>Index_Sel&amp;" "&amp;VLOOKUP("Market Return (Rm) - Yearly for Last 10 Years",Language_Data,Lookup_Column,FALSE)</f>
        <v>S&amp;P 500 Market Return (Rm) - Yearly for Last 10 Years</v>
      </c>
      <c r="F53" s="108">
        <f>IF(F54&lt;&gt;"",F54,IFERROR(AVERAGE(AG63:AG72),0))</f>
        <v>0.14023206639484526</v>
      </c>
      <c r="G53" s="250"/>
      <c r="H53" s="250"/>
      <c r="J53" s="96" t="str">
        <f t="shared" si="4"/>
        <v>Apple Inc. (NASDAQGS:AAPL)</v>
      </c>
      <c r="L53" s="97">
        <f t="shared" si="5"/>
        <v>0.16785199999999997</v>
      </c>
      <c r="M53" s="56" cm="1">
        <f t="array" ref="M53">IF($W54="","",_xll.SNL.Clients.Office.Excel.Functions.SPG($W54,"IQ_BETA_5YR",$L$15,"Options:NA=0"))</f>
        <v>1.0863894346751046</v>
      </c>
      <c r="N53" s="112">
        <f t="shared" si="6"/>
        <v>84344</v>
      </c>
      <c r="O53" s="112">
        <f t="shared" si="6"/>
        <v>4459835.4661999997</v>
      </c>
      <c r="P53" s="112">
        <f t="shared" si="6"/>
        <v>0</v>
      </c>
      <c r="Q53" s="55">
        <f t="shared" si="7"/>
        <v>1.8911908441291727E-2</v>
      </c>
      <c r="R53" s="55">
        <f t="shared" si="8"/>
        <v>0</v>
      </c>
      <c r="S53" s="303">
        <f t="shared" si="9"/>
        <v>1.0695572698827329</v>
      </c>
      <c r="W53" s="358" t="str">
        <f t="shared" si="10"/>
        <v>NYSE:ORCL</v>
      </c>
      <c r="X53" s="96" t="str" cm="1">
        <f t="array" ref="X53">IF($W53="","",_xll.SNL.Clients.Office.Excel.Functions.SPG($W53,X$48))</f>
        <v>Oracle Corporation (NYSE:ORCL)</v>
      </c>
      <c r="Y53" s="7" cm="1">
        <f t="array" ref="Y53">IF($W53="","",_xll.SNL.Clients.Office.Excel.Functions.SPG($W53,Y$48))</f>
        <v>4041363</v>
      </c>
      <c r="Z53" s="7" t="str" cm="1">
        <f t="array" ref="Z53">IF($W53="","",_xll.SNL.Clients.Office.Excel.Functions.SPG($W53,Z$48))</f>
        <v>ORCL-US</v>
      </c>
      <c r="AA53" s="4" cm="1">
        <f t="array" ref="AA53">IF($W53="","",_xll.SNL.Clients.Office.Excel.Functions.SPG($W53,AA$48,AA$49,AA$50,"Options:NA=NA"))</f>
        <v>12.616</v>
      </c>
      <c r="AB53" s="4" cm="1">
        <f t="array" ref="AB53">IF($W53="","",_xll.SNL.Clients.Office.Excel.Functions.SPG($W53,AB$48,AB$49,AB$50,"Options:NA=NA"))</f>
        <v>12.125999999999999</v>
      </c>
      <c r="AC53" s="4" cm="1">
        <f t="array" ref="AC53">IF($W53="","",_xll.SNL.Clients.Office.Excel.Functions.SPG($W53,AC$48,AC$49,AC$50,"Options:NA=NA"))</f>
        <v>10.851000000000001</v>
      </c>
      <c r="AD53" s="4" cm="1">
        <f t="array" ref="AD53">IF($W53="","",_xll.SNL.Clients.Office.Excel.Functions.SPG($W53,AD$48,AD$49,AD$50,"Options:NA=NA"))</f>
        <v>6.827</v>
      </c>
      <c r="AE53" s="4" cm="1">
        <f t="array" ref="AE53">IF($W53="","",_xll.SNL.Clients.Office.Excel.Functions.SPG($W53,AE$48,AE$49,AE$50,"Options:NA=NA"))</f>
        <v>12.185</v>
      </c>
      <c r="AF53" s="6" cm="1">
        <f t="array" ref="AF53">IF($W53="","",_xll.SNL.Clients.Office.Excel.Functions.SPG($W53,AF$48,AF$49,AF$50,"Options:Curr="&amp;$BL$52&amp;",Mag="&amp;$BK$135&amp;",ConvMethod="&amp;$BL$145&amp;",NA=NA"))</f>
        <v>167432</v>
      </c>
      <c r="AG53" s="118" cm="1">
        <f t="array" ref="AG53">IF($W53="","",_xll.SNL.Clients.Office.Excel.Functions.SPG($W53,AG$48,AG$49,AG$50,"Options:Curr="&amp;$BL$52&amp;",Mag="&amp;$BK$135&amp;",ConvMethod="&amp;$BL$145&amp;",NA=NA"))</f>
        <v>422421.07215000002</v>
      </c>
      <c r="AH53" s="119" cm="1">
        <f t="array" ref="AH53">IF($W53="","",_xll.SNL.Clients.Office.Excel.Functions.SPG($W53,AH$48,AH$49,AH$50,"Options:Curr="&amp;$BL$52&amp;",Mag="&amp;$BK$135&amp;",ConvMethod="&amp;$BL$145&amp;",NA=NA"))</f>
        <v>4954</v>
      </c>
      <c r="AS53" s="5"/>
      <c r="AU53" s="96"/>
      <c r="AV53" s="212"/>
      <c r="AW53" s="96"/>
      <c r="AX53" s="96"/>
      <c r="AY53" s="212"/>
      <c r="AZ53" s="212"/>
      <c r="BB53" s="96"/>
      <c r="BC53" s="96"/>
      <c r="BD53" s="96"/>
      <c r="BE53" s="212"/>
      <c r="BF53" s="96"/>
      <c r="BG53" s="212"/>
      <c r="BH53" s="212"/>
      <c r="BK53" s="7"/>
      <c r="BL53" s="7"/>
      <c r="BM53" s="7"/>
      <c r="BN53" s="7"/>
      <c r="BP53" s="224"/>
      <c r="BR53" s="1"/>
      <c r="BS53" s="305"/>
    </row>
    <row r="54" spans="2:71" ht="10.5" x14ac:dyDescent="0.25">
      <c r="D54" s="2" t="str">
        <f>VLOOKUP("Market Return Manual Overide ►",Language_Data,Lookup_Column,FALSE)</f>
        <v>Market Return Manual Overide ►</v>
      </c>
      <c r="F54" s="109"/>
      <c r="G54" s="251"/>
      <c r="H54" s="251"/>
      <c r="J54" s="96" t="str">
        <f t="shared" si="4"/>
        <v>NVIDIA Corporation (NASDAQGS:NVDA)</v>
      </c>
      <c r="L54" s="97">
        <f t="shared" si="5"/>
        <v>0.10570750000000002</v>
      </c>
      <c r="M54" s="56" cm="1">
        <f t="array" ref="M54">IF($W55="","",_xll.SNL.Clients.Office.Excel.Functions.SPG($W55,"IQ_BETA_5YR",$L$15,"Options:NA=0"))</f>
        <v>2.2145703320368235</v>
      </c>
      <c r="N54" s="112">
        <f t="shared" si="6"/>
        <v>12814</v>
      </c>
      <c r="O54" s="112">
        <f t="shared" si="6"/>
        <v>5449860.3808772499</v>
      </c>
      <c r="P54" s="112">
        <f t="shared" si="6"/>
        <v>0</v>
      </c>
      <c r="Q54" s="55">
        <f t="shared" si="7"/>
        <v>2.3512528953883701E-3</v>
      </c>
      <c r="R54" s="55">
        <f t="shared" si="8"/>
        <v>0</v>
      </c>
      <c r="S54" s="303">
        <f t="shared" si="9"/>
        <v>2.209923508571761</v>
      </c>
      <c r="W54" s="358" t="str">
        <f t="shared" si="10"/>
        <v>NASDAQGS:AAPL</v>
      </c>
      <c r="X54" s="96" t="str" cm="1">
        <f t="array" ref="X54">IF($W54="","",_xll.SNL.Clients.Office.Excel.Functions.SPG($W54,X$48))</f>
        <v>Apple Inc. (NASDAQGS:AAPL)</v>
      </c>
      <c r="Y54" s="7" cm="1">
        <f t="array" ref="Y54">IF($W54="","",_xll.SNL.Clients.Office.Excel.Functions.SPG($W54,Y$48))</f>
        <v>4004205</v>
      </c>
      <c r="Z54" s="7" t="str" cm="1">
        <f t="array" ref="Z54">IF($W54="","",_xll.SNL.Clients.Office.Excel.Functions.SPG($W54,Z$48))</f>
        <v>AAPL-US</v>
      </c>
      <c r="AA54" s="4" cm="1">
        <f t="array" ref="AA54">IF($W54="","",_xll.SNL.Clients.Office.Excel.Functions.SPG($W54,AA$48,AA$49,AA$50,"Options:NA=NA"))</f>
        <v>15.61</v>
      </c>
      <c r="AB54" s="4" cm="1">
        <f t="array" ref="AB54">IF($W54="","",_xll.SNL.Clients.Office.Excel.Functions.SPG($W54,AB$48,AB$49,AB$50,"Options:NA=NA"))</f>
        <v>24.091000000000001</v>
      </c>
      <c r="AC54" s="4" cm="1">
        <f t="array" ref="AC54">IF($W54="","",_xll.SNL.Clients.Office.Excel.Functions.SPG($W54,AC$48,AC$49,AC$50,"Options:NA=NA"))</f>
        <v>14.718999999999999</v>
      </c>
      <c r="AD54" s="4" cm="1">
        <f t="array" ref="AD54">IF($W54="","",_xll.SNL.Clients.Office.Excel.Functions.SPG($W54,AD$48,AD$49,AD$50,"Options:NA=NA"))</f>
        <v>16.204000000000001</v>
      </c>
      <c r="AE54" s="4" cm="1">
        <f t="array" ref="AE54">IF($W54="","",_xll.SNL.Clients.Office.Excel.Functions.SPG($W54,AE$48,AE$49,AE$50,"Options:NA=NA"))</f>
        <v>13.302</v>
      </c>
      <c r="AF54" s="6" cm="1">
        <f t="array" ref="AF54">IF($W54="","",_xll.SNL.Clients.Office.Excel.Functions.SPG($W54,AF$48,AF$49,AF$50,"Options:Curr="&amp;$BL$52&amp;",Mag="&amp;$BK$135&amp;",ConvMethod="&amp;$BL$145&amp;",NA=NA"))</f>
        <v>84344</v>
      </c>
      <c r="AG54" s="118" cm="1">
        <f t="array" ref="AG54">IF($W54="","",_xll.SNL.Clients.Office.Excel.Functions.SPG($W54,AG$48,AG$49,AG$50,"Options:Curr="&amp;$BL$52&amp;",Mag="&amp;$BK$135&amp;",ConvMethod="&amp;$BL$145&amp;",NA=NA"))</f>
        <v>4459835.4661999997</v>
      </c>
      <c r="AH54" s="119" t="str" cm="1">
        <f t="array" ref="AH54">IF($W54="","",_xll.SNL.Clients.Office.Excel.Functions.SPG($W54,AH$48,AH$49,AH$50,"Options:Curr="&amp;$BL$52&amp;",Mag="&amp;$BK$135&amp;",ConvMethod="&amp;$BL$145&amp;",NA=NA"))</f>
        <v>NA</v>
      </c>
      <c r="AJ54" s="390" t="s">
        <v>4605</v>
      </c>
      <c r="AK54" s="15">
        <f>IF(COUNTA(AJ58:AJ1048576)&lt;2,2,COUNTA(AJ58:AJ1048576))</f>
        <v>50</v>
      </c>
      <c r="AL54" s="15"/>
      <c r="AM54" s="15"/>
      <c r="AN54" s="15"/>
      <c r="AO54" s="364"/>
      <c r="AP54" s="15"/>
      <c r="AQ54" s="364"/>
      <c r="AR54" s="15"/>
      <c r="AS54" s="15"/>
      <c r="AT54" s="15"/>
      <c r="AU54" s="15"/>
      <c r="AV54" s="15"/>
      <c r="AW54"/>
      <c r="AX54" s="390" t="s">
        <v>4606</v>
      </c>
      <c r="AY54" s="15">
        <f>IF(COUNTA(AX58:AX1048576)&lt;2,2,COUNTA(AX58:AX1048576))</f>
        <v>2</v>
      </c>
      <c r="AZ54" s="15"/>
      <c r="BA54" s="364"/>
      <c r="BB54" s="15"/>
      <c r="BC54" s="364"/>
      <c r="BD54" s="15"/>
      <c r="BE54" s="15"/>
      <c r="BF54" s="15"/>
      <c r="BG54" s="15"/>
      <c r="BH54" s="15"/>
      <c r="BK54" s="63" t="s">
        <v>23</v>
      </c>
      <c r="BL54" s="64" t="s">
        <v>24</v>
      </c>
      <c r="BM54" s="64" t="s">
        <v>25</v>
      </c>
      <c r="BN54" s="402" t="s">
        <v>26</v>
      </c>
      <c r="BP54" s="224"/>
      <c r="BQ54" s="398" t="s">
        <v>318</v>
      </c>
      <c r="BR54" s="302"/>
      <c r="BS54" s="305"/>
    </row>
    <row r="55" spans="2:71" x14ac:dyDescent="0.2">
      <c r="B55" t="str">
        <f>AA75&amp;" - "&amp;VLOOKUP("D/(D+P+E)",Language_Data,Lookup_Column,FALSE)</f>
        <v>MSFT-US - D/(D+P+E)</v>
      </c>
      <c r="F55" s="107">
        <f>IFERROR((AA66/SUM(AA66,AA67,AA68)),0)</f>
        <v>3.4855078609899053E-2</v>
      </c>
      <c r="G55" s="251"/>
      <c r="H55" s="251"/>
      <c r="J55" s="96" t="str">
        <f t="shared" si="4"/>
        <v>Adobe Inc. (NASDAQGS:ADBE)</v>
      </c>
      <c r="L55" s="97">
        <f t="shared" si="5"/>
        <v>0.18925599999999998</v>
      </c>
      <c r="M55" s="56" cm="1">
        <f t="array" ref="M55">IF($W56="","",_xll.SNL.Clients.Office.Excel.Functions.SPG($W56,"IQ_BETA_5YR",$L$15,"Options:NA=0"))</f>
        <v>1.3963406427854566</v>
      </c>
      <c r="N55" s="112">
        <f t="shared" si="6"/>
        <v>7077</v>
      </c>
      <c r="O55" s="112">
        <f t="shared" si="6"/>
        <v>100980.9</v>
      </c>
      <c r="P55" s="112">
        <f t="shared" si="6"/>
        <v>0</v>
      </c>
      <c r="Q55" s="55">
        <f t="shared" si="7"/>
        <v>7.0082560167318772E-2</v>
      </c>
      <c r="R55" s="55">
        <f t="shared" si="8"/>
        <v>0</v>
      </c>
      <c r="S55" s="303">
        <f t="shared" si="9"/>
        <v>1.3212675233456761</v>
      </c>
      <c r="W55" s="358" t="str">
        <f t="shared" si="10"/>
        <v>NASDAQGS:NVDA</v>
      </c>
      <c r="X55" s="96" t="str" cm="1">
        <f t="array" ref="X55">IF($W55="","",_xll.SNL.Clients.Office.Excel.Functions.SPG($W55,X$48))</f>
        <v>NVIDIA Corporation (NASDAQGS:NVDA)</v>
      </c>
      <c r="Y55" s="7" cm="1">
        <f t="array" ref="Y55">IF($W55="","",_xll.SNL.Clients.Office.Excel.Functions.SPG($W55,Y$48))</f>
        <v>4094286</v>
      </c>
      <c r="Z55" s="7" t="str" cm="1">
        <f t="array" ref="Z55">IF($W55="","",_xll.SNL.Clients.Office.Excel.Functions.SPG($W55,Z$48))</f>
        <v>NVDA-US</v>
      </c>
      <c r="AA55" s="4" cm="1">
        <f t="array" ref="AA55">IF($W55="","",_xll.SNL.Clients.Office.Excel.Functions.SPG($W55,AA$48,AA$49,AA$50,"Options:NA=NA"))</f>
        <v>15.117000000000001</v>
      </c>
      <c r="AB55" s="4" cm="1">
        <f t="array" ref="AB55">IF($W55="","",_xll.SNL.Clients.Office.Excel.Functions.SPG($W55,AB$48,AB$49,AB$50,"Options:NA=NA"))</f>
        <v>13.265000000000001</v>
      </c>
      <c r="AC55" s="4" cm="1">
        <f t="array" ref="AC55">IF($W55="","",_xll.SNL.Clients.Office.Excel.Functions.SPG($W55,AC$48,AC$49,AC$50,"Options:NA=NA"))</f>
        <v>12</v>
      </c>
      <c r="AD55" s="4" t="str" cm="1">
        <f t="array" ref="AD55">IF($W55="","",_xll.SNL.Clients.Office.Excel.Functions.SPG($W55,AD$48,AD$49,AD$50,"Options:NA=NA"))</f>
        <v>NM</v>
      </c>
      <c r="AE55" s="4" cm="1">
        <f t="array" ref="AE55">IF($W55="","",_xll.SNL.Clients.Office.Excel.Functions.SPG($W55,AE$48,AE$49,AE$50,"Options:NA=NA"))</f>
        <v>1.901</v>
      </c>
      <c r="AF55" s="6" cm="1">
        <f t="array" ref="AF55">IF($W55="","",_xll.SNL.Clients.Office.Excel.Functions.SPG($W55,AF$48,AF$49,AF$50,"Options:Curr="&amp;$BL$52&amp;",Mag="&amp;$BK$135&amp;",ConvMethod="&amp;$BL$145&amp;",NA=NA"))</f>
        <v>12814</v>
      </c>
      <c r="AG55" s="118" cm="1">
        <f t="array" ref="AG55">IF($W55="","",_xll.SNL.Clients.Office.Excel.Functions.SPG($W55,AG$48,AG$49,AG$50,"Options:Curr="&amp;$BL$52&amp;",Mag="&amp;$BK$135&amp;",ConvMethod="&amp;$BL$145&amp;",NA=NA"))</f>
        <v>5449860.3808772499</v>
      </c>
      <c r="AH55" s="119" t="str" cm="1">
        <f t="array" ref="AH55">IF($W55="","",_xll.SNL.Clients.Office.Excel.Functions.SPG($W55,AH$48,AH$49,AH$50,"Options:Curr="&amp;$BL$52&amp;",Mag="&amp;$BK$135&amp;",ConvMethod="&amp;$BL$145&amp;",NA=NA"))</f>
        <v>NA</v>
      </c>
      <c r="AU55" s="96"/>
      <c r="AV55" s="212"/>
      <c r="AW55" s="96"/>
      <c r="AX55" s="96"/>
      <c r="AY55" s="212"/>
      <c r="AZ55" s="212"/>
      <c r="BB55" s="96"/>
      <c r="BC55" s="96"/>
      <c r="BD55" s="96"/>
      <c r="BE55" s="212"/>
      <c r="BF55" s="96"/>
      <c r="BG55" s="212"/>
      <c r="BH55" s="212"/>
      <c r="BJ55" t="str">
        <f t="shared" ref="BJ55:BJ86" si="11">VLOOKUP(BK55,Language_Data,Lookup_Column,FALSE)</f>
        <v>Euro</v>
      </c>
      <c r="BK55" s="403" t="s">
        <v>31</v>
      </c>
      <c r="BL55" s="404" t="s">
        <v>32</v>
      </c>
      <c r="BM55" s="404" t="s">
        <v>33</v>
      </c>
      <c r="BN55" s="405" t="s">
        <v>30</v>
      </c>
      <c r="BP55" s="224"/>
      <c r="BQ55" s="43" t="s">
        <v>326</v>
      </c>
      <c r="BR55" s="43" t="s">
        <v>4613</v>
      </c>
      <c r="BS55" s="305"/>
    </row>
    <row r="56" spans="2:71" ht="10.5" x14ac:dyDescent="0.25">
      <c r="B56" t="str">
        <f>AA75&amp;" - "&amp;VLOOKUP("D/E",Language_Data,Lookup_Column,FALSE)</f>
        <v>MSFT-US - D/E</v>
      </c>
      <c r="F56" s="107">
        <f>IFERROR(AA66/AA68,0)</f>
        <v>3.6113828957103342E-2</v>
      </c>
      <c r="G56" s="251"/>
      <c r="H56" s="251"/>
      <c r="J56" s="96" t="str">
        <f t="shared" si="4"/>
        <v>Meta Platforms, Inc. (NASDAQGS:META)</v>
      </c>
      <c r="L56" s="97">
        <f t="shared" si="5"/>
        <v>0.190384</v>
      </c>
      <c r="M56" s="56" cm="1">
        <f t="array" ref="M56">IF($W57="","",_xll.SNL.Clients.Office.Excel.Functions.SPG($W57,"IQ_BETA_5YR",$L$15,"Options:NA=0"))</f>
        <v>1.2433411135066195</v>
      </c>
      <c r="N56" s="112">
        <f t="shared" si="6"/>
        <v>112318</v>
      </c>
      <c r="O56" s="112">
        <f t="shared" si="6"/>
        <v>1449454.6168382501</v>
      </c>
      <c r="P56" s="112">
        <f t="shared" si="6"/>
        <v>0</v>
      </c>
      <c r="Q56" s="55">
        <f t="shared" si="7"/>
        <v>7.7489835621761982E-2</v>
      </c>
      <c r="R56" s="55">
        <f t="shared" si="8"/>
        <v>0</v>
      </c>
      <c r="S56" s="303">
        <f t="shared" si="9"/>
        <v>1.1699424231224123</v>
      </c>
      <c r="W56" s="358" t="str">
        <f t="shared" si="10"/>
        <v>NASDAQGS:ADBE</v>
      </c>
      <c r="X56" s="96" t="str" cm="1">
        <f t="array" ref="X56">IF($W56="","",_xll.SNL.Clients.Office.Excel.Functions.SPG($W56,X$48))</f>
        <v>Adobe Inc. (NASDAQGS:ADBE)</v>
      </c>
      <c r="Y56" s="7" cm="1">
        <f t="array" ref="Y56">IF($W56="","",_xll.SNL.Clients.Office.Excel.Functions.SPG($W56,Y$48))</f>
        <v>4047847</v>
      </c>
      <c r="Z56" s="7" t="str" cm="1">
        <f t="array" ref="Z56">IF($W56="","",_xll.SNL.Clients.Office.Excel.Functions.SPG($W56,Z$48))</f>
        <v>ADBE-US</v>
      </c>
      <c r="AA56" s="4" cm="1">
        <f t="array" ref="AA56">IF($W56="","",_xll.SNL.Clients.Office.Excel.Functions.SPG($W56,AA$48,AA$49,AA$50,"Options:NA=NA"))</f>
        <v>18.364999999999998</v>
      </c>
      <c r="AB56" s="4" cm="1">
        <f t="array" ref="AB56">IF($W56="","",_xll.SNL.Clients.Office.Excel.Functions.SPG($W56,AB$48,AB$49,AB$50,"Options:NA=NA"))</f>
        <v>19.780999999999999</v>
      </c>
      <c r="AC56" s="4" cm="1">
        <f t="array" ref="AC56">IF($W56="","",_xll.SNL.Clients.Office.Excel.Functions.SPG($W56,AC$48,AC$49,AC$50,"Options:NA=NA"))</f>
        <v>20.164999999999999</v>
      </c>
      <c r="AD56" s="4" cm="1">
        <f t="array" ref="AD56">IF($W56="","",_xll.SNL.Clients.Office.Excel.Functions.SPG($W56,AD$48,AD$49,AD$50,"Options:NA=NA"))</f>
        <v>20.838999999999999</v>
      </c>
      <c r="AE56" s="4" cm="1">
        <f t="array" ref="AE56">IF($W56="","",_xll.SNL.Clients.Office.Excel.Functions.SPG($W56,AE$48,AE$49,AE$50,"Options:NA=NA"))</f>
        <v>15.478</v>
      </c>
      <c r="AF56" s="6" cm="1">
        <f t="array" ref="AF56">IF($W56="","",_xll.SNL.Clients.Office.Excel.Functions.SPG($W56,AF$48,AF$49,AF$50,"Options:Curr="&amp;$BL$52&amp;",Mag="&amp;$BK$135&amp;",ConvMethod="&amp;$BL$145&amp;",NA=NA"))</f>
        <v>7077</v>
      </c>
      <c r="AG56" s="118" cm="1">
        <f t="array" ref="AG56">IF($W56="","",_xll.SNL.Clients.Office.Excel.Functions.SPG($W56,AG$48,AG$49,AG$50,"Options:Curr="&amp;$BL$52&amp;",Mag="&amp;$BK$135&amp;",ConvMethod="&amp;$BL$145&amp;",NA=NA"))</f>
        <v>100980.9</v>
      </c>
      <c r="AH56" s="119" t="str" cm="1">
        <f t="array" ref="AH56">IF($W56="","",_xll.SNL.Clients.Office.Excel.Functions.SPG($W56,AH$48,AH$49,AH$50,"Options:Curr="&amp;$BL$52&amp;",Mag="&amp;$BK$135&amp;",ConvMethod="&amp;$BL$145&amp;",NA=NA"))</f>
        <v>NA</v>
      </c>
      <c r="AN56" s="485" t="s">
        <v>4607</v>
      </c>
      <c r="AO56" s="486"/>
      <c r="AP56" s="485" t="s">
        <v>4608</v>
      </c>
      <c r="AQ56" s="486"/>
      <c r="AU56" s="2" t="s">
        <v>4609</v>
      </c>
      <c r="AV56" s="391">
        <f>IF(AV59="NA",AV68,AV59)</f>
        <v>5.0198300000000007</v>
      </c>
      <c r="AW56"/>
      <c r="AX56"/>
      <c r="AY56"/>
      <c r="AZ56" s="485" t="s">
        <v>4607</v>
      </c>
      <c r="BA56" s="486"/>
      <c r="BB56" s="485" t="s">
        <v>4608</v>
      </c>
      <c r="BC56" s="486"/>
      <c r="BD56"/>
      <c r="BE56"/>
      <c r="BF56"/>
      <c r="BG56" s="2" t="s">
        <v>4610</v>
      </c>
      <c r="BH56" s="391" t="str">
        <f>IF(BH59="NA",BH68,BH59)</f>
        <v>NA</v>
      </c>
      <c r="BJ56" t="str">
        <f t="shared" si="11"/>
        <v>British Pound Sterling</v>
      </c>
      <c r="BK56" s="403" t="s">
        <v>34</v>
      </c>
      <c r="BL56" s="404" t="s">
        <v>35</v>
      </c>
      <c r="BM56" s="404" t="s">
        <v>36</v>
      </c>
      <c r="BN56" s="405" t="s">
        <v>30</v>
      </c>
      <c r="BP56" s="224"/>
      <c r="BQ56" s="44" t="s">
        <v>344</v>
      </c>
      <c r="BR56" s="44" t="s">
        <v>4614</v>
      </c>
      <c r="BS56" s="305"/>
    </row>
    <row r="57" spans="2:71" ht="10.5" x14ac:dyDescent="0.25">
      <c r="B57" t="str">
        <f>AA75&amp;" - "&amp;VLOOKUP("P/E",Language_Data,Lookup_Column,FALSE)</f>
        <v>MSFT-US - P/E</v>
      </c>
      <c r="F57" s="107">
        <f>IFERROR(AA67/AA68,0)</f>
        <v>0</v>
      </c>
      <c r="G57" s="108"/>
      <c r="H57" s="108"/>
      <c r="J57" s="57"/>
      <c r="K57" s="58"/>
      <c r="L57" s="7"/>
      <c r="M57" s="59"/>
      <c r="N57" s="60"/>
      <c r="O57" s="60"/>
      <c r="P57" s="61"/>
      <c r="Q57" s="61"/>
      <c r="R57" s="61"/>
      <c r="S57" s="62"/>
      <c r="W57" s="359" t="str">
        <f t="shared" si="10"/>
        <v>NASDAQGS:META</v>
      </c>
      <c r="X57" s="357" t="str" cm="1">
        <f t="array" ref="X57">IF($W57="","",_xll.SNL.Clients.Office.Excel.Functions.SPG($W57,X$48))</f>
        <v>Meta Platforms, Inc. (NASDAQGS:META)</v>
      </c>
      <c r="Y57" s="69" cm="1">
        <f t="array" ref="Y57">IF($W57="","",_xll.SNL.Clients.Office.Excel.Functions.SPG($W57,Y$48))</f>
        <v>4144156</v>
      </c>
      <c r="Z57" s="69" t="str" cm="1">
        <f t="array" ref="Z57">IF($W57="","",_xll.SNL.Clients.Office.Excel.Functions.SPG($W57,Z$48))</f>
        <v>META-US</v>
      </c>
      <c r="AA57" s="120" cm="1">
        <f t="array" ref="AA57">IF($W57="","",_xll.SNL.Clients.Office.Excel.Functions.SPG($W57,AA$48,AA$49,AA$50,"Options:NA=NA"))</f>
        <v>29.643999999999998</v>
      </c>
      <c r="AB57" s="120" cm="1">
        <f t="array" ref="AB57">IF($W57="","",_xll.SNL.Clients.Office.Excel.Functions.SPG($W57,AB$48,AB$49,AB$50,"Options:NA=NA"))</f>
        <v>11.75</v>
      </c>
      <c r="AC57" s="120" cm="1">
        <f t="array" ref="AC57">IF($W57="","",_xll.SNL.Clients.Office.Excel.Functions.SPG($W57,AC$48,AC$49,AC$50,"Options:NA=NA"))</f>
        <v>17.562999999999999</v>
      </c>
      <c r="AD57" s="120" cm="1">
        <f t="array" ref="AD57">IF($W57="","",_xll.SNL.Clients.Office.Excel.Functions.SPG($W57,AD$48,AD$49,AD$50,"Options:NA=NA"))</f>
        <v>19.498000000000001</v>
      </c>
      <c r="AE57" s="120" cm="1">
        <f t="array" ref="AE57">IF($W57="","",_xll.SNL.Clients.Office.Excel.Functions.SPG($W57,AE$48,AE$49,AE$50,"Options:NA=NA"))</f>
        <v>16.736999999999998</v>
      </c>
      <c r="AF57" s="121" cm="1">
        <f t="array" ref="AF57">IF($W57="","",_xll.SNL.Clients.Office.Excel.Functions.SPG($W57,AF$48,AF$49,AF$50,"Options:Curr="&amp;$BL$52&amp;",Mag="&amp;$BK$135&amp;",ConvMethod="&amp;$BL$145&amp;",NA=NA"))</f>
        <v>112318</v>
      </c>
      <c r="AG57" s="122" cm="1">
        <f t="array" ref="AG57">IF($W57="","",_xll.SNL.Clients.Office.Excel.Functions.SPG($W57,AG$48,AG$49,AG$50,"Options:Curr="&amp;$BL$52&amp;",Mag="&amp;$BK$135&amp;",ConvMethod="&amp;$BL$145&amp;",NA=NA"))</f>
        <v>1449454.6168382501</v>
      </c>
      <c r="AH57" s="123" t="str" cm="1">
        <f t="array" ref="AH57">IF($W57="","",_xll.SNL.Clients.Office.Excel.Functions.SPG($W57,AH$48,AH$49,AH$50,"Options:Curr="&amp;$BL$52&amp;",Mag="&amp;$BK$135&amp;",ConvMethod="&amp;$BL$145&amp;",NA=NA"))</f>
        <v>NA</v>
      </c>
      <c r="AJ57" s="30" t="str" cm="1">
        <f t="array" ref="AJ57">_xll.SNL.Clients.Office.Excel.Functions.SPGRANGEV($L$13,"SP_BOND_LIST",1,1000)</f>
        <v>Bond List</v>
      </c>
      <c r="AK57" s="147" t="s">
        <v>4752</v>
      </c>
      <c r="AL57" s="147" t="s">
        <v>4753</v>
      </c>
      <c r="AM57" s="147" t="s">
        <v>4754</v>
      </c>
      <c r="AN57" s="147" t="s">
        <v>4611</v>
      </c>
      <c r="AO57" s="147" t="s">
        <v>4612</v>
      </c>
      <c r="AP57" s="147" t="s">
        <v>4611</v>
      </c>
      <c r="AQ57" s="147" t="s">
        <v>4612</v>
      </c>
      <c r="AU57"/>
      <c r="AV57"/>
      <c r="AW57"/>
      <c r="AX57" s="30" t="str" cm="1">
        <f t="array" ref="AX57">_xll.SNL.Clients.Office.Excel.Functions.SPGRANGEV($L$13,"SP_PREFERRED_LIST",1,1000)</f>
        <v>Preferred</v>
      </c>
      <c r="AY57" s="147" t="s">
        <v>4755</v>
      </c>
      <c r="AZ57" s="147" t="s">
        <v>4611</v>
      </c>
      <c r="BA57" s="147" t="s">
        <v>4612</v>
      </c>
      <c r="BB57" s="147" t="s">
        <v>4611</v>
      </c>
      <c r="BC57" s="147" t="s">
        <v>4612</v>
      </c>
      <c r="BD57"/>
      <c r="BE57"/>
      <c r="BF57"/>
      <c r="BG57"/>
      <c r="BH57"/>
      <c r="BJ57" t="str">
        <f t="shared" si="11"/>
        <v>Japanese Yen</v>
      </c>
      <c r="BK57" s="403" t="s">
        <v>37</v>
      </c>
      <c r="BL57" s="404" t="s">
        <v>38</v>
      </c>
      <c r="BM57" s="404" t="s">
        <v>39</v>
      </c>
      <c r="BN57" s="405" t="s">
        <v>40</v>
      </c>
      <c r="BP57" s="224"/>
      <c r="BQ57" s="44" t="s">
        <v>327</v>
      </c>
      <c r="BR57" s="44" t="s">
        <v>4615</v>
      </c>
      <c r="BS57" s="305"/>
    </row>
    <row r="58" spans="2:71" ht="10.5" x14ac:dyDescent="0.25">
      <c r="B58" t="str">
        <f>VLOOKUP("Size Premium",Language_Data,Lookup_Column,FALSE)</f>
        <v>Size Premium</v>
      </c>
      <c r="F58" s="109">
        <v>0</v>
      </c>
      <c r="G58" s="108"/>
      <c r="H58" s="108"/>
      <c r="J58" s="63" t="str">
        <f>VLOOKUP("Average",Language_Data,Lookup_Column,FALSE)</f>
        <v>Average</v>
      </c>
      <c r="K58" s="42"/>
      <c r="L58" s="64"/>
      <c r="M58" s="113">
        <f>IFERROR(AVERAGEIFS(M51:M57,M51:M57,"&lt;&gt;0"),0)</f>
        <v>1.4825049555915504</v>
      </c>
      <c r="N58" s="64"/>
      <c r="O58" s="64"/>
      <c r="P58" s="65"/>
      <c r="Q58" s="65"/>
      <c r="R58" s="65"/>
      <c r="S58" s="217">
        <f>IFERROR(AVERAGEIFS(S51:S57,S51:S57,"&lt;&gt;0"),0)</f>
        <v>1.3719202354159483</v>
      </c>
      <c r="AJ58" s="497" t="s">
        <v>4869</v>
      </c>
      <c r="AK58" s="392">
        <f>IF(AL58&lt;&gt;"NA",AL58,AM58)</f>
        <v>5.9965700000000002</v>
      </c>
      <c r="AL58" s="392" cm="1">
        <f t="array" ref="AL58">IF(AJ58="","",_xll.SNL.Clients.Office.Excel.Functions.SPG(AJ58,"SPT_YTW",$L$15,"Options:NA=NA"))</f>
        <v>5.9965700000000002</v>
      </c>
      <c r="AM58" s="392" cm="1">
        <f t="array" ref="AM58">IF(AJ58="","",_xll.SNL.Clients.Office.Excel.Functions.SPG(AJ58,"SPT_EOD_YTM_MID","EOD Close Price",$L$15,"Options:NA=NA"))</f>
        <v>5.7654199999999998</v>
      </c>
      <c r="AN58" s="3" cm="1">
        <f t="array" ref="AN58">IF(OR(AJ58="",AK58="NA"),"",_xll.SNL.Clients.Office.Excel.Functions.SPG(AJ58,"SPT_ISSUE_DATE"))</f>
        <v>42885</v>
      </c>
      <c r="AO58" s="2">
        <f>IF(OR($AJ58="",$AK58="NA",$AN58=""),"",RANK(AN58,$AN$58:$AN$1057)+COUNTIF($AN$58:AN58,AN58)-1)</f>
        <v>25</v>
      </c>
      <c r="AP58" s="3">
        <f>IF(AN58&gt;$L$15,"",AN58)</f>
        <v>42885</v>
      </c>
      <c r="AQ58" s="2">
        <f>IF(OR($AJ58="",$AK58="NA",$AP58=""),"",RANK(AP58,$AP$58:$AP$1057)+COUNTIF($AP$58:AP58,AP58)-1)</f>
        <v>25</v>
      </c>
      <c r="AT58" t="s">
        <v>4608</v>
      </c>
      <c r="AU58"/>
      <c r="AV58"/>
      <c r="AW58"/>
      <c r="AX58" s="497" t="s">
        <v>4917</v>
      </c>
      <c r="AY58" s="392" t="str" cm="1">
        <f t="array" ref="AY58">IF(AX58="","",IF(_xll.SNL.Clients.Office.Excel.Functions.SPG(AX58,"SPT_COUPON","Options:NA=NA")=0,"NA",_xll.SNL.Clients.Office.Excel.Functions.SPG(AX58,"SPT_COUPON","Options:NA=NA")))</f>
        <v>NA</v>
      </c>
      <c r="AZ58" s="3" t="str" cm="1">
        <f t="array" ref="AZ58">IF(OR(AX58="",AY58="NA"),"",_xll.SNL.Clients.Office.Excel.Functions.SPG(AX58,"SPT_ISSUE_DATE"))</f>
        <v/>
      </c>
      <c r="BA58" s="2" t="str">
        <f>IF(OR($AX58="",$AY58="NA",$AZ58=""),"",RANK(AZ58,$AZ$58:$AZ$1057)+COUNTIF($AZ$58:AZ58,AZ58)-1)</f>
        <v/>
      </c>
      <c r="BB58" s="3" t="str">
        <f>IF(AZ58&gt;$L$15,"",AZ58)</f>
        <v/>
      </c>
      <c r="BC58" s="2" t="str">
        <f>IF(OR($AX58="",$AY58="NA",$BB58=""),"",RANK(BB58,$BB$58:$BB$1057)+COUNTIF($BB$58:BB58,BB58)-1)</f>
        <v/>
      </c>
      <c r="BD58"/>
      <c r="BE58"/>
      <c r="BF58" t="s">
        <v>4608</v>
      </c>
      <c r="BG58"/>
      <c r="BH58"/>
      <c r="BJ58" t="str">
        <f t="shared" si="11"/>
        <v>U.S. Dollar</v>
      </c>
      <c r="BK58" s="403" t="s">
        <v>27</v>
      </c>
      <c r="BL58" s="404" t="s">
        <v>28</v>
      </c>
      <c r="BM58" s="404" t="s">
        <v>29</v>
      </c>
      <c r="BN58" s="405" t="s">
        <v>30</v>
      </c>
      <c r="BP58" s="224"/>
      <c r="BQ58" s="44" t="s">
        <v>328</v>
      </c>
      <c r="BR58" s="44" t="s">
        <v>4616</v>
      </c>
      <c r="BS58" s="305"/>
    </row>
    <row r="59" spans="2:71" x14ac:dyDescent="0.2">
      <c r="B59" t="str">
        <f>AA75&amp;" - "&amp;VLOOKUP("Cost of Debt (Rd) - Average of Last 5 Issued Bonds",Language_Data,Lookup_Column,FALSE)</f>
        <v>MSFT-US - Cost of Debt (Rd) - Average of Last 5 Issued Bonds</v>
      </c>
      <c r="F59" s="108">
        <f>IF(F60&lt;&gt;"",F60,IFERROR(AV56/100,0))</f>
        <v>5.0198300000000008E-2</v>
      </c>
      <c r="J59" s="66"/>
      <c r="K59" s="7"/>
      <c r="L59" s="7"/>
      <c r="M59" s="7"/>
      <c r="N59" s="7"/>
      <c r="O59" s="7"/>
      <c r="P59" s="7"/>
      <c r="Q59" s="7"/>
      <c r="R59" s="7"/>
      <c r="S59" s="7"/>
      <c r="AJ59" s="497" t="s">
        <v>4870</v>
      </c>
      <c r="AK59" s="392">
        <f t="shared" ref="AK59:AK107" si="12">IF(AL59&lt;&gt;"NA",AL59,AM59)</f>
        <v>4.3649399999999998</v>
      </c>
      <c r="AL59" s="392" cm="1">
        <f t="array" ref="AL59">IF(AJ59="","",_xll.SNL.Clients.Office.Excel.Functions.SPG(AJ59,"SPT_YTW",$L$15,"Options:NA=NA"))</f>
        <v>4.3649399999999998</v>
      </c>
      <c r="AM59" s="392" cm="1">
        <f t="array" ref="AM59">IF(AJ59="","",_xll.SNL.Clients.Office.Excel.Functions.SPG(AJ59,"SPT_EOD_YTM_MID","EOD Close Price",$L$15,"Options:NA=NA"))</f>
        <v>4.3508300000000002</v>
      </c>
      <c r="AN59" s="3" cm="1">
        <f t="array" ref="AN59">IF(OR(AJ59="",AK59="NA"),"",_xll.SNL.Clients.Office.Excel.Functions.SPG(AJ59,"SPT_ISSUE_DATE"))</f>
        <v>45447</v>
      </c>
      <c r="AO59" s="2">
        <f>IF(OR($AJ59="",$AK59="NA",$AN59=""),"",RANK(AN59,$AN$58:$AN$1057)+COUNTIF($AN$58:AN59,AN59)-1)</f>
        <v>1</v>
      </c>
      <c r="AP59" s="3">
        <f t="shared" ref="AP59:AP107" si="13">IF(AN59&gt;$L$15,"",AN59)</f>
        <v>45447</v>
      </c>
      <c r="AQ59" s="2">
        <f>IF(OR($AJ59="",$AK59="NA",$AP59=""),"",RANK(AP59,$AP$58:$AP$1057)+COUNTIF($AP$58:AP59,AP59)-1)</f>
        <v>1</v>
      </c>
      <c r="AT59" s="305">
        <f>L15</f>
        <v>46251</v>
      </c>
      <c r="AU59"/>
      <c r="AV59" s="392">
        <f>IFERROR(AVERAGE(AV60:AV65),"NA")</f>
        <v>5.0198300000000007</v>
      </c>
      <c r="AW59"/>
      <c r="AX59"/>
      <c r="AY59" s="392" t="str" cm="1">
        <f t="array" ref="AY59">IF(AX59="","",IF(_xll.SNL.Clients.Office.Excel.Functions.SPG(AX59,"SPT_COUPON","Options:NA=NA")=0,"NA",_xll.SNL.Clients.Office.Excel.Functions.SPG(AX59,"SPT_COUPON","Options:NA=NA")))</f>
        <v/>
      </c>
      <c r="AZ59" s="3" t="str" cm="1">
        <f t="array" ref="AZ59">IF(OR(AX59="",AY59="NA"),"",_xll.SNL.Clients.Office.Excel.Functions.SPG(AX59,"SPT_ISSUE_DATE"))</f>
        <v/>
      </c>
      <c r="BA59" s="2" t="str">
        <f>IF(OR($AX59="",$AY59="NA",$AZ59=""),"",RANK(AZ59,$AZ$58:$AZ$1057)+COUNTIF($AZ$58:AZ59,AZ59)-1)</f>
        <v/>
      </c>
      <c r="BB59" s="3" t="str">
        <f>IF(AZ59&gt;$L$15,"",AZ59)</f>
        <v/>
      </c>
      <c r="BC59" s="2" t="str">
        <f>IF(OR($AX59="",$AY59="NA",$BB59=""),"",RANK(BB59,$BB$58:$BB$1057)+COUNTIF($BB$58:BB59,BB59)-1)</f>
        <v/>
      </c>
      <c r="BD59"/>
      <c r="BE59"/>
      <c r="BF59" s="305">
        <f>L15</f>
        <v>46251</v>
      </c>
      <c r="BG59"/>
      <c r="BH59" s="392" t="str">
        <f>IFERROR(AVERAGE(BH60:BH65),"NA")</f>
        <v>NA</v>
      </c>
      <c r="BJ59" t="str">
        <f t="shared" si="11"/>
        <v>Afghan Afghani</v>
      </c>
      <c r="BK59" s="403" t="s">
        <v>43</v>
      </c>
      <c r="BL59" s="404" t="s">
        <v>44</v>
      </c>
      <c r="BM59" s="404" t="s">
        <v>44</v>
      </c>
      <c r="BN59" s="405" t="s">
        <v>30</v>
      </c>
      <c r="BQ59" s="44" t="s">
        <v>375</v>
      </c>
      <c r="BR59" s="44" t="s">
        <v>4617</v>
      </c>
    </row>
    <row r="60" spans="2:71" ht="10.5" x14ac:dyDescent="0.25">
      <c r="D60" s="2" t="str">
        <f>VLOOKUP("Cost of Debt Manual Overide ►",Language_Data,Lookup_Column,FALSE)</f>
        <v>Cost of Debt Manual Overide ►</v>
      </c>
      <c r="F60" s="109"/>
      <c r="J60" s="7" t="str">
        <f>VLOOKUP("Average Unlevered Beta for Comps",Language_Data,Lookup_Column,FALSE)</f>
        <v>Average Unlevered Beta for Comps</v>
      </c>
      <c r="K60" s="7"/>
      <c r="L60" s="7"/>
      <c r="M60" s="7"/>
      <c r="N60" s="7"/>
      <c r="O60" s="7"/>
      <c r="P60" s="7"/>
      <c r="Q60" s="7"/>
      <c r="R60" s="7"/>
      <c r="S60" s="56">
        <f>+S58</f>
        <v>1.3719202354159483</v>
      </c>
      <c r="W60" s="29"/>
      <c r="X60" s="23"/>
      <c r="Y60" s="24"/>
      <c r="Z60" s="25"/>
      <c r="AA60" s="32" t="str">
        <f>L13</f>
        <v>MSFT</v>
      </c>
      <c r="AC60" s="361" t="str">
        <f>J18</f>
        <v>S&amp;P 500</v>
      </c>
      <c r="AD60" s="362" t="str">
        <f>VLOOKUP(AC60,BQ55:BR152,2,0)</f>
        <v>SPT2633671</v>
      </c>
      <c r="AE60" s="24"/>
      <c r="AF60" s="24"/>
      <c r="AG60" s="363" t="s">
        <v>4444</v>
      </c>
      <c r="AJ60" s="497" t="s">
        <v>4871</v>
      </c>
      <c r="AK60" s="392">
        <f t="shared" si="12"/>
        <v>4.3649399999999998</v>
      </c>
      <c r="AL60" s="392" cm="1">
        <f t="array" ref="AL60">IF(AJ60="","",_xll.SNL.Clients.Office.Excel.Functions.SPG(AJ60,"SPT_YTW",$L$15,"Options:NA=NA"))</f>
        <v>4.3649399999999998</v>
      </c>
      <c r="AM60" s="392" cm="1">
        <f t="array" ref="AM60">IF(AJ60="","",_xll.SNL.Clients.Office.Excel.Functions.SPG(AJ60,"SPT_EOD_YTM_MID","EOD Close Price",$L$15,"Options:NA=NA"))</f>
        <v>4.3508300000000002</v>
      </c>
      <c r="AN60" s="3" cm="1">
        <f t="array" ref="AN60">IF(OR(AJ60="",AK60="NA"),"",_xll.SNL.Clients.Office.Excel.Functions.SPG(AJ60,"SPT_ISSUE_DATE"))</f>
        <v>45236</v>
      </c>
      <c r="AO60" s="2">
        <f>IF(OR($AJ60="",$AK60="NA",$AN60=""),"",RANK(AN60,$AN$58:$AN$1057)+COUNTIF($AN$58:AN60,AN60)-1)</f>
        <v>6</v>
      </c>
      <c r="AP60" s="3">
        <f t="shared" si="13"/>
        <v>45236</v>
      </c>
      <c r="AQ60" s="2">
        <f>IF(OR($AJ60="",$AK60="NA",$AP60=""),"",RANK(AP60,$AP$58:$AP$1057)+COUNTIF($AP$58:AP60,AP60)-1)</f>
        <v>6</v>
      </c>
      <c r="AS60" s="23"/>
      <c r="AT60" s="24"/>
      <c r="AU60" s="393" t="s">
        <v>4611</v>
      </c>
      <c r="AV60" s="394" t="s">
        <v>4752</v>
      </c>
      <c r="AW60"/>
      <c r="AX60"/>
      <c r="AY60" s="392"/>
      <c r="AZ60" s="3"/>
      <c r="BA60" s="2"/>
      <c r="BB60" s="3"/>
      <c r="BC60" s="2"/>
      <c r="BD60"/>
      <c r="BE60" s="23"/>
      <c r="BF60" s="24"/>
      <c r="BG60" s="393" t="s">
        <v>4611</v>
      </c>
      <c r="BH60" s="394" t="s">
        <v>4755</v>
      </c>
      <c r="BJ60" t="str">
        <f t="shared" si="11"/>
        <v>Albanian Lek</v>
      </c>
      <c r="BK60" s="403" t="s">
        <v>45</v>
      </c>
      <c r="BL60" s="404" t="s">
        <v>12</v>
      </c>
      <c r="BM60" s="404" t="s">
        <v>12</v>
      </c>
      <c r="BN60" s="405" t="s">
        <v>30</v>
      </c>
      <c r="BQ60" s="44" t="s">
        <v>329</v>
      </c>
      <c r="BR60" s="44" t="s">
        <v>4618</v>
      </c>
    </row>
    <row r="61" spans="2:71" ht="10.5" x14ac:dyDescent="0.25">
      <c r="B61" t="str">
        <f>AA75&amp;" - "&amp;VLOOKUP("Cost of Preferred (Rp)",Language_Data,Lookup_Column,FALSE)</f>
        <v>MSFT-US - Cost of Preferred (Rp)</v>
      </c>
      <c r="F61" s="108">
        <f>IF(F62&lt;&gt;"",F62,IFERROR(BH56/100,0))</f>
        <v>0</v>
      </c>
      <c r="J61" s="7" t="str">
        <f>B56</f>
        <v>MSFT-US - D/E</v>
      </c>
      <c r="K61" s="7"/>
      <c r="L61" s="7"/>
      <c r="M61" s="7"/>
      <c r="N61" s="7"/>
      <c r="O61" s="7"/>
      <c r="P61" s="7"/>
      <c r="Q61" s="7"/>
      <c r="R61" s="7"/>
      <c r="S61" s="133">
        <f>+F56</f>
        <v>3.6113828957103342E-2</v>
      </c>
      <c r="W61" s="99"/>
      <c r="X61" s="26"/>
      <c r="Z61" s="27"/>
      <c r="AA61" s="27"/>
      <c r="AC61" s="26"/>
      <c r="AE61" s="2"/>
      <c r="AG61" s="27"/>
      <c r="AJ61" s="497" t="s">
        <v>4872</v>
      </c>
      <c r="AK61" s="392">
        <f t="shared" si="12"/>
        <v>4.3649399999999998</v>
      </c>
      <c r="AL61" s="392" cm="1">
        <f t="array" ref="AL61">IF(AJ61="","",_xll.SNL.Clients.Office.Excel.Functions.SPG(AJ61,"SPT_YTW",$L$15,"Options:NA=NA"))</f>
        <v>4.3649399999999998</v>
      </c>
      <c r="AM61" s="392" cm="1">
        <f t="array" ref="AM61">IF(AJ61="","",_xll.SNL.Clients.Office.Excel.Functions.SPG(AJ61,"SPT_EOD_YTM_MID","EOD Close Price",$L$15,"Options:NA=NA"))</f>
        <v>4.3508300000000002</v>
      </c>
      <c r="AN61" s="3" cm="1">
        <f t="array" ref="AN61">IF(OR(AJ61="",AK61="NA"),"",_xll.SNL.Clients.Office.Excel.Functions.SPG(AJ61,"SPT_ISSUE_DATE"))</f>
        <v>45236</v>
      </c>
      <c r="AO61" s="2">
        <f>IF(OR($AJ61="",$AK61="NA",$AN61=""),"",RANK(AN61,$AN$58:$AN$1057)+COUNTIF($AN$58:AN61,AN61)-1)</f>
        <v>7</v>
      </c>
      <c r="AP61" s="3">
        <f t="shared" si="13"/>
        <v>45236</v>
      </c>
      <c r="AQ61" s="2">
        <f>IF(OR($AJ61="",$AK61="NA",$AP61=""),"",RANK(AP61,$AP$58:$AP$1057)+COUNTIF($AP$58:AP61,AP61)-1)</f>
        <v>7</v>
      </c>
      <c r="AS61" s="26">
        <v>1</v>
      </c>
      <c r="AT61" t="str">
        <f t="shared" ref="AT61:AT65" si="14">IFERROR(IF(INDEX($AJ$58:$AJ$1057,MATCH(AS61,$AQ$58:$AQ$1057,0))=0,"NA",INDEX($AJ$58:$AJ$1057,MATCH(AS61,$AQ$58:$AQ$1057,0))),"NA")</f>
        <v>SPS1859817340</v>
      </c>
      <c r="AU61" s="3">
        <f t="shared" ref="AU61:AU65" si="15">IF(AT61="NA","NA",VLOOKUP(AT61,$AJ$58:$AP$1057,7,0))</f>
        <v>45447</v>
      </c>
      <c r="AV61" s="395">
        <f t="shared" ref="AV61:AV65" si="16">IF(AT61="NA","NA",VLOOKUP(AT61,$AJ$58:$AK$1057,2,0))</f>
        <v>4.3649399999999998</v>
      </c>
      <c r="AW61"/>
      <c r="AX61"/>
      <c r="AY61" s="392"/>
      <c r="AZ61" s="3"/>
      <c r="BA61" s="2"/>
      <c r="BB61" s="3"/>
      <c r="BC61" s="2"/>
      <c r="BD61"/>
      <c r="BE61" s="26">
        <v>1</v>
      </c>
      <c r="BF61" t="str">
        <f>IFERROR(IF(INDEX($AX$58:$AX$1057,MATCH(BE61,$BC$58:$BC$1057,0))=0,"NA",INDEX($AX$58:$AX$1057,MATCH(BE61,$BC$58:$BC$1057,0))),"NA")</f>
        <v>NA</v>
      </c>
      <c r="BG61" s="3" t="str">
        <f t="shared" ref="BG61:BG65" si="17">IF(BF61="NA","NA",VLOOKUP(BF61,$AX$58:$BB$1057,5,0))</f>
        <v>NA</v>
      </c>
      <c r="BH61" s="395" t="str">
        <f t="shared" ref="BH61:BH65" si="18">IF(BF61="NA","NA",VLOOKUP(BF61,$AX$58:$AY$1057,2,0))</f>
        <v>NA</v>
      </c>
      <c r="BJ61" t="str">
        <f t="shared" si="11"/>
        <v>Argentine Peso</v>
      </c>
      <c r="BK61" s="403" t="s">
        <v>46</v>
      </c>
      <c r="BL61" s="404" t="s">
        <v>47</v>
      </c>
      <c r="BM61" s="404" t="s">
        <v>48</v>
      </c>
      <c r="BN61" s="405" t="s">
        <v>30</v>
      </c>
      <c r="BQ61" s="44" t="s">
        <v>332</v>
      </c>
      <c r="BR61" s="44" t="s">
        <v>4619</v>
      </c>
    </row>
    <row r="62" spans="2:71" x14ac:dyDescent="0.2">
      <c r="D62" s="2" t="str">
        <f>VLOOKUP("Cost of Preferred Equity Manual Overide ►",Language_Data,Lookup_Column,FALSE)</f>
        <v>Cost of Preferred Equity Manual Overide ►</v>
      </c>
      <c r="F62" s="109"/>
      <c r="J62" s="7" t="str">
        <f>B57</f>
        <v>MSFT-US - P/E</v>
      </c>
      <c r="K62" s="67"/>
      <c r="L62" s="67"/>
      <c r="M62" s="67"/>
      <c r="N62" s="67"/>
      <c r="O62" s="67"/>
      <c r="P62" s="67"/>
      <c r="Q62" s="67"/>
      <c r="R62" s="67"/>
      <c r="S62" s="133">
        <f>F57</f>
        <v>0</v>
      </c>
      <c r="W62" s="14"/>
      <c r="X62" s="14"/>
      <c r="Y62" s="15"/>
      <c r="Z62" s="28"/>
      <c r="AA62" s="28"/>
      <c r="AC62" s="14"/>
      <c r="AD62" s="15"/>
      <c r="AE62" s="364"/>
      <c r="AF62" s="15"/>
      <c r="AG62" s="28"/>
      <c r="AJ62" s="497" t="s">
        <v>4873</v>
      </c>
      <c r="AK62" s="392">
        <f t="shared" si="12"/>
        <v>4.3649399999999998</v>
      </c>
      <c r="AL62" s="392" cm="1">
        <f t="array" ref="AL62">IF(AJ62="","",_xll.SNL.Clients.Office.Excel.Functions.SPG(AJ62,"SPT_YTW",$L$15,"Options:NA=NA"))</f>
        <v>4.3649399999999998</v>
      </c>
      <c r="AM62" s="392" cm="1">
        <f t="array" ref="AM62">IF(AJ62="","",_xll.SNL.Clients.Office.Excel.Functions.SPG(AJ62,"SPT_EOD_YTM_MID","EOD Close Price",$L$15,"Options:NA=NA"))</f>
        <v>4.3508300000000002</v>
      </c>
      <c r="AN62" s="3" cm="1">
        <f t="array" ref="AN62">IF(OR(AJ62="",AK62="NA"),"",_xll.SNL.Clients.Office.Excel.Functions.SPG(AJ62,"SPT_ISSUE_DATE"))</f>
        <v>45236</v>
      </c>
      <c r="AO62" s="2">
        <f>IF(OR($AJ62="",$AK62="NA",$AN62=""),"",RANK(AN62,$AN$58:$AN$1057)+COUNTIF($AN$58:AN62,AN62)-1)</f>
        <v>8</v>
      </c>
      <c r="AP62" s="3">
        <f t="shared" si="13"/>
        <v>45236</v>
      </c>
      <c r="AQ62" s="2">
        <f>IF(OR($AJ62="",$AK62="NA",$AP62=""),"",RANK(AP62,$AP$58:$AP$1057)+COUNTIF($AP$58:AP62,AP62)-1)</f>
        <v>8</v>
      </c>
      <c r="AS62" s="26">
        <v>2</v>
      </c>
      <c r="AT62" t="str">
        <f t="shared" si="14"/>
        <v>SPS1859817342</v>
      </c>
      <c r="AU62" s="3">
        <f t="shared" si="15"/>
        <v>45447</v>
      </c>
      <c r="AV62" s="395">
        <f t="shared" si="16"/>
        <v>4.2949400000000004</v>
      </c>
      <c r="AW62"/>
      <c r="AX62"/>
      <c r="AY62" s="392"/>
      <c r="AZ62" s="3"/>
      <c r="BA62" s="2"/>
      <c r="BB62" s="3"/>
      <c r="BC62" s="2"/>
      <c r="BD62"/>
      <c r="BE62" s="26">
        <v>2</v>
      </c>
      <c r="BF62" t="str">
        <f>IFERROR(IF(INDEX($AX$58:$AX$1057,MATCH(BE62,$BC$58:$BC$1057,0))=0,"NA",INDEX($AX$58:$AX$1057,MATCH(BE62,$BC$58:$BC$1057,0))),"NA")</f>
        <v>NA</v>
      </c>
      <c r="BG62" s="3" t="str">
        <f t="shared" si="17"/>
        <v>NA</v>
      </c>
      <c r="BH62" s="395" t="str">
        <f t="shared" si="18"/>
        <v>NA</v>
      </c>
      <c r="BJ62" t="str">
        <f t="shared" si="11"/>
        <v>Armenian Dram</v>
      </c>
      <c r="BK62" s="403" t="s">
        <v>49</v>
      </c>
      <c r="BL62" s="404" t="s">
        <v>50</v>
      </c>
      <c r="BM62" s="404" t="s">
        <v>51</v>
      </c>
      <c r="BN62" s="405" t="s">
        <v>30</v>
      </c>
      <c r="BQ62" s="44" t="s">
        <v>378</v>
      </c>
      <c r="BR62" s="44" t="s">
        <v>4620</v>
      </c>
    </row>
    <row r="63" spans="2:71" x14ac:dyDescent="0.2">
      <c r="B63" s="15"/>
      <c r="C63" s="15"/>
      <c r="D63" s="15"/>
      <c r="E63" s="15"/>
      <c r="F63" s="15"/>
      <c r="G63" s="252"/>
      <c r="H63" s="252"/>
      <c r="J63" s="7" t="str">
        <f>B50</f>
        <v>Tax Rate (5 Year Average)</v>
      </c>
      <c r="K63" s="7"/>
      <c r="L63" s="7"/>
      <c r="M63" s="7"/>
      <c r="N63" s="7"/>
      <c r="O63" s="7"/>
      <c r="P63" s="7"/>
      <c r="Q63" s="7"/>
      <c r="R63" s="7"/>
      <c r="S63" s="133">
        <f>+F50</f>
        <v>0.17469799999999999</v>
      </c>
      <c r="W63" s="16"/>
      <c r="X63" s="35"/>
      <c r="Y63" s="33"/>
      <c r="Z63" s="36"/>
      <c r="AA63" s="19"/>
      <c r="AC63" s="365">
        <f t="shared" ref="AC63:AC72" si="19">DATE(YEAR(AD63)-1,MONTH(AD63),DAY(AD63))</f>
        <v>45886</v>
      </c>
      <c r="AD63" s="366">
        <f>$L$15</f>
        <v>46251</v>
      </c>
      <c r="AE63" s="367" cm="1">
        <f t="array" ref="AE63">_xll.SNL.Clients.Office.Excel.Functions.SPG($AD$60,"SP_LASTSALEPRICE",AC63)</f>
        <v>6449.7965836775229</v>
      </c>
      <c r="AF63" s="367" cm="1">
        <f t="array" ref="AF63">_xll.SNL.Clients.Office.Excel.Functions.SPG($AD$60,"SP_LASTSALEPRICE",AD63)</f>
        <v>7745.0562710782324</v>
      </c>
      <c r="AG63" s="374">
        <f>IFERROR(AF63/AE63-1,"NA")</f>
        <v>0.2008217888109245</v>
      </c>
      <c r="AJ63" s="497" t="s">
        <v>4874</v>
      </c>
      <c r="AK63" s="392">
        <f t="shared" si="12"/>
        <v>4.1977399999999996</v>
      </c>
      <c r="AL63" s="392" cm="1">
        <f t="array" ref="AL63">IF(AJ63="","",_xll.SNL.Clients.Office.Excel.Functions.SPG(AJ63,"SPT_YTW",$L$15,"Options:NA=NA"))</f>
        <v>4.1977399999999996</v>
      </c>
      <c r="AM63" s="392" cm="1">
        <f t="array" ref="AM63">IF(AJ63="","",_xll.SNL.Clients.Office.Excel.Functions.SPG(AJ63,"SPT_EOD_YTM_MID","EOD Close Price",$L$15,"Options:NA=NA"))</f>
        <v>4.1686300000000003</v>
      </c>
      <c r="AN63" s="3" cm="1">
        <f t="array" ref="AN63">IF(OR(AJ63="",AK63="NA"),"",_xll.SNL.Clients.Office.Excel.Functions.SPG(AJ63,"SPT_ISSUE_DATE"))</f>
        <v>42772</v>
      </c>
      <c r="AO63" s="2">
        <f>IF(OR($AJ63="",$AK63="NA",$AN63=""),"",RANK(AN63,$AN$58:$AN$1057)+COUNTIF($AN$58:AN63,AN63)-1)</f>
        <v>28</v>
      </c>
      <c r="AP63" s="3">
        <f t="shared" si="13"/>
        <v>42772</v>
      </c>
      <c r="AQ63" s="2">
        <f>IF(OR($AJ63="",$AK63="NA",$AP63=""),"",RANK(AP63,$AP$58:$AP$1057)+COUNTIF($AP$58:AP63,AP63)-1)</f>
        <v>28</v>
      </c>
      <c r="AS63" s="26">
        <v>3</v>
      </c>
      <c r="AT63" t="str">
        <f t="shared" si="14"/>
        <v>SPS1859817344</v>
      </c>
      <c r="AU63" s="3">
        <f t="shared" si="15"/>
        <v>45447</v>
      </c>
      <c r="AV63" s="395">
        <f t="shared" si="16"/>
        <v>4.4065899999999996</v>
      </c>
      <c r="AW63"/>
      <c r="AX63"/>
      <c r="AY63" s="392"/>
      <c r="AZ63" s="3"/>
      <c r="BA63" s="2"/>
      <c r="BB63" s="3"/>
      <c r="BC63" s="2"/>
      <c r="BD63"/>
      <c r="BE63" s="26">
        <v>3</v>
      </c>
      <c r="BF63" t="str">
        <f>IFERROR(IF(INDEX($AX$58:$AX$1057,MATCH(BE63,$BC$58:$BC$1057,0))=0,"NA",INDEX($AX$58:$AX$1057,MATCH(BE63,$BC$58:$BC$1057,0))),"NA")</f>
        <v>NA</v>
      </c>
      <c r="BG63" s="3" t="str">
        <f t="shared" si="17"/>
        <v>NA</v>
      </c>
      <c r="BH63" s="395" t="str">
        <f t="shared" si="18"/>
        <v>NA</v>
      </c>
      <c r="BJ63" t="str">
        <f t="shared" si="11"/>
        <v>Australian Dollar</v>
      </c>
      <c r="BK63" s="403" t="s">
        <v>52</v>
      </c>
      <c r="BL63" s="404" t="s">
        <v>53</v>
      </c>
      <c r="BM63" s="404" t="s">
        <v>54</v>
      </c>
      <c r="BN63" s="405" t="s">
        <v>30</v>
      </c>
      <c r="BQ63" s="44" t="s">
        <v>345</v>
      </c>
      <c r="BR63" s="44" t="s">
        <v>4621</v>
      </c>
    </row>
    <row r="64" spans="2:71" ht="12.5" x14ac:dyDescent="0.25">
      <c r="B64" s="349" t="str">
        <f>VLOOKUP("Sensitivity Analysis Steps",Language_Data,Lookup_Column,FALSE)</f>
        <v>Sensitivity Analysis Steps</v>
      </c>
      <c r="G64" s="252"/>
      <c r="H64" s="252"/>
      <c r="J64" s="63" t="str">
        <f>AA81&amp;" "&amp;VLOOKUP("Levered Beta",Language_Data,Lookup_Column,FALSE)</f>
        <v>MSFT-US Levered Beta</v>
      </c>
      <c r="K64" s="42"/>
      <c r="L64" s="68"/>
      <c r="M64" s="42"/>
      <c r="N64" s="42"/>
      <c r="O64" s="42"/>
      <c r="P64" s="42"/>
      <c r="Q64" s="42"/>
      <c r="R64" s="42"/>
      <c r="S64" s="134">
        <f>IFERROR(S60*(1+S61*(1-S63)+S62),0)</f>
        <v>1.4128100645921466</v>
      </c>
      <c r="W64" s="17"/>
      <c r="X64" s="37"/>
      <c r="Y64" s="34"/>
      <c r="Z64" s="38"/>
      <c r="AA64" s="20"/>
      <c r="AC64" s="368">
        <f t="shared" si="19"/>
        <v>45521</v>
      </c>
      <c r="AD64" s="369">
        <f t="shared" ref="AD64:AD72" si="20">DATE(YEAR(AD63)-1,MONTH(AD63),DAY(AD63))</f>
        <v>45886</v>
      </c>
      <c r="AE64" s="370" cm="1">
        <f t="array" ref="AE64">_xll.SNL.Clients.Office.Excel.Functions.SPG($AD$60,"SP_LASTSALEPRICE",AC64)</f>
        <v>5554.2510628410355</v>
      </c>
      <c r="AF64" s="370" cm="1">
        <f t="array" ref="AF64">_xll.SNL.Clients.Office.Excel.Functions.SPG($AD$60,"SP_LASTSALEPRICE",AD64)</f>
        <v>6449.7965836775229</v>
      </c>
      <c r="AG64" s="375">
        <f t="shared" ref="AG64:AG72" si="21">IFERROR(AF64/AE64-1,"NA")</f>
        <v>0.16123605337681846</v>
      </c>
      <c r="AJ64" s="497" t="s">
        <v>4878</v>
      </c>
      <c r="AK64" s="392">
        <f t="shared" si="12"/>
        <v>5.3449400000000002</v>
      </c>
      <c r="AL64" s="392" cm="1">
        <f t="array" ref="AL64">IF(AJ64="","",_xll.SNL.Clients.Office.Excel.Functions.SPG(AJ64,"SPT_YTW",$L$15,"Options:NA=NA"))</f>
        <v>5.3449400000000002</v>
      </c>
      <c r="AM64" s="392" cm="1">
        <f t="array" ref="AM64">IF(AJ64="","",_xll.SNL.Clients.Office.Excel.Functions.SPG(AJ64,"SPT_EOD_YTM_MID","EOD Close Price",$L$15,"Options:NA=NA"))</f>
        <v>5.3308299999999997</v>
      </c>
      <c r="AN64" s="3" cm="1">
        <f t="array" ref="AN64">IF(OR(AJ64="",AK64="NA"),"",_xll.SNL.Clients.Office.Excel.Functions.SPG(AJ64,"SPT_ISSUE_DATE"))</f>
        <v>42881</v>
      </c>
      <c r="AO64" s="2">
        <f>IF(OR($AJ64="",$AK64="NA",$AN64=""),"",RANK(AN64,$AN$58:$AN$1057)+COUNTIF($AN$58:AN64,AN64)-1)</f>
        <v>26</v>
      </c>
      <c r="AP64" s="3">
        <f t="shared" si="13"/>
        <v>42881</v>
      </c>
      <c r="AQ64" s="2">
        <f>IF(OR($AJ64="",$AK64="NA",$AP64=""),"",RANK(AP64,$AP$58:$AP$1057)+COUNTIF($AP$58:AP64,AP64)-1)</f>
        <v>26</v>
      </c>
      <c r="AS64" s="26">
        <v>4</v>
      </c>
      <c r="AT64" t="str">
        <f t="shared" si="14"/>
        <v>SPS1859817346</v>
      </c>
      <c r="AU64" s="3">
        <f t="shared" si="15"/>
        <v>45447</v>
      </c>
      <c r="AV64" s="395">
        <f t="shared" si="16"/>
        <v>5.9602199999999996</v>
      </c>
      <c r="AW64"/>
      <c r="AX64"/>
      <c r="AY64" s="392"/>
      <c r="AZ64" s="3"/>
      <c r="BA64" s="2"/>
      <c r="BB64" s="3"/>
      <c r="BC64" s="2"/>
      <c r="BD64"/>
      <c r="BE64" s="26">
        <v>4</v>
      </c>
      <c r="BF64" t="str">
        <f>IFERROR(IF(INDEX($AX$58:$AX$1057,MATCH(BE64,$BC$58:$BC$1057,0))=0,"NA",INDEX($AX$58:$AX$1057,MATCH(BE64,$BC$58:$BC$1057,0))),"NA")</f>
        <v>NA</v>
      </c>
      <c r="BG64" s="3" t="str">
        <f t="shared" si="17"/>
        <v>NA</v>
      </c>
      <c r="BH64" s="395" t="str">
        <f t="shared" si="18"/>
        <v>NA</v>
      </c>
      <c r="BJ64" t="str">
        <f t="shared" si="11"/>
        <v>Azerbaijani Manat</v>
      </c>
      <c r="BK64" s="403" t="s">
        <v>55</v>
      </c>
      <c r="BL64" s="404" t="s">
        <v>56</v>
      </c>
      <c r="BM64" s="404" t="s">
        <v>57</v>
      </c>
      <c r="BN64" s="405" t="s">
        <v>30</v>
      </c>
      <c r="BQ64" s="44" t="s">
        <v>338</v>
      </c>
      <c r="BR64" s="44" t="s">
        <v>4622</v>
      </c>
    </row>
    <row r="65" spans="2:70" x14ac:dyDescent="0.2">
      <c r="B65" t="str">
        <f>VLOOKUP("Pre-Tax Cost of Debt",Language_Data,Lookup_Column,FALSE)</f>
        <v>Pre-Tax Cost of Debt</v>
      </c>
      <c r="F65" s="104">
        <v>5.0000000000000001E-3</v>
      </c>
      <c r="G65" s="252"/>
      <c r="H65" s="252"/>
      <c r="J65" s="69"/>
      <c r="K65" s="69"/>
      <c r="L65" s="69"/>
      <c r="M65" s="69"/>
      <c r="N65" s="69"/>
      <c r="O65" s="69"/>
      <c r="P65" s="69"/>
      <c r="Q65" s="69"/>
      <c r="R65" s="69"/>
      <c r="S65" s="69"/>
      <c r="W65" s="17"/>
      <c r="X65" s="37"/>
      <c r="Y65" s="34"/>
      <c r="Z65" s="38"/>
      <c r="AA65" s="20"/>
      <c r="AC65" s="368">
        <f t="shared" si="19"/>
        <v>45155</v>
      </c>
      <c r="AD65" s="369">
        <f t="shared" si="20"/>
        <v>45521</v>
      </c>
      <c r="AE65" s="370" cm="1">
        <f t="array" ref="AE65">_xll.SNL.Clients.Office.Excel.Functions.SPG($AD$60,"SP_LASTSALEPRICE",AC65)</f>
        <v>4370.3600642917781</v>
      </c>
      <c r="AF65" s="370" cm="1">
        <f t="array" ref="AF65">_xll.SNL.Clients.Office.Excel.Functions.SPG($AD$60,"SP_LASTSALEPRICE",AD65)</f>
        <v>5554.2510628410355</v>
      </c>
      <c r="AG65" s="375">
        <f t="shared" si="21"/>
        <v>0.27089095203443114</v>
      </c>
      <c r="AJ65" s="497" t="s">
        <v>4876</v>
      </c>
      <c r="AK65" s="392">
        <f t="shared" si="12"/>
        <v>4.2949400000000004</v>
      </c>
      <c r="AL65" s="392" cm="1">
        <f t="array" ref="AL65">IF(AJ65="","",_xll.SNL.Clients.Office.Excel.Functions.SPG(AJ65,"SPT_YTW",$L$15,"Options:NA=NA"))</f>
        <v>4.2949400000000004</v>
      </c>
      <c r="AM65" s="392" cm="1">
        <f t="array" ref="AM65">IF(AJ65="","",_xll.SNL.Clients.Office.Excel.Functions.SPG(AJ65,"SPT_EOD_YTM_MID","EOD Close Price",$L$15,"Options:NA=NA"))</f>
        <v>4.2858299999999998</v>
      </c>
      <c r="AN65" s="3" cm="1">
        <f t="array" ref="AN65">IF(OR(AJ65="",AK65="NA"),"",_xll.SNL.Clients.Office.Excel.Functions.SPG(AJ65,"SPT_ISSUE_DATE"))</f>
        <v>45236</v>
      </c>
      <c r="AO65" s="2">
        <f>IF(OR($AJ65="",$AK65="NA",$AN65=""),"",RANK(AN65,$AN$58:$AN$1057)+COUNTIF($AN$58:AN65,AN65)-1)</f>
        <v>9</v>
      </c>
      <c r="AP65" s="3">
        <f t="shared" si="13"/>
        <v>45236</v>
      </c>
      <c r="AQ65" s="2">
        <f>IF(OR($AJ65="",$AK65="NA",$AP65=""),"",RANK(AP65,$AP$58:$AP$1057)+COUNTIF($AP$58:AP65,AP65)-1)</f>
        <v>9</v>
      </c>
      <c r="AS65" s="14">
        <v>5</v>
      </c>
      <c r="AT65" s="15" t="str">
        <f t="shared" si="14"/>
        <v>SPS1859817348</v>
      </c>
      <c r="AU65" s="396">
        <f t="shared" si="15"/>
        <v>45447</v>
      </c>
      <c r="AV65" s="397">
        <f t="shared" si="16"/>
        <v>6.0724600000000004</v>
      </c>
      <c r="AW65"/>
      <c r="AX65"/>
      <c r="AY65" s="392"/>
      <c r="AZ65" s="3"/>
      <c r="BA65" s="2"/>
      <c r="BB65" s="3"/>
      <c r="BC65" s="2"/>
      <c r="BD65"/>
      <c r="BE65" s="14">
        <v>5</v>
      </c>
      <c r="BF65" s="15" t="str">
        <f>IFERROR(IF(INDEX($AX$58:$AX$1057,MATCH(BE65,$BC$58:$BC$1057,0))=0,"NA",INDEX($AX$58:$AX$1057,MATCH(BE65,$BC$58:$BC$1057,0))),"NA")</f>
        <v>NA</v>
      </c>
      <c r="BG65" s="396" t="str">
        <f t="shared" si="17"/>
        <v>NA</v>
      </c>
      <c r="BH65" s="397" t="str">
        <f t="shared" si="18"/>
        <v>NA</v>
      </c>
      <c r="BJ65" t="str">
        <f t="shared" si="11"/>
        <v>Bahamian Dollar</v>
      </c>
      <c r="BK65" s="403" t="s">
        <v>58</v>
      </c>
      <c r="BL65" s="404" t="s">
        <v>59</v>
      </c>
      <c r="BM65" s="404" t="s">
        <v>60</v>
      </c>
      <c r="BN65" s="405" t="s">
        <v>30</v>
      </c>
      <c r="BQ65" s="44" t="s">
        <v>369</v>
      </c>
      <c r="BR65" s="44" t="s">
        <v>4623</v>
      </c>
    </row>
    <row r="66" spans="2:70" x14ac:dyDescent="0.2">
      <c r="B66" t="str">
        <f>VLOOKUP("D/(D+P+E)",Language_Data,Lookup_Column,FALSE)</f>
        <v>D/(D+P+E)</v>
      </c>
      <c r="F66" s="105">
        <v>0.05</v>
      </c>
      <c r="G66" s="252"/>
      <c r="H66" s="252"/>
      <c r="J66" s="7"/>
      <c r="K66" s="7"/>
      <c r="L66" s="7"/>
      <c r="M66" s="7"/>
      <c r="N66" s="7"/>
      <c r="O66" s="7"/>
      <c r="P66" s="7"/>
      <c r="Q66" s="7"/>
      <c r="R66" s="7"/>
      <c r="S66" s="7"/>
      <c r="W66" s="17" t="str">
        <f>"Total Debt ("&amp;CAP_ID&amp;")"</f>
        <v>Total Debt ($M)</v>
      </c>
      <c r="X66" s="37" t="s">
        <v>298</v>
      </c>
      <c r="Y66" s="34" t="s">
        <v>4248</v>
      </c>
      <c r="Z66" s="334">
        <f>$L$15</f>
        <v>46251</v>
      </c>
      <c r="AA66" s="21" cm="1">
        <f t="array" ref="AA66">_xll.SNL.Clients.Office.Excel.Functions.SPG(AA$60,X66,Y66,Z66,"Options:Curr="&amp;$BL$52&amp;",Mag="&amp;$BK$135&amp;",ConvMethod="&amp;$BL$145&amp;",NA=NA")</f>
        <v>128813</v>
      </c>
      <c r="AC66" s="368">
        <f t="shared" si="19"/>
        <v>44790</v>
      </c>
      <c r="AD66" s="369">
        <f t="shared" si="20"/>
        <v>45155</v>
      </c>
      <c r="AE66" s="370" cm="1">
        <f t="array" ref="AE66">_xll.SNL.Clients.Office.Excel.Functions.SPG($AD$60,"SP_LASTSALEPRICE",AC66)</f>
        <v>4274.0386528275403</v>
      </c>
      <c r="AF66" s="370" cm="1">
        <f t="array" ref="AF66">_xll.SNL.Clients.Office.Excel.Functions.SPG($AD$60,"SP_LASTSALEPRICE",AD66)</f>
        <v>4370.3600642917781</v>
      </c>
      <c r="AG66" s="375">
        <f t="shared" si="21"/>
        <v>2.2536392224837609E-2</v>
      </c>
      <c r="AJ66" s="497" t="s">
        <v>4875</v>
      </c>
      <c r="AK66" s="392">
        <f t="shared" si="12"/>
        <v>4.2949400000000004</v>
      </c>
      <c r="AL66" s="392" cm="1">
        <f t="array" ref="AL66">IF(AJ66="","",_xll.SNL.Clients.Office.Excel.Functions.SPG(AJ66,"SPT_YTW",$L$15,"Options:NA=NA"))</f>
        <v>4.2949400000000004</v>
      </c>
      <c r="AM66" s="392" cm="1">
        <f t="array" ref="AM66">IF(AJ66="","",_xll.SNL.Clients.Office.Excel.Functions.SPG(AJ66,"SPT_EOD_YTM_MID","EOD Close Price",$L$15,"Options:NA=NA"))</f>
        <v>4.2858299999999998</v>
      </c>
      <c r="AN66" s="3" cm="1">
        <f t="array" ref="AN66">IF(OR(AJ66="",AK66="NA"),"",_xll.SNL.Clients.Office.Excel.Functions.SPG(AJ66,"SPT_ISSUE_DATE"))</f>
        <v>45236</v>
      </c>
      <c r="AO66" s="2">
        <f>IF(OR($AJ66="",$AK66="NA",$AN66=""),"",RANK(AN66,$AN$58:$AN$1057)+COUNTIF($AN$58:AN66,AN66)-1)</f>
        <v>10</v>
      </c>
      <c r="AP66" s="3">
        <f t="shared" si="13"/>
        <v>45236</v>
      </c>
      <c r="AQ66" s="2">
        <f>IF(OR($AJ66="",$AK66="NA",$AP66=""),"",RANK(AP66,$AP$58:$AP$1057)+COUNTIF($AP$58:AP66,AP66)-1)</f>
        <v>10</v>
      </c>
      <c r="AU66"/>
      <c r="AV66" s="2"/>
      <c r="AW66"/>
      <c r="AX66"/>
      <c r="AY66" s="392"/>
      <c r="AZ66" s="3"/>
      <c r="BA66" s="2"/>
      <c r="BB66" s="3"/>
      <c r="BC66" s="2"/>
      <c r="BD66"/>
      <c r="BE66"/>
      <c r="BF66"/>
      <c r="BG66"/>
      <c r="BH66" s="2"/>
      <c r="BJ66" t="str">
        <f t="shared" si="11"/>
        <v>Bahraini Dinar</v>
      </c>
      <c r="BK66" s="403" t="s">
        <v>61</v>
      </c>
      <c r="BL66" s="404" t="s">
        <v>62</v>
      </c>
      <c r="BM66" s="404" t="s">
        <v>63</v>
      </c>
      <c r="BN66" s="405" t="s">
        <v>30</v>
      </c>
      <c r="BQ66" s="44" t="s">
        <v>4174</v>
      </c>
      <c r="BR66" s="44" t="s">
        <v>4624</v>
      </c>
    </row>
    <row r="67" spans="2:70" ht="10.5" x14ac:dyDescent="0.25">
      <c r="B67" t="str">
        <f>VLOOKUP("Cost of Equity",Language_Data,Lookup_Column,FALSE)</f>
        <v>Cost of Equity</v>
      </c>
      <c r="F67" s="106">
        <v>7.4999999999999997E-3</v>
      </c>
      <c r="J67" s="92" t="str">
        <f>VLOOKUP("WACC SENSITIVITY ANALYSIS",Language_Data,Lookup_Column,FALSE)</f>
        <v>WACC SENSITIVITY ANALYSIS</v>
      </c>
      <c r="K67" s="93"/>
      <c r="L67" s="93"/>
      <c r="M67" s="93"/>
      <c r="N67" s="94"/>
      <c r="O67" s="94"/>
      <c r="P67" s="94"/>
      <c r="Q67" s="94"/>
      <c r="R67" s="94"/>
      <c r="S67" s="95"/>
      <c r="W67" s="17" t="str">
        <f>"Total Preferred Equity ("&amp;CAP_ID&amp;")"</f>
        <v>Total Preferred Equity ($M)</v>
      </c>
      <c r="X67" s="37" t="s">
        <v>290</v>
      </c>
      <c r="Y67" s="34" t="s">
        <v>4248</v>
      </c>
      <c r="Z67" s="334">
        <f>$L$15</f>
        <v>46251</v>
      </c>
      <c r="AA67" s="21" t="str" cm="1">
        <f t="array" ref="AA67">_xll.SNL.Clients.Office.Excel.Functions.SPG(AA$60,X67,Y67,Z67,"Options:Curr="&amp;$BL$52&amp;",Mag="&amp;$BK$135&amp;",ConvMethod="&amp;$BL$145&amp;",NA=NA")</f>
        <v>NA</v>
      </c>
      <c r="AC67" s="368">
        <f t="shared" si="19"/>
        <v>44425</v>
      </c>
      <c r="AD67" s="369">
        <f t="shared" si="20"/>
        <v>44790</v>
      </c>
      <c r="AE67" s="370" cm="1">
        <f t="array" ref="AE67">_xll.SNL.Clients.Office.Excel.Functions.SPG($AD$60,"SP_LASTSALEPRICE",AC67)</f>
        <v>4448.0754052513839</v>
      </c>
      <c r="AF67" s="370" cm="1">
        <f t="array" ref="AF67">_xll.SNL.Clients.Office.Excel.Functions.SPG($AD$60,"SP_LASTSALEPRICE",AD67)</f>
        <v>4274.0386528275403</v>
      </c>
      <c r="AG67" s="375">
        <f t="shared" si="21"/>
        <v>-3.9126304427837821E-2</v>
      </c>
      <c r="AJ67" s="497" t="s">
        <v>4877</v>
      </c>
      <c r="AK67" s="392">
        <f t="shared" si="12"/>
        <v>4.2949400000000004</v>
      </c>
      <c r="AL67" s="392" cm="1">
        <f t="array" ref="AL67">IF(AJ67="","",_xll.SNL.Clients.Office.Excel.Functions.SPG(AJ67,"SPT_YTW",$L$15,"Options:NA=NA"))</f>
        <v>4.2949400000000004</v>
      </c>
      <c r="AM67" s="392" cm="1">
        <f t="array" ref="AM67">IF(AJ67="","",_xll.SNL.Clients.Office.Excel.Functions.SPG(AJ67,"SPT_EOD_YTM_MID","EOD Close Price",$L$15,"Options:NA=NA"))</f>
        <v>4.2858299999999998</v>
      </c>
      <c r="AN67" s="3" cm="1">
        <f t="array" ref="AN67">IF(OR(AJ67="",AK67="NA"),"",_xll.SNL.Clients.Office.Excel.Functions.SPG(AJ67,"SPT_ISSUE_DATE"))</f>
        <v>45447</v>
      </c>
      <c r="AO67" s="2">
        <f>IF(OR($AJ67="",$AK67="NA",$AN67=""),"",RANK(AN67,$AN$58:$AN$1057)+COUNTIF($AN$58:AN67,AN67)-1)</f>
        <v>2</v>
      </c>
      <c r="AP67" s="3">
        <f t="shared" si="13"/>
        <v>45447</v>
      </c>
      <c r="AQ67" s="2">
        <f>IF(OR($AJ67="",$AK67="NA",$AP67=""),"",RANK(AP67,$AP$58:$AP$1057)+COUNTIF($AP$58:AP67,AP67)-1)</f>
        <v>2</v>
      </c>
      <c r="AT67" t="s">
        <v>440</v>
      </c>
      <c r="AU67"/>
      <c r="AV67"/>
      <c r="AW67"/>
      <c r="AX67"/>
      <c r="AY67" s="392"/>
      <c r="AZ67" s="3"/>
      <c r="BA67" s="2"/>
      <c r="BB67" s="3"/>
      <c r="BC67" s="2"/>
      <c r="BD67"/>
      <c r="BE67"/>
      <c r="BF67" t="s">
        <v>440</v>
      </c>
      <c r="BG67"/>
      <c r="BH67"/>
      <c r="BJ67" t="str">
        <f t="shared" si="11"/>
        <v>Bangladeshi Taka</v>
      </c>
      <c r="BK67" s="403" t="s">
        <v>64</v>
      </c>
      <c r="BL67" s="404" t="s">
        <v>65</v>
      </c>
      <c r="BM67" s="404" t="s">
        <v>66</v>
      </c>
      <c r="BN67" s="405" t="s">
        <v>30</v>
      </c>
      <c r="BQ67" s="44" t="s">
        <v>330</v>
      </c>
      <c r="BR67" s="44" t="s">
        <v>4625</v>
      </c>
    </row>
    <row r="68" spans="2:70" x14ac:dyDescent="0.2">
      <c r="B68" t="str">
        <f>VLOOKUP("E/(D+P+E)",Language_Data,Lookup_Column,FALSE)</f>
        <v>E/(D+P+E)</v>
      </c>
      <c r="F68" s="105">
        <v>0.05</v>
      </c>
      <c r="J68" s="70"/>
      <c r="K68" s="7"/>
      <c r="L68" s="7"/>
      <c r="M68" s="7"/>
      <c r="N68" s="7"/>
      <c r="O68" s="7"/>
      <c r="P68" s="7"/>
      <c r="Q68" s="7"/>
      <c r="R68" s="7"/>
      <c r="S68" s="71"/>
      <c r="W68" s="17" t="s">
        <v>261</v>
      </c>
      <c r="X68" s="37" t="s">
        <v>291</v>
      </c>
      <c r="Y68" s="400">
        <f>$L$15</f>
        <v>46251</v>
      </c>
      <c r="Z68" s="39"/>
      <c r="AA68" s="22" cm="1">
        <f t="array" ref="AA68">_xll.SNL.Clients.Office.Excel.Functions.SPG(AA$60,X68,Y68,"Options:Curr="&amp;$BL$52&amp;",Mag="&amp;$BK$135&amp;",ConvMethod="&amp;$BL$145&amp;",NA=NA")</f>
        <v>3566860.7766018501</v>
      </c>
      <c r="AC68" s="368">
        <f t="shared" si="19"/>
        <v>44060</v>
      </c>
      <c r="AD68" s="369">
        <f t="shared" si="20"/>
        <v>44425</v>
      </c>
      <c r="AE68" s="370" cm="1">
        <f t="array" ref="AE68">_xll.SNL.Clients.Office.Excel.Functions.SPG($AD$60,"SP_LASTSALEPRICE",AC68)</f>
        <v>3381.994973206095</v>
      </c>
      <c r="AF68" s="370" cm="1">
        <f t="array" ref="AF68">_xll.SNL.Clients.Office.Excel.Functions.SPG($AD$60,"SP_LASTSALEPRICE",AD68)</f>
        <v>4448.0754052513839</v>
      </c>
      <c r="AG68" s="375">
        <f t="shared" si="21"/>
        <v>0.31522235854616198</v>
      </c>
      <c r="AJ68" s="497" t="s">
        <v>4879</v>
      </c>
      <c r="AK68" s="392">
        <f t="shared" si="12"/>
        <v>3.0011299999999999</v>
      </c>
      <c r="AL68" s="392" cm="1">
        <f t="array" ref="AL68">IF(AJ68="","",_xll.SNL.Clients.Office.Excel.Functions.SPG(AJ68,"SPT_YTW",$L$15,"Options:NA=NA"))</f>
        <v>3.0011299999999999</v>
      </c>
      <c r="AM68" s="392" cm="1">
        <f t="array" ref="AM68">IF(AJ68="","",_xll.SNL.Clients.Office.Excel.Functions.SPG(AJ68,"SPT_EOD_YTM_MID","EOD Close Price",$L$15,"Options:NA=NA"))</f>
        <v>2.9773700000000001</v>
      </c>
      <c r="AN68" s="3" cm="1">
        <f t="array" ref="AN68">IF(OR(AJ68="",AK68="NA"),"",_xll.SNL.Clients.Office.Excel.Functions.SPG(AJ68,"SPT_ISSUE_DATE"))</f>
        <v>41614</v>
      </c>
      <c r="AO68" s="2">
        <f>IF(OR($AJ68="",$AK68="NA",$AN68=""),"",RANK(AN68,$AN$58:$AN$1057)+COUNTIF($AN$58:AN68,AN68)-1)</f>
        <v>41</v>
      </c>
      <c r="AP68" s="3">
        <f t="shared" si="13"/>
        <v>41614</v>
      </c>
      <c r="AQ68" s="2">
        <f>IF(OR($AJ68="",$AK68="NA",$AP68=""),"",RANK(AP68,$AP$58:$AP$1057)+COUNTIF($AP$58:AP68,AP68)-1)</f>
        <v>41</v>
      </c>
      <c r="AT68" s="305" cm="1">
        <f t="array" ref="AT68">_xll.SNL.Clients.Office.Excel.Functions.SPGDATE()</f>
        <v>46254</v>
      </c>
      <c r="AU68"/>
      <c r="AV68" s="392">
        <f>IFERROR(AVERAGE(AV69:AV74),"NA")</f>
        <v>5.0198300000000007</v>
      </c>
      <c r="AW68"/>
      <c r="AX68"/>
      <c r="AY68" s="392"/>
      <c r="AZ68" s="3"/>
      <c r="BA68" s="2"/>
      <c r="BB68" s="3"/>
      <c r="BC68" s="2"/>
      <c r="BD68"/>
      <c r="BE68"/>
      <c r="BF68" s="305" cm="1">
        <f t="array" ref="BF68">_xll.SNL.Clients.Office.Excel.Functions.SPGDATE()</f>
        <v>46254</v>
      </c>
      <c r="BG68"/>
      <c r="BH68" s="392" t="str">
        <f>IFERROR(AVERAGE(BH69:BH74),"NA")</f>
        <v>NA</v>
      </c>
      <c r="BJ68" t="str">
        <f t="shared" si="11"/>
        <v>Belarusian Ruble</v>
      </c>
      <c r="BK68" s="403" t="s">
        <v>67</v>
      </c>
      <c r="BL68" s="404" t="s">
        <v>68</v>
      </c>
      <c r="BM68" s="404" t="s">
        <v>69</v>
      </c>
      <c r="BN68" s="405" t="s">
        <v>30</v>
      </c>
      <c r="BQ68" s="44" t="s">
        <v>340</v>
      </c>
      <c r="BR68" s="44" t="s">
        <v>4626</v>
      </c>
    </row>
    <row r="69" spans="2:70" ht="10.5" x14ac:dyDescent="0.25">
      <c r="J69" s="72" t="str">
        <f>VLOOKUP("D/(D+P+E)",Language_Data,Lookup_Column,FALSE)</f>
        <v>D/(D+P+E)</v>
      </c>
      <c r="K69" s="73" t="str">
        <f>VLOOKUP("Pre-Tax Cost of Debt",Language_Data,Lookup_Column,FALSE)</f>
        <v>Pre-Tax Cost of Debt</v>
      </c>
      <c r="L69" s="74"/>
      <c r="M69" s="74"/>
      <c r="N69" s="74"/>
      <c r="O69" s="74"/>
      <c r="P69" s="74"/>
      <c r="Q69" s="74"/>
      <c r="R69" s="74"/>
      <c r="S69" s="75"/>
      <c r="W69" s="17" t="s">
        <v>260</v>
      </c>
      <c r="X69" s="37" t="s">
        <v>292</v>
      </c>
      <c r="Y69" s="34" t="s">
        <v>4241</v>
      </c>
      <c r="Z69" s="334">
        <f t="shared" ref="Z69:Z74" si="22">$L$15</f>
        <v>46251</v>
      </c>
      <c r="AA69" s="20" cm="1">
        <f t="array" ref="AA69">_xll.SNL.Clients.Office.Excel.Functions.SPG(AA$60,X69,Y69,Z69,"Options:NA=NA")</f>
        <v>19.396000000000001</v>
      </c>
      <c r="AC69" s="368">
        <f t="shared" si="19"/>
        <v>43694</v>
      </c>
      <c r="AD69" s="369">
        <f t="shared" si="20"/>
        <v>44060</v>
      </c>
      <c r="AE69" s="370" cm="1">
        <f t="array" ref="AE69">_xll.SNL.Clients.Office.Excel.Functions.SPG($AD$60,"SP_LASTSALEPRICE",AC69)</f>
        <v>2888.677981429888</v>
      </c>
      <c r="AF69" s="370" cm="1">
        <f t="array" ref="AF69">_xll.SNL.Clients.Office.Excel.Functions.SPG($AD$60,"SP_LASTSALEPRICE",AD69)</f>
        <v>3381.994973206095</v>
      </c>
      <c r="AG69" s="375">
        <f t="shared" si="21"/>
        <v>0.17077604182520068</v>
      </c>
      <c r="AJ69" s="497" t="s">
        <v>4882</v>
      </c>
      <c r="AK69" s="392">
        <f t="shared" si="12"/>
        <v>5.67232</v>
      </c>
      <c r="AL69" s="392" cm="1">
        <f t="array" ref="AL69">IF(AJ69="","",_xll.SNL.Clients.Office.Excel.Functions.SPG(AJ69,"SPT_YTW",$L$15,"Options:NA=NA"))</f>
        <v>5.67232</v>
      </c>
      <c r="AM69" s="392" cm="1">
        <f t="array" ref="AM69">IF(AJ69="","",_xll.SNL.Clients.Office.Excel.Functions.SPG(AJ69,"SPT_EOD_YTM_MID","EOD Close Price",$L$15,"Options:NA=NA"))</f>
        <v>5.6210000000000004</v>
      </c>
      <c r="AN69" s="3" cm="1">
        <f t="array" ref="AN69">IF(OR(AJ69="",AK69="NA"),"",_xll.SNL.Clients.Office.Excel.Functions.SPG(AJ69,"SPT_ISSUE_DATE"))</f>
        <v>44053</v>
      </c>
      <c r="AO69" s="2">
        <f>IF(OR($AJ69="",$AK69="NA",$AN69=""),"",RANK(AN69,$AN$58:$AN$1057)+COUNTIF($AN$58:AN69,AN69)-1)</f>
        <v>21</v>
      </c>
      <c r="AP69" s="3">
        <f t="shared" si="13"/>
        <v>44053</v>
      </c>
      <c r="AQ69" s="2">
        <f>IF(OR($AJ69="",$AK69="NA",$AP69=""),"",RANK(AP69,$AP$58:$AP$1057)+COUNTIF($AP$58:AP69,AP69)-1)</f>
        <v>21</v>
      </c>
      <c r="AS69" s="23"/>
      <c r="AT69" s="24"/>
      <c r="AU69" s="393" t="s">
        <v>4611</v>
      </c>
      <c r="AV69" s="394" t="s">
        <v>4752</v>
      </c>
      <c r="AW69"/>
      <c r="AX69"/>
      <c r="AY69" s="392"/>
      <c r="AZ69" s="3"/>
      <c r="BA69" s="2"/>
      <c r="BB69" s="3"/>
      <c r="BC69" s="2"/>
      <c r="BD69"/>
      <c r="BE69" s="23"/>
      <c r="BF69" s="24"/>
      <c r="BG69" s="393" t="s">
        <v>4611</v>
      </c>
      <c r="BH69" s="394" t="s">
        <v>4755</v>
      </c>
      <c r="BJ69" t="str">
        <f t="shared" si="11"/>
        <v>Bosnian Convertible Marks</v>
      </c>
      <c r="BK69" s="403" t="s">
        <v>70</v>
      </c>
      <c r="BL69" s="404" t="s">
        <v>71</v>
      </c>
      <c r="BM69" s="404" t="s">
        <v>72</v>
      </c>
      <c r="BN69" s="405" t="s">
        <v>30</v>
      </c>
      <c r="BQ69" s="44" t="s">
        <v>4627</v>
      </c>
      <c r="BR69" s="44" t="s">
        <v>4628</v>
      </c>
    </row>
    <row r="70" spans="2:70" ht="10.5" x14ac:dyDescent="0.25">
      <c r="B70" s="40" t="str">
        <f>VLOOKUP("WACC",Language_Data,Lookup_Column,FALSE)</f>
        <v>WACC</v>
      </c>
      <c r="C70" s="40"/>
      <c r="D70" s="40"/>
      <c r="E70" s="40"/>
      <c r="F70" s="40"/>
      <c r="J70" s="125">
        <f>F91</f>
        <v>0.17520888143433552</v>
      </c>
      <c r="K70" s="103">
        <v>0.05</v>
      </c>
      <c r="L70" s="76">
        <f t="shared" ref="L70:S70" si="23">K70+$F$65</f>
        <v>5.5E-2</v>
      </c>
      <c r="M70" s="76">
        <f t="shared" si="23"/>
        <v>0.06</v>
      </c>
      <c r="N70" s="76">
        <f t="shared" si="23"/>
        <v>6.5000000000000002E-2</v>
      </c>
      <c r="O70" s="76">
        <f t="shared" si="23"/>
        <v>7.0000000000000007E-2</v>
      </c>
      <c r="P70" s="76">
        <f t="shared" si="23"/>
        <v>7.5000000000000011E-2</v>
      </c>
      <c r="Q70" s="76">
        <f t="shared" si="23"/>
        <v>8.0000000000000016E-2</v>
      </c>
      <c r="R70" s="76">
        <f t="shared" si="23"/>
        <v>8.500000000000002E-2</v>
      </c>
      <c r="S70" s="77">
        <f t="shared" si="23"/>
        <v>9.0000000000000024E-2</v>
      </c>
      <c r="W70" s="17" t="s">
        <v>260</v>
      </c>
      <c r="X70" s="37" t="s">
        <v>292</v>
      </c>
      <c r="Y70" s="34" t="s">
        <v>4242</v>
      </c>
      <c r="Z70" s="334">
        <f t="shared" si="22"/>
        <v>46251</v>
      </c>
      <c r="AA70" s="20" cm="1">
        <f t="array" ref="AA70">_xll.SNL.Clients.Office.Excel.Functions.SPG(AA$60,X70,Y70,Z70,"Options:NA=NA")</f>
        <v>17.63</v>
      </c>
      <c r="AC70" s="368">
        <f t="shared" si="19"/>
        <v>43329</v>
      </c>
      <c r="AD70" s="369">
        <f t="shared" si="20"/>
        <v>43694</v>
      </c>
      <c r="AE70" s="370" cm="1">
        <f t="array" ref="AE70">_xll.SNL.Clients.Office.Excel.Functions.SPG($AD$60,"SP_LASTSALEPRICE",AC70)</f>
        <v>2850.131611604063</v>
      </c>
      <c r="AF70" s="370" cm="1">
        <f t="array" ref="AF70">_xll.SNL.Clients.Office.Excel.Functions.SPG($AD$60,"SP_LASTSALEPRICE",AD70)</f>
        <v>2888.677981429888</v>
      </c>
      <c r="AG70" s="375">
        <f t="shared" si="21"/>
        <v>1.3524417493173679E-2</v>
      </c>
      <c r="AJ70" s="497" t="s">
        <v>4880</v>
      </c>
      <c r="AK70" s="392">
        <f t="shared" si="12"/>
        <v>4.4065899999999996</v>
      </c>
      <c r="AL70" s="392" cm="1">
        <f t="array" ref="AL70">IF(AJ70="","",_xll.SNL.Clients.Office.Excel.Functions.SPG(AJ70,"SPT_YTW",$L$15,"Options:NA=NA"))</f>
        <v>4.4065899999999996</v>
      </c>
      <c r="AM70" s="392" cm="1">
        <f t="array" ref="AM70">IF(AJ70="","",_xll.SNL.Clients.Office.Excel.Functions.SPG(AJ70,"SPT_EOD_YTM_MID","EOD Close Price",$L$15,"Options:NA=NA"))</f>
        <v>4.3966700000000003</v>
      </c>
      <c r="AN70" s="3" cm="1">
        <f t="array" ref="AN70">IF(OR(AJ70="",AK70="NA"),"",_xll.SNL.Clients.Office.Excel.Functions.SPG(AJ70,"SPT_ISSUE_DATE"))</f>
        <v>45236</v>
      </c>
      <c r="AO70" s="2">
        <f>IF(OR($AJ70="",$AK70="NA",$AN70=""),"",RANK(AN70,$AN$58:$AN$1057)+COUNTIF($AN$58:AN70,AN70)-1)</f>
        <v>11</v>
      </c>
      <c r="AP70" s="3">
        <f t="shared" si="13"/>
        <v>45236</v>
      </c>
      <c r="AQ70" s="2">
        <f>IF(OR($AJ70="",$AK70="NA",$AP70=""),"",RANK(AP70,$AP$58:$AP$1057)+COUNTIF($AP$58:AP70,AP70)-1)</f>
        <v>11</v>
      </c>
      <c r="AS70" s="26">
        <v>1</v>
      </c>
      <c r="AT70" t="str">
        <f t="shared" ref="AT70:AT74" si="24">IFERROR(IF(INDEX($AJ$58:$AJ$1057,MATCH(AS61,$AO$58:$AO$1057,0))=0,"NA",INDEX($AJ$58:$AJ$1057,MATCH(AS61,$AO$58:$AO$1057,0))),"NA")</f>
        <v>SPS1859817340</v>
      </c>
      <c r="AU70" s="3">
        <f t="shared" ref="AU70:AU74" si="25">IF(AT70="NA","NA",VLOOKUP(AT70,$AJ$58:$AN$1057,5,0))</f>
        <v>45447</v>
      </c>
      <c r="AV70" s="395">
        <f t="shared" ref="AV70:AV74" si="26">IF(AT70="NA","NA",VLOOKUP(AT70,$AJ$58:$AK$1057,2,0))</f>
        <v>4.3649399999999998</v>
      </c>
      <c r="AW70"/>
      <c r="AX70"/>
      <c r="AY70" s="392"/>
      <c r="AZ70" s="3"/>
      <c r="BA70" s="2"/>
      <c r="BB70" s="3"/>
      <c r="BC70" s="2"/>
      <c r="BD70"/>
      <c r="BE70" s="26">
        <v>1</v>
      </c>
      <c r="BF70" t="str">
        <f>IFERROR(IF(INDEX($AX$58:$AX$1057,MATCH(BE61,$BA$58:$BA$1057,0))=0,"NA",INDEX($AX$58:$AX$1057,MATCH(BE61,$BA$58:$BA$1057,0))),"NA")</f>
        <v>NA</v>
      </c>
      <c r="BG70" s="3" t="str">
        <f t="shared" ref="BG70:BG74" si="27">IF(BF70="NA","NA",VLOOKUP(BF70,$AX$58:$AZ$1057,3,0))</f>
        <v>NA</v>
      </c>
      <c r="BH70" s="395" t="str">
        <f t="shared" ref="BH70:BH74" si="28">IF(BF70="NA","NA",VLOOKUP(BF70,$AX$58:$AY$1057,2,0))</f>
        <v>NA</v>
      </c>
      <c r="BJ70" t="str">
        <f t="shared" si="11"/>
        <v>Brazilian Real</v>
      </c>
      <c r="BK70" s="403" t="s">
        <v>73</v>
      </c>
      <c r="BL70" s="404" t="s">
        <v>74</v>
      </c>
      <c r="BM70" s="404" t="s">
        <v>75</v>
      </c>
      <c r="BN70" s="405" t="s">
        <v>30</v>
      </c>
      <c r="BQ70" s="44" t="s">
        <v>4750</v>
      </c>
      <c r="BR70" s="44" t="s">
        <v>4751</v>
      </c>
    </row>
    <row r="71" spans="2:70" ht="10.5" x14ac:dyDescent="0.25">
      <c r="B71" s="7" t="str">
        <f>VLOOKUP("Market Risk Premium (Rm - Rf)",Language_Data,Lookup_Column,FALSE)</f>
        <v>Market Risk Premium (Rm - Rf)</v>
      </c>
      <c r="F71" s="208">
        <f>IFERROR(F53-F51,0)</f>
        <v>9.6432066394845251E-2</v>
      </c>
      <c r="G71" s="249"/>
      <c r="H71" s="249"/>
      <c r="J71" s="78">
        <f>J72-$F$66</f>
        <v>0.35000000000000003</v>
      </c>
      <c r="K71" s="79">
        <f t="dataTable" ref="K71:S77" dt2D="1" dtr="1" r1="F81" r2="F84" ca="1"/>
        <v>0.13146891106883607</v>
      </c>
      <c r="L71" s="79">
        <v>0.13291318956883605</v>
      </c>
      <c r="M71" s="79">
        <v>0.13435746806883606</v>
      </c>
      <c r="N71" s="79">
        <v>0.13580174656883606</v>
      </c>
      <c r="O71" s="79">
        <v>0.13724602506883607</v>
      </c>
      <c r="P71" s="79">
        <v>0.13869030356883605</v>
      </c>
      <c r="Q71" s="79">
        <v>0.14013458206883606</v>
      </c>
      <c r="R71" s="79">
        <v>0.14157886056883606</v>
      </c>
      <c r="S71" s="80">
        <v>0.14302313906883607</v>
      </c>
      <c r="W71" s="17" t="s">
        <v>260</v>
      </c>
      <c r="X71" s="37" t="s">
        <v>292</v>
      </c>
      <c r="Y71" s="34" t="s">
        <v>4243</v>
      </c>
      <c r="Z71" s="334">
        <f t="shared" si="22"/>
        <v>46251</v>
      </c>
      <c r="AA71" s="20" cm="1">
        <f t="array" ref="AA71">_xll.SNL.Clients.Office.Excel.Functions.SPG(AA$60,X71,Y71,Z71,"Options:NA=NA")</f>
        <v>18.231000000000002</v>
      </c>
      <c r="AC71" s="368">
        <f t="shared" si="19"/>
        <v>42964</v>
      </c>
      <c r="AD71" s="369">
        <f t="shared" si="20"/>
        <v>43329</v>
      </c>
      <c r="AE71" s="370" cm="1">
        <f t="array" ref="AE71">_xll.SNL.Clients.Office.Excel.Functions.SPG($AD$60,"SP_LASTSALEPRICE",AC71)</f>
        <v>2430.0078784774742</v>
      </c>
      <c r="AF71" s="370" cm="1">
        <f t="array" ref="AF71">_xll.SNL.Clients.Office.Excel.Functions.SPG($AD$60,"SP_LASTSALEPRICE",AD71)</f>
        <v>2850.131611604063</v>
      </c>
      <c r="AG71" s="375">
        <f t="shared" si="21"/>
        <v>0.17288986461633127</v>
      </c>
      <c r="AJ71" s="497" t="s">
        <v>4884</v>
      </c>
      <c r="AK71" s="392">
        <f t="shared" si="12"/>
        <v>4.4065899999999996</v>
      </c>
      <c r="AL71" s="392" cm="1">
        <f t="array" ref="AL71">IF(AJ71="","",_xll.SNL.Clients.Office.Excel.Functions.SPG(AJ71,"SPT_YTW",$L$15,"Options:NA=NA"))</f>
        <v>4.4065899999999996</v>
      </c>
      <c r="AM71" s="392" cm="1">
        <f t="array" ref="AM71">IF(AJ71="","",_xll.SNL.Clients.Office.Excel.Functions.SPG(AJ71,"SPT_EOD_YTM_MID","EOD Close Price",$L$15,"Options:NA=NA"))</f>
        <v>4.3966700000000003</v>
      </c>
      <c r="AN71" s="3" cm="1">
        <f t="array" ref="AN71">IF(OR(AJ71="",AK71="NA"),"",_xll.SNL.Clients.Office.Excel.Functions.SPG(AJ71,"SPT_ISSUE_DATE"))</f>
        <v>45447</v>
      </c>
      <c r="AO71" s="2">
        <f>IF(OR($AJ71="",$AK71="NA",$AN71=""),"",RANK(AN71,$AN$58:$AN$1057)+COUNTIF($AN$58:AN71,AN71)-1)</f>
        <v>3</v>
      </c>
      <c r="AP71" s="3">
        <f t="shared" si="13"/>
        <v>45447</v>
      </c>
      <c r="AQ71" s="2">
        <f>IF(OR($AJ71="",$AK71="NA",$AP71=""),"",RANK(AP71,$AP$58:$AP$1057)+COUNTIF($AP$58:AP71,AP71)-1)</f>
        <v>3</v>
      </c>
      <c r="AS71" s="26">
        <v>2</v>
      </c>
      <c r="AT71" t="str">
        <f t="shared" si="24"/>
        <v>SPS1859817342</v>
      </c>
      <c r="AU71" s="3">
        <f t="shared" si="25"/>
        <v>45447</v>
      </c>
      <c r="AV71" s="395">
        <f t="shared" si="26"/>
        <v>4.2949400000000004</v>
      </c>
      <c r="AW71"/>
      <c r="AX71"/>
      <c r="AY71" s="392"/>
      <c r="AZ71" s="3"/>
      <c r="BA71" s="2"/>
      <c r="BB71" s="3"/>
      <c r="BC71" s="2"/>
      <c r="BD71"/>
      <c r="BE71" s="26">
        <v>2</v>
      </c>
      <c r="BF71" t="str">
        <f>IFERROR(IF(INDEX($AX$58:$AX$1057,MATCH(BE62,$BA$58:$BA$1057,0))=0,"NA",INDEX($AX$58:$AX$1057,MATCH(BE62,$BA$58:$BA$1057,0))),"NA")</f>
        <v>NA</v>
      </c>
      <c r="BG71" s="3" t="str">
        <f t="shared" si="27"/>
        <v>NA</v>
      </c>
      <c r="BH71" s="395" t="str">
        <f t="shared" si="28"/>
        <v>NA</v>
      </c>
      <c r="BJ71" t="str">
        <f t="shared" si="11"/>
        <v>Bulgarian Lev</v>
      </c>
      <c r="BK71" s="403" t="s">
        <v>76</v>
      </c>
      <c r="BL71" s="404" t="s">
        <v>77</v>
      </c>
      <c r="BM71" s="404" t="s">
        <v>77</v>
      </c>
      <c r="BN71" s="405" t="s">
        <v>30</v>
      </c>
      <c r="BQ71" s="44" t="s">
        <v>4629</v>
      </c>
      <c r="BR71" s="44" t="s">
        <v>4630</v>
      </c>
    </row>
    <row r="72" spans="2:70" ht="10.5" x14ac:dyDescent="0.25">
      <c r="D72" s="2" t="str">
        <f>VLOOKUP("Beta Selection",Language_Data,Lookup_Column,FALSE)&amp;" ►"</f>
        <v>Beta Selection ►</v>
      </c>
      <c r="F72" s="344" t="s">
        <v>2821</v>
      </c>
      <c r="G72" s="208"/>
      <c r="H72" s="208"/>
      <c r="J72" s="78">
        <f>J73-$F$66</f>
        <v>0.4</v>
      </c>
      <c r="K72" s="79">
        <v>0.1245301563712333</v>
      </c>
      <c r="L72" s="79">
        <v>0.1261807603712333</v>
      </c>
      <c r="M72" s="79">
        <v>0.1278313643712333</v>
      </c>
      <c r="N72" s="79">
        <v>0.1294819683712333</v>
      </c>
      <c r="O72" s="79">
        <v>0.1311325723712333</v>
      </c>
      <c r="P72" s="79">
        <v>0.1327831763712333</v>
      </c>
      <c r="Q72" s="79">
        <v>0.1344337803712333</v>
      </c>
      <c r="R72" s="79">
        <v>0.1360843843712333</v>
      </c>
      <c r="S72" s="80">
        <v>0.1377349883712333</v>
      </c>
      <c r="W72" s="17" t="s">
        <v>260</v>
      </c>
      <c r="X72" s="37" t="s">
        <v>292</v>
      </c>
      <c r="Y72" s="34" t="s">
        <v>4244</v>
      </c>
      <c r="Z72" s="334">
        <f t="shared" si="22"/>
        <v>46251</v>
      </c>
      <c r="AA72" s="20" cm="1">
        <f t="array" ref="AA72">_xll.SNL.Clients.Office.Excel.Functions.SPG(AA$60,X72,Y72,Z72,"Options:NA=NA")</f>
        <v>18.978999999999999</v>
      </c>
      <c r="AC72" s="371">
        <f t="shared" si="19"/>
        <v>42599</v>
      </c>
      <c r="AD72" s="372">
        <f t="shared" si="20"/>
        <v>42964</v>
      </c>
      <c r="AE72" s="373" cm="1">
        <f t="array" ref="AE72">_xll.SNL.Clients.Office.Excel.Functions.SPG($AD$60,"SP_LASTSALEPRICE",AC72)</f>
        <v>2182.2188888493215</v>
      </c>
      <c r="AF72" s="373" cm="1">
        <f t="array" ref="AF72">_xll.SNL.Clients.Office.Excel.Functions.SPG($AD$60,"SP_LASTSALEPRICE",AD72)</f>
        <v>2430.0078784774742</v>
      </c>
      <c r="AG72" s="376">
        <f t="shared" si="21"/>
        <v>0.11354909944841096</v>
      </c>
      <c r="AJ72" s="497" t="s">
        <v>4881</v>
      </c>
      <c r="AK72" s="392">
        <f t="shared" si="12"/>
        <v>4.4065899999999996</v>
      </c>
      <c r="AL72" s="392" cm="1">
        <f t="array" ref="AL72">IF(AJ72="","",_xll.SNL.Clients.Office.Excel.Functions.SPG(AJ72,"SPT_YTW",$L$15,"Options:NA=NA"))</f>
        <v>4.4065899999999996</v>
      </c>
      <c r="AM72" s="392" cm="1">
        <f t="array" ref="AM72">IF(AJ72="","",_xll.SNL.Clients.Office.Excel.Functions.SPG(AJ72,"SPT_EOD_YTM_MID","EOD Close Price",$L$15,"Options:NA=NA"))</f>
        <v>4.3966700000000003</v>
      </c>
      <c r="AN72" s="3" cm="1">
        <f t="array" ref="AN72">IF(OR(AJ72="",AK72="NA"),"",_xll.SNL.Clients.Office.Excel.Functions.SPG(AJ72,"SPT_ISSUE_DATE"))</f>
        <v>45236</v>
      </c>
      <c r="AO72" s="2">
        <f>IF(OR($AJ72="",$AK72="NA",$AN72=""),"",RANK(AN72,$AN$58:$AN$1057)+COUNTIF($AN$58:AN72,AN72)-1)</f>
        <v>12</v>
      </c>
      <c r="AP72" s="3">
        <f t="shared" si="13"/>
        <v>45236</v>
      </c>
      <c r="AQ72" s="2">
        <f>IF(OR($AJ72="",$AK72="NA",$AP72=""),"",RANK(AP72,$AP$58:$AP$1057)+COUNTIF($AP$58:AP72,AP72)-1)</f>
        <v>12</v>
      </c>
      <c r="AS72" s="26">
        <v>3</v>
      </c>
      <c r="AT72" t="str">
        <f t="shared" si="24"/>
        <v>SPS1859817344</v>
      </c>
      <c r="AU72" s="3">
        <f t="shared" si="25"/>
        <v>45447</v>
      </c>
      <c r="AV72" s="395">
        <f t="shared" si="26"/>
        <v>4.4065899999999996</v>
      </c>
      <c r="AW72"/>
      <c r="AX72"/>
      <c r="AY72" s="392"/>
      <c r="AZ72" s="3"/>
      <c r="BA72" s="2"/>
      <c r="BB72" s="3"/>
      <c r="BC72" s="2"/>
      <c r="BD72"/>
      <c r="BE72" s="26">
        <v>3</v>
      </c>
      <c r="BF72" t="str">
        <f>IFERROR(IF(INDEX($AX$58:$AX$1057,MATCH(BE63,$BA$58:$BA$1057,0))=0,"NA",INDEX($AX$58:$AX$1057,MATCH(BE63,$BA$58:$BA$1057,0))),"NA")</f>
        <v>NA</v>
      </c>
      <c r="BG72" s="3" t="str">
        <f t="shared" si="27"/>
        <v>NA</v>
      </c>
      <c r="BH72" s="395" t="str">
        <f t="shared" si="28"/>
        <v>NA</v>
      </c>
      <c r="BJ72" t="str">
        <f t="shared" si="11"/>
        <v>Cambodian Riel</v>
      </c>
      <c r="BK72" s="403" t="s">
        <v>78</v>
      </c>
      <c r="BL72" s="404" t="s">
        <v>79</v>
      </c>
      <c r="BM72" s="404" t="s">
        <v>80</v>
      </c>
      <c r="BN72" s="405" t="s">
        <v>40</v>
      </c>
      <c r="BQ72" s="44" t="s">
        <v>387</v>
      </c>
      <c r="BR72" s="44" t="s">
        <v>4631</v>
      </c>
    </row>
    <row r="73" spans="2:70" ht="10.5" x14ac:dyDescent="0.25">
      <c r="B73" s="7" t="str">
        <f>VLOOKUP("Multiplied by: ",Language_Data,Lookup_Column,FALSE)&amp;TEXT(AA75,"TTTTTT")&amp;IF(F72="Bottom-Up Beta",VLOOKUP(" Bottom-Up Beta",Language_Data,Lookup_Column,FALSE),VLOOKUP(" Regression Beta",Language_Data,Lookup_Column,FALSE))</f>
        <v>Multiplied by: MSFT-US Bottom-Up Beta</v>
      </c>
      <c r="F73" s="4">
        <f>IF(Z34=1,Z35,$Z$36)</f>
        <v>1.4128100645921466</v>
      </c>
      <c r="G73" s="4"/>
      <c r="H73" s="4"/>
      <c r="J73" s="78">
        <f>J74-$F$66</f>
        <v>0.45</v>
      </c>
      <c r="K73" s="79">
        <v>0.11759140167363054</v>
      </c>
      <c r="L73" s="79">
        <v>0.11944833117363055</v>
      </c>
      <c r="M73" s="79">
        <v>0.12130526067363054</v>
      </c>
      <c r="N73" s="79">
        <v>0.12316219017363053</v>
      </c>
      <c r="O73" s="79">
        <v>0.12501911967363055</v>
      </c>
      <c r="P73" s="79">
        <v>0.12687604917363055</v>
      </c>
      <c r="Q73" s="79">
        <v>0.12873297867363054</v>
      </c>
      <c r="R73" s="79">
        <v>0.13058990817363053</v>
      </c>
      <c r="S73" s="80">
        <v>0.13244683767363055</v>
      </c>
      <c r="W73" s="17" t="s">
        <v>260</v>
      </c>
      <c r="X73" s="37" t="s">
        <v>292</v>
      </c>
      <c r="Y73" s="34" t="s">
        <v>4245</v>
      </c>
      <c r="Z73" s="334">
        <f t="shared" si="22"/>
        <v>46251</v>
      </c>
      <c r="AA73" s="20" cm="1">
        <f t="array" ref="AA73">_xll.SNL.Clients.Office.Excel.Functions.SPG(AA$60,X73,Y73,Z73,"Options:NA=NA")</f>
        <v>13.113</v>
      </c>
      <c r="AJ73" s="497" t="s">
        <v>4883</v>
      </c>
      <c r="AK73" s="392">
        <f t="shared" si="12"/>
        <v>4.4065899999999996</v>
      </c>
      <c r="AL73" s="392" cm="1">
        <f t="array" ref="AL73">IF(AJ73="","",_xll.SNL.Clients.Office.Excel.Functions.SPG(AJ73,"SPT_YTW",$L$15,"Options:NA=NA"))</f>
        <v>4.4065899999999996</v>
      </c>
      <c r="AM73" s="392" cm="1">
        <f t="array" ref="AM73">IF(AJ73="","",_xll.SNL.Clients.Office.Excel.Functions.SPG(AJ73,"SPT_EOD_YTM_MID","EOD Close Price",$L$15,"Options:NA=NA"))</f>
        <v>4.3966700000000003</v>
      </c>
      <c r="AN73" s="3" cm="1">
        <f t="array" ref="AN73">IF(OR(AJ73="",AK73="NA"),"",_xll.SNL.Clients.Office.Excel.Functions.SPG(AJ73,"SPT_ISSUE_DATE"))</f>
        <v>45236</v>
      </c>
      <c r="AO73" s="2">
        <f>IF(OR($AJ73="",$AK73="NA",$AN73=""),"",RANK(AN73,$AN$58:$AN$1057)+COUNTIF($AN$58:AN73,AN73)-1)</f>
        <v>13</v>
      </c>
      <c r="AP73" s="3">
        <f t="shared" si="13"/>
        <v>45236</v>
      </c>
      <c r="AQ73" s="2">
        <f>IF(OR($AJ73="",$AK73="NA",$AP73=""),"",RANK(AP73,$AP$58:$AP$1057)+COUNTIF($AP$58:AP73,AP73)-1)</f>
        <v>13</v>
      </c>
      <c r="AS73" s="26">
        <v>4</v>
      </c>
      <c r="AT73" t="str">
        <f t="shared" si="24"/>
        <v>SPS1859817346</v>
      </c>
      <c r="AU73" s="3">
        <f t="shared" si="25"/>
        <v>45447</v>
      </c>
      <c r="AV73" s="395">
        <f t="shared" si="26"/>
        <v>5.9602199999999996</v>
      </c>
      <c r="AW73"/>
      <c r="AX73"/>
      <c r="AY73" s="392"/>
      <c r="AZ73" s="3"/>
      <c r="BA73" s="2"/>
      <c r="BB73" s="3"/>
      <c r="BC73" s="2"/>
      <c r="BD73"/>
      <c r="BE73" s="26">
        <v>4</v>
      </c>
      <c r="BF73" t="str">
        <f>IFERROR(IF(INDEX($AX$58:$AX$1057,MATCH(BE64,$BA$58:$BA$1057,0))=0,"NA",INDEX($AX$58:$AX$1057,MATCH(BE64,$BA$58:$BA$1057,0))),"NA")</f>
        <v>NA</v>
      </c>
      <c r="BG73" s="3" t="str">
        <f t="shared" si="27"/>
        <v>NA</v>
      </c>
      <c r="BH73" s="395" t="str">
        <f t="shared" si="28"/>
        <v>NA</v>
      </c>
      <c r="BJ73" t="str">
        <f t="shared" si="11"/>
        <v>Canadian Dollar</v>
      </c>
      <c r="BK73" s="403" t="s">
        <v>81</v>
      </c>
      <c r="BL73" s="404" t="s">
        <v>82</v>
      </c>
      <c r="BM73" s="404" t="s">
        <v>83</v>
      </c>
      <c r="BN73" s="405" t="s">
        <v>30</v>
      </c>
      <c r="BQ73" s="44" t="s">
        <v>376</v>
      </c>
      <c r="BR73" s="44" t="s">
        <v>4632</v>
      </c>
    </row>
    <row r="74" spans="2:70" ht="10.5" x14ac:dyDescent="0.25">
      <c r="B74" s="7" t="str">
        <f>VLOOKUP("Adjusted Market Risk Premium",Language_Data,Lookup_Column,FALSE)</f>
        <v>Adjusted Market Risk Premium</v>
      </c>
      <c r="F74" s="108">
        <f>IFERROR(F73*F71,0)</f>
        <v>0.1362401939520555</v>
      </c>
      <c r="G74" s="108"/>
      <c r="H74" s="108"/>
      <c r="J74" s="102">
        <v>0.5</v>
      </c>
      <c r="K74" s="79">
        <v>0.11065264697602775</v>
      </c>
      <c r="L74" s="79">
        <v>0.11271590197602775</v>
      </c>
      <c r="M74" s="79">
        <v>0.11477915697602775</v>
      </c>
      <c r="N74" s="79">
        <v>0.11684241197602775</v>
      </c>
      <c r="O74" s="79">
        <v>0.11890566697602775</v>
      </c>
      <c r="P74" s="79">
        <v>0.12096892197602775</v>
      </c>
      <c r="Q74" s="79">
        <v>0.12303217697602775</v>
      </c>
      <c r="R74" s="79">
        <v>0.12509543197602777</v>
      </c>
      <c r="S74" s="80">
        <v>0.12715868697602775</v>
      </c>
      <c r="W74" s="17" t="s">
        <v>259</v>
      </c>
      <c r="X74" s="37" t="s">
        <v>296</v>
      </c>
      <c r="Y74" s="34" t="s">
        <v>4241</v>
      </c>
      <c r="Z74" s="334">
        <f t="shared" si="22"/>
        <v>46251</v>
      </c>
      <c r="AA74" s="20" t="str" cm="1">
        <f t="array" ref="AA74">_xll.SNL.Clients.Office.Excel.Functions.SPG(AA$60,X74,Y74,Z74,"Options:NA=NA")</f>
        <v>USD</v>
      </c>
      <c r="AJ74" s="497" t="s">
        <v>5496</v>
      </c>
      <c r="AK74" s="392" t="str">
        <f t="shared" si="12"/>
        <v>NA</v>
      </c>
      <c r="AL74" s="392" t="str" cm="1">
        <f t="array" ref="AL74">IF(AJ74="","",_xll.SNL.Clients.Office.Excel.Functions.SPG(AJ74,"SPT_YTW",$L$15,"Options:NA=NA"))</f>
        <v>NA</v>
      </c>
      <c r="AM74" s="392" t="str" cm="1">
        <f t="array" ref="AM74">IF(AJ74="","",_xll.SNL.Clients.Office.Excel.Functions.SPG(AJ74,"SPT_EOD_YTM_MID","EOD Close Price",$L$15,"Options:NA=NA"))</f>
        <v>NA</v>
      </c>
      <c r="AN74" s="3" t="str" cm="1">
        <f t="array" ref="AN74">IF(OR(AJ74="",AK74="NA"),"",_xll.SNL.Clients.Office.Excel.Functions.SPG(AJ74,"SPT_ISSUE_DATE"))</f>
        <v/>
      </c>
      <c r="AO74" s="2" t="str">
        <f>IF(OR($AJ74="",$AK74="NA",$AN74=""),"",RANK(AN74,$AN$58:$AN$1057)+COUNTIF($AN$58:AN74,AN74)-1)</f>
        <v/>
      </c>
      <c r="AP74" s="3" t="str">
        <f t="shared" si="13"/>
        <v/>
      </c>
      <c r="AQ74" s="2" t="str">
        <f>IF(OR($AJ74="",$AK74="NA",$AP74=""),"",RANK(AP74,$AP$58:$AP$1057)+COUNTIF($AP$58:AP74,AP74)-1)</f>
        <v/>
      </c>
      <c r="AS74" s="14">
        <v>5</v>
      </c>
      <c r="AT74" s="15" t="str">
        <f t="shared" si="24"/>
        <v>SPS1859817348</v>
      </c>
      <c r="AU74" s="396">
        <f t="shared" si="25"/>
        <v>45447</v>
      </c>
      <c r="AV74" s="397">
        <f t="shared" si="26"/>
        <v>6.0724600000000004</v>
      </c>
      <c r="AW74"/>
      <c r="AX74"/>
      <c r="AY74" s="392"/>
      <c r="AZ74" s="3"/>
      <c r="BA74" s="2"/>
      <c r="BB74" s="3"/>
      <c r="BC74" s="2"/>
      <c r="BD74"/>
      <c r="BE74" s="14">
        <v>5</v>
      </c>
      <c r="BF74" s="15" t="str">
        <f>IFERROR(IF(INDEX($AX$58:$AX$1057,MATCH(BE65,$BA$58:$BA$1057,0))=0,"NA",INDEX($AX$58:$AX$1057,MATCH(BE65,$BA$58:$BA$1057,0))),"NA")</f>
        <v>NA</v>
      </c>
      <c r="BG74" s="396" t="str">
        <f t="shared" si="27"/>
        <v>NA</v>
      </c>
      <c r="BH74" s="397" t="str">
        <f t="shared" si="28"/>
        <v>NA</v>
      </c>
      <c r="BJ74" t="str">
        <f t="shared" si="11"/>
        <v>Chilean Peso</v>
      </c>
      <c r="BK74" s="403" t="s">
        <v>84</v>
      </c>
      <c r="BL74" s="404" t="s">
        <v>85</v>
      </c>
      <c r="BM74" s="404" t="s">
        <v>86</v>
      </c>
      <c r="BN74" s="405" t="s">
        <v>40</v>
      </c>
      <c r="BQ74" s="44" t="s">
        <v>385</v>
      </c>
      <c r="BR74" s="44" t="s">
        <v>4633</v>
      </c>
    </row>
    <row r="75" spans="2:70" ht="10.5" x14ac:dyDescent="0.25">
      <c r="B75" s="7" t="str">
        <f>VLOOKUP("Add: Risk-Free Rate of Return (Rf)(1)",Language_Data,Lookup_Column,FALSE)</f>
        <v>Add: Risk-Free Rate of Return (Rf)(1)</v>
      </c>
      <c r="F75" s="108">
        <f>F51</f>
        <v>4.3799999999999999E-2</v>
      </c>
      <c r="G75" s="108"/>
      <c r="H75" s="108"/>
      <c r="J75" s="78">
        <f>J74+$F$66</f>
        <v>0.55000000000000004</v>
      </c>
      <c r="K75" s="79">
        <v>0.10371389227842497</v>
      </c>
      <c r="L75" s="79">
        <v>0.10598347277842497</v>
      </c>
      <c r="M75" s="79">
        <v>0.10825305327842497</v>
      </c>
      <c r="N75" s="79">
        <v>0.11052263377842497</v>
      </c>
      <c r="O75" s="79">
        <v>0.11279221427842498</v>
      </c>
      <c r="P75" s="79">
        <v>0.11506179477842497</v>
      </c>
      <c r="Q75" s="79">
        <v>0.11733137527842498</v>
      </c>
      <c r="R75" s="79">
        <v>0.11960095577842497</v>
      </c>
      <c r="S75" s="80">
        <v>0.12187053627842498</v>
      </c>
      <c r="W75" s="17" t="s">
        <v>272</v>
      </c>
      <c r="X75" s="37" t="s">
        <v>293</v>
      </c>
      <c r="Y75" s="34"/>
      <c r="Z75" s="39"/>
      <c r="AA75" s="20" t="str" cm="1">
        <f t="array" ref="AA75">_xll.SNL.Clients.Office.Excel.Functions.SPG(AA$60,X75)</f>
        <v>MSFT-US</v>
      </c>
      <c r="AF75" s="5">
        <f>L15</f>
        <v>46251</v>
      </c>
      <c r="AG75" s="5">
        <f>AF75-1</f>
        <v>46250</v>
      </c>
      <c r="AH75" s="5">
        <f>AG75-1</f>
        <v>46249</v>
      </c>
      <c r="AJ75" s="497" t="s">
        <v>5495</v>
      </c>
      <c r="AK75" s="392" t="str">
        <f t="shared" si="12"/>
        <v>NA</v>
      </c>
      <c r="AL75" s="392" t="str" cm="1">
        <f t="array" ref="AL75">IF(AJ75="","",_xll.SNL.Clients.Office.Excel.Functions.SPG(AJ75,"SPT_YTW",$L$15,"Options:NA=NA"))</f>
        <v>NA</v>
      </c>
      <c r="AM75" s="392" t="str" cm="1">
        <f t="array" ref="AM75">IF(AJ75="","",_xll.SNL.Clients.Office.Excel.Functions.SPG(AJ75,"SPT_EOD_YTM_MID","EOD Close Price",$L$15,"Options:NA=NA"))</f>
        <v>NA</v>
      </c>
      <c r="AN75" s="3" t="str" cm="1">
        <f t="array" ref="AN75">IF(OR(AJ75="",AK75="NA"),"",_xll.SNL.Clients.Office.Excel.Functions.SPG(AJ75,"SPT_ISSUE_DATE"))</f>
        <v/>
      </c>
      <c r="AO75" s="2" t="str">
        <f>IF(OR($AJ75="",$AK75="NA",$AN75=""),"",RANK(AN75,$AN$58:$AN$1057)+COUNTIF($AN$58:AN75,AN75)-1)</f>
        <v/>
      </c>
      <c r="AP75" s="3" t="str">
        <f t="shared" si="13"/>
        <v/>
      </c>
      <c r="AQ75" s="2" t="str">
        <f>IF(OR($AJ75="",$AK75="NA",$AP75=""),"",RANK(AP75,$AP$58:$AP$1057)+COUNTIF($AP$58:AP75,AP75)-1)</f>
        <v/>
      </c>
      <c r="AU75"/>
      <c r="AV75"/>
      <c r="AW75"/>
      <c r="AX75"/>
      <c r="AY75" s="392"/>
      <c r="AZ75" s="3"/>
      <c r="BA75" s="2"/>
      <c r="BB75" s="3"/>
      <c r="BC75" s="2"/>
      <c r="BD75"/>
      <c r="BE75"/>
      <c r="BF75"/>
      <c r="BG75"/>
      <c r="BH75"/>
      <c r="BJ75" t="str">
        <f t="shared" si="11"/>
        <v>Chinese Yuan Renminbi</v>
      </c>
      <c r="BK75" s="403" t="s">
        <v>87</v>
      </c>
      <c r="BL75" s="404" t="s">
        <v>88</v>
      </c>
      <c r="BM75" s="404" t="s">
        <v>89</v>
      </c>
      <c r="BN75" s="405" t="s">
        <v>30</v>
      </c>
      <c r="BQ75" s="44" t="s">
        <v>324</v>
      </c>
      <c r="BR75" s="44" t="s">
        <v>4634</v>
      </c>
    </row>
    <row r="76" spans="2:70" ht="10.5" x14ac:dyDescent="0.25">
      <c r="B76" s="7" t="str">
        <f>VLOOKUP("Add: Size Premium",Language_Data,Lookup_Column,FALSE)</f>
        <v>Add: Size Premium</v>
      </c>
      <c r="F76" s="108">
        <f>F58</f>
        <v>0</v>
      </c>
      <c r="G76" s="108"/>
      <c r="H76" s="108"/>
      <c r="J76" s="78">
        <f>J75+$F$66</f>
        <v>0.60000000000000009</v>
      </c>
      <c r="K76" s="79">
        <v>9.6775137580822179E-2</v>
      </c>
      <c r="L76" s="79">
        <v>9.9251043580822179E-2</v>
      </c>
      <c r="M76" s="79">
        <v>0.10172694958082218</v>
      </c>
      <c r="N76" s="79">
        <v>0.10420285558082218</v>
      </c>
      <c r="O76" s="79">
        <v>0.10667876158082218</v>
      </c>
      <c r="P76" s="79">
        <v>0.10915466758082218</v>
      </c>
      <c r="Q76" s="79">
        <v>0.11163057358082219</v>
      </c>
      <c r="R76" s="79">
        <v>0.11410647958082219</v>
      </c>
      <c r="S76" s="80">
        <v>0.11658238558082219</v>
      </c>
      <c r="W76" s="17" t="s">
        <v>274</v>
      </c>
      <c r="X76" s="37" t="s">
        <v>294</v>
      </c>
      <c r="Y76" s="34"/>
      <c r="Z76" s="39"/>
      <c r="AA76" s="20" t="str" cm="1">
        <f t="array" ref="AA76">_xll.SNL.Clients.Office.Excel.Functions.SPG(AA$60,X76)</f>
        <v>Microsoft Corporation (NASDAQGS:MSFT)</v>
      </c>
      <c r="AC76" s="23" t="s">
        <v>4445</v>
      </c>
      <c r="AD76" s="377">
        <f t="shared" ref="AD76:AD139" si="29">IF(AF76&lt;&gt;"NA",AF76,IF(AG76&lt;&gt;"NA",AG76,AH76))</f>
        <v>4.6139999999999999</v>
      </c>
      <c r="AE76" s="361" t="s">
        <v>4446</v>
      </c>
      <c r="AF76" s="378" cm="1">
        <f t="array" ref="AF76">_xll.SNL.Clients.Office.Excel.Functions.SPG($AE76, "SP_RATE_VALUE",AF$75,"Options:NA=NA")</f>
        <v>4.6139999999999999</v>
      </c>
      <c r="AG76" s="378" t="str" cm="1">
        <f t="array" ref="AG76">_xll.SNL.Clients.Office.Excel.Functions.SPG($AE76, "SP_RATE_VALUE",AG$75,"Options:NA=NA")</f>
        <v>NA</v>
      </c>
      <c r="AH76" s="379" t="str" cm="1">
        <f t="array" ref="AH76">_xll.SNL.Clients.Office.Excel.Functions.SPG($AE76, "SP_RATE_VALUE",AH$75,"Options:NA=NA")</f>
        <v>NA</v>
      </c>
      <c r="AJ76" s="497" t="s">
        <v>4885</v>
      </c>
      <c r="AK76" s="392">
        <f t="shared" si="12"/>
        <v>3.38096</v>
      </c>
      <c r="AL76" s="392" cm="1">
        <f t="array" ref="AL76">IF(AJ76="","",_xll.SNL.Clients.Office.Excel.Functions.SPG(AJ76,"SPT_YTW",$L$15,"Options:NA=NA"))</f>
        <v>3.38096</v>
      </c>
      <c r="AM76" s="392" cm="1">
        <f t="array" ref="AM76">IF(AJ76="","",_xll.SNL.Clients.Office.Excel.Functions.SPG(AJ76,"SPT_EOD_YTM_MID","EOD Close Price",$L$15,"Options:NA=NA"))</f>
        <v>3.3449800000000001</v>
      </c>
      <c r="AN76" s="3" cm="1">
        <f t="array" ref="AN76">IF(OR(AJ76="",AK76="NA"),"",_xll.SNL.Clients.Office.Excel.Functions.SPG(AJ76,"SPT_ISSUE_DATE"))</f>
        <v>41396</v>
      </c>
      <c r="AO76" s="2">
        <f>IF(OR($AJ76="",$AK76="NA",$AN76=""),"",RANK(AN76,$AN$58:$AN$1057)+COUNTIF($AN$58:AN76,AN76)-1)</f>
        <v>43</v>
      </c>
      <c r="AP76" s="3">
        <f t="shared" si="13"/>
        <v>41396</v>
      </c>
      <c r="AQ76" s="2">
        <f>IF(OR($AJ76="",$AK76="NA",$AP76=""),"",RANK(AP76,$AP$58:$AP$1057)+COUNTIF($AP$58:AP76,AP76)-1)</f>
        <v>43</v>
      </c>
      <c r="AU76"/>
      <c r="AV76"/>
      <c r="AW76"/>
      <c r="AX76"/>
      <c r="AY76" s="392"/>
      <c r="AZ76" s="3"/>
      <c r="BA76" s="2"/>
      <c r="BB76" s="3"/>
      <c r="BC76" s="2"/>
      <c r="BD76"/>
      <c r="BE76"/>
      <c r="BF76"/>
      <c r="BG76"/>
      <c r="BH76"/>
      <c r="BJ76" t="str">
        <f t="shared" si="11"/>
        <v>Colombian Peso</v>
      </c>
      <c r="BK76" s="403" t="s">
        <v>90</v>
      </c>
      <c r="BL76" s="404" t="s">
        <v>91</v>
      </c>
      <c r="BM76" s="404" t="s">
        <v>92</v>
      </c>
      <c r="BN76" s="405" t="s">
        <v>40</v>
      </c>
      <c r="BQ76" s="44" t="s">
        <v>331</v>
      </c>
      <c r="BR76" s="44" t="s">
        <v>4635</v>
      </c>
    </row>
    <row r="77" spans="2:70" ht="10.5" x14ac:dyDescent="0.25">
      <c r="B77" s="8" t="str">
        <f>VLOOKUP("Cost of Equity",Language_Data,Lookup_Column,FALSE)</f>
        <v>Cost of Equity</v>
      </c>
      <c r="F77" s="108">
        <f>SUM(F74,F75,F76)</f>
        <v>0.18004019395205551</v>
      </c>
      <c r="G77" s="108"/>
      <c r="H77" s="108"/>
      <c r="J77" s="78">
        <f>J76+$F$66</f>
        <v>0.65000000000000013</v>
      </c>
      <c r="K77" s="79">
        <v>8.9836382883219407E-2</v>
      </c>
      <c r="L77" s="79">
        <v>9.2518614383219414E-2</v>
      </c>
      <c r="M77" s="79">
        <v>9.520084588321942E-2</v>
      </c>
      <c r="N77" s="79">
        <v>9.7883077383219413E-2</v>
      </c>
      <c r="O77" s="79">
        <v>0.10056530888321942</v>
      </c>
      <c r="P77" s="79">
        <v>0.10324754038321943</v>
      </c>
      <c r="Q77" s="79">
        <v>0.10592977188321942</v>
      </c>
      <c r="R77" s="79">
        <v>0.10861200338321943</v>
      </c>
      <c r="S77" s="80">
        <v>0.11129423488321943</v>
      </c>
      <c r="W77" s="44" t="s">
        <v>275</v>
      </c>
      <c r="X77" s="37" t="s">
        <v>295</v>
      </c>
      <c r="Y77" s="34"/>
      <c r="Z77" s="39"/>
      <c r="AA77" s="266" cm="1">
        <f t="array" ref="AA77">_xll.SNL.Clients.Office.Excel.Functions.SPG(AA$60,X77)</f>
        <v>4004214</v>
      </c>
      <c r="AC77" s="26" t="s">
        <v>4447</v>
      </c>
      <c r="AD77" s="380">
        <f t="shared" si="29"/>
        <v>3.036</v>
      </c>
      <c r="AE77" s="381" t="s">
        <v>4448</v>
      </c>
      <c r="AF77" s="382" cm="1">
        <f t="array" ref="AF77">_xll.SNL.Clients.Office.Excel.Functions.SPG($AE77, "SP_RATE_VALUE",AF$75,"Options:NA=NA")</f>
        <v>3.036</v>
      </c>
      <c r="AG77" s="382" t="str" cm="1">
        <f t="array" ref="AG77">_xll.SNL.Clients.Office.Excel.Functions.SPG($AE77, "SP_RATE_VALUE",AG$75,"Options:NA=NA")</f>
        <v>NA</v>
      </c>
      <c r="AH77" s="383" t="str" cm="1">
        <f t="array" ref="AH77">_xll.SNL.Clients.Office.Excel.Functions.SPG($AE77, "SP_RATE_VALUE",AH$75,"Options:NA=NA")</f>
        <v>NA</v>
      </c>
      <c r="AJ77" s="497" t="s">
        <v>4886</v>
      </c>
      <c r="AK77" s="392">
        <f t="shared" si="12"/>
        <v>4.9413400000000003</v>
      </c>
      <c r="AL77" s="392" cm="1">
        <f t="array" ref="AL77">IF(AJ77="","",_xll.SNL.Clients.Office.Excel.Functions.SPG(AJ77,"SPT_YTW",$L$15,"Options:NA=NA"))</f>
        <v>4.9413400000000003</v>
      </c>
      <c r="AM77" s="392" cm="1">
        <f t="array" ref="AM77">IF(AJ77="","",_xll.SNL.Clients.Office.Excel.Functions.SPG(AJ77,"SPT_EOD_YTM_MID","EOD Close Price",$L$15,"Options:NA=NA"))</f>
        <v>4.9322999999999997</v>
      </c>
      <c r="AN77" s="3" cm="1">
        <f t="array" ref="AN77">IF(OR(AJ77="",AK77="NA"),"",_xll.SNL.Clients.Office.Excel.Functions.SPG(AJ77,"SPT_ISSUE_DATE"))</f>
        <v>42047</v>
      </c>
      <c r="AO77" s="2">
        <f>IF(OR($AJ77="",$AK77="NA",$AN77=""),"",RANK(AN77,$AN$58:$AN$1057)+COUNTIF($AN$58:AN77,AN77)-1)</f>
        <v>38</v>
      </c>
      <c r="AP77" s="3">
        <f t="shared" si="13"/>
        <v>42047</v>
      </c>
      <c r="AQ77" s="2">
        <f>IF(OR($AJ77="",$AK77="NA",$AP77=""),"",RANK(AP77,$AP$58:$AP$1057)+COUNTIF($AP$58:AP77,AP77)-1)</f>
        <v>38</v>
      </c>
      <c r="AU77"/>
      <c r="AV77"/>
      <c r="AW77"/>
      <c r="AX77"/>
      <c r="AY77" s="392"/>
      <c r="AZ77" s="3"/>
      <c r="BA77" s="2"/>
      <c r="BB77" s="3"/>
      <c r="BC77" s="2"/>
      <c r="BD77"/>
      <c r="BE77"/>
      <c r="BF77"/>
      <c r="BG77"/>
      <c r="BH77"/>
      <c r="BJ77" t="str">
        <f t="shared" si="11"/>
        <v>Costa Rican Colon</v>
      </c>
      <c r="BK77" s="403" t="s">
        <v>93</v>
      </c>
      <c r="BL77" s="404" t="s">
        <v>94</v>
      </c>
      <c r="BM77" s="404" t="s">
        <v>95</v>
      </c>
      <c r="BN77" s="405" t="s">
        <v>30</v>
      </c>
      <c r="BQ77" s="44" t="s">
        <v>358</v>
      </c>
      <c r="BR77" s="44" t="s">
        <v>4636</v>
      </c>
    </row>
    <row r="78" spans="2:70" x14ac:dyDescent="0.2">
      <c r="B78" s="7" t="str">
        <f>VLOOKUP("Multiplied by: ",Language_Data,Lookup_Column,FALSE)&amp;AA75&amp;" - "&amp;VLOOKUP("E/(D+P+E)",Language_Data,Lookup_Column,FALSE)</f>
        <v>Multiplied by: MSFT-US - E/(D+P+E)</v>
      </c>
      <c r="F78" s="107">
        <f>IFERROR(1-F84-F88,"NA")</f>
        <v>0.965144921390101</v>
      </c>
      <c r="G78" s="251"/>
      <c r="H78" s="251"/>
      <c r="I78" s="209"/>
      <c r="J78" s="81"/>
      <c r="K78" s="69"/>
      <c r="L78" s="69"/>
      <c r="M78" s="69"/>
      <c r="N78" s="82"/>
      <c r="O78" s="69"/>
      <c r="P78" s="69"/>
      <c r="Q78" s="69"/>
      <c r="R78" s="69"/>
      <c r="S78" s="83"/>
      <c r="W78" s="44" t="s">
        <v>520</v>
      </c>
      <c r="X78" s="37" t="s">
        <v>519</v>
      </c>
      <c r="AA78" s="44" t="str" cm="1">
        <f t="array" ref="AA78">_xll.SNL.Clients.Office.Excel.Functions.SPG(AA$60,X78)</f>
        <v>Microsoft Corp.</v>
      </c>
      <c r="AC78" s="26" t="s">
        <v>4449</v>
      </c>
      <c r="AD78" s="380">
        <f t="shared" si="29"/>
        <v>3.2229999999999999</v>
      </c>
      <c r="AE78" s="381" t="s">
        <v>4450</v>
      </c>
      <c r="AF78" s="382" cm="1">
        <f t="array" ref="AF78">_xll.SNL.Clients.Office.Excel.Functions.SPG($AE78, "SP_RATE_VALUE",AF$75,"Options:NA=NA")</f>
        <v>3.2229999999999999</v>
      </c>
      <c r="AG78" s="382" t="str" cm="1">
        <f t="array" ref="AG78">_xll.SNL.Clients.Office.Excel.Functions.SPG($AE78, "SP_RATE_VALUE",AG$75,"Options:NA=NA")</f>
        <v>NA</v>
      </c>
      <c r="AH78" s="383" t="str" cm="1">
        <f t="array" ref="AH78">_xll.SNL.Clients.Office.Excel.Functions.SPG($AE78, "SP_RATE_VALUE",AH$75,"Options:NA=NA")</f>
        <v>NA</v>
      </c>
      <c r="AJ78" s="497" t="s">
        <v>4887</v>
      </c>
      <c r="AK78" s="392">
        <f t="shared" si="12"/>
        <v>4.9794999999999998</v>
      </c>
      <c r="AL78" s="392" cm="1">
        <f t="array" ref="AL78">IF(AJ78="","",_xll.SNL.Clients.Office.Excel.Functions.SPG(AJ78,"SPT_YTW",$L$15,"Options:NA=NA"))</f>
        <v>4.9794999999999998</v>
      </c>
      <c r="AM78" s="392" cm="1">
        <f t="array" ref="AM78">IF(AJ78="","",_xll.SNL.Clients.Office.Excel.Functions.SPG(AJ78,"SPT_EOD_YTM_MID","EOD Close Price",$L$15,"Options:NA=NA"))</f>
        <v>4.9695999999999998</v>
      </c>
      <c r="AN78" s="3" cm="1">
        <f t="array" ref="AN78">IF(OR(AJ78="",AK78="NA"),"",_xll.SNL.Clients.Office.Excel.Functions.SPG(AJ78,"SPT_ISSUE_DATE"))</f>
        <v>42311</v>
      </c>
      <c r="AO78" s="2">
        <f>IF(OR($AJ78="",$AK78="NA",$AN78=""),"",RANK(AN78,$AN$58:$AN$1057)+COUNTIF($AN$58:AN78,AN78)-1)</f>
        <v>35</v>
      </c>
      <c r="AP78" s="3">
        <f t="shared" si="13"/>
        <v>42311</v>
      </c>
      <c r="AQ78" s="2">
        <f>IF(OR($AJ78="",$AK78="NA",$AP78=""),"",RANK(AP78,$AP$58:$AP$1057)+COUNTIF($AP$58:AP78,AP78)-1)</f>
        <v>35</v>
      </c>
      <c r="AU78"/>
      <c r="AV78"/>
      <c r="AW78"/>
      <c r="AX78"/>
      <c r="AY78" s="392"/>
      <c r="AZ78" s="3"/>
      <c r="BA78" s="2"/>
      <c r="BB78" s="3"/>
      <c r="BC78" s="2"/>
      <c r="BD78"/>
      <c r="BE78"/>
      <c r="BF78"/>
      <c r="BG78"/>
      <c r="BH78"/>
      <c r="BJ78" t="str">
        <f t="shared" si="11"/>
        <v>Croatian Kuna</v>
      </c>
      <c r="BK78" s="403" t="s">
        <v>96</v>
      </c>
      <c r="BL78" s="404" t="s">
        <v>97</v>
      </c>
      <c r="BM78" s="404" t="s">
        <v>98</v>
      </c>
      <c r="BN78" s="405" t="s">
        <v>30</v>
      </c>
      <c r="BQ78" s="44" t="s">
        <v>391</v>
      </c>
      <c r="BR78" s="44" t="s">
        <v>4637</v>
      </c>
    </row>
    <row r="79" spans="2:70" x14ac:dyDescent="0.2">
      <c r="B79" s="42" t="str">
        <f>VLOOKUP("Cost of Equity Portion",Language_Data,Lookup_Column,FALSE)</f>
        <v>Cost of Equity Portion</v>
      </c>
      <c r="C79" s="207"/>
      <c r="D79" s="207"/>
      <c r="E79" s="207"/>
      <c r="F79" s="110">
        <f>ES_1*ES_2</f>
        <v>0.17376487883891514</v>
      </c>
      <c r="G79" s="108"/>
      <c r="H79" s="108"/>
      <c r="J79" s="7"/>
      <c r="K79" s="7"/>
      <c r="L79" s="7"/>
      <c r="M79" s="7"/>
      <c r="N79" s="7"/>
      <c r="O79" s="7"/>
      <c r="P79" s="7"/>
      <c r="Q79" s="7"/>
      <c r="R79" s="7"/>
      <c r="S79" s="7"/>
      <c r="W79" s="309" t="s">
        <v>710</v>
      </c>
      <c r="X79" s="267" t="s">
        <v>708</v>
      </c>
      <c r="Y79" s="15"/>
      <c r="Z79" s="15"/>
      <c r="AA79" s="18" t="str" cm="1">
        <f t="array" ref="AA79">_xll.SNL.Clients.Office.Excel.Functions.SPG(AA$60,X79)</f>
        <v>USA</v>
      </c>
      <c r="AC79" s="26" t="s">
        <v>4451</v>
      </c>
      <c r="AD79" s="380">
        <f t="shared" si="29"/>
        <v>14.657</v>
      </c>
      <c r="AE79" s="381" t="s">
        <v>4452</v>
      </c>
      <c r="AF79" s="382" cm="1">
        <f t="array" ref="AF79">_xll.SNL.Clients.Office.Excel.Functions.SPG($AE79, "SP_RATE_VALUE",AF$75,"Options:NA=NA")</f>
        <v>14.657</v>
      </c>
      <c r="AG79" s="382" t="str" cm="1">
        <f t="array" ref="AG79">_xll.SNL.Clients.Office.Excel.Functions.SPG($AE79, "SP_RATE_VALUE",AG$75,"Options:NA=NA")</f>
        <v>NA</v>
      </c>
      <c r="AH79" s="383" t="str" cm="1">
        <f t="array" ref="AH79">_xll.SNL.Clients.Office.Excel.Functions.SPG($AE79, "SP_RATE_VALUE",AH$75,"Options:NA=NA")</f>
        <v>NA</v>
      </c>
      <c r="AJ79" s="497" t="s">
        <v>4888</v>
      </c>
      <c r="AK79" s="392">
        <f t="shared" si="12"/>
        <v>5.1661099999999998</v>
      </c>
      <c r="AL79" s="392" cm="1">
        <f t="array" ref="AL79">IF(AJ79="","",_xll.SNL.Clients.Office.Excel.Functions.SPG(AJ79,"SPT_YTW",$L$15,"Options:NA=NA"))</f>
        <v>5.1661099999999998</v>
      </c>
      <c r="AM79" s="392" cm="1">
        <f t="array" ref="AM79">IF(AJ79="","",_xll.SNL.Clients.Office.Excel.Functions.SPG(AJ79,"SPT_EOD_YTM_MID","EOD Close Price",$L$15,"Options:NA=NA"))</f>
        <v>5.1560699999999997</v>
      </c>
      <c r="AN79" s="3" cm="1">
        <f t="array" ref="AN79">IF(OR(AJ79="",AK79="NA"),"",_xll.SNL.Clients.Office.Excel.Functions.SPG(AJ79,"SPT_ISSUE_DATE"))</f>
        <v>42590</v>
      </c>
      <c r="AO79" s="2">
        <f>IF(OR($AJ79="",$AK79="NA",$AN79=""),"",RANK(AN79,$AN$58:$AN$1057)+COUNTIF($AN$58:AN79,AN79)-1)</f>
        <v>32</v>
      </c>
      <c r="AP79" s="3">
        <f t="shared" si="13"/>
        <v>42590</v>
      </c>
      <c r="AQ79" s="2">
        <f>IF(OR($AJ79="",$AK79="NA",$AP79=""),"",RANK(AP79,$AP$58:$AP$1057)+COUNTIF($AP$58:AP79,AP79)-1)</f>
        <v>32</v>
      </c>
      <c r="AU79"/>
      <c r="AV79"/>
      <c r="AW79"/>
      <c r="AX79"/>
      <c r="AY79" s="392"/>
      <c r="AZ79" s="3"/>
      <c r="BA79" s="2"/>
      <c r="BB79" s="3"/>
      <c r="BC79" s="2"/>
      <c r="BD79"/>
      <c r="BE79"/>
      <c r="BF79"/>
      <c r="BG79"/>
      <c r="BH79"/>
      <c r="BJ79" t="str">
        <f t="shared" si="11"/>
        <v>Czech Koruna</v>
      </c>
      <c r="BK79" s="403" t="s">
        <v>99</v>
      </c>
      <c r="BL79" s="404" t="s">
        <v>100</v>
      </c>
      <c r="BM79" s="404" t="s">
        <v>101</v>
      </c>
      <c r="BN79" s="405" t="s">
        <v>30</v>
      </c>
      <c r="BQ79" s="44" t="s">
        <v>4638</v>
      </c>
      <c r="BR79" s="44" t="s">
        <v>4639</v>
      </c>
    </row>
    <row r="80" spans="2:70" ht="10.5" x14ac:dyDescent="0.25">
      <c r="B80" s="7"/>
      <c r="F80" s="2"/>
      <c r="G80" s="2"/>
      <c r="H80" s="2"/>
      <c r="J80" s="92" t="str">
        <f>VLOOKUP("WACC SENSITIVITY ANALYSIS",Language_Data,Lookup_Column,FALSE)</f>
        <v>WACC SENSITIVITY ANALYSIS</v>
      </c>
      <c r="K80" s="93"/>
      <c r="L80" s="93"/>
      <c r="M80" s="93"/>
      <c r="N80" s="94"/>
      <c r="O80" s="94"/>
      <c r="P80" s="94"/>
      <c r="Q80" s="94"/>
      <c r="R80" s="94"/>
      <c r="S80" s="95"/>
      <c r="AC80" s="26" t="s">
        <v>4453</v>
      </c>
      <c r="AD80" s="380">
        <f t="shared" si="29"/>
        <v>3.2906</v>
      </c>
      <c r="AE80" s="381" t="s">
        <v>4454</v>
      </c>
      <c r="AF80" s="382" cm="1">
        <f t="array" ref="AF80">_xll.SNL.Clients.Office.Excel.Functions.SPG($AE80, "SP_RATE_VALUE",AF$75,"Options:NA=NA")</f>
        <v>3.2906</v>
      </c>
      <c r="AG80" s="382" t="str" cm="1">
        <f t="array" ref="AG80">_xll.SNL.Clients.Office.Excel.Functions.SPG($AE80, "SP_RATE_VALUE",AG$75,"Options:NA=NA")</f>
        <v>NA</v>
      </c>
      <c r="AH80" s="383" t="str" cm="1">
        <f t="array" ref="AH80">_xll.SNL.Clients.Office.Excel.Functions.SPG($AE80, "SP_RATE_VALUE",AH$75,"Options:NA=NA")</f>
        <v>NA</v>
      </c>
      <c r="AJ80" s="497" t="s">
        <v>4889</v>
      </c>
      <c r="AK80" s="392">
        <f t="shared" si="12"/>
        <v>5.1503399999999999</v>
      </c>
      <c r="AL80" s="392" cm="1">
        <f t="array" ref="AL80">IF(AJ80="","",_xll.SNL.Clients.Office.Excel.Functions.SPG(AJ80,"SPT_YTW",$L$15,"Options:NA=NA"))</f>
        <v>5.1503399999999999</v>
      </c>
      <c r="AM80" s="392" cm="1">
        <f t="array" ref="AM80">IF(AJ80="","",_xll.SNL.Clients.Office.Excel.Functions.SPG(AJ80,"SPT_EOD_YTM_MID","EOD Close Price",$L$15,"Options:NA=NA"))</f>
        <v>5.14175</v>
      </c>
      <c r="AN80" s="3" cm="1">
        <f t="array" ref="AN80">IF(OR(AJ80="",AK80="NA"),"",_xll.SNL.Clients.Office.Excel.Functions.SPG(AJ80,"SPT_ISSUE_DATE"))</f>
        <v>42772</v>
      </c>
      <c r="AO80" s="2">
        <f>IF(OR($AJ80="",$AK80="NA",$AN80=""),"",RANK(AN80,$AN$58:$AN$1057)+COUNTIF($AN$58:AN80,AN80)-1)</f>
        <v>29</v>
      </c>
      <c r="AP80" s="3">
        <f t="shared" si="13"/>
        <v>42772</v>
      </c>
      <c r="AQ80" s="2">
        <f>IF(OR($AJ80="",$AK80="NA",$AP80=""),"",RANK(AP80,$AP$58:$AP$1057)+COUNTIF($AP$58:AP80,AP80)-1)</f>
        <v>29</v>
      </c>
      <c r="AU80"/>
      <c r="AV80"/>
      <c r="AW80"/>
      <c r="AX80"/>
      <c r="AY80" s="392"/>
      <c r="AZ80" s="3"/>
      <c r="BA80" s="2"/>
      <c r="BB80" s="3"/>
      <c r="BC80" s="2"/>
      <c r="BD80"/>
      <c r="BE80"/>
      <c r="BF80"/>
      <c r="BG80"/>
      <c r="BH80"/>
      <c r="BJ80" t="str">
        <f t="shared" si="11"/>
        <v>Danish Krone</v>
      </c>
      <c r="BK80" s="403" t="s">
        <v>102</v>
      </c>
      <c r="BL80" s="404" t="s">
        <v>103</v>
      </c>
      <c r="BM80" s="404" t="s">
        <v>104</v>
      </c>
      <c r="BN80" s="405" t="s">
        <v>30</v>
      </c>
      <c r="BQ80" s="44" t="s">
        <v>343</v>
      </c>
      <c r="BR80" s="44" t="s">
        <v>4640</v>
      </c>
    </row>
    <row r="81" spans="2:70" x14ac:dyDescent="0.2">
      <c r="B81" s="7" t="str">
        <f>AA75&amp;" - "&amp;VLOOKUP("Cost of Debt (Rd) - Average of Last 5 Issued Bonds",Language_Data,Lookup_Column,FALSE)</f>
        <v>MSFT-US - Cost of Debt (Rd) - Average of Last 5 Issued Bonds</v>
      </c>
      <c r="F81" s="108">
        <f>F59</f>
        <v>5.0198300000000008E-2</v>
      </c>
      <c r="G81" s="108"/>
      <c r="H81" s="108"/>
      <c r="J81" s="70"/>
      <c r="K81" s="7"/>
      <c r="L81" s="7"/>
      <c r="M81" s="7"/>
      <c r="N81" s="7"/>
      <c r="O81" s="7"/>
      <c r="P81" s="7"/>
      <c r="Q81" s="7"/>
      <c r="R81" s="7"/>
      <c r="S81" s="71"/>
      <c r="AA81" s="360" t="str">
        <f>IF(AA75="",AA77,AA75)</f>
        <v>MSFT-US</v>
      </c>
      <c r="AC81" s="26" t="s">
        <v>4455</v>
      </c>
      <c r="AD81" s="380">
        <f>IF(AF81&lt;&gt;"NA",AF81,IF(AG81&lt;&gt;"NA",AG81,AH81))</f>
        <v>1.3753500000000001</v>
      </c>
      <c r="AE81" s="381" t="s">
        <v>4456</v>
      </c>
      <c r="AF81" s="382" cm="1">
        <f t="array" ref="AF81">_xll.SNL.Clients.Office.Excel.Functions.SPG($AE81, "SP_RATE_VALUE",AF$75,"Options:NA=NA")</f>
        <v>1.3753500000000001</v>
      </c>
      <c r="AG81" s="382" t="str" cm="1">
        <f t="array" ref="AG81">_xll.SNL.Clients.Office.Excel.Functions.SPG($AE81, "SP_RATE_VALUE",AG$75,"Options:NA=NA")</f>
        <v>NA</v>
      </c>
      <c r="AH81" s="383" t="str" cm="1">
        <f t="array" ref="AH81">_xll.SNL.Clients.Office.Excel.Functions.SPG($AE81, "SP_RATE_VALUE",AH$75,"Options:NA=NA")</f>
        <v>NA</v>
      </c>
      <c r="AJ81" s="497" t="s">
        <v>4890</v>
      </c>
      <c r="AK81" s="392">
        <f t="shared" si="12"/>
        <v>5.2636399999999997</v>
      </c>
      <c r="AL81" s="392" cm="1">
        <f t="array" ref="AL81">IF(AJ81="","",_xll.SNL.Clients.Office.Excel.Functions.SPG(AJ81,"SPT_YTW",$L$15,"Options:NA=NA"))</f>
        <v>5.2636399999999997</v>
      </c>
      <c r="AM81" s="392" cm="1">
        <f t="array" ref="AM81">IF(AJ81="","",_xll.SNL.Clients.Office.Excel.Functions.SPG(AJ81,"SPT_EOD_YTM_MID","EOD Close Price",$L$15,"Options:NA=NA"))</f>
        <v>5.2512499999999998</v>
      </c>
      <c r="AN81" s="3" cm="1">
        <f t="array" ref="AN81">IF(OR(AJ81="",AK81="NA"),"",_xll.SNL.Clients.Office.Excel.Functions.SPG(AJ81,"SPT_ISSUE_DATE"))</f>
        <v>39951</v>
      </c>
      <c r="AO81" s="2">
        <f>IF(OR($AJ81="",$AK81="NA",$AN81=""),"",RANK(AN81,$AN$58:$AN$1057)+COUNTIF($AN$58:AN81,AN81)-1)</f>
        <v>48</v>
      </c>
      <c r="AP81" s="3">
        <f t="shared" si="13"/>
        <v>39951</v>
      </c>
      <c r="AQ81" s="2">
        <f>IF(OR($AJ81="",$AK81="NA",$AP81=""),"",RANK(AP81,$AP$58:$AP$1057)+COUNTIF($AP$58:AP81,AP81)-1)</f>
        <v>48</v>
      </c>
      <c r="AY81" s="392"/>
      <c r="AZ81" s="3"/>
      <c r="BA81" s="2"/>
      <c r="BB81" s="3"/>
      <c r="BC81" s="2"/>
      <c r="BJ81" t="str">
        <f t="shared" si="11"/>
        <v>Dominican Peso</v>
      </c>
      <c r="BK81" s="403" t="s">
        <v>105</v>
      </c>
      <c r="BL81" s="404" t="s">
        <v>106</v>
      </c>
      <c r="BM81" s="404" t="s">
        <v>107</v>
      </c>
      <c r="BN81" s="405" t="s">
        <v>30</v>
      </c>
      <c r="BQ81" s="44" t="s">
        <v>342</v>
      </c>
      <c r="BR81" s="44" t="s">
        <v>4641</v>
      </c>
    </row>
    <row r="82" spans="2:70" ht="10.5" x14ac:dyDescent="0.25">
      <c r="B82" s="7" t="str">
        <f>VLOOKUP("Tax Rate (5 Year Average)",Language_Data,Lookup_Column,FALSE)</f>
        <v>Tax Rate (5 Year Average)</v>
      </c>
      <c r="F82" s="108">
        <f>F50</f>
        <v>0.17469799999999999</v>
      </c>
      <c r="G82" s="108"/>
      <c r="H82" s="108"/>
      <c r="J82" s="325" t="str">
        <f>VLOOKUP("E/(D+P+E)",Language_Data,Lookup_Column,FALSE)</f>
        <v>E/(D+P+E)</v>
      </c>
      <c r="K82" s="73" t="str">
        <f>VLOOKUP("Cost of Equity",Language_Data,Lookup_Column,FALSE)</f>
        <v>Cost of Equity</v>
      </c>
      <c r="L82" s="74"/>
      <c r="M82" s="74"/>
      <c r="N82" s="74"/>
      <c r="O82" s="74"/>
      <c r="P82" s="74"/>
      <c r="Q82" s="74"/>
      <c r="R82" s="74"/>
      <c r="S82" s="75"/>
      <c r="AC82" s="26" t="s">
        <v>4457</v>
      </c>
      <c r="AD82" s="380" t="str">
        <f t="shared" si="29"/>
        <v>NA</v>
      </c>
      <c r="AE82" s="381" t="s">
        <v>4458</v>
      </c>
      <c r="AF82" s="382" t="str" cm="1">
        <f t="array" ref="AF82">_xll.SNL.Clients.Office.Excel.Functions.SPG($AE82, "SP_RATE_VALUE",AF$75,"Options:NA=NA")</f>
        <v>NA</v>
      </c>
      <c r="AG82" s="382" t="str" cm="1">
        <f t="array" ref="AG82">_xll.SNL.Clients.Office.Excel.Functions.SPG($AE82, "SP_RATE_VALUE",AG$75,"Options:NA=NA")</f>
        <v>NA</v>
      </c>
      <c r="AH82" s="383" t="str" cm="1">
        <f t="array" ref="AH82">_xll.SNL.Clients.Office.Excel.Functions.SPG($AE82, "SP_RATE_VALUE",AH$75,"Options:NA=NA")</f>
        <v>NA</v>
      </c>
      <c r="AJ82" s="497" t="s">
        <v>4891</v>
      </c>
      <c r="AK82" s="392">
        <f t="shared" si="12"/>
        <v>5.48217</v>
      </c>
      <c r="AL82" s="392" cm="1">
        <f t="array" ref="AL82">IF(AJ82="","",_xll.SNL.Clients.Office.Excel.Functions.SPG(AJ82,"SPT_YTW",$L$15,"Options:NA=NA"))</f>
        <v>5.48217</v>
      </c>
      <c r="AM82" s="392" cm="1">
        <f t="array" ref="AM82">IF(AJ82="","",_xll.SNL.Clients.Office.Excel.Functions.SPG(AJ82,"SPT_EOD_YTM_MID","EOD Close Price",$L$15,"Options:NA=NA"))</f>
        <v>5.4712699999999996</v>
      </c>
      <c r="AN82" s="3" cm="1">
        <f t="array" ref="AN82">IF(OR(AJ82="",AK82="NA"),"",_xll.SNL.Clients.Office.Excel.Functions.SPG(AJ82,"SPT_ISSUE_DATE"))</f>
        <v>40448</v>
      </c>
      <c r="AO82" s="2">
        <f>IF(OR($AJ82="",$AK82="NA",$AN82=""),"",RANK(AN82,$AN$58:$AN$1057)+COUNTIF($AN$58:AN82,AN82)-1)</f>
        <v>47</v>
      </c>
      <c r="AP82" s="3">
        <f t="shared" si="13"/>
        <v>40448</v>
      </c>
      <c r="AQ82" s="2">
        <f>IF(OR($AJ82="",$AK82="NA",$AP82=""),"",RANK(AP82,$AP$58:$AP$1057)+COUNTIF($AP$58:AP82,AP82)-1)</f>
        <v>47</v>
      </c>
      <c r="AY82" s="392"/>
      <c r="AZ82" s="3"/>
      <c r="BA82" s="2"/>
      <c r="BB82" s="3"/>
      <c r="BC82" s="2"/>
      <c r="BJ82" t="str">
        <f t="shared" si="11"/>
        <v>Egyptian Pound</v>
      </c>
      <c r="BK82" s="403" t="s">
        <v>108</v>
      </c>
      <c r="BL82" s="404" t="s">
        <v>109</v>
      </c>
      <c r="BM82" s="404" t="s">
        <v>110</v>
      </c>
      <c r="BN82" s="405" t="s">
        <v>30</v>
      </c>
      <c r="BQ82" s="44" t="s">
        <v>355</v>
      </c>
      <c r="BR82" s="44" t="s">
        <v>4642</v>
      </c>
    </row>
    <row r="83" spans="2:70" ht="10.5" x14ac:dyDescent="0.25">
      <c r="B83" s="8" t="str">
        <f>VLOOKUP("After-Tax Cost of Debt",Language_Data,Lookup_Column,FALSE)</f>
        <v>After-Tax Cost of Debt</v>
      </c>
      <c r="F83" s="108">
        <f>IFERROR(F81*(1-(F82)),0)</f>
        <v>4.1428757386600006E-2</v>
      </c>
      <c r="G83" s="108"/>
      <c r="H83" s="108"/>
      <c r="J83" s="125">
        <f>F91</f>
        <v>0.17520888143433552</v>
      </c>
      <c r="K83" s="84">
        <f>L83-$F$67</f>
        <v>2.0000000000000004E-2</v>
      </c>
      <c r="L83" s="85">
        <f>M83-$F$67</f>
        <v>2.7500000000000004E-2</v>
      </c>
      <c r="M83" s="85">
        <f>N83-$F$67</f>
        <v>3.5000000000000003E-2</v>
      </c>
      <c r="N83" s="85">
        <f>O83-$F$67</f>
        <v>4.2500000000000003E-2</v>
      </c>
      <c r="O83" s="101">
        <v>0.05</v>
      </c>
      <c r="P83" s="85">
        <f>O83+$F$67</f>
        <v>5.7500000000000002E-2</v>
      </c>
      <c r="Q83" s="85">
        <f>P83+$F$67</f>
        <v>6.5000000000000002E-2</v>
      </c>
      <c r="R83" s="85">
        <f>Q83+$F$67</f>
        <v>7.2500000000000009E-2</v>
      </c>
      <c r="S83" s="86">
        <f>R83+$F$67</f>
        <v>8.0000000000000016E-2</v>
      </c>
      <c r="AC83" s="26" t="s">
        <v>4459</v>
      </c>
      <c r="AD83" s="380">
        <f t="shared" si="29"/>
        <v>4.3209999999999997</v>
      </c>
      <c r="AE83" s="381" t="s">
        <v>4460</v>
      </c>
      <c r="AF83" s="382" cm="1">
        <f t="array" ref="AF83">_xll.SNL.Clients.Office.Excel.Functions.SPG($AE83, "SP_RATE_VALUE",AF$75,"Options:NA=NA")</f>
        <v>4.3209999999999997</v>
      </c>
      <c r="AG83" s="382" t="str" cm="1">
        <f t="array" ref="AG83">_xll.SNL.Clients.Office.Excel.Functions.SPG($AE83, "SP_RATE_VALUE",AG$75,"Options:NA=NA")</f>
        <v>NA</v>
      </c>
      <c r="AH83" s="383" t="str" cm="1">
        <f t="array" ref="AH83">_xll.SNL.Clients.Office.Excel.Functions.SPG($AE83, "SP_RATE_VALUE",AH$75,"Options:NA=NA")</f>
        <v>NA</v>
      </c>
      <c r="AJ83" s="497" t="s">
        <v>4892</v>
      </c>
      <c r="AK83" s="392">
        <f t="shared" si="12"/>
        <v>5.4711699999999999</v>
      </c>
      <c r="AL83" s="392" cm="1">
        <f t="array" ref="AL83">IF(AJ83="","",_xll.SNL.Clients.Office.Excel.Functions.SPG(AJ83,"SPT_YTW",$L$15,"Options:NA=NA"))</f>
        <v>5.4711699999999999</v>
      </c>
      <c r="AM83" s="392" cm="1">
        <f t="array" ref="AM83">IF(AJ83="","",_xll.SNL.Clients.Office.Excel.Functions.SPG(AJ83,"SPT_EOD_YTM_MID","EOD Close Price",$L$15,"Options:NA=NA"))</f>
        <v>5.4612699999999998</v>
      </c>
      <c r="AN83" s="3" cm="1">
        <f t="array" ref="AN83">IF(OR(AJ83="",AK83="NA"),"",_xll.SNL.Clients.Office.Excel.Functions.SPG(AJ83,"SPT_ISSUE_DATE"))</f>
        <v>40582</v>
      </c>
      <c r="AO83" s="2">
        <f>IF(OR($AJ83="",$AK83="NA",$AN83=""),"",RANK(AN83,$AN$58:$AN$1057)+COUNTIF($AN$58:AN83,AN83)-1)</f>
        <v>46</v>
      </c>
      <c r="AP83" s="3">
        <f t="shared" si="13"/>
        <v>40582</v>
      </c>
      <c r="AQ83" s="2">
        <f>IF(OR($AJ83="",$AK83="NA",$AP83=""),"",RANK(AP83,$AP$58:$AP$1057)+COUNTIF($AP$58:AP83,AP83)-1)</f>
        <v>46</v>
      </c>
      <c r="AY83" s="392"/>
      <c r="AZ83" s="3"/>
      <c r="BA83" s="2"/>
      <c r="BB83" s="3"/>
      <c r="BC83" s="2"/>
      <c r="BJ83" t="str">
        <f t="shared" si="11"/>
        <v>Georgian Lari</v>
      </c>
      <c r="BK83" s="403" t="s">
        <v>111</v>
      </c>
      <c r="BL83" s="404" t="s">
        <v>112</v>
      </c>
      <c r="BM83" s="404" t="s">
        <v>113</v>
      </c>
      <c r="BN83" s="405" t="s">
        <v>30</v>
      </c>
      <c r="BQ83" s="44" t="s">
        <v>4643</v>
      </c>
      <c r="BR83" s="44" t="s">
        <v>4644</v>
      </c>
    </row>
    <row r="84" spans="2:70" ht="10.5" x14ac:dyDescent="0.25">
      <c r="B84" s="7" t="str">
        <f>VLOOKUP("Multiplied by: ",Language_Data,Lookup_Column,FALSE)&amp;AA75&amp;" - "&amp;VLOOKUP("D/(D+P+E)",Language_Data,Lookup_Column,FALSE)</f>
        <v>Multiplied by: MSFT-US - D/(D+P+E)</v>
      </c>
      <c r="F84" s="108">
        <f>F55</f>
        <v>3.4855078609899053E-2</v>
      </c>
      <c r="G84" s="108"/>
      <c r="H84" s="108"/>
      <c r="J84" s="78">
        <f>J85-$F$68</f>
        <v>0.35000000000000003</v>
      </c>
      <c r="K84" s="87">
        <f t="dataTable" ref="K84:S90" dt2D="1" dtr="1" r1="F77" r2="F78"/>
        <v>8.4440025954203805E-3</v>
      </c>
      <c r="L84" s="87">
        <v>1.1069002595420381E-2</v>
      </c>
      <c r="M84" s="87">
        <v>1.3694002595420382E-2</v>
      </c>
      <c r="N84" s="87">
        <v>1.6319002595420382E-2</v>
      </c>
      <c r="O84" s="87">
        <v>1.8944002595420381E-2</v>
      </c>
      <c r="P84" s="87">
        <v>2.1569002595420383E-2</v>
      </c>
      <c r="Q84" s="87">
        <v>2.4194002595420382E-2</v>
      </c>
      <c r="R84" s="87">
        <v>2.6819002595420385E-2</v>
      </c>
      <c r="S84" s="88">
        <v>2.9444002595420387E-2</v>
      </c>
      <c r="AC84" s="26" t="s">
        <v>4461</v>
      </c>
      <c r="AD84" s="380">
        <f t="shared" si="29"/>
        <v>2.6920000000000002</v>
      </c>
      <c r="AE84" s="381" t="s">
        <v>4462</v>
      </c>
      <c r="AF84" s="382" cm="1">
        <f t="array" ref="AF84">_xll.SNL.Clients.Office.Excel.Functions.SPG($AE84, "SP_RATE_VALUE",AF$75,"Options:NA=NA")</f>
        <v>2.6920000000000002</v>
      </c>
      <c r="AG84" s="382" t="str" cm="1">
        <f t="array" ref="AG84">_xll.SNL.Clients.Office.Excel.Functions.SPG($AE84, "SP_RATE_VALUE",AG$75,"Options:NA=NA")</f>
        <v>NA</v>
      </c>
      <c r="AH84" s="383" t="str" cm="1">
        <f t="array" ref="AH84">_xll.SNL.Clients.Office.Excel.Functions.SPG($AE84, "SP_RATE_VALUE",AH$75,"Options:NA=NA")</f>
        <v>NA</v>
      </c>
      <c r="AJ84" s="497" t="s">
        <v>4893</v>
      </c>
      <c r="AK84" s="392">
        <f t="shared" si="12"/>
        <v>5.7300899999999997</v>
      </c>
      <c r="AL84" s="392" cm="1">
        <f t="array" ref="AL84">IF(AJ84="","",_xll.SNL.Clients.Office.Excel.Functions.SPG(AJ84,"SPT_YTW",$L$15,"Options:NA=NA"))</f>
        <v>5.7300899999999997</v>
      </c>
      <c r="AM84" s="392" cm="1">
        <f t="array" ref="AM84">IF(AJ84="","",_xll.SNL.Clients.Office.Excel.Functions.SPG(AJ84,"SPT_EOD_YTM_MID","EOD Close Price",$L$15,"Options:NA=NA"))</f>
        <v>5.7110200000000004</v>
      </c>
      <c r="AN84" s="3" cm="1">
        <f t="array" ref="AN84">IF(OR(AJ84="",AK84="NA"),"",_xll.SNL.Clients.Office.Excel.Functions.SPG(AJ84,"SPT_ISSUE_DATE"))</f>
        <v>41220</v>
      </c>
      <c r="AO84" s="2">
        <f>IF(OR($AJ84="",$AK84="NA",$AN84=""),"",RANK(AN84,$AN$58:$AN$1057)+COUNTIF($AN$58:AN84,AN84)-1)</f>
        <v>45</v>
      </c>
      <c r="AP84" s="3">
        <f t="shared" si="13"/>
        <v>41220</v>
      </c>
      <c r="AQ84" s="2">
        <f>IF(OR($AJ84="",$AK84="NA",$AP84=""),"",RANK(AP84,$AP$58:$AP$1057)+COUNTIF($AP$58:AP84,AP84)-1)</f>
        <v>45</v>
      </c>
      <c r="AY84" s="392"/>
      <c r="AZ84" s="3"/>
      <c r="BA84" s="2"/>
      <c r="BB84" s="3"/>
      <c r="BC84" s="2"/>
      <c r="BJ84" t="str">
        <f t="shared" si="11"/>
        <v>Guatemalan Quetzal</v>
      </c>
      <c r="BK84" s="403" t="s">
        <v>114</v>
      </c>
      <c r="BL84" s="404" t="s">
        <v>115</v>
      </c>
      <c r="BM84" s="404" t="s">
        <v>116</v>
      </c>
      <c r="BN84" s="405" t="s">
        <v>30</v>
      </c>
      <c r="BQ84" s="44" t="s">
        <v>4645</v>
      </c>
      <c r="BR84" s="44" t="s">
        <v>4646</v>
      </c>
    </row>
    <row r="85" spans="2:70" ht="10.5" x14ac:dyDescent="0.25">
      <c r="B85" s="42" t="str">
        <f>VLOOKUP("Cost of Debt Portion",Language_Data,Lookup_Column,FALSE)</f>
        <v>Cost of Debt Portion</v>
      </c>
      <c r="C85" s="207"/>
      <c r="D85" s="207"/>
      <c r="E85" s="207"/>
      <c r="F85" s="110">
        <f>IFERROR((F83*F84),0)</f>
        <v>1.4440025954203792E-3</v>
      </c>
      <c r="G85" s="108"/>
      <c r="H85" s="108"/>
      <c r="J85" s="78">
        <f>J86-$F$68</f>
        <v>0.4</v>
      </c>
      <c r="K85" s="87">
        <v>9.4440025954203814E-3</v>
      </c>
      <c r="L85" s="87">
        <v>1.2444002595420382E-2</v>
      </c>
      <c r="M85" s="87">
        <v>1.5444002595420381E-2</v>
      </c>
      <c r="N85" s="87">
        <v>1.8444002595420381E-2</v>
      </c>
      <c r="O85" s="87">
        <v>2.1444002595420383E-2</v>
      </c>
      <c r="P85" s="87">
        <v>2.4444002595420383E-2</v>
      </c>
      <c r="Q85" s="87">
        <v>2.7444002595420382E-2</v>
      </c>
      <c r="R85" s="87">
        <v>3.0444002595420384E-2</v>
      </c>
      <c r="S85" s="88">
        <v>3.3444002595420387E-2</v>
      </c>
      <c r="AC85" s="26" t="s">
        <v>4463</v>
      </c>
      <c r="AD85" s="380">
        <f t="shared" si="29"/>
        <v>2.9060000000000001</v>
      </c>
      <c r="AE85" s="381" t="s">
        <v>4464</v>
      </c>
      <c r="AF85" s="382" cm="1">
        <f t="array" ref="AF85">_xll.SNL.Clients.Office.Excel.Functions.SPG($AE85, "SP_RATE_VALUE",AF$75,"Options:NA=NA")</f>
        <v>2.9060000000000001</v>
      </c>
      <c r="AG85" s="382" t="str" cm="1">
        <f t="array" ref="AG85">_xll.SNL.Clients.Office.Excel.Functions.SPG($AE85, "SP_RATE_VALUE",AG$75,"Options:NA=NA")</f>
        <v>NA</v>
      </c>
      <c r="AH85" s="383" t="str" cm="1">
        <f t="array" ref="AH85">_xll.SNL.Clients.Office.Excel.Functions.SPG($AE85, "SP_RATE_VALUE",AH$75,"Options:NA=NA")</f>
        <v>NA</v>
      </c>
      <c r="AJ85" s="497" t="s">
        <v>4894</v>
      </c>
      <c r="AK85" s="392">
        <f t="shared" si="12"/>
        <v>5.9060499999999996</v>
      </c>
      <c r="AL85" s="392" cm="1">
        <f t="array" ref="AL85">IF(AJ85="","",_xll.SNL.Clients.Office.Excel.Functions.SPG(AJ85,"SPT_YTW",$L$15,"Options:NA=NA"))</f>
        <v>5.9060499999999996</v>
      </c>
      <c r="AM85" s="392" cm="1">
        <f t="array" ref="AM85">IF(AJ85="","",_xll.SNL.Clients.Office.Excel.Functions.SPG(AJ85,"SPT_EOD_YTM_MID","EOD Close Price",$L$15,"Options:NA=NA"))</f>
        <v>5.8704999999999998</v>
      </c>
      <c r="AN85" s="3" cm="1">
        <f t="array" ref="AN85">IF(OR(AJ85="",AK85="NA"),"",_xll.SNL.Clients.Office.Excel.Functions.SPG(AJ85,"SPT_ISSUE_DATE"))</f>
        <v>41396</v>
      </c>
      <c r="AO85" s="2">
        <f>IF(OR($AJ85="",$AK85="NA",$AN85=""),"",RANK(AN85,$AN$58:$AN$1057)+COUNTIF($AN$58:AN85,AN85)-1)</f>
        <v>44</v>
      </c>
      <c r="AP85" s="3">
        <f t="shared" si="13"/>
        <v>41396</v>
      </c>
      <c r="AQ85" s="2">
        <f>IF(OR($AJ85="",$AK85="NA",$AP85=""),"",RANK(AP85,$AP$58:$AP$1057)+COUNTIF($AP$58:AP85,AP85)-1)</f>
        <v>44</v>
      </c>
      <c r="AY85" s="392"/>
      <c r="AZ85" s="3"/>
      <c r="BA85" s="2"/>
      <c r="BB85" s="3"/>
      <c r="BC85" s="2"/>
      <c r="BJ85" t="str">
        <f t="shared" si="11"/>
        <v>Honduran Lempira</v>
      </c>
      <c r="BK85" s="403" t="s">
        <v>117</v>
      </c>
      <c r="BL85" s="404" t="s">
        <v>118</v>
      </c>
      <c r="BM85" s="404" t="s">
        <v>119</v>
      </c>
      <c r="BN85" s="405" t="s">
        <v>30</v>
      </c>
      <c r="BQ85" s="44" t="s">
        <v>390</v>
      </c>
      <c r="BR85" s="44" t="s">
        <v>4647</v>
      </c>
    </row>
    <row r="86" spans="2:70" ht="10.5" x14ac:dyDescent="0.25">
      <c r="B86" s="7"/>
      <c r="F86" s="2"/>
      <c r="G86" s="2"/>
      <c r="H86" s="2"/>
      <c r="J86" s="78">
        <f>J87-$F$68</f>
        <v>0.45</v>
      </c>
      <c r="K86" s="87">
        <v>1.0444002595420382E-2</v>
      </c>
      <c r="L86" s="87">
        <v>1.3819002595420382E-2</v>
      </c>
      <c r="M86" s="87">
        <v>1.7194002595420383E-2</v>
      </c>
      <c r="N86" s="87">
        <v>2.0569002595420383E-2</v>
      </c>
      <c r="O86" s="87">
        <v>2.3944002595420382E-2</v>
      </c>
      <c r="P86" s="87">
        <v>2.7319002595420382E-2</v>
      </c>
      <c r="Q86" s="87">
        <v>3.0694002595420381E-2</v>
      </c>
      <c r="R86" s="87">
        <v>3.4069002595420388E-2</v>
      </c>
      <c r="S86" s="88">
        <v>3.7444002595420391E-2</v>
      </c>
      <c r="AC86" s="26" t="s">
        <v>4465</v>
      </c>
      <c r="AD86" s="380">
        <f t="shared" si="29"/>
        <v>3.1110000000000002</v>
      </c>
      <c r="AE86" s="381" t="s">
        <v>4466</v>
      </c>
      <c r="AF86" s="382" cm="1">
        <f t="array" ref="AF86">_xll.SNL.Clients.Office.Excel.Functions.SPG($AE86, "SP_RATE_VALUE",AF$75,"Options:NA=NA")</f>
        <v>3.1110000000000002</v>
      </c>
      <c r="AG86" s="382" t="str" cm="1">
        <f t="array" ref="AG86">_xll.SNL.Clients.Office.Excel.Functions.SPG($AE86, "SP_RATE_VALUE",AG$75,"Options:NA=NA")</f>
        <v>NA</v>
      </c>
      <c r="AH86" s="383" t="str" cm="1">
        <f t="array" ref="AH86">_xll.SNL.Clients.Office.Excel.Functions.SPG($AE86, "SP_RATE_VALUE",AH$75,"Options:NA=NA")</f>
        <v>NA</v>
      </c>
      <c r="AJ86" s="497" t="s">
        <v>4895</v>
      </c>
      <c r="AK86" s="392">
        <f t="shared" si="12"/>
        <v>5.6842899999999998</v>
      </c>
      <c r="AL86" s="392" cm="1">
        <f t="array" ref="AL86">IF(AJ86="","",_xll.SNL.Clients.Office.Excel.Functions.SPG(AJ86,"SPT_YTW",$L$15,"Options:NA=NA"))</f>
        <v>5.6842899999999998</v>
      </c>
      <c r="AM86" s="392" cm="1">
        <f t="array" ref="AM86">IF(AJ86="","",_xll.SNL.Clients.Office.Excel.Functions.SPG(AJ86,"SPT_EOD_YTM_MID","EOD Close Price",$L$15,"Options:NA=NA"))</f>
        <v>5.6692</v>
      </c>
      <c r="AN86" s="3" cm="1">
        <f t="array" ref="AN86">IF(OR(AJ86="",AK86="NA"),"",_xll.SNL.Clients.Office.Excel.Functions.SPG(AJ86,"SPT_ISSUE_DATE"))</f>
        <v>41614</v>
      </c>
      <c r="AO86" s="2">
        <f>IF(OR($AJ86="",$AK86="NA",$AN86=""),"",RANK(AN86,$AN$58:$AN$1057)+COUNTIF($AN$58:AN86,AN86)-1)</f>
        <v>42</v>
      </c>
      <c r="AP86" s="3">
        <f t="shared" si="13"/>
        <v>41614</v>
      </c>
      <c r="AQ86" s="2">
        <f>IF(OR($AJ86="",$AK86="NA",$AP86=""),"",RANK(AP86,$AP$58:$AP$1057)+COUNTIF($AP$58:AP86,AP86)-1)</f>
        <v>42</v>
      </c>
      <c r="AY86" s="392"/>
      <c r="AZ86" s="3"/>
      <c r="BA86" s="2"/>
      <c r="BB86" s="3"/>
      <c r="BC86" s="2"/>
      <c r="BD86" s="212"/>
      <c r="BE86" s="212"/>
      <c r="BJ86" t="str">
        <f t="shared" si="11"/>
        <v>Hong Kong Dollar</v>
      </c>
      <c r="BK86" s="403" t="s">
        <v>120</v>
      </c>
      <c r="BL86" s="404" t="s">
        <v>121</v>
      </c>
      <c r="BM86" s="404" t="s">
        <v>122</v>
      </c>
      <c r="BN86" s="405" t="s">
        <v>30</v>
      </c>
      <c r="BQ86" s="44" t="s">
        <v>389</v>
      </c>
      <c r="BR86" s="44" t="s">
        <v>4648</v>
      </c>
    </row>
    <row r="87" spans="2:70" ht="10.5" x14ac:dyDescent="0.25">
      <c r="B87" s="8" t="str">
        <f>AA75&amp;" - "&amp;VLOOKUP("Cost of Preferred (Rp)",Language_Data,Lookup_Column,FALSE)</f>
        <v>MSFT-US - Cost of Preferred (Rp)</v>
      </c>
      <c r="F87" s="108">
        <f>F61</f>
        <v>0</v>
      </c>
      <c r="G87" s="108"/>
      <c r="H87" s="108"/>
      <c r="J87" s="102">
        <v>0.5</v>
      </c>
      <c r="K87" s="87">
        <v>1.1444002595420381E-2</v>
      </c>
      <c r="L87" s="87">
        <v>1.5194002595420381E-2</v>
      </c>
      <c r="M87" s="87">
        <v>1.8944002595420381E-2</v>
      </c>
      <c r="N87" s="87">
        <v>2.2694002595420381E-2</v>
      </c>
      <c r="O87" s="87">
        <v>2.6444002595420381E-2</v>
      </c>
      <c r="P87" s="87">
        <v>3.0194002595420381E-2</v>
      </c>
      <c r="Q87" s="87">
        <v>3.3944002595420381E-2</v>
      </c>
      <c r="R87" s="87">
        <v>3.7694002595420384E-2</v>
      </c>
      <c r="S87" s="88">
        <v>4.1444002595420387E-2</v>
      </c>
      <c r="AC87" s="26" t="s">
        <v>4467</v>
      </c>
      <c r="AD87" s="380">
        <f t="shared" si="29"/>
        <v>3.4580000000000002</v>
      </c>
      <c r="AE87" s="381" t="s">
        <v>4468</v>
      </c>
      <c r="AF87" s="382" cm="1">
        <f t="array" ref="AF87">_xll.SNL.Clients.Office.Excel.Functions.SPG($AE87, "SP_RATE_VALUE",AF$75,"Options:NA=NA")</f>
        <v>3.4580000000000002</v>
      </c>
      <c r="AG87" s="382" t="str" cm="1">
        <f t="array" ref="AG87">_xll.SNL.Clients.Office.Excel.Functions.SPG($AE87, "SP_RATE_VALUE",AG$75,"Options:NA=NA")</f>
        <v>NA</v>
      </c>
      <c r="AH87" s="383" t="str" cm="1">
        <f t="array" ref="AH87">_xll.SNL.Clients.Office.Excel.Functions.SPG($AE87, "SP_RATE_VALUE",AH$75,"Options:NA=NA")</f>
        <v>NA</v>
      </c>
      <c r="AJ87" s="497" t="s">
        <v>4896</v>
      </c>
      <c r="AK87" s="392">
        <f t="shared" si="12"/>
        <v>5.9145799999999999</v>
      </c>
      <c r="AL87" s="392" cm="1">
        <f t="array" ref="AL87">IF(AJ87="","",_xll.SNL.Clients.Office.Excel.Functions.SPG(AJ87,"SPT_YTW",$L$15,"Options:NA=NA"))</f>
        <v>5.9145799999999999</v>
      </c>
      <c r="AM87" s="392" cm="1">
        <f t="array" ref="AM87">IF(AJ87="","",_xll.SNL.Clients.Office.Excel.Functions.SPG(AJ87,"SPT_EOD_YTM_MID","EOD Close Price",$L$15,"Options:NA=NA"))</f>
        <v>5.9023899999999996</v>
      </c>
      <c r="AN87" s="3" cm="1">
        <f t="array" ref="AN87">IF(OR(AJ87="",AK87="NA"),"",_xll.SNL.Clients.Office.Excel.Functions.SPG(AJ87,"SPT_ISSUE_DATE"))</f>
        <v>42047</v>
      </c>
      <c r="AO87" s="2">
        <f>IF(OR($AJ87="",$AK87="NA",$AN87=""),"",RANK(AN87,$AN$58:$AN$1057)+COUNTIF($AN$58:AN87,AN87)-1)</f>
        <v>39</v>
      </c>
      <c r="AP87" s="3">
        <f t="shared" si="13"/>
        <v>42047</v>
      </c>
      <c r="AQ87" s="2">
        <f>IF(OR($AJ87="",$AK87="NA",$AP87=""),"",RANK(AP87,$AP$58:$AP$1057)+COUNTIF($AP$58:AP87,AP87)-1)</f>
        <v>39</v>
      </c>
      <c r="AY87" s="392"/>
      <c r="AZ87" s="3"/>
      <c r="BA87" s="2"/>
      <c r="BB87" s="3"/>
      <c r="BC87" s="2"/>
      <c r="BJ87" t="str">
        <f t="shared" ref="BJ87:BJ118" si="30">VLOOKUP(BK87,Language_Data,Lookup_Column,FALSE)</f>
        <v>Hungarian Forint</v>
      </c>
      <c r="BK87" s="403" t="s">
        <v>123</v>
      </c>
      <c r="BL87" s="404" t="s">
        <v>124</v>
      </c>
      <c r="BM87" s="404" t="s">
        <v>125</v>
      </c>
      <c r="BN87" s="405" t="s">
        <v>40</v>
      </c>
      <c r="BQ87" s="44" t="s">
        <v>4649</v>
      </c>
      <c r="BR87" s="44" t="s">
        <v>4650</v>
      </c>
    </row>
    <row r="88" spans="2:70" ht="10.5" x14ac:dyDescent="0.25">
      <c r="B88" s="7" t="str">
        <f>VLOOKUP("Multiplied by: ",Language_Data,Lookup_Column,FALSE)&amp;AA75&amp;" - "&amp;VLOOKUP("P/(D+P+E)",Language_Data,Lookup_Column,FALSE)</f>
        <v>Multiplied by: MSFT-US - P/(D+P+E)</v>
      </c>
      <c r="F88" s="108">
        <f>IFERROR(AA67/SUM(AA66,AA67,AA68),0)</f>
        <v>0</v>
      </c>
      <c r="G88" s="108"/>
      <c r="H88" s="108"/>
      <c r="J88" s="78">
        <f>J87+$F$68</f>
        <v>0.55000000000000004</v>
      </c>
      <c r="K88" s="87">
        <v>1.2444002595420382E-2</v>
      </c>
      <c r="L88" s="87">
        <v>1.6569002595420382E-2</v>
      </c>
      <c r="M88" s="87">
        <v>2.0694002595420383E-2</v>
      </c>
      <c r="N88" s="87">
        <v>2.4819002595420383E-2</v>
      </c>
      <c r="O88" s="87">
        <v>2.8944002595420383E-2</v>
      </c>
      <c r="P88" s="87">
        <v>3.3069002595420387E-2</v>
      </c>
      <c r="Q88" s="87">
        <v>3.7194002595420383E-2</v>
      </c>
      <c r="R88" s="87">
        <v>4.1319002595420387E-2</v>
      </c>
      <c r="S88" s="88">
        <v>4.5444002595420391E-2</v>
      </c>
      <c r="AC88" s="26" t="s">
        <v>4469</v>
      </c>
      <c r="AD88" s="380">
        <f t="shared" si="29"/>
        <v>2.9329999999999998</v>
      </c>
      <c r="AE88" s="381" t="s">
        <v>4470</v>
      </c>
      <c r="AF88" s="382" cm="1">
        <f t="array" ref="AF88">_xll.SNL.Clients.Office.Excel.Functions.SPG($AE88, "SP_RATE_VALUE",AF$75,"Options:NA=NA")</f>
        <v>2.9329999999999998</v>
      </c>
      <c r="AG88" s="382" t="str" cm="1">
        <f t="array" ref="AG88">_xll.SNL.Clients.Office.Excel.Functions.SPG($AE88, "SP_RATE_VALUE",AG$75,"Options:NA=NA")</f>
        <v>NA</v>
      </c>
      <c r="AH88" s="383" t="str" cm="1">
        <f t="array" ref="AH88">_xll.SNL.Clients.Office.Excel.Functions.SPG($AE88, "SP_RATE_VALUE",AH$75,"Options:NA=NA")</f>
        <v>NA</v>
      </c>
      <c r="AJ88" s="497" t="s">
        <v>4897</v>
      </c>
      <c r="AK88" s="392">
        <f t="shared" si="12"/>
        <v>5.9191200000000004</v>
      </c>
      <c r="AL88" s="392" cm="1">
        <f t="array" ref="AL88">IF(AJ88="","",_xll.SNL.Clients.Office.Excel.Functions.SPG(AJ88,"SPT_YTW",$L$15,"Options:NA=NA"))</f>
        <v>5.9191200000000004</v>
      </c>
      <c r="AM88" s="392" cm="1">
        <f t="array" ref="AM88">IF(AJ88="","",_xll.SNL.Clients.Office.Excel.Functions.SPG(AJ88,"SPT_EOD_YTM_MID","EOD Close Price",$L$15,"Options:NA=NA"))</f>
        <v>5.9107000000000003</v>
      </c>
      <c r="AN88" s="3" cm="1">
        <f t="array" ref="AN88">IF(OR(AJ88="",AK88="NA"),"",_xll.SNL.Clients.Office.Excel.Functions.SPG(AJ88,"SPT_ISSUE_DATE"))</f>
        <v>42311</v>
      </c>
      <c r="AO88" s="2">
        <f>IF(OR($AJ88="",$AK88="NA",$AN88=""),"",RANK(AN88,$AN$58:$AN$1057)+COUNTIF($AN$58:AN88,AN88)-1)</f>
        <v>36</v>
      </c>
      <c r="AP88" s="3">
        <f t="shared" si="13"/>
        <v>42311</v>
      </c>
      <c r="AQ88" s="2">
        <f>IF(OR($AJ88="",$AK88="NA",$AP88=""),"",RANK(AP88,$AP$58:$AP$1057)+COUNTIF($AP$58:AP88,AP88)-1)</f>
        <v>36</v>
      </c>
      <c r="AY88" s="392"/>
      <c r="AZ88" s="3"/>
      <c r="BA88" s="2"/>
      <c r="BB88" s="3"/>
      <c r="BC88" s="2"/>
      <c r="BJ88" t="str">
        <f t="shared" si="30"/>
        <v>Icelandic Krona</v>
      </c>
      <c r="BK88" s="403" t="s">
        <v>126</v>
      </c>
      <c r="BL88" s="404" t="s">
        <v>127</v>
      </c>
      <c r="BM88" s="404" t="s">
        <v>128</v>
      </c>
      <c r="BN88" s="405" t="s">
        <v>40</v>
      </c>
      <c r="BQ88" s="44" t="s">
        <v>356</v>
      </c>
      <c r="BR88" s="44" t="s">
        <v>4651</v>
      </c>
    </row>
    <row r="89" spans="2:70" ht="10.5" x14ac:dyDescent="0.25">
      <c r="B89" s="42" t="str">
        <f>VLOOKUP("Cost of Preferred Portion",Language_Data,Lookup_Column,FALSE)</f>
        <v>Cost of Preferred Portion</v>
      </c>
      <c r="C89" s="207"/>
      <c r="D89" s="207"/>
      <c r="E89" s="207"/>
      <c r="F89" s="110">
        <f>IFERROR((F88*F87),0)</f>
        <v>0</v>
      </c>
      <c r="G89" s="108"/>
      <c r="H89" s="108"/>
      <c r="J89" s="78">
        <f>J88+$F$68</f>
        <v>0.60000000000000009</v>
      </c>
      <c r="K89" s="87">
        <v>1.3444002595420383E-2</v>
      </c>
      <c r="L89" s="87">
        <v>1.7944002595420384E-2</v>
      </c>
      <c r="M89" s="87">
        <v>2.2444002595420384E-2</v>
      </c>
      <c r="N89" s="87">
        <v>2.6944002595420385E-2</v>
      </c>
      <c r="O89" s="87">
        <v>3.1444002595420385E-2</v>
      </c>
      <c r="P89" s="87">
        <v>3.5944002595420389E-2</v>
      </c>
      <c r="Q89" s="87">
        <v>4.0444002595420386E-2</v>
      </c>
      <c r="R89" s="87">
        <v>4.494400259542039E-2</v>
      </c>
      <c r="S89" s="88">
        <v>4.9444002595420394E-2</v>
      </c>
      <c r="AC89" s="26" t="s">
        <v>4471</v>
      </c>
      <c r="AD89" s="380" t="str">
        <f t="shared" si="29"/>
        <v>NA</v>
      </c>
      <c r="AE89" s="381" t="s">
        <v>4472</v>
      </c>
      <c r="AF89" s="382" t="str" cm="1">
        <f t="array" ref="AF89">_xll.SNL.Clients.Office.Excel.Functions.SPG($AE89, "SP_RATE_VALUE",AF$75,"Options:NA=NA")</f>
        <v>NA</v>
      </c>
      <c r="AG89" s="382" t="str" cm="1">
        <f t="array" ref="AG89">_xll.SNL.Clients.Office.Excel.Functions.SPG($AE89, "SP_RATE_VALUE",AG$75,"Options:NA=NA")</f>
        <v>NA</v>
      </c>
      <c r="AH89" s="383" t="str" cm="1">
        <f t="array" ref="AH89">_xll.SNL.Clients.Office.Excel.Functions.SPG($AE89, "SP_RATE_VALUE",AH$75,"Options:NA=NA")</f>
        <v>NA</v>
      </c>
      <c r="AJ89" s="497" t="s">
        <v>4898</v>
      </c>
      <c r="AK89" s="392">
        <f t="shared" si="12"/>
        <v>5.97736</v>
      </c>
      <c r="AL89" s="392" cm="1">
        <f t="array" ref="AL89">IF(AJ89="","",_xll.SNL.Clients.Office.Excel.Functions.SPG(AJ89,"SPT_YTW",$L$15,"Options:NA=NA"))</f>
        <v>5.97736</v>
      </c>
      <c r="AM89" s="392" cm="1">
        <f t="array" ref="AM89">IF(AJ89="","",_xll.SNL.Clients.Office.Excel.Functions.SPG(AJ89,"SPT_EOD_YTM_MID","EOD Close Price",$L$15,"Options:NA=NA"))</f>
        <v>5.9673400000000001</v>
      </c>
      <c r="AN89" s="3" cm="1">
        <f t="array" ref="AN89">IF(OR(AJ89="",AK89="NA"),"",_xll.SNL.Clients.Office.Excel.Functions.SPG(AJ89,"SPT_ISSUE_DATE"))</f>
        <v>42590</v>
      </c>
      <c r="AO89" s="2">
        <f>IF(OR($AJ89="",$AK89="NA",$AN89=""),"",RANK(AN89,$AN$58:$AN$1057)+COUNTIF($AN$58:AN89,AN89)-1)</f>
        <v>33</v>
      </c>
      <c r="AP89" s="3">
        <f t="shared" si="13"/>
        <v>42590</v>
      </c>
      <c r="AQ89" s="2">
        <f>IF(OR($AJ89="",$AK89="NA",$AP89=""),"",RANK(AP89,$AP$58:$AP$1057)+COUNTIF($AP$58:AP89,AP89)-1)</f>
        <v>33</v>
      </c>
      <c r="AY89" s="392"/>
      <c r="AZ89" s="3"/>
      <c r="BA89" s="2"/>
      <c r="BB89" s="3"/>
      <c r="BC89" s="2"/>
      <c r="BD89" s="212"/>
      <c r="BE89" s="212"/>
      <c r="BJ89" t="str">
        <f t="shared" si="30"/>
        <v>Indian Rupee</v>
      </c>
      <c r="BK89" s="403" t="s">
        <v>129</v>
      </c>
      <c r="BL89" s="404" t="s">
        <v>130</v>
      </c>
      <c r="BM89" s="404" t="s">
        <v>131</v>
      </c>
      <c r="BN89" s="405" t="s">
        <v>30</v>
      </c>
      <c r="BQ89" s="44" t="s">
        <v>4175</v>
      </c>
      <c r="BR89" s="44" t="s">
        <v>4652</v>
      </c>
    </row>
    <row r="90" spans="2:70" ht="10.5" x14ac:dyDescent="0.25">
      <c r="F90" s="2"/>
      <c r="G90" s="2"/>
      <c r="H90" s="2"/>
      <c r="J90" s="78">
        <f>J89+$F$68</f>
        <v>0.65000000000000013</v>
      </c>
      <c r="K90" s="87">
        <v>1.4444002595420384E-2</v>
      </c>
      <c r="L90" s="87">
        <v>1.9319002595420385E-2</v>
      </c>
      <c r="M90" s="87">
        <v>2.4194002595420386E-2</v>
      </c>
      <c r="N90" s="87">
        <v>2.9069002595420387E-2</v>
      </c>
      <c r="O90" s="87">
        <v>3.3944002595420388E-2</v>
      </c>
      <c r="P90" s="87">
        <v>3.8819002595420392E-2</v>
      </c>
      <c r="Q90" s="87">
        <v>4.3694002595420389E-2</v>
      </c>
      <c r="R90" s="87">
        <v>4.8569002595420394E-2</v>
      </c>
      <c r="S90" s="88">
        <v>5.3444002595420398E-2</v>
      </c>
      <c r="AC90" s="26" t="s">
        <v>4473</v>
      </c>
      <c r="AD90" s="380">
        <f t="shared" si="29"/>
        <v>2.9609999999999999</v>
      </c>
      <c r="AE90" s="381" t="s">
        <v>4474</v>
      </c>
      <c r="AF90" s="382" cm="1">
        <f t="array" ref="AF90">_xll.SNL.Clients.Office.Excel.Functions.SPG($AE90, "SP_RATE_VALUE",AF$75,"Options:NA=NA")</f>
        <v>2.9609999999999999</v>
      </c>
      <c r="AG90" s="382" t="str" cm="1">
        <f t="array" ref="AG90">_xll.SNL.Clients.Office.Excel.Functions.SPG($AE90, "SP_RATE_VALUE",AG$75,"Options:NA=NA")</f>
        <v>NA</v>
      </c>
      <c r="AH90" s="383" t="str" cm="1">
        <f t="array" ref="AH90">_xll.SNL.Clients.Office.Excel.Functions.SPG($AE90, "SP_RATE_VALUE",AH$75,"Options:NA=NA")</f>
        <v>NA</v>
      </c>
      <c r="AJ90" s="497" t="s">
        <v>4899</v>
      </c>
      <c r="AK90" s="392">
        <f t="shared" si="12"/>
        <v>5.9424799999999998</v>
      </c>
      <c r="AL90" s="392" cm="1">
        <f t="array" ref="AL90">IF(AJ90="","",_xll.SNL.Clients.Office.Excel.Functions.SPG(AJ90,"SPT_YTW",$L$15,"Options:NA=NA"))</f>
        <v>5.9424799999999998</v>
      </c>
      <c r="AM90" s="392" cm="1">
        <f t="array" ref="AM90">IF(AJ90="","",_xll.SNL.Clients.Office.Excel.Functions.SPG(AJ90,"SPT_EOD_YTM_MID","EOD Close Price",$L$15,"Options:NA=NA"))</f>
        <v>5.9314999999999998</v>
      </c>
      <c r="AN90" s="3" cm="1">
        <f t="array" ref="AN90">IF(OR(AJ90="",AK90="NA"),"",_xll.SNL.Clients.Office.Excel.Functions.SPG(AJ90,"SPT_ISSUE_DATE"))</f>
        <v>42772</v>
      </c>
      <c r="AO90" s="2">
        <f>IF(OR($AJ90="",$AK90="NA",$AN90=""),"",RANK(AN90,$AN$58:$AN$1057)+COUNTIF($AN$58:AN90,AN90)-1)</f>
        <v>30</v>
      </c>
      <c r="AP90" s="3">
        <f t="shared" si="13"/>
        <v>42772</v>
      </c>
      <c r="AQ90" s="2">
        <f>IF(OR($AJ90="",$AK90="NA",$AP90=""),"",RANK(AP90,$AP$58:$AP$1057)+COUNTIF($AP$58:AP90,AP90)-1)</f>
        <v>30</v>
      </c>
      <c r="AY90" s="392"/>
      <c r="AZ90" s="3"/>
      <c r="BA90" s="2"/>
      <c r="BB90" s="3"/>
      <c r="BC90" s="2"/>
      <c r="BD90" s="212"/>
      <c r="BE90" s="212"/>
      <c r="BJ90" t="str">
        <f t="shared" si="30"/>
        <v>Indonesian Rupiah</v>
      </c>
      <c r="BK90" s="403" t="s">
        <v>132</v>
      </c>
      <c r="BL90" s="404" t="s">
        <v>133</v>
      </c>
      <c r="BM90" s="404" t="s">
        <v>134</v>
      </c>
      <c r="BN90" s="405" t="s">
        <v>40</v>
      </c>
      <c r="BQ90" s="44" t="s">
        <v>4653</v>
      </c>
      <c r="BR90" s="44" t="s">
        <v>4654</v>
      </c>
    </row>
    <row r="91" spans="2:70" ht="11" thickBot="1" x14ac:dyDescent="0.3">
      <c r="B91" s="41" t="str">
        <f>VLOOKUP("WACC",Language_Data,Lookup_Column,FALSE)&amp;" (%)"</f>
        <v>WACC (%)</v>
      </c>
      <c r="C91" s="206"/>
      <c r="D91" s="206"/>
      <c r="E91" s="206"/>
      <c r="F91" s="111">
        <f>SUM(F89,F85,F79)</f>
        <v>0.17520888143433552</v>
      </c>
      <c r="G91" s="247"/>
      <c r="H91" s="247"/>
      <c r="J91" s="81"/>
      <c r="K91" s="69"/>
      <c r="L91" s="69"/>
      <c r="M91" s="69"/>
      <c r="N91" s="69"/>
      <c r="O91" s="69"/>
      <c r="P91" s="69"/>
      <c r="Q91" s="69"/>
      <c r="R91" s="69"/>
      <c r="S91" s="83"/>
      <c r="AC91" s="26" t="s">
        <v>4475</v>
      </c>
      <c r="AD91" s="380">
        <f t="shared" si="29"/>
        <v>3.1522899999999998</v>
      </c>
      <c r="AE91" s="381" t="s">
        <v>4476</v>
      </c>
      <c r="AF91" s="382" cm="1">
        <f t="array" ref="AF91">_xll.SNL.Clients.Office.Excel.Functions.SPG($AE91, "SP_RATE_VALUE",AF$75,"Options:NA=NA")</f>
        <v>3.1522899999999998</v>
      </c>
      <c r="AG91" s="382" t="str" cm="1">
        <f t="array" ref="AG91">_xll.SNL.Clients.Office.Excel.Functions.SPG($AE91, "SP_RATE_VALUE",AG$75,"Options:NA=NA")</f>
        <v>NA</v>
      </c>
      <c r="AH91" s="383" t="str" cm="1">
        <f t="array" ref="AH91">_xll.SNL.Clients.Office.Excel.Functions.SPG($AE91, "SP_RATE_VALUE",AH$75,"Options:NA=NA")</f>
        <v>NA</v>
      </c>
      <c r="AJ91" s="497" t="s">
        <v>4903</v>
      </c>
      <c r="AK91" s="392">
        <f t="shared" si="12"/>
        <v>7.1153199999999996</v>
      </c>
      <c r="AL91" s="392" cm="1">
        <f t="array" ref="AL91">IF(AJ91="","",_xll.SNL.Clients.Office.Excel.Functions.SPG(AJ91,"SPT_YTW",$L$15,"Options:NA=NA"))</f>
        <v>7.1153199999999996</v>
      </c>
      <c r="AM91" s="392" cm="1">
        <f t="array" ref="AM91">IF(AJ91="","",_xll.SNL.Clients.Office.Excel.Functions.SPG(AJ91,"SPT_EOD_YTM_MID","EOD Close Price",$L$15,"Options:NA=NA"))</f>
        <v>7.10358</v>
      </c>
      <c r="AN91" s="3" cm="1">
        <f t="array" ref="AN91">IF(OR(AJ91="",AK91="NA"),"",_xll.SNL.Clients.Office.Excel.Functions.SPG(AJ91,"SPT_ISSUE_DATE"))</f>
        <v>42881</v>
      </c>
      <c r="AO91" s="2">
        <f>IF(OR($AJ91="",$AK91="NA",$AN91=""),"",RANK(AN91,$AN$58:$AN$1057)+COUNTIF($AN$58:AN91,AN91)-1)</f>
        <v>27</v>
      </c>
      <c r="AP91" s="3">
        <f t="shared" si="13"/>
        <v>42881</v>
      </c>
      <c r="AQ91" s="2">
        <f>IF(OR($AJ91="",$AK91="NA",$AP91=""),"",RANK(AP91,$AP$58:$AP$1057)+COUNTIF($AP$58:AP91,AP91)-1)</f>
        <v>27</v>
      </c>
      <c r="AY91" s="392"/>
      <c r="AZ91" s="3"/>
      <c r="BA91" s="2"/>
      <c r="BB91" s="3"/>
      <c r="BC91" s="2"/>
      <c r="BD91" s="212"/>
      <c r="BE91" s="212"/>
      <c r="BJ91" t="str">
        <f t="shared" si="30"/>
        <v>Jordanian Dinar</v>
      </c>
      <c r="BK91" s="403" t="s">
        <v>135</v>
      </c>
      <c r="BL91" s="404" t="s">
        <v>136</v>
      </c>
      <c r="BM91" s="404" t="s">
        <v>137</v>
      </c>
      <c r="BN91" s="405" t="s">
        <v>30</v>
      </c>
      <c r="BQ91" s="44" t="s">
        <v>4655</v>
      </c>
      <c r="BR91" s="44" t="s">
        <v>4656</v>
      </c>
    </row>
    <row r="92" spans="2:70" x14ac:dyDescent="0.2">
      <c r="B92" s="7" t="str">
        <f>VLOOKUP("(1) Unlevered Beta = Levered Beta / ( 1 + ((D/E) * (1 - T)) + P/E)",Language_Data,Lookup_Column,FALSE)</f>
        <v>(1) Unlevered Beta = Levered Beta / ( 1 + ((D/E) * (1 - T)) + P/E)</v>
      </c>
      <c r="AC92" s="26" t="s">
        <v>4477</v>
      </c>
      <c r="AD92" s="380">
        <f t="shared" si="29"/>
        <v>6.4340000000000002</v>
      </c>
      <c r="AE92" s="381" t="s">
        <v>4478</v>
      </c>
      <c r="AF92" s="382" cm="1">
        <f t="array" ref="AF92">_xll.SNL.Clients.Office.Excel.Functions.SPG($AE92, "SP_RATE_VALUE",AF$75,"Options:NA=NA")</f>
        <v>6.4340000000000002</v>
      </c>
      <c r="AG92" s="382" t="str" cm="1">
        <f t="array" ref="AG92">_xll.SNL.Clients.Office.Excel.Functions.SPG($AE92, "SP_RATE_VALUE",AG$75,"Options:NA=NA")</f>
        <v>NA</v>
      </c>
      <c r="AH92" s="383" t="str" cm="1">
        <f t="array" ref="AH92">_xll.SNL.Clients.Office.Excel.Functions.SPG($AE92, "SP_RATE_VALUE",AH$75,"Options:NA=NA")</f>
        <v>NA</v>
      </c>
      <c r="AJ92" s="497" t="s">
        <v>4901</v>
      </c>
      <c r="AK92" s="392">
        <f t="shared" si="12"/>
        <v>5.9602199999999996</v>
      </c>
      <c r="AL92" s="392" cm="1">
        <f t="array" ref="AL92">IF(AJ92="","",_xll.SNL.Clients.Office.Excel.Functions.SPG(AJ92,"SPT_YTW",$L$15,"Options:NA=NA"))</f>
        <v>5.9602199999999996</v>
      </c>
      <c r="AM92" s="392" cm="1">
        <f t="array" ref="AM92">IF(AJ92="","",_xll.SNL.Clients.Office.Excel.Functions.SPG(AJ92,"SPT_EOD_YTM_MID","EOD Close Price",$L$15,"Options:NA=NA"))</f>
        <v>5.9462599999999997</v>
      </c>
      <c r="AN92" s="3" cm="1">
        <f t="array" ref="AN92">IF(OR(AJ92="",AK92="NA"),"",_xll.SNL.Clients.Office.Excel.Functions.SPG(AJ92,"SPT_ISSUE_DATE"))</f>
        <v>45447</v>
      </c>
      <c r="AO92" s="2">
        <f>IF(OR($AJ92="",$AK92="NA",$AN92=""),"",RANK(AN92,$AN$58:$AN$1057)+COUNTIF($AN$58:AN92,AN92)-1)</f>
        <v>4</v>
      </c>
      <c r="AP92" s="3">
        <f t="shared" si="13"/>
        <v>45447</v>
      </c>
      <c r="AQ92" s="2">
        <f>IF(OR($AJ92="",$AK92="NA",$AP92=""),"",RANK(AP92,$AP$58:$AP$1057)+COUNTIF($AP$58:AP92,AP92)-1)</f>
        <v>4</v>
      </c>
      <c r="AY92" s="392"/>
      <c r="AZ92" s="3"/>
      <c r="BA92" s="2"/>
      <c r="BB92" s="3"/>
      <c r="BC92" s="2"/>
      <c r="BD92" s="212"/>
      <c r="BE92" s="212"/>
      <c r="BJ92" t="str">
        <f t="shared" si="30"/>
        <v>Kazakhstan Tenge</v>
      </c>
      <c r="BK92" s="403" t="s">
        <v>138</v>
      </c>
      <c r="BL92" s="404" t="s">
        <v>139</v>
      </c>
      <c r="BM92" s="404" t="s">
        <v>139</v>
      </c>
      <c r="BN92" s="405" t="s">
        <v>30</v>
      </c>
      <c r="BQ92" s="44" t="s">
        <v>4657</v>
      </c>
      <c r="BR92" s="44" t="s">
        <v>4658</v>
      </c>
    </row>
    <row r="93" spans="2:70" x14ac:dyDescent="0.2">
      <c r="B93" s="7" t="str">
        <f>VLOOKUP("(2) Levered Beta = Unlevered Beta * ( 1 + ((D/E) * (1 - T)) + P/E)",Language_Data,Lookup_Column,FALSE)</f>
        <v>(2) Levered Beta = Unlevered Beta * ( 1 + ((D/E) * (1 - T)) + P/E)</v>
      </c>
      <c r="AC93" s="26" t="s">
        <v>4479</v>
      </c>
      <c r="AD93" s="380">
        <f t="shared" si="29"/>
        <v>6.8419999999999996</v>
      </c>
      <c r="AE93" s="381" t="s">
        <v>4480</v>
      </c>
      <c r="AF93" s="382" cm="1">
        <f t="array" ref="AF93">_xll.SNL.Clients.Office.Excel.Functions.SPG($AE93, "SP_RATE_VALUE",AF$75,"Options:NA=NA")</f>
        <v>6.8419999999999996</v>
      </c>
      <c r="AG93" s="382" t="str" cm="1">
        <f t="array" ref="AG93">_xll.SNL.Clients.Office.Excel.Functions.SPG($AE93, "SP_RATE_VALUE",AG$75,"Options:NA=NA")</f>
        <v>NA</v>
      </c>
      <c r="AH93" s="383" t="str" cm="1">
        <f t="array" ref="AH93">_xll.SNL.Clients.Office.Excel.Functions.SPG($AE93, "SP_RATE_VALUE",AH$75,"Options:NA=NA")</f>
        <v>NA</v>
      </c>
      <c r="AJ93" s="497" t="s">
        <v>4900</v>
      </c>
      <c r="AK93" s="392">
        <f t="shared" si="12"/>
        <v>5.9602199999999996</v>
      </c>
      <c r="AL93" s="392" cm="1">
        <f t="array" ref="AL93">IF(AJ93="","",_xll.SNL.Clients.Office.Excel.Functions.SPG(AJ93,"SPT_YTW",$L$15,"Options:NA=NA"))</f>
        <v>5.9602199999999996</v>
      </c>
      <c r="AM93" s="392" cm="1">
        <f t="array" ref="AM93">IF(AJ93="","",_xll.SNL.Clients.Office.Excel.Functions.SPG(AJ93,"SPT_EOD_YTM_MID","EOD Close Price",$L$15,"Options:NA=NA"))</f>
        <v>5.9462599999999997</v>
      </c>
      <c r="AN93" s="3" cm="1">
        <f t="array" ref="AN93">IF(OR(AJ93="",AK93="NA"),"",_xll.SNL.Clients.Office.Excel.Functions.SPG(AJ93,"SPT_ISSUE_DATE"))</f>
        <v>45236</v>
      </c>
      <c r="AO93" s="2">
        <f>IF(OR($AJ93="",$AK93="NA",$AN93=""),"",RANK(AN93,$AN$58:$AN$1057)+COUNTIF($AN$58:AN93,AN93)-1)</f>
        <v>14</v>
      </c>
      <c r="AP93" s="3">
        <f t="shared" si="13"/>
        <v>45236</v>
      </c>
      <c r="AQ93" s="2">
        <f>IF(OR($AJ93="",$AK93="NA",$AP93=""),"",RANK(AP93,$AP$58:$AP$1057)+COUNTIF($AP$58:AP93,AP93)-1)</f>
        <v>14</v>
      </c>
      <c r="AY93" s="392"/>
      <c r="AZ93" s="3"/>
      <c r="BA93" s="2"/>
      <c r="BB93" s="3"/>
      <c r="BC93" s="2"/>
      <c r="BJ93" t="str">
        <f t="shared" si="30"/>
        <v>Kenyan Shilling</v>
      </c>
      <c r="BK93" s="403" t="s">
        <v>140</v>
      </c>
      <c r="BL93" s="404" t="s">
        <v>141</v>
      </c>
      <c r="BM93" s="404" t="s">
        <v>142</v>
      </c>
      <c r="BN93" s="405" t="s">
        <v>30</v>
      </c>
      <c r="BQ93" s="44" t="s">
        <v>346</v>
      </c>
      <c r="BR93" s="44" t="s">
        <v>4659</v>
      </c>
    </row>
    <row r="94" spans="2:70" ht="10.5" x14ac:dyDescent="0.25">
      <c r="B94" s="138" t="str">
        <f>VLOOKUP("Source: S&amp;P Capital IQ Pro",Language_Data,Lookup_Column,FALSE)</f>
        <v>Source: S&amp;P Capital IQ Pro</v>
      </c>
      <c r="AC94" s="26" t="s">
        <v>4481</v>
      </c>
      <c r="AD94" s="380">
        <f t="shared" si="29"/>
        <v>2.923</v>
      </c>
      <c r="AE94" s="381" t="s">
        <v>4482</v>
      </c>
      <c r="AF94" s="382" cm="1">
        <f t="array" ref="AF94">_xll.SNL.Clients.Office.Excel.Functions.SPG($AE94, "SP_RATE_VALUE",AF$75,"Options:NA=NA")</f>
        <v>2.923</v>
      </c>
      <c r="AG94" s="382" t="str" cm="1">
        <f t="array" ref="AG94">_xll.SNL.Clients.Office.Excel.Functions.SPG($AE94, "SP_RATE_VALUE",AG$75,"Options:NA=NA")</f>
        <v>NA</v>
      </c>
      <c r="AH94" s="383" t="str" cm="1">
        <f t="array" ref="AH94">_xll.SNL.Clients.Office.Excel.Functions.SPG($AE94, "SP_RATE_VALUE",AH$75,"Options:NA=NA")</f>
        <v>NA</v>
      </c>
      <c r="AJ94" s="497" t="s">
        <v>4904</v>
      </c>
      <c r="AK94" s="392">
        <f t="shared" si="12"/>
        <v>5.9602199999999996</v>
      </c>
      <c r="AL94" s="392" cm="1">
        <f t="array" ref="AL94">IF(AJ94="","",_xll.SNL.Clients.Office.Excel.Functions.SPG(AJ94,"SPT_YTW",$L$15,"Options:NA=NA"))</f>
        <v>5.9602199999999996</v>
      </c>
      <c r="AM94" s="392" cm="1">
        <f t="array" ref="AM94">IF(AJ94="","",_xll.SNL.Clients.Office.Excel.Functions.SPG(AJ94,"SPT_EOD_YTM_MID","EOD Close Price",$L$15,"Options:NA=NA"))</f>
        <v>5.9462599999999997</v>
      </c>
      <c r="AN94" s="3" cm="1">
        <f t="array" ref="AN94">IF(OR(AJ94="",AK94="NA"),"",_xll.SNL.Clients.Office.Excel.Functions.SPG(AJ94,"SPT_ISSUE_DATE"))</f>
        <v>45236</v>
      </c>
      <c r="AO94" s="2">
        <f>IF(OR($AJ94="",$AK94="NA",$AN94=""),"",RANK(AN94,$AN$58:$AN$1057)+COUNTIF($AN$58:AN94,AN94)-1)</f>
        <v>15</v>
      </c>
      <c r="AP94" s="3">
        <f t="shared" si="13"/>
        <v>45236</v>
      </c>
      <c r="AQ94" s="2">
        <f>IF(OR($AJ94="",$AK94="NA",$AP94=""),"",RANK(AP94,$AP$58:$AP$1057)+COUNTIF($AP$58:AP94,AP94)-1)</f>
        <v>15</v>
      </c>
      <c r="AY94" s="392"/>
      <c r="AZ94" s="3"/>
      <c r="BA94" s="2"/>
      <c r="BB94" s="3"/>
      <c r="BC94" s="2"/>
      <c r="BJ94" t="str">
        <f t="shared" si="30"/>
        <v>Kuwaiti Dinar</v>
      </c>
      <c r="BK94" s="403" t="s">
        <v>143</v>
      </c>
      <c r="BL94" s="404" t="s">
        <v>144</v>
      </c>
      <c r="BM94" s="404" t="s">
        <v>145</v>
      </c>
      <c r="BN94" s="405" t="s">
        <v>30</v>
      </c>
      <c r="BQ94" s="44" t="s">
        <v>374</v>
      </c>
      <c r="BR94" s="44" t="s">
        <v>4660</v>
      </c>
    </row>
    <row r="95" spans="2:70" x14ac:dyDescent="0.2">
      <c r="AC95" s="26" t="s">
        <v>4483</v>
      </c>
      <c r="AD95" s="380">
        <f t="shared" si="29"/>
        <v>3.5649999999999999</v>
      </c>
      <c r="AE95" s="381" t="s">
        <v>4484</v>
      </c>
      <c r="AF95" s="382" cm="1">
        <f t="array" ref="AF95">_xll.SNL.Clients.Office.Excel.Functions.SPG($AE95, "SP_RATE_VALUE",AF$75,"Options:NA=NA")</f>
        <v>3.5649999999999999</v>
      </c>
      <c r="AG95" s="382" t="str" cm="1">
        <f t="array" ref="AG95">_xll.SNL.Clients.Office.Excel.Functions.SPG($AE95, "SP_RATE_VALUE",AG$75,"Options:NA=NA")</f>
        <v>NA</v>
      </c>
      <c r="AH95" s="383" t="str" cm="1">
        <f t="array" ref="AH95">_xll.SNL.Clients.Office.Excel.Functions.SPG($AE95, "SP_RATE_VALUE",AH$75,"Options:NA=NA")</f>
        <v>NA</v>
      </c>
      <c r="AJ95" s="497" t="s">
        <v>4902</v>
      </c>
      <c r="AK95" s="392">
        <f t="shared" si="12"/>
        <v>5.9602199999999996</v>
      </c>
      <c r="AL95" s="392" cm="1">
        <f t="array" ref="AL95">IF(AJ95="","",_xll.SNL.Clients.Office.Excel.Functions.SPG(AJ95,"SPT_YTW",$L$15,"Options:NA=NA"))</f>
        <v>5.9602199999999996</v>
      </c>
      <c r="AM95" s="392" cm="1">
        <f t="array" ref="AM95">IF(AJ95="","",_xll.SNL.Clients.Office.Excel.Functions.SPG(AJ95,"SPT_EOD_YTM_MID","EOD Close Price",$L$15,"Options:NA=NA"))</f>
        <v>5.9462599999999997</v>
      </c>
      <c r="AN95" s="3" cm="1">
        <f t="array" ref="AN95">IF(OR(AJ95="",AK95="NA"),"",_xll.SNL.Clients.Office.Excel.Functions.SPG(AJ95,"SPT_ISSUE_DATE"))</f>
        <v>45236</v>
      </c>
      <c r="AO95" s="2">
        <f>IF(OR($AJ95="",$AK95="NA",$AN95=""),"",RANK(AN95,$AN$58:$AN$1057)+COUNTIF($AN$58:AN95,AN95)-1)</f>
        <v>16</v>
      </c>
      <c r="AP95" s="3">
        <f t="shared" si="13"/>
        <v>45236</v>
      </c>
      <c r="AQ95" s="2">
        <f>IF(OR($AJ95="",$AK95="NA",$AP95=""),"",RANK(AP95,$AP$58:$AP$1057)+COUNTIF($AP$58:AP95,AP95)-1)</f>
        <v>16</v>
      </c>
      <c r="AY95" s="392"/>
      <c r="AZ95" s="3"/>
      <c r="BA95" s="2"/>
      <c r="BB95" s="3"/>
      <c r="BC95" s="2"/>
      <c r="BJ95" t="str">
        <f t="shared" si="30"/>
        <v>Kyrgyzstani Som</v>
      </c>
      <c r="BK95" s="403" t="s">
        <v>146</v>
      </c>
      <c r="BL95" s="404" t="s">
        <v>147</v>
      </c>
      <c r="BM95" s="404" t="s">
        <v>148</v>
      </c>
      <c r="BN95" s="405" t="s">
        <v>30</v>
      </c>
      <c r="BQ95" s="44" t="s">
        <v>357</v>
      </c>
      <c r="BR95" s="44" t="s">
        <v>4661</v>
      </c>
    </row>
    <row r="96" spans="2:70" x14ac:dyDescent="0.2">
      <c r="AC96" s="26" t="s">
        <v>4485</v>
      </c>
      <c r="AD96" s="380">
        <f t="shared" si="29"/>
        <v>3.3769999999999998</v>
      </c>
      <c r="AE96" s="381" t="s">
        <v>4486</v>
      </c>
      <c r="AF96" s="382" cm="1">
        <f t="array" ref="AF96">_xll.SNL.Clients.Office.Excel.Functions.SPG($AE96, "SP_RATE_VALUE",AF$75,"Options:NA=NA")</f>
        <v>3.3769999999999998</v>
      </c>
      <c r="AG96" s="382" t="str" cm="1">
        <f t="array" ref="AG96">_xll.SNL.Clients.Office.Excel.Functions.SPG($AE96, "SP_RATE_VALUE",AG$75,"Options:NA=NA")</f>
        <v>NA</v>
      </c>
      <c r="AH96" s="383" t="str" cm="1">
        <f t="array" ref="AH96">_xll.SNL.Clients.Office.Excel.Functions.SPG($AE96, "SP_RATE_VALUE",AH$75,"Options:NA=NA")</f>
        <v>NA</v>
      </c>
      <c r="AJ96" s="497" t="s">
        <v>4905</v>
      </c>
      <c r="AK96" s="392">
        <f t="shared" si="12"/>
        <v>6.0996699999999997</v>
      </c>
      <c r="AL96" s="392" cm="1">
        <f t="array" ref="AL96">IF(AJ96="","",_xll.SNL.Clients.Office.Excel.Functions.SPG(AJ96,"SPT_YTW",$L$15,"Options:NA=NA"))</f>
        <v>6.0996699999999997</v>
      </c>
      <c r="AM96" s="392" cm="1">
        <f t="array" ref="AM96">IF(AJ96="","",_xll.SNL.Clients.Office.Excel.Functions.SPG(AJ96,"SPT_EOD_YTM_MID","EOD Close Price",$L$15,"Options:NA=NA"))</f>
        <v>6.0920100000000001</v>
      </c>
      <c r="AN96" s="3" cm="1">
        <f t="array" ref="AN96">IF(OR(AJ96="",AK96="NA"),"",_xll.SNL.Clients.Office.Excel.Functions.SPG(AJ96,"SPT_ISSUE_DATE"))</f>
        <v>43983</v>
      </c>
      <c r="AO96" s="2">
        <f>IF(OR($AJ96="",$AK96="NA",$AN96=""),"",RANK(AN96,$AN$58:$AN$1057)+COUNTIF($AN$58:AN96,AN96)-1)</f>
        <v>23</v>
      </c>
      <c r="AP96" s="3">
        <f t="shared" si="13"/>
        <v>43983</v>
      </c>
      <c r="AQ96" s="2">
        <f>IF(OR($AJ96="",$AK96="NA",$AP96=""),"",RANK(AP96,$AP$58:$AP$1057)+COUNTIF($AP$58:AP96,AP96)-1)</f>
        <v>23</v>
      </c>
      <c r="AY96" s="392"/>
      <c r="AZ96" s="3"/>
      <c r="BA96" s="2"/>
      <c r="BB96" s="3"/>
      <c r="BC96" s="2"/>
      <c r="BJ96" t="str">
        <f t="shared" si="30"/>
        <v>Macedonian Denar</v>
      </c>
      <c r="BK96" s="403" t="s">
        <v>149</v>
      </c>
      <c r="BL96" s="404" t="s">
        <v>150</v>
      </c>
      <c r="BM96" s="404" t="s">
        <v>150</v>
      </c>
      <c r="BN96" s="405" t="s">
        <v>30</v>
      </c>
      <c r="BQ96" s="44" t="s">
        <v>379</v>
      </c>
      <c r="BR96" s="44" t="s">
        <v>4662</v>
      </c>
    </row>
    <row r="97" spans="2:70" ht="10.5" x14ac:dyDescent="0.25">
      <c r="B97" s="92" t="str">
        <f>VLOOKUP("PROJECTED CASH FLOWS",Language_Data,Lookup_Column,FALSE)</f>
        <v>PROJECTED CASH FLOWS</v>
      </c>
      <c r="C97" s="93"/>
      <c r="D97" s="93"/>
      <c r="E97" s="93"/>
      <c r="F97" s="93"/>
      <c r="G97" s="93"/>
      <c r="H97" s="93"/>
      <c r="I97" s="93"/>
      <c r="J97" s="94"/>
      <c r="K97" s="94"/>
      <c r="L97" s="94"/>
      <c r="M97" s="94"/>
      <c r="N97" s="94"/>
      <c r="O97" s="94"/>
      <c r="P97" s="94"/>
      <c r="Q97" s="94"/>
      <c r="R97" s="94"/>
      <c r="S97" s="95"/>
      <c r="AC97" s="26" t="s">
        <v>4487</v>
      </c>
      <c r="AD97" s="380">
        <f t="shared" si="29"/>
        <v>2.1591</v>
      </c>
      <c r="AE97" s="381" t="s">
        <v>4488</v>
      </c>
      <c r="AF97" s="382" cm="1">
        <f t="array" ref="AF97">_xll.SNL.Clients.Office.Excel.Functions.SPG($AE97, "SP_RATE_VALUE",AF$75,"Options:NA=NA")</f>
        <v>2.1591</v>
      </c>
      <c r="AG97" s="382" t="str" cm="1">
        <f t="array" ref="AG97">_xll.SNL.Clients.Office.Excel.Functions.SPG($AE97, "SP_RATE_VALUE",AG$75,"Options:NA=NA")</f>
        <v>NA</v>
      </c>
      <c r="AH97" s="383" t="str" cm="1">
        <f t="array" ref="AH97">_xll.SNL.Clients.Office.Excel.Functions.SPG($AE97, "SP_RATE_VALUE",AH$75,"Options:NA=NA")</f>
        <v>NA</v>
      </c>
      <c r="AJ97" s="497" t="s">
        <v>4909</v>
      </c>
      <c r="AK97" s="392">
        <f t="shared" si="12"/>
        <v>6.9989999999999997</v>
      </c>
      <c r="AL97" s="392" cm="1">
        <f t="array" ref="AL97">IF(AJ97="","",_xll.SNL.Clients.Office.Excel.Functions.SPG(AJ97,"SPT_YTW",$L$15,"Options:NA=NA"))</f>
        <v>6.9989999999999997</v>
      </c>
      <c r="AM97" s="392" cm="1">
        <f t="array" ref="AM97">IF(AJ97="","",_xll.SNL.Clients.Office.Excel.Functions.SPG(AJ97,"SPT_EOD_YTM_MID","EOD Close Price",$L$15,"Options:NA=NA"))</f>
        <v>6.9928600000000003</v>
      </c>
      <c r="AN97" s="3" cm="1">
        <f t="array" ref="AN97">IF(OR(AJ97="",AK97="NA"),"",_xll.SNL.Clients.Office.Excel.Functions.SPG(AJ97,"SPT_ISSUE_DATE"))</f>
        <v>44053</v>
      </c>
      <c r="AO97" s="2">
        <f>IF(OR($AJ97="",$AK97="NA",$AN97=""),"",RANK(AN97,$AN$58:$AN$1057)+COUNTIF($AN$58:AN97,AN97)-1)</f>
        <v>22</v>
      </c>
      <c r="AP97" s="3">
        <f t="shared" si="13"/>
        <v>44053</v>
      </c>
      <c r="AQ97" s="2">
        <f>IF(OR($AJ97="",$AK97="NA",$AP97=""),"",RANK(AP97,$AP$58:$AP$1057)+COUNTIF($AP$58:AP97,AP97)-1)</f>
        <v>22</v>
      </c>
      <c r="AY97" s="392"/>
      <c r="AZ97" s="3"/>
      <c r="BA97" s="2"/>
      <c r="BB97" s="3"/>
      <c r="BC97" s="2"/>
      <c r="BJ97" t="str">
        <f t="shared" si="30"/>
        <v>Malaysian Ringgit</v>
      </c>
      <c r="BK97" s="403" t="s">
        <v>151</v>
      </c>
      <c r="BL97" s="404" t="s">
        <v>152</v>
      </c>
      <c r="BM97" s="404" t="s">
        <v>153</v>
      </c>
      <c r="BN97" s="405" t="s">
        <v>30</v>
      </c>
      <c r="BQ97" s="44" t="s">
        <v>339</v>
      </c>
      <c r="BR97" s="44" t="s">
        <v>4663</v>
      </c>
    </row>
    <row r="98" spans="2:70" x14ac:dyDescent="0.2">
      <c r="B98" s="142" t="str">
        <f>"("&amp;CAP_CURR&amp;" "&amp;VLOOKUP("in",Language_Data,Lookup_Column,FALSE)&amp;" "&amp;CAP_MAG&amp;VLOOKUP(", except per share data)",Language_Data,Lookup_Column,FALSE)</f>
        <v>(USD In Millions, except per share data)</v>
      </c>
      <c r="AC98" s="26" t="s">
        <v>4489</v>
      </c>
      <c r="AD98" s="380">
        <f t="shared" si="29"/>
        <v>9.52</v>
      </c>
      <c r="AE98" s="381" t="s">
        <v>4490</v>
      </c>
      <c r="AF98" s="382" cm="1">
        <f t="array" ref="AF98">_xll.SNL.Clients.Office.Excel.Functions.SPG($AE98, "SP_RATE_VALUE",AF$75,"Options:NA=NA")</f>
        <v>9.52</v>
      </c>
      <c r="AG98" s="382" t="str" cm="1">
        <f t="array" ref="AG98">_xll.SNL.Clients.Office.Excel.Functions.SPG($AE98, "SP_RATE_VALUE",AG$75,"Options:NA=NA")</f>
        <v>NA</v>
      </c>
      <c r="AH98" s="383" t="str" cm="1">
        <f t="array" ref="AH98">_xll.SNL.Clients.Office.Excel.Functions.SPG($AE98, "SP_RATE_VALUE",AH$75,"Options:NA=NA")</f>
        <v>NA</v>
      </c>
      <c r="AJ98" s="497" t="s">
        <v>4907</v>
      </c>
      <c r="AK98" s="392">
        <f t="shared" si="12"/>
        <v>6.0724600000000004</v>
      </c>
      <c r="AL98" s="392" cm="1">
        <f t="array" ref="AL98">IF(AJ98="","",_xll.SNL.Clients.Office.Excel.Functions.SPG(AJ98,"SPT_YTW",$L$15,"Options:NA=NA"))</f>
        <v>6.0724600000000004</v>
      </c>
      <c r="AM98" s="392" cm="1">
        <f t="array" ref="AM98">IF(AJ98="","",_xll.SNL.Clients.Office.Excel.Functions.SPG(AJ98,"SPT_EOD_YTM_MID","EOD Close Price",$L$15,"Options:NA=NA"))</f>
        <v>6.0648400000000002</v>
      </c>
      <c r="AN98" s="3" cm="1">
        <f t="array" ref="AN98">IF(OR(AJ98="",AK98="NA"),"",_xll.SNL.Clients.Office.Excel.Functions.SPG(AJ98,"SPT_ISSUE_DATE"))</f>
        <v>45236</v>
      </c>
      <c r="AO98" s="2">
        <f>IF(OR($AJ98="",$AK98="NA",$AN98=""),"",RANK(AN98,$AN$58:$AN$1057)+COUNTIF($AN$58:AN98,AN98)-1)</f>
        <v>17</v>
      </c>
      <c r="AP98" s="3">
        <f t="shared" si="13"/>
        <v>45236</v>
      </c>
      <c r="AQ98" s="2">
        <f>IF(OR($AJ98="",$AK98="NA",$AP98=""),"",RANK(AP98,$AP$58:$AP$1057)+COUNTIF($AP$58:AP98,AP98)-1)</f>
        <v>17</v>
      </c>
      <c r="AY98" s="392"/>
      <c r="AZ98" s="3"/>
      <c r="BA98" s="2"/>
      <c r="BB98" s="3"/>
      <c r="BC98" s="2"/>
      <c r="BJ98" t="str">
        <f t="shared" si="30"/>
        <v>Mexican Peso</v>
      </c>
      <c r="BK98" s="403" t="s">
        <v>154</v>
      </c>
      <c r="BL98" s="404" t="s">
        <v>155</v>
      </c>
      <c r="BM98" s="404" t="s">
        <v>156</v>
      </c>
      <c r="BN98" s="405" t="s">
        <v>30</v>
      </c>
      <c r="BQ98" s="44" t="s">
        <v>380</v>
      </c>
      <c r="BR98" s="44" t="s">
        <v>4664</v>
      </c>
    </row>
    <row r="99" spans="2:70" ht="10.5" hidden="1" outlineLevel="1" x14ac:dyDescent="0.25">
      <c r="B99" s="30"/>
      <c r="G99" s="216"/>
      <c r="H99" s="216" t="str">
        <f t="shared" ref="H99:M99" si="31">MI_ID</f>
        <v>MSFT</v>
      </c>
      <c r="I99" s="216" t="str">
        <f t="shared" si="31"/>
        <v>MSFT</v>
      </c>
      <c r="J99" s="216" t="str">
        <f t="shared" si="31"/>
        <v>MSFT</v>
      </c>
      <c r="K99" s="216" t="str">
        <f t="shared" si="31"/>
        <v>MSFT</v>
      </c>
      <c r="L99" s="216" t="str">
        <f t="shared" si="31"/>
        <v>MSFT</v>
      </c>
      <c r="M99" s="216" t="str">
        <f t="shared" si="31"/>
        <v>MSFT</v>
      </c>
      <c r="AC99" s="26" t="s">
        <v>4491</v>
      </c>
      <c r="AD99" s="380">
        <f t="shared" si="29"/>
        <v>3.54</v>
      </c>
      <c r="AE99" s="381" t="s">
        <v>4492</v>
      </c>
      <c r="AF99" s="382" cm="1">
        <f t="array" ref="AF99">_xll.SNL.Clients.Office.Excel.Functions.SPG($AE99, "SP_RATE_VALUE",AF$75,"Options:NA=NA")</f>
        <v>3.54</v>
      </c>
      <c r="AG99" s="382" t="str" cm="1">
        <f t="array" ref="AG99">_xll.SNL.Clients.Office.Excel.Functions.SPG($AE99, "SP_RATE_VALUE",AG$75,"Options:NA=NA")</f>
        <v>NA</v>
      </c>
      <c r="AH99" s="383" t="str" cm="1">
        <f t="array" ref="AH99">_xll.SNL.Clients.Office.Excel.Functions.SPG($AE99, "SP_RATE_VALUE",AH$75,"Options:NA=NA")</f>
        <v>NA</v>
      </c>
      <c r="AJ99" s="497" t="s">
        <v>4906</v>
      </c>
      <c r="AK99" s="392">
        <f t="shared" si="12"/>
        <v>6.0724600000000004</v>
      </c>
      <c r="AL99" s="392" cm="1">
        <f t="array" ref="AL99">IF(AJ99="","",_xll.SNL.Clients.Office.Excel.Functions.SPG(AJ99,"SPT_YTW",$L$15,"Options:NA=NA"))</f>
        <v>6.0724600000000004</v>
      </c>
      <c r="AM99" s="392" cm="1">
        <f t="array" ref="AM99">IF(AJ99="","",_xll.SNL.Clients.Office.Excel.Functions.SPG(AJ99,"SPT_EOD_YTM_MID","EOD Close Price",$L$15,"Options:NA=NA"))</f>
        <v>6.0648400000000002</v>
      </c>
      <c r="AN99" s="3" cm="1">
        <f t="array" ref="AN99">IF(OR(AJ99="",AK99="NA"),"",_xll.SNL.Clients.Office.Excel.Functions.SPG(AJ99,"SPT_ISSUE_DATE"))</f>
        <v>45236</v>
      </c>
      <c r="AO99" s="2">
        <f>IF(OR($AJ99="",$AK99="NA",$AN99=""),"",RANK(AN99,$AN$58:$AN$1057)+COUNTIF($AN$58:AN99,AN99)-1)</f>
        <v>18</v>
      </c>
      <c r="AP99" s="3">
        <f t="shared" si="13"/>
        <v>45236</v>
      </c>
      <c r="AQ99" s="2">
        <f>IF(OR($AJ99="",$AK99="NA",$AP99=""),"",RANK(AP99,$AP$58:$AP$1057)+COUNTIF($AP$58:AP99,AP99)-1)</f>
        <v>18</v>
      </c>
      <c r="AY99" s="392"/>
      <c r="AZ99" s="3"/>
      <c r="BA99" s="2"/>
      <c r="BB99" s="3"/>
      <c r="BC99" s="2"/>
      <c r="BJ99" t="str">
        <f t="shared" si="30"/>
        <v>Moldovan Leu</v>
      </c>
      <c r="BK99" s="403" t="s">
        <v>157</v>
      </c>
      <c r="BL99" s="404" t="s">
        <v>158</v>
      </c>
      <c r="BM99" s="404" t="s">
        <v>158</v>
      </c>
      <c r="BN99" s="405" t="s">
        <v>30</v>
      </c>
      <c r="BQ99" s="44" t="s">
        <v>266</v>
      </c>
      <c r="BR99" s="44" t="s">
        <v>4665</v>
      </c>
    </row>
    <row r="100" spans="2:70" hidden="1" outlineLevel="1" x14ac:dyDescent="0.2">
      <c r="B100" s="142"/>
      <c r="G100" s="215"/>
      <c r="H100" s="215" t="s">
        <v>4246</v>
      </c>
      <c r="I100" s="215" t="s">
        <v>4245</v>
      </c>
      <c r="J100" s="215" t="s">
        <v>4244</v>
      </c>
      <c r="K100" s="215" t="s">
        <v>4243</v>
      </c>
      <c r="L100" s="215" t="s">
        <v>4242</v>
      </c>
      <c r="M100" s="216" t="s">
        <v>4241</v>
      </c>
      <c r="AC100" s="26" t="s">
        <v>4493</v>
      </c>
      <c r="AD100" s="380">
        <f t="shared" si="29"/>
        <v>8.3770000000000007</v>
      </c>
      <c r="AE100" s="381" t="s">
        <v>4494</v>
      </c>
      <c r="AF100" s="382" cm="1">
        <f t="array" ref="AF100">_xll.SNL.Clients.Office.Excel.Functions.SPG($AE100, "SP_RATE_VALUE",AF$75,"Options:NA=NA")</f>
        <v>8.3770000000000007</v>
      </c>
      <c r="AG100" s="382" t="str" cm="1">
        <f t="array" ref="AG100">_xll.SNL.Clients.Office.Excel.Functions.SPG($AE100, "SP_RATE_VALUE",AG$75,"Options:NA=NA")</f>
        <v>NA</v>
      </c>
      <c r="AH100" s="383" t="str" cm="1">
        <f t="array" ref="AH100">_xll.SNL.Clients.Office.Excel.Functions.SPG($AE100, "SP_RATE_VALUE",AH$75,"Options:NA=NA")</f>
        <v>NA</v>
      </c>
      <c r="AJ100" s="497" t="s">
        <v>4908</v>
      </c>
      <c r="AK100" s="392">
        <f t="shared" si="12"/>
        <v>6.0724600000000004</v>
      </c>
      <c r="AL100" s="392" cm="1">
        <f t="array" ref="AL100">IF(AJ100="","",_xll.SNL.Clients.Office.Excel.Functions.SPG(AJ100,"SPT_YTW",$L$15,"Options:NA=NA"))</f>
        <v>6.0724600000000004</v>
      </c>
      <c r="AM100" s="392" cm="1">
        <f t="array" ref="AM100">IF(AJ100="","",_xll.SNL.Clients.Office.Excel.Functions.SPG(AJ100,"SPT_EOD_YTM_MID","EOD Close Price",$L$15,"Options:NA=NA"))</f>
        <v>6.0648400000000002</v>
      </c>
      <c r="AN100" s="3" cm="1">
        <f t="array" ref="AN100">IF(OR(AJ100="",AK100="NA"),"",_xll.SNL.Clients.Office.Excel.Functions.SPG(AJ100,"SPT_ISSUE_DATE"))</f>
        <v>45447</v>
      </c>
      <c r="AO100" s="2">
        <f>IF(OR($AJ100="",$AK100="NA",$AN100=""),"",RANK(AN100,$AN$58:$AN$1057)+COUNTIF($AN$58:AN100,AN100)-1)</f>
        <v>5</v>
      </c>
      <c r="AP100" s="3">
        <f t="shared" si="13"/>
        <v>45447</v>
      </c>
      <c r="AQ100" s="2">
        <f>IF(OR($AJ100="",$AK100="NA",$AP100=""),"",RANK(AP100,$AP$58:$AP$1057)+COUNTIF($AP$58:AP100,AP100)-1)</f>
        <v>5</v>
      </c>
      <c r="AY100" s="392"/>
      <c r="AZ100" s="3"/>
      <c r="BA100" s="2"/>
      <c r="BB100" s="3"/>
      <c r="BC100" s="2"/>
      <c r="BJ100" t="str">
        <f t="shared" si="30"/>
        <v>Mongolian Tugrik</v>
      </c>
      <c r="BK100" s="403" t="s">
        <v>159</v>
      </c>
      <c r="BL100" s="404" t="s">
        <v>160</v>
      </c>
      <c r="BM100" s="404" t="s">
        <v>161</v>
      </c>
      <c r="BN100" s="405" t="s">
        <v>40</v>
      </c>
      <c r="BQ100" s="44" t="s">
        <v>313</v>
      </c>
      <c r="BR100" s="44" t="s">
        <v>4666</v>
      </c>
    </row>
    <row r="101" spans="2:70" hidden="1" outlineLevel="1" x14ac:dyDescent="0.2">
      <c r="B101" s="7"/>
      <c r="H101" s="31">
        <f t="shared" ref="H101:M101" si="32">$L$15</f>
        <v>46251</v>
      </c>
      <c r="I101" s="31">
        <f t="shared" si="32"/>
        <v>46251</v>
      </c>
      <c r="J101" s="31">
        <f t="shared" si="32"/>
        <v>46251</v>
      </c>
      <c r="K101" s="31">
        <f t="shared" si="32"/>
        <v>46251</v>
      </c>
      <c r="L101" s="31">
        <f t="shared" si="32"/>
        <v>46251</v>
      </c>
      <c r="M101" s="31">
        <f t="shared" si="32"/>
        <v>46251</v>
      </c>
      <c r="AC101" s="26" t="s">
        <v>4495</v>
      </c>
      <c r="AD101" s="380">
        <f t="shared" si="29"/>
        <v>4.1420000000000003</v>
      </c>
      <c r="AE101" s="381" t="s">
        <v>4496</v>
      </c>
      <c r="AF101" s="382" cm="1">
        <f t="array" ref="AF101">_xll.SNL.Clients.Office.Excel.Functions.SPG($AE101, "SP_RATE_VALUE",AF$75,"Options:NA=NA")</f>
        <v>4.1420000000000003</v>
      </c>
      <c r="AG101" s="382" t="str" cm="1">
        <f t="array" ref="AG101">_xll.SNL.Clients.Office.Excel.Functions.SPG($AE101, "SP_RATE_VALUE",AG$75,"Options:NA=NA")</f>
        <v>NA</v>
      </c>
      <c r="AH101" s="383" t="str" cm="1">
        <f t="array" ref="AH101">_xll.SNL.Clients.Office.Excel.Functions.SPG($AE101, "SP_RATE_VALUE",AH$75,"Options:NA=NA")</f>
        <v>NA</v>
      </c>
      <c r="AJ101" s="497" t="s">
        <v>4910</v>
      </c>
      <c r="AK101" s="392">
        <f t="shared" si="12"/>
        <v>6.0966199999999997</v>
      </c>
      <c r="AL101" s="392" cm="1">
        <f t="array" ref="AL101">IF(AJ101="","",_xll.SNL.Clients.Office.Excel.Functions.SPG(AJ101,"SPT_YTW",$L$15,"Options:NA=NA"))</f>
        <v>6.0966199999999997</v>
      </c>
      <c r="AM101" s="392" cm="1">
        <f t="array" ref="AM101">IF(AJ101="","",_xll.SNL.Clients.Office.Excel.Functions.SPG(AJ101,"SPT_EOD_YTM_MID","EOD Close Price",$L$15,"Options:NA=NA"))</f>
        <v>6.0889300000000004</v>
      </c>
      <c r="AN101" s="3" cm="1">
        <f t="array" ref="AN101">IF(OR(AJ101="",AK101="NA"),"",_xll.SNL.Clients.Office.Excel.Functions.SPG(AJ101,"SPT_ISSUE_DATE"))</f>
        <v>44272</v>
      </c>
      <c r="AO101" s="2">
        <f>IF(OR($AJ101="",$AK101="NA",$AN101=""),"",RANK(AN101,$AN$58:$AN$1057)+COUNTIF($AN$58:AN101,AN101)-1)</f>
        <v>19</v>
      </c>
      <c r="AP101" s="3">
        <f t="shared" si="13"/>
        <v>44272</v>
      </c>
      <c r="AQ101" s="2">
        <f>IF(OR($AJ101="",$AK101="NA",$AP101=""),"",RANK(AP101,$AP$58:$AP$1057)+COUNTIF($AP$58:AP101,AP101)-1)</f>
        <v>19</v>
      </c>
      <c r="AY101" s="392"/>
      <c r="AZ101" s="3"/>
      <c r="BA101" s="2"/>
      <c r="BB101" s="3"/>
      <c r="BC101" s="2"/>
      <c r="BJ101" t="str">
        <f t="shared" si="30"/>
        <v>Moroccan Dirham</v>
      </c>
      <c r="BK101" s="403" t="s">
        <v>162</v>
      </c>
      <c r="BL101" s="404" t="s">
        <v>163</v>
      </c>
      <c r="BM101" s="404" t="s">
        <v>164</v>
      </c>
      <c r="BN101" s="405" t="s">
        <v>30</v>
      </c>
      <c r="BQ101" s="44" t="s">
        <v>314</v>
      </c>
      <c r="BR101" s="44" t="s">
        <v>4667</v>
      </c>
    </row>
    <row r="102" spans="2:70" ht="10.5" collapsed="1" x14ac:dyDescent="0.25">
      <c r="B102" s="7"/>
      <c r="H102" s="15"/>
      <c r="I102" s="146" t="str">
        <f>VLOOKUP("Fiscal Year Ending",Language_Data,Lookup_Column,FALSE)&amp;" "&amp;VLOOKUP("December",Language_Data,Lookup_Column,FALSE)</f>
        <v>Fiscal Year Ending December</v>
      </c>
      <c r="J102" s="141"/>
      <c r="K102" s="141"/>
      <c r="L102" s="141"/>
      <c r="M102" s="141"/>
      <c r="N102" s="141"/>
      <c r="O102" s="141"/>
      <c r="P102" s="141"/>
      <c r="Q102" s="141"/>
      <c r="R102" s="15"/>
      <c r="S102" s="147" t="str">
        <f>VLOOKUP("CAGR",Language_Data,Lookup_Column,FALSE)</f>
        <v>CAGR</v>
      </c>
      <c r="W102" s="7"/>
      <c r="X102" s="7"/>
      <c r="Y102" s="7"/>
      <c r="Z102" s="7"/>
      <c r="AA102" s="7"/>
      <c r="AB102" s="7"/>
      <c r="AC102" s="26" t="s">
        <v>4497</v>
      </c>
      <c r="AD102" s="380">
        <f t="shared" si="29"/>
        <v>4.3620000000000001</v>
      </c>
      <c r="AE102" s="381" t="s">
        <v>4498</v>
      </c>
      <c r="AF102" s="382" cm="1">
        <f t="array" ref="AF102">_xll.SNL.Clients.Office.Excel.Functions.SPG($AE102, "SP_RATE_VALUE",AF$75,"Options:NA=NA")</f>
        <v>4.3620000000000001</v>
      </c>
      <c r="AG102" s="382" t="str" cm="1">
        <f t="array" ref="AG102">_xll.SNL.Clients.Office.Excel.Functions.SPG($AE102, "SP_RATE_VALUE",AG$75,"Options:NA=NA")</f>
        <v>NA</v>
      </c>
      <c r="AH102" s="383" t="str" cm="1">
        <f t="array" ref="AH102">_xll.SNL.Clients.Office.Excel.Functions.SPG($AE102, "SP_RATE_VALUE",AH$75,"Options:NA=NA")</f>
        <v>NA</v>
      </c>
      <c r="AJ102" s="497" t="s">
        <v>4911</v>
      </c>
      <c r="AK102" s="392">
        <f t="shared" si="12"/>
        <v>5.9909100000000004</v>
      </c>
      <c r="AL102" s="392" cm="1">
        <f t="array" ref="AL102">IF(AJ102="","",_xll.SNL.Clients.Office.Excel.Functions.SPG(AJ102,"SPT_YTW",$L$15,"Options:NA=NA"))</f>
        <v>5.9909100000000004</v>
      </c>
      <c r="AM102" s="392" cm="1">
        <f t="array" ref="AM102">IF(AJ102="","",_xll.SNL.Clients.Office.Excel.Functions.SPG(AJ102,"SPT_EOD_YTM_MID","EOD Close Price",$L$15,"Options:NA=NA"))</f>
        <v>5.9746499999999996</v>
      </c>
      <c r="AN102" s="3" cm="1">
        <f t="array" ref="AN102">IF(OR(AJ102="",AK102="NA"),"",_xll.SNL.Clients.Office.Excel.Functions.SPG(AJ102,"SPT_ISSUE_DATE"))</f>
        <v>42047</v>
      </c>
      <c r="AO102" s="2">
        <f>IF(OR($AJ102="",$AK102="NA",$AN102=""),"",RANK(AN102,$AN$58:$AN$1057)+COUNTIF($AN$58:AN102,AN102)-1)</f>
        <v>40</v>
      </c>
      <c r="AP102" s="3">
        <f t="shared" si="13"/>
        <v>42047</v>
      </c>
      <c r="AQ102" s="2">
        <f>IF(OR($AJ102="",$AK102="NA",$AP102=""),"",RANK(AP102,$AP$58:$AP$1057)+COUNTIF($AP$58:AP102,AP102)-1)</f>
        <v>40</v>
      </c>
      <c r="AY102" s="392"/>
      <c r="AZ102" s="3"/>
      <c r="BA102" s="2"/>
      <c r="BB102" s="3"/>
      <c r="BC102" s="2"/>
      <c r="BJ102" t="str">
        <f t="shared" si="30"/>
        <v>New Israeli Shekel</v>
      </c>
      <c r="BK102" s="403" t="s">
        <v>165</v>
      </c>
      <c r="BL102" s="404" t="s">
        <v>166</v>
      </c>
      <c r="BM102" s="404" t="s">
        <v>167</v>
      </c>
      <c r="BN102" s="405" t="s">
        <v>30</v>
      </c>
      <c r="BQ102" s="44" t="s">
        <v>267</v>
      </c>
      <c r="BR102" s="44" t="s">
        <v>4668</v>
      </c>
    </row>
    <row r="103" spans="2:70" ht="10.5" x14ac:dyDescent="0.25">
      <c r="B103" s="7"/>
      <c r="G103" s="34" t="s">
        <v>4247</v>
      </c>
      <c r="H103" s="245" t="str" cm="1">
        <f t="array" ref="H103">_xll.SNL.Clients.Office.Excel.Functions.SPG(H$99,$G103,H$100,H$101)</f>
        <v>2021</v>
      </c>
      <c r="I103" s="245" t="str" cm="1">
        <f t="array" ref="I103">_xll.SNL.Clients.Office.Excel.Functions.SPG(I$99,$G103,I$100,I$101)</f>
        <v>2022</v>
      </c>
      <c r="J103" s="245" t="str" cm="1">
        <f t="array" ref="J103">_xll.SNL.Clients.Office.Excel.Functions.SPG(J$99,$G103,J$100,J$101)</f>
        <v>2023</v>
      </c>
      <c r="K103" s="245" t="str" cm="1">
        <f t="array" ref="K103">_xll.SNL.Clients.Office.Excel.Functions.SPG(K$99,$G103,K$100,K$101)</f>
        <v>2024</v>
      </c>
      <c r="L103" s="245" t="str" cm="1">
        <f t="array" ref="L103">_xll.SNL.Clients.Office.Excel.Functions.SPG(L$99,$G103,L$100,L$101)</f>
        <v>2025</v>
      </c>
      <c r="M103" s="245" t="str" cm="1">
        <f t="array" ref="M103">_xll.SNL.Clients.Office.Excel.Functions.SPG(M$99,$G103,M$100,M$101)</f>
        <v>2026</v>
      </c>
      <c r="N103" s="237">
        <f>IF(M103="","",IFERROR(M103+1,""""))</f>
        <v>2027</v>
      </c>
      <c r="O103" s="237">
        <f>IF(N103="","",IFERROR(N103+1,""""))</f>
        <v>2028</v>
      </c>
      <c r="P103" s="237">
        <f>IF(O103="","",IFERROR(O103+1,""""))</f>
        <v>2029</v>
      </c>
      <c r="Q103" s="237">
        <f>IF(P103="","",IFERROR(P103+1,""""))</f>
        <v>2030</v>
      </c>
      <c r="R103" s="237">
        <f>IF(Q103="","",IFERROR(Q103+1,""""))</f>
        <v>2031</v>
      </c>
      <c r="S103" s="148" t="str">
        <f>IF(AND(N103="",R103=""),"",N103&amp;"-"&amp;R103)</f>
        <v>2027-2031</v>
      </c>
      <c r="W103" s="7"/>
      <c r="X103" s="7"/>
      <c r="Y103" s="7"/>
      <c r="Z103" s="7"/>
      <c r="AA103" s="7"/>
      <c r="AB103" s="7"/>
      <c r="AC103" s="26" t="s">
        <v>4499</v>
      </c>
      <c r="AD103" s="380">
        <f t="shared" si="29"/>
        <v>6.9749999999999996</v>
      </c>
      <c r="AE103" s="381" t="s">
        <v>4500</v>
      </c>
      <c r="AF103" s="382" cm="1">
        <f t="array" ref="AF103">_xll.SNL.Clients.Office.Excel.Functions.SPG($AE103, "SP_RATE_VALUE",AF$75,"Options:NA=NA")</f>
        <v>6.9749999999999996</v>
      </c>
      <c r="AG103" s="382" t="str" cm="1">
        <f t="array" ref="AG103">_xll.SNL.Clients.Office.Excel.Functions.SPG($AE103, "SP_RATE_VALUE",AG$75,"Options:NA=NA")</f>
        <v>NA</v>
      </c>
      <c r="AH103" s="383" t="str" cm="1">
        <f t="array" ref="AH103">_xll.SNL.Clients.Office.Excel.Functions.SPG($AE103, "SP_RATE_VALUE",AH$75,"Options:NA=NA")</f>
        <v>NA</v>
      </c>
      <c r="AJ103" s="497" t="s">
        <v>4912</v>
      </c>
      <c r="AK103" s="392">
        <f t="shared" si="12"/>
        <v>6.0328499999999998</v>
      </c>
      <c r="AL103" s="392" cm="1">
        <f t="array" ref="AL103">IF(AJ103="","",_xll.SNL.Clients.Office.Excel.Functions.SPG(AJ103,"SPT_YTW",$L$15,"Options:NA=NA"))</f>
        <v>6.0328499999999998</v>
      </c>
      <c r="AM103" s="392" cm="1">
        <f t="array" ref="AM103">IF(AJ103="","",_xll.SNL.Clients.Office.Excel.Functions.SPG(AJ103,"SPT_EOD_YTM_MID","EOD Close Price",$L$15,"Options:NA=NA"))</f>
        <v>6.01816</v>
      </c>
      <c r="AN103" s="3" cm="1">
        <f t="array" ref="AN103">IF(OR(AJ103="",AK103="NA"),"",_xll.SNL.Clients.Office.Excel.Functions.SPG(AJ103,"SPT_ISSUE_DATE"))</f>
        <v>42311</v>
      </c>
      <c r="AO103" s="2">
        <f>IF(OR($AJ103="",$AK103="NA",$AN103=""),"",RANK(AN103,$AN$58:$AN$1057)+COUNTIF($AN$58:AN103,AN103)-1)</f>
        <v>37</v>
      </c>
      <c r="AP103" s="3">
        <f t="shared" si="13"/>
        <v>42311</v>
      </c>
      <c r="AQ103" s="2">
        <f>IF(OR($AJ103="",$AK103="NA",$AP103=""),"",RANK(AP103,$AP$58:$AP$1057)+COUNTIF($AP$58:AP103,AP103)-1)</f>
        <v>37</v>
      </c>
      <c r="AY103" s="392"/>
      <c r="AZ103" s="3"/>
      <c r="BA103" s="2"/>
      <c r="BB103" s="3"/>
      <c r="BC103" s="2"/>
      <c r="BJ103" t="str">
        <f t="shared" si="30"/>
        <v>New Taiwan Dollar</v>
      </c>
      <c r="BK103" s="403" t="s">
        <v>168</v>
      </c>
      <c r="BL103" s="404" t="s">
        <v>169</v>
      </c>
      <c r="BM103" s="404" t="s">
        <v>170</v>
      </c>
      <c r="BN103" s="405" t="s">
        <v>30</v>
      </c>
      <c r="BQ103" s="44" t="s">
        <v>315</v>
      </c>
      <c r="BR103" s="44" t="s">
        <v>4669</v>
      </c>
    </row>
    <row r="104" spans="2:70" x14ac:dyDescent="0.2">
      <c r="B104" s="7"/>
      <c r="H104" s="160"/>
      <c r="I104" s="255"/>
      <c r="J104" s="255"/>
      <c r="K104" s="255"/>
      <c r="L104" s="255"/>
      <c r="M104" s="255"/>
      <c r="N104" s="255"/>
      <c r="O104" s="255"/>
      <c r="P104" s="255"/>
      <c r="Q104" s="255"/>
      <c r="R104" s="255"/>
      <c r="S104" s="212"/>
      <c r="W104" s="7"/>
      <c r="X104" s="7"/>
      <c r="Y104" s="7"/>
      <c r="Z104" s="255"/>
      <c r="AA104" s="255"/>
      <c r="AB104" s="255"/>
      <c r="AC104" s="26" t="s">
        <v>4501</v>
      </c>
      <c r="AD104" s="380">
        <f t="shared" si="29"/>
        <v>3.06</v>
      </c>
      <c r="AE104" s="381" t="s">
        <v>4502</v>
      </c>
      <c r="AF104" s="382" cm="1">
        <f t="array" ref="AF104">_xll.SNL.Clients.Office.Excel.Functions.SPG($AE104, "SP_RATE_VALUE",AF$75,"Options:NA=NA")</f>
        <v>3.06</v>
      </c>
      <c r="AG104" s="382" t="str" cm="1">
        <f t="array" ref="AG104">_xll.SNL.Clients.Office.Excel.Functions.SPG($AE104, "SP_RATE_VALUE",AG$75,"Options:NA=NA")</f>
        <v>NA</v>
      </c>
      <c r="AH104" s="383" t="str" cm="1">
        <f t="array" ref="AH104">_xll.SNL.Clients.Office.Excel.Functions.SPG($AE104, "SP_RATE_VALUE",AH$75,"Options:NA=NA")</f>
        <v>NA</v>
      </c>
      <c r="AJ104" s="497" t="s">
        <v>4913</v>
      </c>
      <c r="AK104" s="392">
        <f t="shared" si="12"/>
        <v>6.1326299999999998</v>
      </c>
      <c r="AL104" s="392" cm="1">
        <f t="array" ref="AL104">IF(AJ104="","",_xll.SNL.Clients.Office.Excel.Functions.SPG(AJ104,"SPT_YTW",$L$15,"Options:NA=NA"))</f>
        <v>6.1326299999999998</v>
      </c>
      <c r="AM104" s="392" cm="1">
        <f t="array" ref="AM104">IF(AJ104="","",_xll.SNL.Clients.Office.Excel.Functions.SPG(AJ104,"SPT_EOD_YTM_MID","EOD Close Price",$L$15,"Options:NA=NA"))</f>
        <v>6.1262999999999996</v>
      </c>
      <c r="AN104" s="3" cm="1">
        <f t="array" ref="AN104">IF(OR(AJ104="",AK104="NA"),"",_xll.SNL.Clients.Office.Excel.Functions.SPG(AJ104,"SPT_ISSUE_DATE"))</f>
        <v>42590</v>
      </c>
      <c r="AO104" s="2">
        <f>IF(OR($AJ104="",$AK104="NA",$AN104=""),"",RANK(AN104,$AN$58:$AN$1057)+COUNTIF($AN$58:AN104,AN104)-1)</f>
        <v>34</v>
      </c>
      <c r="AP104" s="3">
        <f t="shared" si="13"/>
        <v>42590</v>
      </c>
      <c r="AQ104" s="2">
        <f>IF(OR($AJ104="",$AK104="NA",$AP104=""),"",RANK(AP104,$AP$58:$AP$1057)+COUNTIF($AP$58:AP104,AP104)-1)</f>
        <v>34</v>
      </c>
      <c r="AY104" s="392"/>
      <c r="AZ104" s="3"/>
      <c r="BA104" s="2"/>
      <c r="BB104" s="3"/>
      <c r="BC104" s="2"/>
      <c r="BJ104" t="str">
        <f t="shared" si="30"/>
        <v>New Zealand Dollar</v>
      </c>
      <c r="BK104" s="403" t="s">
        <v>171</v>
      </c>
      <c r="BL104" s="404" t="s">
        <v>172</v>
      </c>
      <c r="BM104" s="404" t="s">
        <v>173</v>
      </c>
      <c r="BN104" s="405" t="s">
        <v>30</v>
      </c>
      <c r="BQ104" s="44" t="s">
        <v>384</v>
      </c>
      <c r="BR104" s="44" t="s">
        <v>4670</v>
      </c>
    </row>
    <row r="105" spans="2:70" x14ac:dyDescent="0.2">
      <c r="B105" s="7" t="str">
        <f>VLOOKUP("Total Revenue",Language_Data,Lookup_Column,FALSE)</f>
        <v>Total Revenue</v>
      </c>
      <c r="G105" s="34" t="s">
        <v>516</v>
      </c>
      <c r="H105" s="6" cm="1">
        <f t="array" ref="H105">_xll.SNL.Clients.Office.Excel.Functions.SPG(H$99,$G105,H$100,H$101,"Options:Curr="&amp;$BL$52&amp;",Mag="&amp;$BK$135&amp;",ConvMethod="&amp;$BL$145&amp;",NA=0")</f>
        <v>168088</v>
      </c>
      <c r="I105" s="6" cm="1">
        <f t="array" ref="I105">_xll.SNL.Clients.Office.Excel.Functions.SPG(I$99,$G105,I$100,I$101,"Options:Curr="&amp;$BL$52&amp;",Mag="&amp;$BK$135&amp;",ConvMethod="&amp;$BL$145&amp;",NA=0")</f>
        <v>198270</v>
      </c>
      <c r="J105" s="6" cm="1">
        <f t="array" ref="J105">_xll.SNL.Clients.Office.Excel.Functions.SPG(J$99,$G105,J$100,J$101,"Options:Curr="&amp;$BL$52&amp;",Mag="&amp;$BK$135&amp;",ConvMethod="&amp;$BL$145&amp;",NA=0")</f>
        <v>211915</v>
      </c>
      <c r="K105" s="6" cm="1">
        <f t="array" ref="K105">_xll.SNL.Clients.Office.Excel.Functions.SPG(K$99,$G105,K$100,K$101,"Options:Curr="&amp;$BL$52&amp;",Mag="&amp;$BK$135&amp;",ConvMethod="&amp;$BL$145&amp;",NA=0")</f>
        <v>245122</v>
      </c>
      <c r="L105" s="6" cm="1">
        <f t="array" ref="L105">_xll.SNL.Clients.Office.Excel.Functions.SPG(L$99,$G105,L$100,L$101,"Options:Curr="&amp;$BL$52&amp;",Mag="&amp;$BK$135&amp;",ConvMethod="&amp;$BL$145&amp;",NA=0")</f>
        <v>281724</v>
      </c>
      <c r="M105" s="6" cm="1">
        <f t="array" ref="M105">_xll.SNL.Clients.Office.Excel.Functions.SPG(M$99,$G105,M$100,M$101,"Options:Curr="&amp;$BL$52&amp;",Mag="&amp;$BK$135&amp;",ConvMethod="&amp;$BL$145&amp;",NA=0")</f>
        <v>331839</v>
      </c>
      <c r="N105" s="218">
        <f>IFERROR(M105*(1+N106),"NA")</f>
        <v>390868.80038974318</v>
      </c>
      <c r="O105" s="218">
        <f>IFERROR(N105*(1+O106),"NA")</f>
        <v>460399.22708939243</v>
      </c>
      <c r="P105" s="218">
        <f>IFERROR(O105*(1+P106),"NA")</f>
        <v>542298.2036252392</v>
      </c>
      <c r="Q105" s="218">
        <f>IFERROR(P105*(1+Q106),"NA")</f>
        <v>638765.93258932768</v>
      </c>
      <c r="R105" s="218">
        <f>IFERROR(Q105*(1+R106),"NA")</f>
        <v>752394.00372176291</v>
      </c>
      <c r="S105" s="157">
        <f>IFERROR((R105/N105)^(1/4)-1,"NA")</f>
        <v>0.17788686799846665</v>
      </c>
      <c r="W105" s="7"/>
      <c r="X105" s="7"/>
      <c r="Y105" s="160"/>
      <c r="Z105" s="160"/>
      <c r="AA105" s="160"/>
      <c r="AB105" s="160"/>
      <c r="AC105" s="26" t="s">
        <v>4503</v>
      </c>
      <c r="AD105" s="380">
        <f t="shared" si="29"/>
        <v>15.91</v>
      </c>
      <c r="AE105" s="381" t="s">
        <v>4504</v>
      </c>
      <c r="AF105" s="382" cm="1">
        <f t="array" ref="AF105">_xll.SNL.Clients.Office.Excel.Functions.SPG($AE105, "SP_RATE_VALUE",AF$75,"Options:NA=NA")</f>
        <v>15.91</v>
      </c>
      <c r="AG105" s="382" t="str" cm="1">
        <f t="array" ref="AG105">_xll.SNL.Clients.Office.Excel.Functions.SPG($AE105, "SP_RATE_VALUE",AG$75,"Options:NA=NA")</f>
        <v>NA</v>
      </c>
      <c r="AH105" s="383" t="str" cm="1">
        <f t="array" ref="AH105">_xll.SNL.Clients.Office.Excel.Functions.SPG($AE105, "SP_RATE_VALUE",AH$75,"Options:NA=NA")</f>
        <v>NA</v>
      </c>
      <c r="AJ105" s="497" t="s">
        <v>4914</v>
      </c>
      <c r="AK105" s="392">
        <f t="shared" si="12"/>
        <v>6.0339200000000002</v>
      </c>
      <c r="AL105" s="392" cm="1">
        <f t="array" ref="AL105">IF(AJ105="","",_xll.SNL.Clients.Office.Excel.Functions.SPG(AJ105,"SPT_YTW",$L$15,"Options:NA=NA"))</f>
        <v>6.0339200000000002</v>
      </c>
      <c r="AM105" s="392" cm="1">
        <f t="array" ref="AM105">IF(AJ105="","",_xll.SNL.Clients.Office.Excel.Functions.SPG(AJ105,"SPT_EOD_YTM_MID","EOD Close Price",$L$15,"Options:NA=NA"))</f>
        <v>6.0257300000000003</v>
      </c>
      <c r="AN105" s="3" cm="1">
        <f t="array" ref="AN105">IF(OR(AJ105="",AK105="NA"),"",_xll.SNL.Clients.Office.Excel.Functions.SPG(AJ105,"SPT_ISSUE_DATE"))</f>
        <v>42772</v>
      </c>
      <c r="AO105" s="2">
        <f>IF(OR($AJ105="",$AK105="NA",$AN105=""),"",RANK(AN105,$AN$58:$AN$1057)+COUNTIF($AN$58:AN105,AN105)-1)</f>
        <v>31</v>
      </c>
      <c r="AP105" s="3">
        <f t="shared" si="13"/>
        <v>42772</v>
      </c>
      <c r="AQ105" s="2">
        <f>IF(OR($AJ105="",$AK105="NA",$AP105=""),"",RANK(AP105,$AP$58:$AP$1057)+COUNTIF($AP$58:AP105,AP105)-1)</f>
        <v>31</v>
      </c>
      <c r="AY105" s="392"/>
      <c r="AZ105" s="3"/>
      <c r="BA105" s="2"/>
      <c r="BB105" s="3"/>
      <c r="BC105" s="2"/>
      <c r="BJ105" t="str">
        <f t="shared" si="30"/>
        <v>Norwegian Krone</v>
      </c>
      <c r="BK105" s="403" t="s">
        <v>174</v>
      </c>
      <c r="BL105" s="404" t="s">
        <v>175</v>
      </c>
      <c r="BM105" s="404" t="s">
        <v>176</v>
      </c>
      <c r="BN105" s="405" t="s">
        <v>30</v>
      </c>
      <c r="BQ105" s="44" t="s">
        <v>321</v>
      </c>
      <c r="BR105" s="44" t="s">
        <v>4671</v>
      </c>
    </row>
    <row r="106" spans="2:70" x14ac:dyDescent="0.2">
      <c r="B106" s="143" t="str">
        <f>VLOOKUP("Annual Growth",Language_Data,Lookup_Column,FALSE)</f>
        <v>Annual Growth</v>
      </c>
      <c r="G106" s="34"/>
      <c r="H106" s="248"/>
      <c r="I106" s="2"/>
      <c r="J106" s="157">
        <f>IF(ISERROR(+J105/I105-1),"NA",+J105/I105-1)</f>
        <v>6.8820295556564215E-2</v>
      </c>
      <c r="K106" s="157">
        <f>IF(ISERROR(+K105/J105-1),"NA",+K105/J105-1)</f>
        <v>0.1566996201307127</v>
      </c>
      <c r="L106" s="157">
        <f>IF(ISERROR(+L105/K105-1),"NA",+L105/K105-1)</f>
        <v>0.14932156232406713</v>
      </c>
      <c r="M106" s="157">
        <f>IF(ISERROR(+M105/L105-1),"NA",+M105/L105-1)</f>
        <v>0.17788686799846665</v>
      </c>
      <c r="N106" s="239">
        <f>M106</f>
        <v>0.17788686799846665</v>
      </c>
      <c r="O106" s="157">
        <f>N106</f>
        <v>0.17788686799846665</v>
      </c>
      <c r="P106" s="157">
        <f>O106</f>
        <v>0.17788686799846665</v>
      </c>
      <c r="Q106" s="157">
        <f>P106</f>
        <v>0.17788686799846665</v>
      </c>
      <c r="R106" s="157">
        <f>Q106</f>
        <v>0.17788686799846665</v>
      </c>
      <c r="S106" s="2"/>
      <c r="W106" s="7"/>
      <c r="X106" s="7"/>
      <c r="Y106" s="160"/>
      <c r="Z106" s="160"/>
      <c r="AA106" s="160"/>
      <c r="AB106" s="160"/>
      <c r="AC106" s="26" t="s">
        <v>4505</v>
      </c>
      <c r="AD106" s="380">
        <f t="shared" si="29"/>
        <v>1.94</v>
      </c>
      <c r="AE106" s="381" t="s">
        <v>4506</v>
      </c>
      <c r="AF106" s="382" cm="1">
        <f t="array" ref="AF106">_xll.SNL.Clients.Office.Excel.Functions.SPG($AE106, "SP_RATE_VALUE",AF$75,"Options:NA=NA")</f>
        <v>1.94</v>
      </c>
      <c r="AG106" s="382" t="str" cm="1">
        <f t="array" ref="AG106">_xll.SNL.Clients.Office.Excel.Functions.SPG($AE106, "SP_RATE_VALUE",AG$75,"Options:NA=NA")</f>
        <v>NA</v>
      </c>
      <c r="AH106" s="383" t="str" cm="1">
        <f t="array" ref="AH106">_xll.SNL.Clients.Office.Excel.Functions.SPG($AE106, "SP_RATE_VALUE",AH$75,"Options:NA=NA")</f>
        <v>NA</v>
      </c>
      <c r="AJ106" s="497" t="s">
        <v>4915</v>
      </c>
      <c r="AK106" s="392">
        <f t="shared" si="12"/>
        <v>6.1336399999999998</v>
      </c>
      <c r="AL106" s="392" cm="1">
        <f t="array" ref="AL106">IF(AJ106="","",_xll.SNL.Clients.Office.Excel.Functions.SPG(AJ106,"SPT_YTW",$L$15,"Options:NA=NA"))</f>
        <v>6.1336399999999998</v>
      </c>
      <c r="AM106" s="392" cm="1">
        <f t="array" ref="AM106">IF(AJ106="","",_xll.SNL.Clients.Office.Excel.Functions.SPG(AJ106,"SPT_EOD_YTM_MID","EOD Close Price",$L$15,"Options:NA=NA"))</f>
        <v>6.1271500000000003</v>
      </c>
      <c r="AN106" s="3" cm="1">
        <f t="array" ref="AN106">IF(OR(AJ106="",AK106="NA"),"",_xll.SNL.Clients.Office.Excel.Functions.SPG(AJ106,"SPT_ISSUE_DATE"))</f>
        <v>43983</v>
      </c>
      <c r="AO106" s="2">
        <f>IF(OR($AJ106="",$AK106="NA",$AN106=""),"",RANK(AN106,$AN$58:$AN$1057)+COUNTIF($AN$58:AN106,AN106)-1)</f>
        <v>24</v>
      </c>
      <c r="AP106" s="3">
        <f t="shared" si="13"/>
        <v>43983</v>
      </c>
      <c r="AQ106" s="2">
        <f>IF(OR($AJ106="",$AK106="NA",$AP106=""),"",RANK(AP106,$AP$58:$AP$1057)+COUNTIF($AP$58:AP106,AP106)-1)</f>
        <v>24</v>
      </c>
      <c r="AY106" s="392"/>
      <c r="AZ106" s="3"/>
      <c r="BA106" s="2"/>
      <c r="BB106" s="3"/>
      <c r="BC106" s="2"/>
      <c r="BJ106" t="str">
        <f t="shared" si="30"/>
        <v>Omani Rial</v>
      </c>
      <c r="BK106" s="403" t="s">
        <v>177</v>
      </c>
      <c r="BL106" s="404" t="s">
        <v>178</v>
      </c>
      <c r="BM106" s="404" t="s">
        <v>179</v>
      </c>
      <c r="BN106" s="405" t="s">
        <v>30</v>
      </c>
      <c r="BQ106" s="44" t="s">
        <v>4672</v>
      </c>
      <c r="BR106" s="44" t="s">
        <v>4673</v>
      </c>
    </row>
    <row r="107" spans="2:70" x14ac:dyDescent="0.2">
      <c r="B107" s="7" t="str">
        <f>VLOOKUP("Cost of Revenue",Language_Data,Lookup_Column,FALSE)</f>
        <v>Cost of Revenue</v>
      </c>
      <c r="G107" s="34" t="s">
        <v>500</v>
      </c>
      <c r="H107" s="6" cm="1">
        <f t="array" ref="H107">_xll.SNL.Clients.Office.Excel.Functions.SPG(H$99,$G107,H$100,H$101,"Options:Curr="&amp;$BL$52&amp;",Mag="&amp;$BK$135&amp;",ConvMethod="&amp;$BL$145&amp;",NA=0")</f>
        <v>52232</v>
      </c>
      <c r="I107" s="6" cm="1">
        <f t="array" ref="I107">_xll.SNL.Clients.Office.Excel.Functions.SPG(I$99,$G107,I$100,I$101,"Options:Curr="&amp;$BL$52&amp;",Mag="&amp;$BK$135&amp;",ConvMethod="&amp;$BL$145&amp;",NA=0")</f>
        <v>62650</v>
      </c>
      <c r="J107" s="6" cm="1">
        <f t="array" ref="J107">_xll.SNL.Clients.Office.Excel.Functions.SPG(J$99,$G107,J$100,J$101,"Options:Curr="&amp;$BL$52&amp;",Mag="&amp;$BK$135&amp;",ConvMethod="&amp;$BL$145&amp;",NA=0")</f>
        <v>65863</v>
      </c>
      <c r="K107" s="6" cm="1">
        <f t="array" ref="K107">_xll.SNL.Clients.Office.Excel.Functions.SPG(K$99,$G107,K$100,K$101,"Options:Curr="&amp;$BL$52&amp;",Mag="&amp;$BK$135&amp;",ConvMethod="&amp;$BL$145&amp;",NA=0")</f>
        <v>74114</v>
      </c>
      <c r="L107" s="6" cm="1">
        <f t="array" ref="L107">_xll.SNL.Clients.Office.Excel.Functions.SPG(L$99,$G107,L$100,L$101,"Options:Curr="&amp;$BL$52&amp;",Mag="&amp;$BK$135&amp;",ConvMethod="&amp;$BL$145&amp;",NA=0")</f>
        <v>87831</v>
      </c>
      <c r="M107" s="6" cm="1">
        <f t="array" ref="M107">_xll.SNL.Clients.Office.Excel.Functions.SPG(M$99,$G107,M$100,M$101,"Options:Curr="&amp;$BL$52&amp;",Mag="&amp;$BK$135&amp;",ConvMethod="&amp;$BL$145&amp;",NA=0")</f>
        <v>106374</v>
      </c>
      <c r="N107" s="160">
        <f>IFERROR(N105*N108,"NA")</f>
        <v>125296.53769646889</v>
      </c>
      <c r="O107" s="160">
        <f>IFERROR(O105*O108,"NA")</f>
        <v>147585.14635834555</v>
      </c>
      <c r="P107" s="160">
        <f>IFERROR(P105*P108,"NA")</f>
        <v>173838.60580712694</v>
      </c>
      <c r="Q107" s="160">
        <f>IFERROR(Q105*Q108,"NA")</f>
        <v>204762.21093137679</v>
      </c>
      <c r="R107" s="160">
        <f>IFERROR(R105*R108,"NA")</f>
        <v>241186.71931840084</v>
      </c>
      <c r="S107" s="2"/>
      <c r="W107" s="7"/>
      <c r="X107" s="7"/>
      <c r="Y107" s="160"/>
      <c r="Z107" s="160"/>
      <c r="AA107" s="160"/>
      <c r="AB107" s="160"/>
      <c r="AC107" s="26" t="s">
        <v>4507</v>
      </c>
      <c r="AD107" s="380">
        <f t="shared" si="29"/>
        <v>4.05</v>
      </c>
      <c r="AE107" s="381" t="s">
        <v>4508</v>
      </c>
      <c r="AF107" s="382" cm="1">
        <f t="array" ref="AF107">_xll.SNL.Clients.Office.Excel.Functions.SPG($AE107, "SP_RATE_VALUE",AF$75,"Options:NA=NA")</f>
        <v>4.05</v>
      </c>
      <c r="AG107" s="382" t="str" cm="1">
        <f t="array" ref="AG107">_xll.SNL.Clients.Office.Excel.Functions.SPG($AE107, "SP_RATE_VALUE",AG$75,"Options:NA=NA")</f>
        <v>NA</v>
      </c>
      <c r="AH107" s="383" t="str" cm="1">
        <f t="array" ref="AH107">_xll.SNL.Clients.Office.Excel.Functions.SPG($AE107, "SP_RATE_VALUE",AH$75,"Options:NA=NA")</f>
        <v>NA</v>
      </c>
      <c r="AJ107" s="497" t="s">
        <v>4916</v>
      </c>
      <c r="AK107" s="392">
        <f t="shared" si="12"/>
        <v>6.1310099999999998</v>
      </c>
      <c r="AL107" s="392" cm="1">
        <f t="array" ref="AL107">IF(AJ107="","",_xll.SNL.Clients.Office.Excel.Functions.SPG(AJ107,"SPT_YTW",$L$15,"Options:NA=NA"))</f>
        <v>6.1310099999999998</v>
      </c>
      <c r="AM107" s="392" cm="1">
        <f t="array" ref="AM107">IF(AJ107="","",_xll.SNL.Clients.Office.Excel.Functions.SPG(AJ107,"SPT_EOD_YTM_MID","EOD Close Price",$L$15,"Options:NA=NA"))</f>
        <v>6.1219900000000003</v>
      </c>
      <c r="AN107" s="3" cm="1">
        <f t="array" ref="AN107">IF(OR(AJ107="",AK107="NA"),"",_xll.SNL.Clients.Office.Excel.Functions.SPG(AJ107,"SPT_ISSUE_DATE"))</f>
        <v>44272</v>
      </c>
      <c r="AO107" s="2">
        <f>IF(OR($AJ107="",$AK107="NA",$AN107=""),"",RANK(AN107,$AN$58:$AN$1057)+COUNTIF($AN$58:AN107,AN107)-1)</f>
        <v>20</v>
      </c>
      <c r="AP107" s="3">
        <f t="shared" si="13"/>
        <v>44272</v>
      </c>
      <c r="AQ107" s="2">
        <f>IF(OR($AJ107="",$AK107="NA",$AP107=""),"",RANK(AP107,$AP$58:$AP$1057)+COUNTIF($AP$58:AP107,AP107)-1)</f>
        <v>20</v>
      </c>
      <c r="AY107" s="392"/>
      <c r="AZ107" s="3"/>
      <c r="BA107" s="2"/>
      <c r="BB107" s="3"/>
      <c r="BC107" s="2"/>
      <c r="BJ107" t="str">
        <f t="shared" si="30"/>
        <v>Pakistani Rupee</v>
      </c>
      <c r="BK107" s="403" t="s">
        <v>180</v>
      </c>
      <c r="BL107" s="404" t="s">
        <v>181</v>
      </c>
      <c r="BM107" s="404" t="s">
        <v>182</v>
      </c>
      <c r="BN107" s="405" t="s">
        <v>30</v>
      </c>
      <c r="BQ107" s="44" t="s">
        <v>4674</v>
      </c>
      <c r="BR107" s="44" t="s">
        <v>4675</v>
      </c>
    </row>
    <row r="108" spans="2:70" x14ac:dyDescent="0.2">
      <c r="B108" s="143" t="str">
        <f>VLOOKUP("Margin",Language_Data,Lookup_Column,FALSE)</f>
        <v>Margin</v>
      </c>
      <c r="G108" s="1"/>
      <c r="H108" s="248"/>
      <c r="I108" s="157">
        <f>IF(ISERROR(I107/I105),"NA",I107/I105)</f>
        <v>0.31598325515710901</v>
      </c>
      <c r="J108" s="157">
        <f>IF(ISERROR(J107/J105),"NA",J107/J105)</f>
        <v>0.31079914116508978</v>
      </c>
      <c r="K108" s="157">
        <f>IF(ISERROR(K107/K105),"NA",K107/K105)</f>
        <v>0.30235556172028621</v>
      </c>
      <c r="L108" s="157">
        <f>IF(ISERROR(L107/L105),"NA",L107/L105)</f>
        <v>0.31176257613834818</v>
      </c>
      <c r="M108" s="157">
        <f>IF(ISERROR(M107/M105),"NA",M107/M105)</f>
        <v>0.32055906629419689</v>
      </c>
      <c r="N108" s="239">
        <f>M108</f>
        <v>0.32055906629419689</v>
      </c>
      <c r="O108" s="157">
        <f>N108</f>
        <v>0.32055906629419689</v>
      </c>
      <c r="P108" s="157">
        <f>O108</f>
        <v>0.32055906629419689</v>
      </c>
      <c r="Q108" s="157">
        <f>P108</f>
        <v>0.32055906629419689</v>
      </c>
      <c r="R108" s="157">
        <f>Q108</f>
        <v>0.32055906629419689</v>
      </c>
      <c r="S108" s="2"/>
      <c r="W108" s="158"/>
      <c r="X108" s="7"/>
      <c r="Y108" s="160"/>
      <c r="Z108" s="160"/>
      <c r="AA108" s="160"/>
      <c r="AB108" s="160"/>
      <c r="AC108" s="26" t="s">
        <v>4509</v>
      </c>
      <c r="AD108" s="380">
        <f t="shared" si="29"/>
        <v>3.1030000000000002</v>
      </c>
      <c r="AE108" s="381" t="s">
        <v>4510</v>
      </c>
      <c r="AF108" s="382" cm="1">
        <f t="array" ref="AF108">_xll.SNL.Clients.Office.Excel.Functions.SPG($AE108, "SP_RATE_VALUE",AF$75,"Options:NA=NA")</f>
        <v>3.1030000000000002</v>
      </c>
      <c r="AG108" s="382" t="str" cm="1">
        <f t="array" ref="AG108">_xll.SNL.Clients.Office.Excel.Functions.SPG($AE108, "SP_RATE_VALUE",AG$75,"Options:NA=NA")</f>
        <v>NA</v>
      </c>
      <c r="AH108" s="383" t="str" cm="1">
        <f t="array" ref="AH108">_xll.SNL.Clients.Office.Excel.Functions.SPG($AE108, "SP_RATE_VALUE",AH$75,"Options:NA=NA")</f>
        <v>NA</v>
      </c>
      <c r="AK108" s="392"/>
      <c r="AL108" s="392"/>
      <c r="AM108" s="392"/>
      <c r="AN108" s="3"/>
      <c r="AO108" s="2"/>
      <c r="AP108" s="3"/>
      <c r="AQ108" s="2"/>
      <c r="AY108" s="392"/>
      <c r="AZ108" s="3"/>
      <c r="BA108" s="2"/>
      <c r="BB108" s="3"/>
      <c r="BC108" s="2"/>
      <c r="BJ108" t="str">
        <f t="shared" si="30"/>
        <v>Panamanian Balboa</v>
      </c>
      <c r="BK108" s="403" t="s">
        <v>183</v>
      </c>
      <c r="BL108" s="404" t="s">
        <v>184</v>
      </c>
      <c r="BM108" s="404" t="s">
        <v>185</v>
      </c>
      <c r="BN108" s="405" t="s">
        <v>30</v>
      </c>
      <c r="BQ108" s="44" t="s">
        <v>359</v>
      </c>
      <c r="BR108" s="44" t="s">
        <v>4676</v>
      </c>
    </row>
    <row r="109" spans="2:70" x14ac:dyDescent="0.2">
      <c r="B109" s="7" t="str">
        <f>VLOOKUP("EBITDA, Lease Adjusted",Language_Data,Lookup_Column,FALSE)</f>
        <v>EBITDA, Lease Adjusted</v>
      </c>
      <c r="G109" s="34" t="s">
        <v>4176</v>
      </c>
      <c r="H109" s="6" cm="1">
        <f t="array" ref="H109">_xll.SNL.Clients.Office.Excel.Functions.SPG(H$99,$G109,H$100,H$101,"Options:Curr="&amp;$BL$52&amp;",Mag="&amp;$BK$135&amp;",ConvMethod="&amp;$BL$145&amp;",NA=0")</f>
        <v>82943</v>
      </c>
      <c r="I109" s="6" cm="1">
        <f t="array" ref="I109">_xll.SNL.Clients.Office.Excel.Functions.SPG(I$99,$G109,I$100,I$101,"Options:Curr="&amp;$BL$52&amp;",Mag="&amp;$BK$135&amp;",ConvMethod="&amp;$BL$145&amp;",NA=0")</f>
        <v>100444</v>
      </c>
      <c r="J109" s="6" cm="1">
        <f t="array" ref="J109">_xll.SNL.Clients.Office.Excel.Functions.SPG(J$99,$G109,J$100,J$101,"Options:Curr="&amp;$BL$52&amp;",Mag="&amp;$BK$135&amp;",ConvMethod="&amp;$BL$145&amp;",NA=0")</f>
        <v>104898</v>
      </c>
      <c r="K109" s="6" cm="1">
        <f t="array" ref="K109">_xll.SNL.Clients.Office.Excel.Functions.SPG(K$99,$G109,K$100,K$101,"Options:Curr="&amp;$BL$52&amp;",Mag="&amp;$BK$135&amp;",ConvMethod="&amp;$BL$145&amp;",NA=0")</f>
        <v>132988</v>
      </c>
      <c r="L109" s="6" cm="1">
        <f t="array" ref="L109">_xll.SNL.Clients.Office.Excel.Functions.SPG(L$99,$G109,L$100,L$101,"Options:Curr="&amp;$BL$52&amp;",Mag="&amp;$BK$135&amp;",ConvMethod="&amp;$BL$145&amp;",NA=0")</f>
        <v>162052</v>
      </c>
      <c r="M109" s="6" cm="1">
        <f t="array" ref="M109">_xll.SNL.Clients.Office.Excel.Functions.SPG(M$99,$G109,M$100,M$101,"Options:Curr="&amp;$BL$52&amp;",Mag="&amp;$BK$135&amp;",ConvMethod="&amp;$BL$145&amp;",NA=0")</f>
        <v>201205</v>
      </c>
      <c r="N109" s="160">
        <f>IFERROR(N111*N$105,"NA")</f>
        <v>236996.72727563148</v>
      </c>
      <c r="O109" s="160">
        <f>IFERROR(O111*O$105,"NA")</f>
        <v>279155.33281658031</v>
      </c>
      <c r="P109" s="160">
        <f>IFERROR(P111*P$105,"NA")</f>
        <v>328813.40065639134</v>
      </c>
      <c r="Q109" s="160">
        <f>IFERROR(Q111*Q$105,"NA")</f>
        <v>387304.98665508174</v>
      </c>
      <c r="R109" s="160">
        <f>IFERROR(R111*R$105,"NA")</f>
        <v>456201.45769134222</v>
      </c>
      <c r="S109" s="157">
        <f>IFERROR((R109/N109)^(1/4)-1,"NA")</f>
        <v>0.17788686799846665</v>
      </c>
      <c r="W109" s="158"/>
      <c r="X109" s="7"/>
      <c r="Y109" s="160"/>
      <c r="Z109" s="160"/>
      <c r="AA109" s="160"/>
      <c r="AB109" s="160"/>
      <c r="AC109" s="26" t="s">
        <v>4511</v>
      </c>
      <c r="AD109" s="380">
        <f t="shared" si="29"/>
        <v>2.65</v>
      </c>
      <c r="AE109" s="381" t="s">
        <v>4512</v>
      </c>
      <c r="AF109" s="382" cm="1">
        <f t="array" ref="AF109">_xll.SNL.Clients.Office.Excel.Functions.SPG($AE109, "SP_RATE_VALUE",AF$75,"Options:NA=NA")</f>
        <v>2.65</v>
      </c>
      <c r="AG109" s="382" t="str" cm="1">
        <f t="array" ref="AG109">_xll.SNL.Clients.Office.Excel.Functions.SPG($AE109, "SP_RATE_VALUE",AG$75,"Options:NA=NA")</f>
        <v>NA</v>
      </c>
      <c r="AH109" s="383" t="str" cm="1">
        <f t="array" ref="AH109">_xll.SNL.Clients.Office.Excel.Functions.SPG($AE109, "SP_RATE_VALUE",AH$75,"Options:NA=NA")</f>
        <v>NA</v>
      </c>
      <c r="AK109" s="392"/>
      <c r="AL109" s="392"/>
      <c r="AM109" s="392"/>
      <c r="AN109" s="3"/>
      <c r="AO109" s="2"/>
      <c r="AP109" s="3"/>
      <c r="AQ109" s="2"/>
      <c r="AY109" s="392"/>
      <c r="AZ109" s="3"/>
      <c r="BA109" s="2"/>
      <c r="BB109" s="3"/>
      <c r="BC109" s="2"/>
      <c r="BJ109" t="str">
        <f t="shared" si="30"/>
        <v>Peruvian Sol</v>
      </c>
      <c r="BK109" s="403" t="s">
        <v>186</v>
      </c>
      <c r="BL109" s="404" t="s">
        <v>187</v>
      </c>
      <c r="BM109" s="404" t="s">
        <v>188</v>
      </c>
      <c r="BN109" s="405" t="s">
        <v>30</v>
      </c>
      <c r="BQ109" s="44" t="s">
        <v>322</v>
      </c>
      <c r="BR109" s="44" t="s">
        <v>4677</v>
      </c>
    </row>
    <row r="110" spans="2:70" x14ac:dyDescent="0.2">
      <c r="B110" s="143" t="str">
        <f>VLOOKUP("Annual Growth",Language_Data,Lookup_Column,FALSE)</f>
        <v>Annual Growth</v>
      </c>
      <c r="G110" s="1"/>
      <c r="H110" s="248"/>
      <c r="I110" s="2"/>
      <c r="J110" s="157">
        <f>IF(ISERROR(+J109/I109-1),"NA",+J109/I109-1)</f>
        <v>4.4343116562462592E-2</v>
      </c>
      <c r="K110" s="157">
        <f>IF(ISERROR(+K109/J109-1),"NA",+K109/J109-1)</f>
        <v>0.26778394249652049</v>
      </c>
      <c r="L110" s="157">
        <f>IF(ISERROR(+L109/K109-1),"NA",+L109/K109-1)</f>
        <v>0.21854603422865226</v>
      </c>
      <c r="M110" s="157">
        <f>IF(ISERROR(+M109/L109-1),"NA",+M109/L109-1)</f>
        <v>0.24160763211808556</v>
      </c>
      <c r="N110" s="157">
        <f>IFERROR(N109/M109-1,"NA")</f>
        <v>0.17788686799846665</v>
      </c>
      <c r="O110" s="157">
        <f>IFERROR(O109/N109-1,"NA")</f>
        <v>0.17788686799846665</v>
      </c>
      <c r="P110" s="157">
        <f>IFERROR(P109/O109-1,"NA")</f>
        <v>0.17788686799846665</v>
      </c>
      <c r="Q110" s="157">
        <f>IFERROR(Q109/P109-1,"NA")</f>
        <v>0.17788686799846665</v>
      </c>
      <c r="R110" s="157">
        <f>IFERROR(R109/Q109-1,"NA")</f>
        <v>0.17788686799846687</v>
      </c>
      <c r="S110" s="2"/>
      <c r="W110" s="7"/>
      <c r="X110" s="7"/>
      <c r="Y110" s="7"/>
      <c r="Z110" s="160"/>
      <c r="AA110" s="160"/>
      <c r="AB110" s="160"/>
      <c r="AC110" s="26" t="s">
        <v>4513</v>
      </c>
      <c r="AD110" s="380">
        <f t="shared" si="29"/>
        <v>0.27211999999999997</v>
      </c>
      <c r="AE110" s="381" t="s">
        <v>4514</v>
      </c>
      <c r="AF110" s="382" cm="1">
        <f t="array" ref="AF110">_xll.SNL.Clients.Office.Excel.Functions.SPG($AE110, "SP_RATE_VALUE",AF$75,"Options:NA=NA")</f>
        <v>0.27211999999999997</v>
      </c>
      <c r="AG110" s="382" t="str" cm="1">
        <f t="array" ref="AG110">_xll.SNL.Clients.Office.Excel.Functions.SPG($AE110, "SP_RATE_VALUE",AG$75,"Options:NA=NA")</f>
        <v>NA</v>
      </c>
      <c r="AH110" s="383" t="str" cm="1">
        <f t="array" ref="AH110">_xll.SNL.Clients.Office.Excel.Functions.SPG($AE110, "SP_RATE_VALUE",AH$75,"Options:NA=NA")</f>
        <v>NA</v>
      </c>
      <c r="AK110" s="392"/>
      <c r="AL110" s="392"/>
      <c r="AM110" s="392"/>
      <c r="AN110" s="3"/>
      <c r="AO110" s="2"/>
      <c r="AP110" s="3"/>
      <c r="AQ110" s="2"/>
      <c r="AY110" s="392"/>
      <c r="AZ110" s="3"/>
      <c r="BA110" s="2"/>
      <c r="BB110" s="3"/>
      <c r="BC110" s="2"/>
      <c r="BJ110" t="str">
        <f t="shared" si="30"/>
        <v>Philippine Peso</v>
      </c>
      <c r="BK110" s="403" t="s">
        <v>189</v>
      </c>
      <c r="BL110" s="404" t="s">
        <v>190</v>
      </c>
      <c r="BM110" s="404" t="s">
        <v>190</v>
      </c>
      <c r="BN110" s="405" t="s">
        <v>30</v>
      </c>
      <c r="BQ110" s="44" t="s">
        <v>360</v>
      </c>
      <c r="BR110" s="44" t="s">
        <v>4678</v>
      </c>
    </row>
    <row r="111" spans="2:70" x14ac:dyDescent="0.2">
      <c r="B111" s="143" t="str">
        <f>VLOOKUP("Margin",Language_Data,Lookup_Column,FALSE)</f>
        <v>Margin</v>
      </c>
      <c r="G111" s="1"/>
      <c r="H111" s="248"/>
      <c r="I111" s="157">
        <f>IF(ISERROR(+I109/I$105),"NA",+I109/I$105)</f>
        <v>0.50660210823624352</v>
      </c>
      <c r="J111" s="157">
        <f>IF(ISERROR(+J109/J$105),"NA",+J109/J$105)</f>
        <v>0.49500035391548497</v>
      </c>
      <c r="K111" s="157">
        <f>IF(ISERROR(+K109/K$105),"NA",+K109/K$105)</f>
        <v>0.54253800148497477</v>
      </c>
      <c r="L111" s="157">
        <f>IF(ISERROR(+L109/L$105),"NA",+L109/L$105)</f>
        <v>0.57521545910181593</v>
      </c>
      <c r="M111" s="157">
        <f>IF(ISERROR(+M109/M$105),"NA",+M109/M$105)</f>
        <v>0.60633319169838384</v>
      </c>
      <c r="N111" s="240">
        <f>M111</f>
        <v>0.60633319169838384</v>
      </c>
      <c r="O111" s="219">
        <f>N111</f>
        <v>0.60633319169838384</v>
      </c>
      <c r="P111" s="219">
        <f>O111</f>
        <v>0.60633319169838384</v>
      </c>
      <c r="Q111" s="219">
        <f>P111</f>
        <v>0.60633319169838384</v>
      </c>
      <c r="R111" s="219">
        <f>Q111</f>
        <v>0.60633319169838384</v>
      </c>
      <c r="S111" s="2"/>
      <c r="W111" s="7"/>
      <c r="X111" s="7"/>
      <c r="Y111" s="160"/>
      <c r="Z111" s="160"/>
      <c r="AA111" s="160"/>
      <c r="AB111" s="160"/>
      <c r="AC111" s="26" t="s">
        <v>4515</v>
      </c>
      <c r="AD111" s="380">
        <f t="shared" si="29"/>
        <v>1.81</v>
      </c>
      <c r="AE111" s="381" t="s">
        <v>4516</v>
      </c>
      <c r="AF111" s="382" cm="1">
        <f t="array" ref="AF111">_xll.SNL.Clients.Office.Excel.Functions.SPG($AE111, "SP_RATE_VALUE",AF$75,"Options:NA=NA")</f>
        <v>1.81</v>
      </c>
      <c r="AG111" s="382" t="str" cm="1">
        <f t="array" ref="AG111">_xll.SNL.Clients.Office.Excel.Functions.SPG($AE111, "SP_RATE_VALUE",AG$75,"Options:NA=NA")</f>
        <v>NA</v>
      </c>
      <c r="AH111" s="383" t="str" cm="1">
        <f t="array" ref="AH111">_xll.SNL.Clients.Office.Excel.Functions.SPG($AE111, "SP_RATE_VALUE",AH$75,"Options:NA=NA")</f>
        <v>NA</v>
      </c>
      <c r="AK111" s="392"/>
      <c r="AL111" s="392"/>
      <c r="AM111" s="392"/>
      <c r="AN111" s="3"/>
      <c r="AO111" s="2"/>
      <c r="AP111" s="3"/>
      <c r="AQ111" s="2"/>
      <c r="AY111" s="392"/>
      <c r="AZ111" s="3"/>
      <c r="BA111" s="2"/>
      <c r="BB111" s="3"/>
      <c r="BC111" s="2"/>
      <c r="BJ111" t="str">
        <f t="shared" si="30"/>
        <v>Polish Zloty</v>
      </c>
      <c r="BK111" s="403" t="s">
        <v>191</v>
      </c>
      <c r="BL111" s="404" t="s">
        <v>192</v>
      </c>
      <c r="BM111" s="404" t="s">
        <v>193</v>
      </c>
      <c r="BN111" s="405" t="s">
        <v>30</v>
      </c>
      <c r="BQ111" s="44" t="s">
        <v>362</v>
      </c>
      <c r="BR111" s="44" t="s">
        <v>4679</v>
      </c>
    </row>
    <row r="112" spans="2:70" ht="10.5" x14ac:dyDescent="0.25">
      <c r="B112" s="7" t="str">
        <f>VLOOKUP("Less: Depreciation and Amortization",Language_Data,Lookup_Column,FALSE)</f>
        <v>Less: Depreciation and Amortization</v>
      </c>
      <c r="G112" s="34"/>
      <c r="H112" s="112">
        <f t="shared" ref="H112:M112" si="33">IFERROR(H252-H253+H254,"NA")</f>
        <v>13027</v>
      </c>
      <c r="I112" s="112">
        <f t="shared" si="33"/>
        <v>17061</v>
      </c>
      <c r="J112" s="112">
        <f t="shared" si="33"/>
        <v>16375</v>
      </c>
      <c r="K112" s="112">
        <f t="shared" si="33"/>
        <v>23555</v>
      </c>
      <c r="L112" s="112">
        <f t="shared" si="33"/>
        <v>33524</v>
      </c>
      <c r="M112" s="112">
        <f t="shared" si="33"/>
        <v>45968</v>
      </c>
      <c r="N112" s="160">
        <f>IFERROR(-N113*N$120,"NA")</f>
        <v>70478.625169314648</v>
      </c>
      <c r="O112" s="160">
        <f>IFERROR(-O113*O$120,"NA")</f>
        <v>102254.88768725668</v>
      </c>
      <c r="P112" s="160">
        <f>IFERROR(-P113*P$120,"NA")</f>
        <v>143106.10270141964</v>
      </c>
      <c r="Q112" s="160">
        <f>IFERROR(-Q113*Q$120,"NA")</f>
        <v>195255.38024579681</v>
      </c>
      <c r="R112" s="160">
        <f>IFERROR(-R113*R$120,"NA")</f>
        <v>261429.58909931235</v>
      </c>
      <c r="S112" s="157">
        <f>IFERROR((R112/N112)^(1/4)-1,"NA")</f>
        <v>0.38779183865307343</v>
      </c>
      <c r="U112" s="164" t="str">
        <f>VLOOKUP("Step",Language_Data,Lookup_Column,FALSE)</f>
        <v>Step</v>
      </c>
      <c r="W112" s="7"/>
      <c r="X112" s="7"/>
      <c r="Y112" s="160"/>
      <c r="Z112" s="160"/>
      <c r="AA112" s="160"/>
      <c r="AB112" s="160"/>
      <c r="AC112" s="26" t="s">
        <v>4517</v>
      </c>
      <c r="AD112" s="380">
        <f t="shared" si="29"/>
        <v>1.5305</v>
      </c>
      <c r="AE112" s="381" t="s">
        <v>4518</v>
      </c>
      <c r="AF112" s="382" cm="1">
        <f t="array" ref="AF112">_xll.SNL.Clients.Office.Excel.Functions.SPG($AE112, "SP_RATE_VALUE",AF$75,"Options:NA=NA")</f>
        <v>1.5305</v>
      </c>
      <c r="AG112" s="382" t="str" cm="1">
        <f t="array" ref="AG112">_xll.SNL.Clients.Office.Excel.Functions.SPG($AE112, "SP_RATE_VALUE",AG$75,"Options:NA=NA")</f>
        <v>NA</v>
      </c>
      <c r="AH112" s="383" t="str" cm="1">
        <f t="array" ref="AH112">_xll.SNL.Clients.Office.Excel.Functions.SPG($AE112, "SP_RATE_VALUE",AH$75,"Options:NA=NA")</f>
        <v>NA</v>
      </c>
      <c r="AK112" s="392"/>
      <c r="AL112" s="392"/>
      <c r="AM112" s="392"/>
      <c r="AN112" s="3"/>
      <c r="AO112" s="2"/>
      <c r="AP112" s="3"/>
      <c r="AQ112" s="2"/>
      <c r="AY112" s="392"/>
      <c r="AZ112" s="3"/>
      <c r="BA112" s="2"/>
      <c r="BB112" s="3"/>
      <c r="BC112" s="2"/>
      <c r="BJ112" t="str">
        <f t="shared" si="30"/>
        <v>Qatari Rial</v>
      </c>
      <c r="BK112" s="403" t="s">
        <v>194</v>
      </c>
      <c r="BL112" s="404" t="s">
        <v>195</v>
      </c>
      <c r="BM112" s="404" t="s">
        <v>196</v>
      </c>
      <c r="BN112" s="405" t="s">
        <v>30</v>
      </c>
      <c r="BQ112" s="44" t="s">
        <v>363</v>
      </c>
      <c r="BR112" s="44" t="s">
        <v>4680</v>
      </c>
    </row>
    <row r="113" spans="2:70" x14ac:dyDescent="0.2">
      <c r="B113" s="143" t="str">
        <f>VLOOKUP("% of Capital Expenditure",Language_Data,Lookup_Column,FALSE)</f>
        <v>% of Capital Expenditure</v>
      </c>
      <c r="G113" s="1"/>
      <c r="H113" s="157">
        <f t="shared" ref="H113:M113" si="34">IF(ISERROR(-+H112/H$120),"NA",-+H112/H$120)</f>
        <v>0.56745219323082285</v>
      </c>
      <c r="I113" s="157">
        <f t="shared" si="34"/>
        <v>0.65755800508748941</v>
      </c>
      <c r="J113" s="157">
        <f t="shared" si="34"/>
        <v>0.55877836546664394</v>
      </c>
      <c r="K113" s="157">
        <f t="shared" si="34"/>
        <v>0.47981341155381735</v>
      </c>
      <c r="L113" s="157">
        <f t="shared" si="34"/>
        <v>0.47610526465283398</v>
      </c>
      <c r="M113" s="157">
        <f t="shared" si="34"/>
        <v>0.39867478447902033</v>
      </c>
      <c r="N113" s="241">
        <f>IF(COUNT(M113,$U$113)=0,"NA",SUM(M113,$U$113))</f>
        <v>0.51893982758321622</v>
      </c>
      <c r="O113" s="157">
        <f>IF(COUNT(N113,$U$113)=0,"NA",SUM(N113,$U$113))</f>
        <v>0.63920487068741216</v>
      </c>
      <c r="P113" s="157">
        <f>IF(COUNT(O113,$U$113)=0,"NA",SUM(O113,$U$113))</f>
        <v>0.75946991379160811</v>
      </c>
      <c r="Q113" s="157">
        <f>IF(COUNT(P113,$U$113)=0,"NA",SUM(P113,$U$113))</f>
        <v>0.87973495689580405</v>
      </c>
      <c r="R113" s="157">
        <f>IF(COUNT(Q113,$U$113)=0,"NA",SUM(Q113,$U$113))</f>
        <v>1</v>
      </c>
      <c r="S113" s="2"/>
      <c r="U113" s="165">
        <f>IFERROR((1-M113)/5,"NA")</f>
        <v>0.12026504310419592</v>
      </c>
      <c r="W113" s="158"/>
      <c r="X113" s="7"/>
      <c r="Y113" s="160"/>
      <c r="Z113" s="160"/>
      <c r="AA113" s="160"/>
      <c r="AB113" s="160"/>
      <c r="AC113" s="26" t="s">
        <v>4519</v>
      </c>
      <c r="AD113" s="380">
        <f t="shared" si="29"/>
        <v>35.71</v>
      </c>
      <c r="AE113" s="381" t="s">
        <v>4520</v>
      </c>
      <c r="AF113" s="382" cm="1">
        <f t="array" ref="AF113">_xll.SNL.Clients.Office.Excel.Functions.SPG($AE113, "SP_RATE_VALUE",AF$75,"Options:NA=NA")</f>
        <v>35.71</v>
      </c>
      <c r="AG113" s="382" t="str" cm="1">
        <f t="array" ref="AG113">_xll.SNL.Clients.Office.Excel.Functions.SPG($AE113, "SP_RATE_VALUE",AG$75,"Options:NA=NA")</f>
        <v>NA</v>
      </c>
      <c r="AH113" s="383" t="str" cm="1">
        <f t="array" ref="AH113">_xll.SNL.Clients.Office.Excel.Functions.SPG($AE113, "SP_RATE_VALUE",AH$75,"Options:NA=NA")</f>
        <v>NA</v>
      </c>
      <c r="AK113" s="392"/>
      <c r="AL113" s="392"/>
      <c r="AM113" s="392"/>
      <c r="AN113" s="3"/>
      <c r="AO113" s="2"/>
      <c r="AP113" s="3"/>
      <c r="AQ113" s="2"/>
      <c r="AY113" s="392"/>
      <c r="AZ113" s="3"/>
      <c r="BA113" s="2"/>
      <c r="BB113" s="3"/>
      <c r="BC113" s="2"/>
      <c r="BJ113" t="str">
        <f t="shared" si="30"/>
        <v>Romanian Leu</v>
      </c>
      <c r="BK113" s="403" t="s">
        <v>197</v>
      </c>
      <c r="BL113" s="404" t="s">
        <v>198</v>
      </c>
      <c r="BM113" s="404" t="s">
        <v>199</v>
      </c>
      <c r="BN113" s="405" t="s">
        <v>30</v>
      </c>
      <c r="BQ113" s="44" t="s">
        <v>334</v>
      </c>
      <c r="BR113" s="44" t="s">
        <v>4681</v>
      </c>
    </row>
    <row r="114" spans="2:70" x14ac:dyDescent="0.2">
      <c r="B114" s="7" t="str">
        <f>VLOOKUP("EBIT",Language_Data,Lookup_Column,FALSE)</f>
        <v>EBIT</v>
      </c>
      <c r="G114" s="1"/>
      <c r="H114" s="160">
        <f t="shared" ref="H114:M114" si="35">IF(COUNT(H109, H112)=0,"NA",SUM(H109)-SUM(H112))</f>
        <v>69916</v>
      </c>
      <c r="I114" s="160">
        <f t="shared" si="35"/>
        <v>83383</v>
      </c>
      <c r="J114" s="160">
        <f t="shared" si="35"/>
        <v>88523</v>
      </c>
      <c r="K114" s="160">
        <f t="shared" si="35"/>
        <v>109433</v>
      </c>
      <c r="L114" s="160">
        <f t="shared" si="35"/>
        <v>128528</v>
      </c>
      <c r="M114" s="160">
        <f t="shared" si="35"/>
        <v>155237</v>
      </c>
      <c r="N114" s="160">
        <f t="shared" ref="N114:R114" si="36">IF(COUNT(N109, N112)=0,"NA",SUM(N109)-SUM(N112))</f>
        <v>166518.10210631683</v>
      </c>
      <c r="O114" s="160">
        <f t="shared" si="36"/>
        <v>176900.44512932363</v>
      </c>
      <c r="P114" s="160">
        <f t="shared" si="36"/>
        <v>185707.2979549717</v>
      </c>
      <c r="Q114" s="160">
        <f t="shared" si="36"/>
        <v>192049.60640928493</v>
      </c>
      <c r="R114" s="160">
        <f t="shared" si="36"/>
        <v>194771.86859202987</v>
      </c>
      <c r="S114" s="157">
        <f>IFERROR((R114/N114)^(1/4)-1,"NA")</f>
        <v>3.9958944613816882E-2</v>
      </c>
      <c r="W114" s="158"/>
      <c r="X114" s="7"/>
      <c r="Y114" s="160"/>
      <c r="Z114" s="160"/>
      <c r="AA114" s="160"/>
      <c r="AB114" s="160"/>
      <c r="AC114" s="26" t="s">
        <v>4521</v>
      </c>
      <c r="AD114" s="380">
        <f t="shared" si="29"/>
        <v>4.5830000000000002</v>
      </c>
      <c r="AE114" s="381" t="s">
        <v>4522</v>
      </c>
      <c r="AF114" s="382" cm="1">
        <f t="array" ref="AF114">_xll.SNL.Clients.Office.Excel.Functions.SPG($AE114, "SP_RATE_VALUE",AF$75,"Options:NA=NA")</f>
        <v>4.5830000000000002</v>
      </c>
      <c r="AG114" s="382" t="str" cm="1">
        <f t="array" ref="AG114">_xll.SNL.Clients.Office.Excel.Functions.SPG($AE114, "SP_RATE_VALUE",AG$75,"Options:NA=NA")</f>
        <v>NA</v>
      </c>
      <c r="AH114" s="383" t="str" cm="1">
        <f t="array" ref="AH114">_xll.SNL.Clients.Office.Excel.Functions.SPG($AE114, "SP_RATE_VALUE",AH$75,"Options:NA=NA")</f>
        <v>NA</v>
      </c>
      <c r="AK114" s="392"/>
      <c r="AL114" s="392"/>
      <c r="AM114" s="392"/>
      <c r="AN114" s="3"/>
      <c r="AO114" s="2"/>
      <c r="AP114" s="3"/>
      <c r="AQ114" s="2"/>
      <c r="AY114" s="392"/>
      <c r="AZ114" s="3"/>
      <c r="BA114" s="2"/>
      <c r="BB114" s="3"/>
      <c r="BC114" s="2"/>
      <c r="BJ114" t="str">
        <f t="shared" si="30"/>
        <v>Russian Ruble</v>
      </c>
      <c r="BK114" s="403" t="s">
        <v>200</v>
      </c>
      <c r="BL114" s="404" t="s">
        <v>201</v>
      </c>
      <c r="BM114" s="404" t="s">
        <v>201</v>
      </c>
      <c r="BN114" s="405" t="s">
        <v>30</v>
      </c>
      <c r="BQ114" s="44" t="s">
        <v>364</v>
      </c>
      <c r="BR114" s="44" t="s">
        <v>4682</v>
      </c>
    </row>
    <row r="115" spans="2:70" x14ac:dyDescent="0.2">
      <c r="B115" s="143" t="str">
        <f>VLOOKUP("Annual Growth",Language_Data,Lookup_Column,FALSE)</f>
        <v>Annual Growth</v>
      </c>
      <c r="G115" s="1"/>
      <c r="H115" s="157" t="str">
        <f>IF(ISERROR(+H114/G114-1),"NA",+H114/G114-1)</f>
        <v>NA</v>
      </c>
      <c r="I115" s="157"/>
      <c r="J115" s="157">
        <f>IF(ISERROR(+J114/I114-1),"NA",+J114/I114-1)</f>
        <v>6.1643260616672357E-2</v>
      </c>
      <c r="K115" s="157">
        <f>IF(ISERROR(+K114/J114-1),"NA",+K114/J114-1)</f>
        <v>0.23620979858341906</v>
      </c>
      <c r="L115" s="157">
        <f>IF(ISERROR(+L114/K114-1),"NA",+L114/K114-1)</f>
        <v>0.17449032741494785</v>
      </c>
      <c r="M115" s="157">
        <f>IF(ISERROR(+M114/L114-1),"NA",+M114/L114-1)</f>
        <v>0.20780685920577624</v>
      </c>
      <c r="N115" s="157">
        <f>IFERROR(N114/M114-1,"NA")</f>
        <v>7.2670188848771966E-2</v>
      </c>
      <c r="O115" s="157">
        <f>IFERROR(O114/N114-1,"NA")</f>
        <v>6.2349635815438287E-2</v>
      </c>
      <c r="P115" s="157">
        <f>IFERROR(P114/O114-1,"NA")</f>
        <v>4.9784232138080808E-2</v>
      </c>
      <c r="Q115" s="157">
        <f>IFERROR(Q114/P114-1,"NA")</f>
        <v>3.4152176700406489E-2</v>
      </c>
      <c r="R115" s="157">
        <f>IFERROR(R114/Q114-1,"NA")</f>
        <v>1.4174786575419596E-2</v>
      </c>
      <c r="S115" s="2"/>
      <c r="W115" s="158"/>
      <c r="X115" s="7"/>
      <c r="Y115" s="160"/>
      <c r="Z115" s="160"/>
      <c r="AA115" s="160"/>
      <c r="AB115" s="160"/>
      <c r="AC115" s="26" t="s">
        <v>4523</v>
      </c>
      <c r="AD115" s="380">
        <f t="shared" si="29"/>
        <v>4.38</v>
      </c>
      <c r="AE115" s="381" t="s">
        <v>4524</v>
      </c>
      <c r="AF115" s="382" cm="1">
        <f t="array" ref="AF115">_xll.SNL.Clients.Office.Excel.Functions.SPG($AE115, "SP_RATE_VALUE",AF$75,"Options:NA=NA")</f>
        <v>4.38</v>
      </c>
      <c r="AG115" s="382" t="str" cm="1">
        <f t="array" ref="AG115">_xll.SNL.Clients.Office.Excel.Functions.SPG($AE115, "SP_RATE_VALUE",AG$75,"Options:NA=NA")</f>
        <v>NA</v>
      </c>
      <c r="AH115" s="383" t="str" cm="1">
        <f t="array" ref="AH115">_xll.SNL.Clients.Office.Excel.Functions.SPG($AE115, "SP_RATE_VALUE",AH$75,"Options:NA=NA")</f>
        <v>NA</v>
      </c>
      <c r="AK115" s="392"/>
      <c r="AL115" s="392"/>
      <c r="AM115" s="392"/>
      <c r="AN115" s="3"/>
      <c r="AO115" s="2"/>
      <c r="AP115" s="3"/>
      <c r="AQ115" s="2"/>
      <c r="AY115" s="392"/>
      <c r="AZ115" s="3"/>
      <c r="BA115" s="2"/>
      <c r="BB115" s="3"/>
      <c r="BC115" s="2"/>
      <c r="BJ115" t="str">
        <f t="shared" si="30"/>
        <v>Samoan Tala</v>
      </c>
      <c r="BK115" s="403" t="s">
        <v>202</v>
      </c>
      <c r="BL115" s="404" t="s">
        <v>203</v>
      </c>
      <c r="BM115" s="404" t="s">
        <v>204</v>
      </c>
      <c r="BN115" s="405" t="s">
        <v>30</v>
      </c>
      <c r="BQ115" s="44" t="s">
        <v>335</v>
      </c>
      <c r="BR115" s="44" t="s">
        <v>4683</v>
      </c>
    </row>
    <row r="116" spans="2:70" x14ac:dyDescent="0.2">
      <c r="B116" s="143" t="str">
        <f>VLOOKUP("Margin",Language_Data,Lookup_Column,FALSE)</f>
        <v>Margin</v>
      </c>
      <c r="G116" s="1"/>
      <c r="H116" s="157">
        <f t="shared" ref="H116:M116" si="37">IF(ISERROR(+H114/H$105),"NA",+H114/H$105)</f>
        <v>0.41594878872971303</v>
      </c>
      <c r="I116" s="157">
        <f t="shared" si="37"/>
        <v>0.4205527815604983</v>
      </c>
      <c r="J116" s="157">
        <f t="shared" si="37"/>
        <v>0.41772880636104098</v>
      </c>
      <c r="K116" s="157">
        <f t="shared" si="37"/>
        <v>0.44644299573273716</v>
      </c>
      <c r="L116" s="157">
        <f t="shared" si="37"/>
        <v>0.45621956240859851</v>
      </c>
      <c r="M116" s="157">
        <f t="shared" si="37"/>
        <v>0.46780818408927222</v>
      </c>
      <c r="N116" s="157">
        <f>IFERROR(N114/N$105,"NA")</f>
        <v>0.42602044967589703</v>
      </c>
      <c r="O116" s="157">
        <f>IFERROR(O114/O$105,"NA")</f>
        <v>0.38423271526252178</v>
      </c>
      <c r="P116" s="157">
        <f>IFERROR(P114/P$105,"NA")</f>
        <v>0.34244498084914671</v>
      </c>
      <c r="Q116" s="157">
        <f>IFERROR(Q114/Q$105,"NA")</f>
        <v>0.30065724643577152</v>
      </c>
      <c r="R116" s="157">
        <f>IFERROR(R114/R$105,"NA")</f>
        <v>0.25886951202239639</v>
      </c>
      <c r="S116" s="2"/>
      <c r="W116" s="158"/>
      <c r="X116" s="7"/>
      <c r="Y116" s="160"/>
      <c r="Z116" s="160"/>
      <c r="AA116" s="160"/>
      <c r="AB116" s="160"/>
      <c r="AC116" s="26" t="s">
        <v>4525</v>
      </c>
      <c r="AD116" s="380">
        <f t="shared" si="29"/>
        <v>4.3479999999999999</v>
      </c>
      <c r="AE116" s="381" t="s">
        <v>4526</v>
      </c>
      <c r="AF116" s="382" cm="1">
        <f t="array" ref="AF116">_xll.SNL.Clients.Office.Excel.Functions.SPG($AE116, "SP_RATE_VALUE",AF$75,"Options:NA=NA")</f>
        <v>4.3479999999999999</v>
      </c>
      <c r="AG116" s="382" t="str" cm="1">
        <f t="array" ref="AG116">_xll.SNL.Clients.Office.Excel.Functions.SPG($AE116, "SP_RATE_VALUE",AG$75,"Options:NA=NA")</f>
        <v>NA</v>
      </c>
      <c r="AH116" s="383" t="str" cm="1">
        <f t="array" ref="AH116">_xll.SNL.Clients.Office.Excel.Functions.SPG($AE116, "SP_RATE_VALUE",AH$75,"Options:NA=NA")</f>
        <v>NA</v>
      </c>
      <c r="AK116" s="392"/>
      <c r="AL116" s="392"/>
      <c r="AM116" s="392"/>
      <c r="AN116" s="3"/>
      <c r="AO116" s="2"/>
      <c r="AP116" s="3"/>
      <c r="AQ116" s="2"/>
      <c r="AY116" s="392"/>
      <c r="AZ116" s="3"/>
      <c r="BA116" s="2"/>
      <c r="BB116" s="3"/>
      <c r="BC116" s="2"/>
      <c r="BJ116" t="str">
        <f t="shared" si="30"/>
        <v>Saudi Riyal</v>
      </c>
      <c r="BK116" s="403" t="s">
        <v>205</v>
      </c>
      <c r="BL116" s="404" t="s">
        <v>206</v>
      </c>
      <c r="BM116" s="406" t="s">
        <v>207</v>
      </c>
      <c r="BN116" s="405" t="s">
        <v>30</v>
      </c>
      <c r="BQ116" s="44" t="s">
        <v>361</v>
      </c>
      <c r="BR116" s="44" t="s">
        <v>4684</v>
      </c>
    </row>
    <row r="117" spans="2:70" x14ac:dyDescent="0.2">
      <c r="B117" s="7" t="str">
        <f>VLOOKUP("Less: Income Taxes",Language_Data,Lookup_Column,FALSE)</f>
        <v>Less: Income Taxes</v>
      </c>
      <c r="F117" s="161">
        <f>F50</f>
        <v>0.17469799999999999</v>
      </c>
      <c r="G117" s="263"/>
      <c r="H117" s="162">
        <f t="shared" ref="H117:M117" si="38">IFERROR(IF(H114&lt;0,0,-H114*$F$117),"NA")</f>
        <v>-12214.185367999999</v>
      </c>
      <c r="I117" s="162">
        <f t="shared" si="38"/>
        <v>-14566.843333999999</v>
      </c>
      <c r="J117" s="162">
        <f t="shared" si="38"/>
        <v>-15464.791053999999</v>
      </c>
      <c r="K117" s="162">
        <f t="shared" si="38"/>
        <v>-19117.726233999998</v>
      </c>
      <c r="L117" s="162">
        <f t="shared" si="38"/>
        <v>-22453.584543999998</v>
      </c>
      <c r="M117" s="162">
        <f t="shared" si="38"/>
        <v>-27119.593425999999</v>
      </c>
      <c r="N117" s="162">
        <f>IF(N114&lt;0,0,IFERROR(-N114*$F$117,"NA"))</f>
        <v>-29090.379401769336</v>
      </c>
      <c r="O117" s="162">
        <f>IF(O114&lt;0,0,IFERROR(-O114*$F$117,"NA"))</f>
        <v>-30904.153963202578</v>
      </c>
      <c r="P117" s="162">
        <f>IF(P114&lt;0,0,IFERROR(-P114*$F$117,"NA"))</f>
        <v>-32442.693538137646</v>
      </c>
      <c r="Q117" s="162">
        <f>IF(Q114&lt;0,0,IFERROR(-Q114*$F$117,"NA"))</f>
        <v>-33550.682140489254</v>
      </c>
      <c r="R117" s="162">
        <f>IF(R114&lt;0,0,IFERROR(-R114*$F$117,"NA"))</f>
        <v>-34026.255899290431</v>
      </c>
      <c r="S117" s="2"/>
      <c r="W117" s="158"/>
      <c r="X117" s="7"/>
      <c r="Y117" s="160"/>
      <c r="Z117" s="160"/>
      <c r="AA117" s="160"/>
      <c r="AB117" s="160"/>
      <c r="AC117" s="26" t="s">
        <v>4527</v>
      </c>
      <c r="AD117" s="380">
        <f t="shared" si="29"/>
        <v>5.0129999999999999</v>
      </c>
      <c r="AE117" s="381" t="s">
        <v>4528</v>
      </c>
      <c r="AF117" s="382" cm="1">
        <f t="array" ref="AF117">_xll.SNL.Clients.Office.Excel.Functions.SPG($AE117, "SP_RATE_VALUE",AF$75,"Options:NA=NA")</f>
        <v>5.0129999999999999</v>
      </c>
      <c r="AG117" s="382" t="str" cm="1">
        <f t="array" ref="AG117">_xll.SNL.Clients.Office.Excel.Functions.SPG($AE117, "SP_RATE_VALUE",AG$75,"Options:NA=NA")</f>
        <v>NA</v>
      </c>
      <c r="AH117" s="383" t="str" cm="1">
        <f t="array" ref="AH117">_xll.SNL.Clients.Office.Excel.Functions.SPG($AE117, "SP_RATE_VALUE",AH$75,"Options:NA=NA")</f>
        <v>NA</v>
      </c>
      <c r="AK117" s="392"/>
      <c r="AL117" s="392"/>
      <c r="AM117" s="392"/>
      <c r="AN117" s="3"/>
      <c r="AO117" s="2"/>
      <c r="AP117" s="3"/>
      <c r="AQ117" s="2"/>
      <c r="AY117" s="392"/>
      <c r="AZ117" s="3"/>
      <c r="BA117" s="2"/>
      <c r="BB117" s="3"/>
      <c r="BC117" s="2"/>
      <c r="BJ117" t="str">
        <f t="shared" si="30"/>
        <v>Serbian Dinar</v>
      </c>
      <c r="BK117" s="403" t="s">
        <v>208</v>
      </c>
      <c r="BL117" s="404" t="s">
        <v>209</v>
      </c>
      <c r="BM117" s="404" t="s">
        <v>209</v>
      </c>
      <c r="BN117" s="405" t="s">
        <v>30</v>
      </c>
      <c r="BQ117" s="44" t="s">
        <v>353</v>
      </c>
      <c r="BR117" s="44" t="s">
        <v>4685</v>
      </c>
    </row>
    <row r="118" spans="2:70" x14ac:dyDescent="0.2">
      <c r="B118" s="7" t="str">
        <f>VLOOKUP("Unlevered Net Income",Language_Data,Lookup_Column,FALSE)</f>
        <v>Unlevered Net Income</v>
      </c>
      <c r="G118" s="1"/>
      <c r="H118" s="160">
        <f t="shared" ref="H118:M118" si="39">IF(COUNT(H114,H117)=0,"NA",SUM(H114,H117))</f>
        <v>57701.814632000001</v>
      </c>
      <c r="I118" s="160">
        <f t="shared" si="39"/>
        <v>68816.156665999995</v>
      </c>
      <c r="J118" s="160">
        <f t="shared" si="39"/>
        <v>73058.208945999999</v>
      </c>
      <c r="K118" s="160">
        <f t="shared" si="39"/>
        <v>90315.273765999998</v>
      </c>
      <c r="L118" s="160">
        <f t="shared" si="39"/>
        <v>106074.415456</v>
      </c>
      <c r="M118" s="160">
        <f t="shared" si="39"/>
        <v>128117.40657399999</v>
      </c>
      <c r="N118" s="160">
        <f t="shared" ref="N118:R118" si="40">IF(COUNT(N114,N117)=0,"NA",SUM(N114,N117))</f>
        <v>137427.72270454749</v>
      </c>
      <c r="O118" s="160">
        <f t="shared" si="40"/>
        <v>145996.29116612105</v>
      </c>
      <c r="P118" s="160">
        <f t="shared" si="40"/>
        <v>153264.60441683404</v>
      </c>
      <c r="Q118" s="160">
        <f t="shared" si="40"/>
        <v>158498.92426879567</v>
      </c>
      <c r="R118" s="160">
        <f t="shared" si="40"/>
        <v>160745.61269273944</v>
      </c>
      <c r="S118" s="157">
        <f>IFERROR((R118/N118)^(1/4)-1,"NA")</f>
        <v>3.9958944613816882E-2</v>
      </c>
      <c r="W118" s="158"/>
      <c r="X118" s="7"/>
      <c r="Y118" s="160"/>
      <c r="Z118" s="160"/>
      <c r="AA118" s="160"/>
      <c r="AB118" s="160"/>
      <c r="AC118" s="26" t="s">
        <v>4529</v>
      </c>
      <c r="AD118" s="380">
        <f t="shared" si="29"/>
        <v>3.427</v>
      </c>
      <c r="AE118" s="381" t="s">
        <v>4530</v>
      </c>
      <c r="AF118" s="382" cm="1">
        <f t="array" ref="AF118">_xll.SNL.Clients.Office.Excel.Functions.SPG($AE118, "SP_RATE_VALUE",AF$75,"Options:NA=NA")</f>
        <v>3.427</v>
      </c>
      <c r="AG118" s="382" t="str" cm="1">
        <f t="array" ref="AG118">_xll.SNL.Clients.Office.Excel.Functions.SPG($AE118, "SP_RATE_VALUE",AG$75,"Options:NA=NA")</f>
        <v>NA</v>
      </c>
      <c r="AH118" s="383" t="str" cm="1">
        <f t="array" ref="AH118">_xll.SNL.Clients.Office.Excel.Functions.SPG($AE118, "SP_RATE_VALUE",AH$75,"Options:NA=NA")</f>
        <v>NA</v>
      </c>
      <c r="AK118" s="392"/>
      <c r="AL118" s="392"/>
      <c r="AM118" s="392"/>
      <c r="AN118" s="3"/>
      <c r="AO118" s="2"/>
      <c r="AP118" s="3"/>
      <c r="AQ118" s="2"/>
      <c r="AY118" s="392"/>
      <c r="AZ118" s="3"/>
      <c r="BA118" s="2"/>
      <c r="BB118" s="3"/>
      <c r="BC118" s="2"/>
      <c r="BJ118" t="str">
        <f t="shared" si="30"/>
        <v>Singapore Dollar</v>
      </c>
      <c r="BK118" s="403" t="s">
        <v>210</v>
      </c>
      <c r="BL118" s="404" t="s">
        <v>211</v>
      </c>
      <c r="BM118" s="404" t="s">
        <v>212</v>
      </c>
      <c r="BN118" s="405" t="s">
        <v>30</v>
      </c>
      <c r="BQ118" s="44" t="s">
        <v>386</v>
      </c>
      <c r="BR118" s="44" t="s">
        <v>4686</v>
      </c>
    </row>
    <row r="119" spans="2:70" x14ac:dyDescent="0.2">
      <c r="B119" s="7" t="str">
        <f>VLOOKUP("Plus: Depreciation and Amortization",Language_Data,Lookup_Column,FALSE)</f>
        <v>Plus: Depreciation and Amortization</v>
      </c>
      <c r="G119" s="1"/>
      <c r="H119" s="6">
        <f t="shared" ref="H119:M119" si="41">IF(H112="","",H112)</f>
        <v>13027</v>
      </c>
      <c r="I119" s="6">
        <f t="shared" si="41"/>
        <v>17061</v>
      </c>
      <c r="J119" s="6">
        <f t="shared" si="41"/>
        <v>16375</v>
      </c>
      <c r="K119" s="6">
        <f t="shared" si="41"/>
        <v>23555</v>
      </c>
      <c r="L119" s="6">
        <f t="shared" si="41"/>
        <v>33524</v>
      </c>
      <c r="M119" s="6">
        <f t="shared" si="41"/>
        <v>45968</v>
      </c>
      <c r="N119" s="6">
        <f t="shared" ref="N119:R119" si="42">IF(N112="","",N112)</f>
        <v>70478.625169314648</v>
      </c>
      <c r="O119" s="6">
        <f t="shared" si="42"/>
        <v>102254.88768725668</v>
      </c>
      <c r="P119" s="6">
        <f t="shared" si="42"/>
        <v>143106.10270141964</v>
      </c>
      <c r="Q119" s="6">
        <f t="shared" si="42"/>
        <v>195255.38024579681</v>
      </c>
      <c r="R119" s="6">
        <f t="shared" si="42"/>
        <v>261429.58909931235</v>
      </c>
      <c r="S119" s="2"/>
      <c r="W119" s="158"/>
      <c r="X119" s="7"/>
      <c r="Y119" s="160"/>
      <c r="Z119" s="160"/>
      <c r="AA119" s="160"/>
      <c r="AB119" s="160"/>
      <c r="AC119" s="26" t="s">
        <v>4531</v>
      </c>
      <c r="AD119" s="380">
        <f t="shared" si="29"/>
        <v>3.7669999999999999</v>
      </c>
      <c r="AE119" s="381" t="s">
        <v>4532</v>
      </c>
      <c r="AF119" s="382" cm="1">
        <f t="array" ref="AF119">_xll.SNL.Clients.Office.Excel.Functions.SPG($AE119, "SP_RATE_VALUE",AF$75,"Options:NA=NA")</f>
        <v>3.7669999999999999</v>
      </c>
      <c r="AG119" s="382" t="str" cm="1">
        <f t="array" ref="AG119">_xll.SNL.Clients.Office.Excel.Functions.SPG($AE119, "SP_RATE_VALUE",AG$75,"Options:NA=NA")</f>
        <v>NA</v>
      </c>
      <c r="AH119" s="383" t="str" cm="1">
        <f t="array" ref="AH119">_xll.SNL.Clients.Office.Excel.Functions.SPG($AE119, "SP_RATE_VALUE",AH$75,"Options:NA=NA")</f>
        <v>NA</v>
      </c>
      <c r="AK119" s="392"/>
      <c r="AL119" s="392"/>
      <c r="AM119" s="392"/>
      <c r="AN119" s="3"/>
      <c r="AO119" s="2"/>
      <c r="AP119" s="3"/>
      <c r="AQ119" s="2"/>
      <c r="AY119" s="392"/>
      <c r="AZ119" s="3"/>
      <c r="BA119" s="2"/>
      <c r="BB119" s="3"/>
      <c r="BC119" s="2"/>
      <c r="BJ119" t="str">
        <f t="shared" ref="BJ119:BJ133" si="43">VLOOKUP(BK119,Language_Data,Lookup_Column,FALSE)</f>
        <v>South African Rand</v>
      </c>
      <c r="BK119" s="403" t="s">
        <v>213</v>
      </c>
      <c r="BL119" s="404" t="s">
        <v>214</v>
      </c>
      <c r="BM119" s="404" t="s">
        <v>215</v>
      </c>
      <c r="BN119" s="405" t="s">
        <v>30</v>
      </c>
      <c r="BQ119" s="44" t="s">
        <v>336</v>
      </c>
      <c r="BR119" s="44" t="s">
        <v>4687</v>
      </c>
    </row>
    <row r="120" spans="2:70" x14ac:dyDescent="0.2">
      <c r="B120" s="7" t="str">
        <f>VLOOKUP("Less: Capital Expenditures and Additional Lease",Language_Data,Lookup_Column,FALSE)</f>
        <v>Less: Capital Expenditures and Additional Lease</v>
      </c>
      <c r="G120" s="34"/>
      <c r="H120" s="256">
        <f t="shared" ref="H120:M120" si="44">IFERROR(H255-IF(H256=0,IF(OR(H257=0,G257=0),0,H257-G257),IF(OR(H256=0,G256=0),0,H256-G256)),"NA")</f>
        <v>-22957</v>
      </c>
      <c r="I120" s="112">
        <f t="shared" si="44"/>
        <v>-25946</v>
      </c>
      <c r="J120" s="112">
        <f t="shared" si="44"/>
        <v>-29305</v>
      </c>
      <c r="K120" s="112">
        <f t="shared" si="44"/>
        <v>-49092</v>
      </c>
      <c r="L120" s="112">
        <f t="shared" si="44"/>
        <v>-70413</v>
      </c>
      <c r="M120" s="112">
        <f t="shared" si="44"/>
        <v>-115302</v>
      </c>
      <c r="N120" s="112">
        <f>IFERROR(N121*N$105,"NA")</f>
        <v>-135812.71165395921</v>
      </c>
      <c r="O120" s="112">
        <f>IFERROR(O121*O$105,"NA")</f>
        <v>-159972.00956446087</v>
      </c>
      <c r="P120" s="112">
        <f>IFERROR(P121*P$105,"NA")</f>
        <v>-188428.92931330352</v>
      </c>
      <c r="Q120" s="112">
        <f>IFERROR(Q121*Q$105,"NA")</f>
        <v>-221947.96138915155</v>
      </c>
      <c r="R120" s="112">
        <f>IFERROR(R121*R$105,"NA")</f>
        <v>-261429.58909931235</v>
      </c>
      <c r="S120" s="157">
        <f>IFERROR((R120/N120)^(1/4)-1,"NA")</f>
        <v>0.17788686799846665</v>
      </c>
      <c r="W120" s="158"/>
      <c r="X120" s="7"/>
      <c r="Y120" s="160"/>
      <c r="Z120" s="160"/>
      <c r="AA120" s="160"/>
      <c r="AB120" s="160"/>
      <c r="AC120" s="26" t="s">
        <v>4533</v>
      </c>
      <c r="AD120" s="380">
        <f t="shared" si="29"/>
        <v>14.81</v>
      </c>
      <c r="AE120" s="381" t="s">
        <v>4534</v>
      </c>
      <c r="AF120" s="382" cm="1">
        <f t="array" ref="AF120">_xll.SNL.Clients.Office.Excel.Functions.SPG($AE120, "SP_RATE_VALUE",AF$75,"Options:NA=NA")</f>
        <v>14.81</v>
      </c>
      <c r="AG120" s="382" t="str" cm="1">
        <f t="array" ref="AG120">_xll.SNL.Clients.Office.Excel.Functions.SPG($AE120, "SP_RATE_VALUE",AG$75,"Options:NA=NA")</f>
        <v>NA</v>
      </c>
      <c r="AH120" s="383" t="str" cm="1">
        <f t="array" ref="AH120">_xll.SNL.Clients.Office.Excel.Functions.SPG($AE120, "SP_RATE_VALUE",AH$75,"Options:NA=NA")</f>
        <v>NA</v>
      </c>
      <c r="AK120" s="392"/>
      <c r="AL120" s="392"/>
      <c r="AM120" s="392"/>
      <c r="AN120" s="3"/>
      <c r="AO120" s="2"/>
      <c r="AP120" s="3"/>
      <c r="AQ120" s="2"/>
      <c r="AY120" s="392"/>
      <c r="AZ120" s="3"/>
      <c r="BA120" s="2"/>
      <c r="BB120" s="3"/>
      <c r="BC120" s="2"/>
      <c r="BJ120" t="str">
        <f t="shared" si="43"/>
        <v>South Korean Won</v>
      </c>
      <c r="BK120" s="403" t="s">
        <v>216</v>
      </c>
      <c r="BL120" s="404" t="s">
        <v>217</v>
      </c>
      <c r="BM120" s="404" t="s">
        <v>218</v>
      </c>
      <c r="BN120" s="405" t="s">
        <v>40</v>
      </c>
      <c r="BQ120" s="44" t="s">
        <v>351</v>
      </c>
      <c r="BR120" s="44" t="s">
        <v>4688</v>
      </c>
    </row>
    <row r="121" spans="2:70" x14ac:dyDescent="0.2">
      <c r="B121" s="143" t="str">
        <f>VLOOKUP("Margin",Language_Data,Lookup_Column,FALSE)</f>
        <v>Margin</v>
      </c>
      <c r="G121" s="1"/>
      <c r="H121" s="157">
        <f t="shared" ref="H121:M121" si="45">IF(ISERROR(H120/H$105),"NA",H120/H$105)</f>
        <v>-0.13657726904954548</v>
      </c>
      <c r="I121" s="157">
        <f t="shared" si="45"/>
        <v>-0.13086195591869673</v>
      </c>
      <c r="J121" s="157">
        <f t="shared" si="45"/>
        <v>-0.1382865771653729</v>
      </c>
      <c r="K121" s="157">
        <f t="shared" si="45"/>
        <v>-0.20027578103964555</v>
      </c>
      <c r="L121" s="157">
        <f t="shared" si="45"/>
        <v>-0.24993610767985688</v>
      </c>
      <c r="M121" s="157">
        <f t="shared" si="45"/>
        <v>-0.34746367967598746</v>
      </c>
      <c r="N121" s="241">
        <f>M121</f>
        <v>-0.34746367967598746</v>
      </c>
      <c r="O121" s="219">
        <f>N121</f>
        <v>-0.34746367967598746</v>
      </c>
      <c r="P121" s="219">
        <f t="shared" ref="P121:R122" si="46">O121</f>
        <v>-0.34746367967598746</v>
      </c>
      <c r="Q121" s="219">
        <f t="shared" si="46"/>
        <v>-0.34746367967598746</v>
      </c>
      <c r="R121" s="219">
        <f t="shared" si="46"/>
        <v>-0.34746367967598746</v>
      </c>
      <c r="S121" s="2"/>
      <c r="W121" s="96"/>
      <c r="X121" s="7"/>
      <c r="Y121" s="7"/>
      <c r="Z121" s="160"/>
      <c r="AA121" s="160"/>
      <c r="AB121" s="160"/>
      <c r="AC121" s="26" t="s">
        <v>4535</v>
      </c>
      <c r="AD121" s="380">
        <f t="shared" si="29"/>
        <v>3.6989000000000001</v>
      </c>
      <c r="AE121" s="381" t="s">
        <v>4536</v>
      </c>
      <c r="AF121" s="382" cm="1">
        <f t="array" ref="AF121">_xll.SNL.Clients.Office.Excel.Functions.SPG($AE121, "SP_RATE_VALUE",AF$75,"Options:NA=NA")</f>
        <v>3.6989000000000001</v>
      </c>
      <c r="AG121" s="382" t="str" cm="1">
        <f t="array" ref="AG121">_xll.SNL.Clients.Office.Excel.Functions.SPG($AE121, "SP_RATE_VALUE",AG$75,"Options:NA=NA")</f>
        <v>NA</v>
      </c>
      <c r="AH121" s="383" t="str" cm="1">
        <f t="array" ref="AH121">_xll.SNL.Clients.Office.Excel.Functions.SPG($AE121, "SP_RATE_VALUE",AH$75,"Options:NA=NA")</f>
        <v>NA</v>
      </c>
      <c r="AK121" s="392"/>
      <c r="AL121" s="392"/>
      <c r="AM121" s="392"/>
      <c r="AN121" s="3"/>
      <c r="AO121" s="2"/>
      <c r="AP121" s="3"/>
      <c r="AQ121" s="2"/>
      <c r="AY121" s="392"/>
      <c r="AZ121" s="3"/>
      <c r="BA121" s="2"/>
      <c r="BB121" s="3"/>
      <c r="BC121" s="2"/>
      <c r="BJ121" t="str">
        <f t="shared" si="43"/>
        <v>Sri Lanka Rupee</v>
      </c>
      <c r="BK121" s="403" t="s">
        <v>219</v>
      </c>
      <c r="BL121" s="404" t="s">
        <v>220</v>
      </c>
      <c r="BM121" s="404" t="s">
        <v>221</v>
      </c>
      <c r="BN121" s="405" t="s">
        <v>30</v>
      </c>
      <c r="BQ121" s="44" t="s">
        <v>333</v>
      </c>
      <c r="BR121" s="44" t="s">
        <v>4689</v>
      </c>
    </row>
    <row r="122" spans="2:70" x14ac:dyDescent="0.2">
      <c r="B122" s="7" t="str">
        <f>VLOOKUP("Less: Additions to Intangibles",Language_Data,Lookup_Column,FALSE)</f>
        <v>Less: Additions to Intangibles</v>
      </c>
      <c r="G122" s="34" t="s">
        <v>502</v>
      </c>
      <c r="H122" s="256" cm="1">
        <f t="array" ref="H122">_xll.SNL.Clients.Office.Excel.Functions.SPG(H$99,$G122,H$100,H$101,"Options:Curr="&amp;$BL$52&amp;",Mag="&amp;$BK$135&amp;",ConvMethod="&amp;$BL$145&amp;",NA=0")</f>
        <v>0</v>
      </c>
      <c r="I122" s="112" cm="1">
        <f t="array" ref="I122">_xll.SNL.Clients.Office.Excel.Functions.SPG(I$99,$G122,I$100,I$101,"Options:Curr="&amp;$BL$52&amp;",Mag="&amp;$BK$135&amp;",ConvMethod="&amp;$BL$145&amp;",NA=0")</f>
        <v>0</v>
      </c>
      <c r="J122" s="112" cm="1">
        <f t="array" ref="J122">_xll.SNL.Clients.Office.Excel.Functions.SPG(J$99,$G122,J$100,J$101,"Options:Curr="&amp;$BL$52&amp;",Mag="&amp;$BK$135&amp;",ConvMethod="&amp;$BL$145&amp;",NA=0")</f>
        <v>0</v>
      </c>
      <c r="K122" s="112" cm="1">
        <f t="array" ref="K122">_xll.SNL.Clients.Office.Excel.Functions.SPG(K$99,$G122,K$100,K$101,"Options:Curr="&amp;$BL$52&amp;",Mag="&amp;$BK$135&amp;",ConvMethod="&amp;$BL$145&amp;",NA=0")</f>
        <v>0</v>
      </c>
      <c r="L122" s="112" cm="1">
        <f t="array" ref="L122">_xll.SNL.Clients.Office.Excel.Functions.SPG(L$99,$G122,L$100,L$101,"Options:Curr="&amp;$BL$52&amp;",Mag="&amp;$BK$135&amp;",ConvMethod="&amp;$BL$145&amp;",NA=0")</f>
        <v>0</v>
      </c>
      <c r="M122" s="112" cm="1">
        <f t="array" ref="M122">_xll.SNL.Clients.Office.Excel.Functions.SPG(M$99,$G122,M$100,M$101,"Options:Curr="&amp;$BL$52&amp;",Mag="&amp;$BK$135&amp;",ConvMethod="&amp;$BL$145&amp;",NA=0")</f>
        <v>0</v>
      </c>
      <c r="N122" s="220">
        <f>IFERROR(AVERAGE(I122:M122),"NA")</f>
        <v>0</v>
      </c>
      <c r="O122" s="221">
        <f>N122</f>
        <v>0</v>
      </c>
      <c r="P122" s="221">
        <f t="shared" si="46"/>
        <v>0</v>
      </c>
      <c r="Q122" s="221">
        <f t="shared" si="46"/>
        <v>0</v>
      </c>
      <c r="R122" s="221">
        <f t="shared" si="46"/>
        <v>0</v>
      </c>
      <c r="S122" s="2"/>
      <c r="AC122" s="26" t="s">
        <v>4537</v>
      </c>
      <c r="AD122" s="380">
        <f>IF(AF122&lt;&gt;"NA",AF122,IF(AG122&lt;&gt;"NA",AG122,AH122))</f>
        <v>1.6786000000000001</v>
      </c>
      <c r="AE122" s="381" t="s">
        <v>4538</v>
      </c>
      <c r="AF122" s="382" cm="1">
        <f t="array" ref="AF122">_xll.SNL.Clients.Office.Excel.Functions.SPG($AE122, "SP_RATE_VALUE",AF$75,"Options:NA=NA")</f>
        <v>1.6786000000000001</v>
      </c>
      <c r="AG122" s="382" t="str" cm="1">
        <f t="array" ref="AG122">_xll.SNL.Clients.Office.Excel.Functions.SPG($AE122, "SP_RATE_VALUE",AG$75,"Options:NA=NA")</f>
        <v>NA</v>
      </c>
      <c r="AH122" s="383" t="str" cm="1">
        <f t="array" ref="AH122">_xll.SNL.Clients.Office.Excel.Functions.SPG($AE122, "SP_RATE_VALUE",AH$75,"Options:NA=NA")</f>
        <v>NA</v>
      </c>
      <c r="AK122" s="392"/>
      <c r="AL122" s="392"/>
      <c r="AM122" s="392"/>
      <c r="AN122" s="3"/>
      <c r="AO122" s="2"/>
      <c r="AP122" s="3"/>
      <c r="AQ122" s="2"/>
      <c r="AY122" s="392"/>
      <c r="AZ122" s="3"/>
      <c r="BA122" s="2"/>
      <c r="BB122" s="3"/>
      <c r="BC122" s="2"/>
      <c r="BJ122" t="str">
        <f t="shared" si="43"/>
        <v>Swedish Krona</v>
      </c>
      <c r="BK122" s="403" t="s">
        <v>222</v>
      </c>
      <c r="BL122" s="404" t="s">
        <v>223</v>
      </c>
      <c r="BM122" s="404" t="s">
        <v>128</v>
      </c>
      <c r="BN122" s="405" t="s">
        <v>30</v>
      </c>
      <c r="BQ122" s="44" t="s">
        <v>371</v>
      </c>
      <c r="BR122" s="44" t="s">
        <v>4690</v>
      </c>
    </row>
    <row r="123" spans="2:70" x14ac:dyDescent="0.2">
      <c r="B123" s="7" t="str">
        <f>VLOOKUP("Less: Increase in Working Capital",Language_Data,Lookup_Column,FALSE)</f>
        <v>Less: Increase in Working Capital</v>
      </c>
      <c r="G123" s="34"/>
      <c r="H123" s="256"/>
      <c r="I123" s="256">
        <f>IF($L$36=1,IF(COUNT(I124:I131)=0,"NA",SUM(I124:I131)),I241)</f>
        <v>446</v>
      </c>
      <c r="J123" s="256">
        <f>IF($L$36=1,IF(COUNT(J124:J131)=0,"NA",SUM(J124:J131)),J241)</f>
        <v>-2388</v>
      </c>
      <c r="K123" s="256">
        <f>IF($L$36=1,IF(COUNT(K124:K131)=0,"NA",SUM(K124:K131)),K241)</f>
        <v>1824</v>
      </c>
      <c r="L123" s="256">
        <f>IF($L$36=1,IF(COUNT(L124:L131)=0,"NA",SUM(L124:L131)),L241)</f>
        <v>-5350</v>
      </c>
      <c r="M123" s="256">
        <f>IF($L$36=1,IF(COUNT(M124:M131)=0,"NA",SUM(M124:M131)),M241)</f>
        <v>-4895</v>
      </c>
      <c r="N123" s="98">
        <f>IF($L$36=1,IFERROR(N132*N$105,"NA"),N241)</f>
        <v>-5765.7562188524944</v>
      </c>
      <c r="O123" s="98">
        <f>IF($L$36=1,IFERROR(O132*O$105,"NA"),O241)</f>
        <v>-6791.4085342668459</v>
      </c>
      <c r="P123" s="98">
        <f>IF($L$36=1,IFERROR(P132*P$105,"NA"),P241)</f>
        <v>-7999.5109277256315</v>
      </c>
      <c r="Q123" s="98">
        <f>IF($L$36=1,IFERROR(Q132*Q$105,"NA"),Q241)</f>
        <v>-9422.5188721782524</v>
      </c>
      <c r="R123" s="98">
        <f>IF($L$36=1,IFERROR(R132*R$105,"NA"),R241)</f>
        <v>-11098.661243006487</v>
      </c>
      <c r="S123" s="157">
        <f>IFERROR((R123/N123)^(1/4)-1,"NA")</f>
        <v>0.17788686799846665</v>
      </c>
      <c r="Z123" s="216"/>
      <c r="AA123" s="216"/>
      <c r="AB123" s="216"/>
      <c r="AC123" s="26" t="s">
        <v>4539</v>
      </c>
      <c r="AD123" s="380" t="str">
        <f t="shared" si="29"/>
        <v>NA</v>
      </c>
      <c r="AE123" s="381" t="s">
        <v>4540</v>
      </c>
      <c r="AF123" s="382" t="str" cm="1">
        <f t="array" ref="AF123">_xll.SNL.Clients.Office.Excel.Functions.SPG($AE123, "SP_RATE_VALUE",AF$75,"Options:NA=NA")</f>
        <v>NA</v>
      </c>
      <c r="AG123" s="382" t="str" cm="1">
        <f t="array" ref="AG123">_xll.SNL.Clients.Office.Excel.Functions.SPG($AE123, "SP_RATE_VALUE",AG$75,"Options:NA=NA")</f>
        <v>NA</v>
      </c>
      <c r="AH123" s="383" t="str" cm="1">
        <f t="array" ref="AH123">_xll.SNL.Clients.Office.Excel.Functions.SPG($AE123, "SP_RATE_VALUE",AH$75,"Options:NA=NA")</f>
        <v>NA</v>
      </c>
      <c r="AK123" s="392"/>
      <c r="AL123" s="392"/>
      <c r="AM123" s="392"/>
      <c r="AN123" s="3"/>
      <c r="AO123" s="2"/>
      <c r="AP123" s="3"/>
      <c r="AQ123" s="2"/>
      <c r="AY123" s="392"/>
      <c r="AZ123" s="3"/>
      <c r="BA123" s="2"/>
      <c r="BB123" s="3"/>
      <c r="BC123" s="2"/>
      <c r="BJ123" t="str">
        <f t="shared" si="43"/>
        <v>Swiss Franc</v>
      </c>
      <c r="BK123" s="403" t="s">
        <v>224</v>
      </c>
      <c r="BL123" s="404" t="s">
        <v>225</v>
      </c>
      <c r="BM123" s="404" t="s">
        <v>226</v>
      </c>
      <c r="BN123" s="405" t="s">
        <v>30</v>
      </c>
      <c r="BQ123" s="44" t="s">
        <v>377</v>
      </c>
      <c r="BR123" s="44" t="s">
        <v>4691</v>
      </c>
    </row>
    <row r="124" spans="2:70" hidden="1" outlineLevel="1" x14ac:dyDescent="0.2">
      <c r="B124" s="158" t="str">
        <f>VLOOKUP("Change in Trad. Asset Securities",Language_Data,Lookup_Column,FALSE)</f>
        <v>Change in Trad. Asset Securities</v>
      </c>
      <c r="G124" s="34" t="s">
        <v>503</v>
      </c>
      <c r="H124" s="256" cm="1">
        <f t="array" ref="H124">_xll.SNL.Clients.Office.Excel.Functions.SPG(H$99,$G124,H$100,H$101,"Options:Curr="&amp;$BL$52&amp;",Mag="&amp;$BK$135&amp;",ConvMethod="&amp;$BL$145&amp;",NA=0")</f>
        <v>0</v>
      </c>
      <c r="I124" s="256" cm="1">
        <f t="array" ref="I124">_xll.SNL.Clients.Office.Excel.Functions.SPG(I$99,$G124,I$100,I$101,"Options:Curr="&amp;$BL$52&amp;",Mag="&amp;$BK$135&amp;",ConvMethod="&amp;$BL$145&amp;",NA=0")</f>
        <v>0</v>
      </c>
      <c r="J124" s="256" cm="1">
        <f t="array" ref="J124">_xll.SNL.Clients.Office.Excel.Functions.SPG(J$99,$G124,J$100,J$101,"Options:Curr="&amp;$BL$52&amp;",Mag="&amp;$BK$135&amp;",ConvMethod="&amp;$BL$145&amp;",NA=0")</f>
        <v>0</v>
      </c>
      <c r="K124" s="256" cm="1">
        <f t="array" ref="K124">_xll.SNL.Clients.Office.Excel.Functions.SPG(K$99,$G124,K$100,K$101,"Options:Curr="&amp;$BL$52&amp;",Mag="&amp;$BK$135&amp;",ConvMethod="&amp;$BL$145&amp;",NA=0")</f>
        <v>0</v>
      </c>
      <c r="L124" s="256" cm="1">
        <f t="array" ref="L124">_xll.SNL.Clients.Office.Excel.Functions.SPG(L$99,$G124,L$100,L$101,"Options:Curr="&amp;$BL$52&amp;",Mag="&amp;$BK$135&amp;",ConvMethod="&amp;$BL$145&amp;",NA=0")</f>
        <v>0</v>
      </c>
      <c r="M124" s="256" cm="1">
        <f t="array" ref="M124">_xll.SNL.Clients.Office.Excel.Functions.SPG(M$99,$G124,M$100,M$101,"Options:Curr="&amp;$BL$52&amp;",Mag="&amp;$BK$135&amp;",ConvMethod="&amp;$BL$145&amp;",NA=0")</f>
        <v>0</v>
      </c>
      <c r="N124" s="98"/>
      <c r="O124" s="98"/>
      <c r="P124" s="98"/>
      <c r="Q124" s="98"/>
      <c r="R124" s="98"/>
      <c r="S124" s="157"/>
      <c r="Z124" s="216"/>
      <c r="AA124" s="216"/>
      <c r="AB124" s="216"/>
      <c r="AC124" s="26" t="s">
        <v>4541</v>
      </c>
      <c r="AD124" s="380">
        <f t="shared" si="29"/>
        <v>4.8929999999999998</v>
      </c>
      <c r="AE124" s="381" t="s">
        <v>4542</v>
      </c>
      <c r="AF124" s="382" cm="1">
        <f t="array" ref="AF124">_xll.SNL.Clients.Office.Excel.Functions.SPG($AE124, "SP_RATE_VALUE",AF$75,"Options:NA=NA")</f>
        <v>4.8929999999999998</v>
      </c>
      <c r="AG124" s="382" t="str" cm="1">
        <f t="array" ref="AG124">_xll.SNL.Clients.Office.Excel.Functions.SPG($AE124, "SP_RATE_VALUE",AG$75,"Options:NA=NA")</f>
        <v>NA</v>
      </c>
      <c r="AH124" s="383" t="str" cm="1">
        <f t="array" ref="AH124">_xll.SNL.Clients.Office.Excel.Functions.SPG($AE124, "SP_RATE_VALUE",AH$75,"Options:NA=NA")</f>
        <v>NA</v>
      </c>
      <c r="AK124" s="392"/>
      <c r="AL124" s="392"/>
      <c r="AM124" s="392"/>
      <c r="AN124" s="3"/>
      <c r="AO124" s="2"/>
      <c r="AP124" s="3"/>
      <c r="AQ124" s="2"/>
      <c r="AY124" s="392"/>
      <c r="AZ124" s="3"/>
      <c r="BA124" s="2"/>
      <c r="BB124" s="3"/>
      <c r="BC124" s="2"/>
      <c r="BJ124" t="str">
        <f t="shared" si="43"/>
        <v>Tajik Somoni</v>
      </c>
      <c r="BK124" s="403" t="s">
        <v>227</v>
      </c>
      <c r="BL124" s="404" t="s">
        <v>228</v>
      </c>
      <c r="BM124" s="404" t="s">
        <v>229</v>
      </c>
      <c r="BN124" s="405" t="s">
        <v>30</v>
      </c>
      <c r="BQ124" s="44" t="s">
        <v>268</v>
      </c>
      <c r="BR124" s="44" t="s">
        <v>4692</v>
      </c>
    </row>
    <row r="125" spans="2:70" hidden="1" outlineLevel="1" x14ac:dyDescent="0.2">
      <c r="B125" s="158" t="str">
        <f>VLOOKUP("Change in Acc. Receivable",Language_Data,Lookup_Column,FALSE)</f>
        <v>Change in Acc. Receivable</v>
      </c>
      <c r="G125" s="34" t="s">
        <v>504</v>
      </c>
      <c r="H125" s="256" cm="1">
        <f t="array" ref="H125">_xll.SNL.Clients.Office.Excel.Functions.SPG(H$99,$G125,H$100,H$101,"Options:Curr="&amp;$BL$52&amp;",Mag="&amp;$BK$135&amp;",ConvMethod="&amp;$BL$145&amp;",NA=0")</f>
        <v>-6481</v>
      </c>
      <c r="I125" s="256" cm="1">
        <f t="array" ref="I125">_xll.SNL.Clients.Office.Excel.Functions.SPG(I$99,$G125,I$100,I$101,"Options:Curr="&amp;$BL$52&amp;",Mag="&amp;$BK$135&amp;",ConvMethod="&amp;$BL$145&amp;",NA=0")</f>
        <v>-6834</v>
      </c>
      <c r="J125" s="256" cm="1">
        <f t="array" ref="J125">_xll.SNL.Clients.Office.Excel.Functions.SPG(J$99,$G125,J$100,J$101,"Options:Curr="&amp;$BL$52&amp;",Mag="&amp;$BK$135&amp;",ConvMethod="&amp;$BL$145&amp;",NA=0")</f>
        <v>-4087</v>
      </c>
      <c r="K125" s="256" cm="1">
        <f t="array" ref="K125">_xll.SNL.Clients.Office.Excel.Functions.SPG(K$99,$G125,K$100,K$101,"Options:Curr="&amp;$BL$52&amp;",Mag="&amp;$BK$135&amp;",ConvMethod="&amp;$BL$145&amp;",NA=0")</f>
        <v>-7191</v>
      </c>
      <c r="L125" s="256" cm="1">
        <f t="array" ref="L125">_xll.SNL.Clients.Office.Excel.Functions.SPG(L$99,$G125,L$100,L$101,"Options:Curr="&amp;$BL$52&amp;",Mag="&amp;$BK$135&amp;",ConvMethod="&amp;$BL$145&amp;",NA=0")</f>
        <v>-10581</v>
      </c>
      <c r="M125" s="256" cm="1">
        <f t="array" ref="M125">_xll.SNL.Clients.Office.Excel.Functions.SPG(M$99,$G125,M$100,M$101,"Options:Curr="&amp;$BL$52&amp;",Mag="&amp;$BK$135&amp;",ConvMethod="&amp;$BL$145&amp;",NA=0")</f>
        <v>-12737</v>
      </c>
      <c r="N125" s="98"/>
      <c r="O125" s="98"/>
      <c r="P125" s="98"/>
      <c r="Q125" s="98"/>
      <c r="R125" s="98"/>
      <c r="S125" s="157"/>
      <c r="Z125" s="216"/>
      <c r="AA125" s="216"/>
      <c r="AB125" s="216"/>
      <c r="AC125" s="26" t="s">
        <v>4543</v>
      </c>
      <c r="AD125" s="380">
        <f t="shared" si="29"/>
        <v>3.0110000000000001</v>
      </c>
      <c r="AE125" s="381" t="s">
        <v>4544</v>
      </c>
      <c r="AF125" s="382" cm="1">
        <f t="array" ref="AF125">_xll.SNL.Clients.Office.Excel.Functions.SPG($AE125, "SP_RATE_VALUE",AF$75,"Options:NA=NA")</f>
        <v>3.0110000000000001</v>
      </c>
      <c r="AG125" s="382" t="str" cm="1">
        <f t="array" ref="AG125">_xll.SNL.Clients.Office.Excel.Functions.SPG($AE125, "SP_RATE_VALUE",AG$75,"Options:NA=NA")</f>
        <v>NA</v>
      </c>
      <c r="AH125" s="383" t="str" cm="1">
        <f t="array" ref="AH125">_xll.SNL.Clients.Office.Excel.Functions.SPG($AE125, "SP_RATE_VALUE",AH$75,"Options:NA=NA")</f>
        <v>NA</v>
      </c>
      <c r="AK125" s="392"/>
      <c r="AL125" s="392"/>
      <c r="AM125" s="392"/>
      <c r="AN125" s="3"/>
      <c r="AO125" s="2"/>
      <c r="AP125" s="3"/>
      <c r="AQ125" s="2"/>
      <c r="AY125" s="392"/>
      <c r="AZ125" s="3"/>
      <c r="BA125" s="2"/>
      <c r="BB125" s="3"/>
      <c r="BC125" s="2"/>
      <c r="BJ125" t="str">
        <f t="shared" si="43"/>
        <v>Thai Baht</v>
      </c>
      <c r="BK125" s="403" t="s">
        <v>230</v>
      </c>
      <c r="BL125" s="404" t="s">
        <v>231</v>
      </c>
      <c r="BM125" s="404" t="s">
        <v>232</v>
      </c>
      <c r="BN125" s="405" t="s">
        <v>30</v>
      </c>
      <c r="BQ125" s="44" t="s">
        <v>269</v>
      </c>
      <c r="BR125" s="44" t="s">
        <v>4693</v>
      </c>
    </row>
    <row r="126" spans="2:70" hidden="1" outlineLevel="1" x14ac:dyDescent="0.2">
      <c r="B126" s="158" t="str">
        <f>VLOOKUP("Change in Inventories",Language_Data,Lookup_Column,FALSE)</f>
        <v>Change in Inventories</v>
      </c>
      <c r="G126" s="34" t="s">
        <v>505</v>
      </c>
      <c r="H126" s="256" cm="1">
        <f t="array" ref="H126">_xll.SNL.Clients.Office.Excel.Functions.SPG(H$99,$G126,H$100,H$101,"Options:Curr="&amp;$BL$52&amp;",Mag="&amp;$BK$135&amp;",ConvMethod="&amp;$BL$145&amp;",NA=0")</f>
        <v>-737</v>
      </c>
      <c r="I126" s="256" cm="1">
        <f t="array" ref="I126">_xll.SNL.Clients.Office.Excel.Functions.SPG(I$99,$G126,I$100,I$101,"Options:Curr="&amp;$BL$52&amp;",Mag="&amp;$BK$135&amp;",ConvMethod="&amp;$BL$145&amp;",NA=0")</f>
        <v>-1123</v>
      </c>
      <c r="J126" s="256" cm="1">
        <f t="array" ref="J126">_xll.SNL.Clients.Office.Excel.Functions.SPG(J$99,$G126,J$100,J$101,"Options:Curr="&amp;$BL$52&amp;",Mag="&amp;$BK$135&amp;",ConvMethod="&amp;$BL$145&amp;",NA=0")</f>
        <v>1242</v>
      </c>
      <c r="K126" s="256" cm="1">
        <f t="array" ref="K126">_xll.SNL.Clients.Office.Excel.Functions.SPG(K$99,$G126,K$100,K$101,"Options:Curr="&amp;$BL$52&amp;",Mag="&amp;$BK$135&amp;",ConvMethod="&amp;$BL$145&amp;",NA=0")</f>
        <v>1284</v>
      </c>
      <c r="L126" s="256" cm="1">
        <f t="array" ref="L126">_xll.SNL.Clients.Office.Excel.Functions.SPG(L$99,$G126,L$100,L$101,"Options:Curr="&amp;$BL$52&amp;",Mag="&amp;$BK$135&amp;",ConvMethod="&amp;$BL$145&amp;",NA=0")</f>
        <v>309</v>
      </c>
      <c r="M126" s="256" cm="1">
        <f t="array" ref="M126">_xll.SNL.Clients.Office.Excel.Functions.SPG(M$99,$G126,M$100,M$101,"Options:Curr="&amp;$BL$52&amp;",Mag="&amp;$BK$135&amp;",ConvMethod="&amp;$BL$145&amp;",NA=0")</f>
        <v>-461</v>
      </c>
      <c r="N126" s="98"/>
      <c r="O126" s="98"/>
      <c r="P126" s="98"/>
      <c r="Q126" s="98"/>
      <c r="R126" s="98"/>
      <c r="S126" s="157"/>
      <c r="Z126" s="216"/>
      <c r="AA126" s="216"/>
      <c r="AB126" s="216"/>
      <c r="AC126" s="26" t="s">
        <v>4545</v>
      </c>
      <c r="AD126" s="380">
        <f t="shared" si="29"/>
        <v>3.2170000000000001</v>
      </c>
      <c r="AE126" s="381" t="s">
        <v>4546</v>
      </c>
      <c r="AF126" s="382" cm="1">
        <f t="array" ref="AF126">_xll.SNL.Clients.Office.Excel.Functions.SPG($AE126, "SP_RATE_VALUE",AF$75,"Options:NA=NA")</f>
        <v>3.2170000000000001</v>
      </c>
      <c r="AG126" s="382" t="str" cm="1">
        <f t="array" ref="AG126">_xll.SNL.Clients.Office.Excel.Functions.SPG($AE126, "SP_RATE_VALUE",AG$75,"Options:NA=NA")</f>
        <v>NA</v>
      </c>
      <c r="AH126" s="383" t="str" cm="1">
        <f t="array" ref="AH126">_xll.SNL.Clients.Office.Excel.Functions.SPG($AE126, "SP_RATE_VALUE",AH$75,"Options:NA=NA")</f>
        <v>NA</v>
      </c>
      <c r="AK126" s="392"/>
      <c r="AL126" s="392"/>
      <c r="AM126" s="392"/>
      <c r="AN126" s="3"/>
      <c r="AO126" s="2"/>
      <c r="AP126" s="3"/>
      <c r="AQ126" s="2"/>
      <c r="AY126" s="392"/>
      <c r="AZ126" s="3"/>
      <c r="BA126" s="2"/>
      <c r="BB126" s="3"/>
      <c r="BC126" s="2"/>
      <c r="BJ126" t="str">
        <f t="shared" si="43"/>
        <v>Tunisian Dinar</v>
      </c>
      <c r="BK126" s="403" t="s">
        <v>233</v>
      </c>
      <c r="BL126" s="404" t="s">
        <v>234</v>
      </c>
      <c r="BM126" s="404" t="s">
        <v>235</v>
      </c>
      <c r="BN126" s="405" t="s">
        <v>30</v>
      </c>
      <c r="BQ126" s="44" t="s">
        <v>270</v>
      </c>
      <c r="BR126" s="44" t="s">
        <v>4694</v>
      </c>
    </row>
    <row r="127" spans="2:70" hidden="1" outlineLevel="1" x14ac:dyDescent="0.2">
      <c r="B127" s="158" t="str">
        <f>VLOOKUP("Change in Acc. Payable",Language_Data,Lookup_Column,FALSE)</f>
        <v>Change in Acc. Payable</v>
      </c>
      <c r="G127" s="34" t="s">
        <v>506</v>
      </c>
      <c r="H127" s="256" cm="1">
        <f t="array" ref="H127">_xll.SNL.Clients.Office.Excel.Functions.SPG(H$99,$G127,H$100,H$101,"Options:Curr="&amp;$BL$52&amp;",Mag="&amp;$BK$135&amp;",ConvMethod="&amp;$BL$145&amp;",NA=0")</f>
        <v>2798</v>
      </c>
      <c r="I127" s="256" cm="1">
        <f t="array" ref="I127">_xll.SNL.Clients.Office.Excel.Functions.SPG(I$99,$G127,I$100,I$101,"Options:Curr="&amp;$BL$52&amp;",Mag="&amp;$BK$135&amp;",ConvMethod="&amp;$BL$145&amp;",NA=0")</f>
        <v>2943</v>
      </c>
      <c r="J127" s="256" cm="1">
        <f t="array" ref="J127">_xll.SNL.Clients.Office.Excel.Functions.SPG(J$99,$G127,J$100,J$101,"Options:Curr="&amp;$BL$52&amp;",Mag="&amp;$BK$135&amp;",ConvMethod="&amp;$BL$145&amp;",NA=0")</f>
        <v>-2721</v>
      </c>
      <c r="K127" s="256" cm="1">
        <f t="array" ref="K127">_xll.SNL.Clients.Office.Excel.Functions.SPG(K$99,$G127,K$100,K$101,"Options:Curr="&amp;$BL$52&amp;",Mag="&amp;$BK$135&amp;",ConvMethod="&amp;$BL$145&amp;",NA=0")</f>
        <v>3545</v>
      </c>
      <c r="L127" s="256" cm="1">
        <f t="array" ref="L127">_xll.SNL.Clients.Office.Excel.Functions.SPG(L$99,$G127,L$100,L$101,"Options:Curr="&amp;$BL$52&amp;",Mag="&amp;$BK$135&amp;",ConvMethod="&amp;$BL$145&amp;",NA=0")</f>
        <v>569</v>
      </c>
      <c r="M127" s="256" cm="1">
        <f t="array" ref="M127">_xll.SNL.Clients.Office.Excel.Functions.SPG(M$99,$G127,M$100,M$101,"Options:Curr="&amp;$BL$52&amp;",Mag="&amp;$BK$135&amp;",ConvMethod="&amp;$BL$145&amp;",NA=0")</f>
        <v>5268</v>
      </c>
      <c r="N127" s="98"/>
      <c r="O127" s="98"/>
      <c r="P127" s="98"/>
      <c r="Q127" s="98"/>
      <c r="R127" s="98"/>
      <c r="S127" s="157"/>
      <c r="Z127" s="216"/>
      <c r="AA127" s="216"/>
      <c r="AB127" s="216"/>
      <c r="AC127" s="26" t="s">
        <v>4547</v>
      </c>
      <c r="AD127" s="380">
        <f t="shared" si="29"/>
        <v>3.5489999999999999</v>
      </c>
      <c r="AE127" s="381" t="s">
        <v>4548</v>
      </c>
      <c r="AF127" s="382" cm="1">
        <f t="array" ref="AF127">_xll.SNL.Clients.Office.Excel.Functions.SPG($AE127, "SP_RATE_VALUE",AF$75,"Options:NA=NA")</f>
        <v>3.5489999999999999</v>
      </c>
      <c r="AG127" s="382" t="str" cm="1">
        <f t="array" ref="AG127">_xll.SNL.Clients.Office.Excel.Functions.SPG($AE127, "SP_RATE_VALUE",AG$75,"Options:NA=NA")</f>
        <v>NA</v>
      </c>
      <c r="AH127" s="383" t="str" cm="1">
        <f t="array" ref="AH127">_xll.SNL.Clients.Office.Excel.Functions.SPG($AE127, "SP_RATE_VALUE",AH$75,"Options:NA=NA")</f>
        <v>NA</v>
      </c>
      <c r="AK127" s="392"/>
      <c r="AL127" s="392"/>
      <c r="AM127" s="392"/>
      <c r="AN127" s="3"/>
      <c r="AO127" s="2"/>
      <c r="AP127" s="3"/>
      <c r="AQ127" s="2"/>
      <c r="AY127" s="392"/>
      <c r="AZ127" s="3"/>
      <c r="BA127" s="2"/>
      <c r="BB127" s="3"/>
      <c r="BC127" s="2"/>
      <c r="BJ127" t="str">
        <f t="shared" si="43"/>
        <v>Turkish Lira</v>
      </c>
      <c r="BK127" s="403" t="s">
        <v>236</v>
      </c>
      <c r="BL127" s="404" t="s">
        <v>237</v>
      </c>
      <c r="BM127" s="404" t="s">
        <v>238</v>
      </c>
      <c r="BN127" s="405" t="s">
        <v>30</v>
      </c>
      <c r="BQ127" s="44" t="s">
        <v>319</v>
      </c>
      <c r="BR127" s="44" t="s">
        <v>4695</v>
      </c>
    </row>
    <row r="128" spans="2:70" hidden="1" outlineLevel="1" x14ac:dyDescent="0.2">
      <c r="B128" s="158" t="str">
        <f>VLOOKUP("Change in Unearned Rev.",Language_Data,Lookup_Column,FALSE)</f>
        <v>Change in Unearned Rev.</v>
      </c>
      <c r="G128" s="34" t="s">
        <v>507</v>
      </c>
      <c r="H128" s="256" cm="1">
        <f t="array" ref="H128">_xll.SNL.Clients.Office.Excel.Functions.SPG(H$99,$G128,H$100,H$101,"Options:Curr="&amp;$BL$52&amp;",Mag="&amp;$BK$135&amp;",ConvMethod="&amp;$BL$145&amp;",NA=0")</f>
        <v>4633</v>
      </c>
      <c r="I128" s="256" cm="1">
        <f t="array" ref="I128">_xll.SNL.Clients.Office.Excel.Functions.SPG(I$99,$G128,I$100,I$101,"Options:Curr="&amp;$BL$52&amp;",Mag="&amp;$BK$135&amp;",ConvMethod="&amp;$BL$145&amp;",NA=0")</f>
        <v>5109</v>
      </c>
      <c r="J128" s="256" cm="1">
        <f t="array" ref="J128">_xll.SNL.Clients.Office.Excel.Functions.SPG(J$99,$G128,J$100,J$101,"Options:Curr="&amp;$BL$52&amp;",Mag="&amp;$BK$135&amp;",ConvMethod="&amp;$BL$145&amp;",NA=0")</f>
        <v>5535</v>
      </c>
      <c r="K128" s="256" cm="1">
        <f t="array" ref="K128">_xll.SNL.Clients.Office.Excel.Functions.SPG(K$99,$G128,K$100,K$101,"Options:Curr="&amp;$BL$52&amp;",Mag="&amp;$BK$135&amp;",ConvMethod="&amp;$BL$145&amp;",NA=0")</f>
        <v>5348</v>
      </c>
      <c r="L128" s="256" cm="1">
        <f t="array" ref="L128">_xll.SNL.Clients.Office.Excel.Functions.SPG(L$99,$G128,L$100,L$101,"Options:Curr="&amp;$BL$52&amp;",Mag="&amp;$BK$135&amp;",ConvMethod="&amp;$BL$145&amp;",NA=0")</f>
        <v>5438</v>
      </c>
      <c r="M128" s="256" cm="1">
        <f t="array" ref="M128">_xll.SNL.Clients.Office.Excel.Functions.SPG(M$99,$G128,M$100,M$101,"Options:Curr="&amp;$BL$52&amp;",Mag="&amp;$BK$135&amp;",ConvMethod="&amp;$BL$145&amp;",NA=0")</f>
        <v>9361</v>
      </c>
      <c r="N128" s="98"/>
      <c r="O128" s="98"/>
      <c r="P128" s="98"/>
      <c r="Q128" s="98"/>
      <c r="R128" s="98"/>
      <c r="S128" s="157"/>
      <c r="Z128" s="216"/>
      <c r="AA128" s="216"/>
      <c r="AB128" s="216"/>
      <c r="AC128" s="26" t="s">
        <v>4549</v>
      </c>
      <c r="AD128" s="380">
        <f t="shared" si="29"/>
        <v>4.0629999999999997</v>
      </c>
      <c r="AE128" s="381" t="s">
        <v>4550</v>
      </c>
      <c r="AF128" s="382" cm="1">
        <f t="array" ref="AF128">_xll.SNL.Clients.Office.Excel.Functions.SPG($AE128, "SP_RATE_VALUE",AF$75,"Options:NA=NA")</f>
        <v>4.0629999999999997</v>
      </c>
      <c r="AG128" s="382" t="str" cm="1">
        <f t="array" ref="AG128">_xll.SNL.Clients.Office.Excel.Functions.SPG($AE128, "SP_RATE_VALUE",AG$75,"Options:NA=NA")</f>
        <v>NA</v>
      </c>
      <c r="AH128" s="383" t="str" cm="1">
        <f t="array" ref="AH128">_xll.SNL.Clients.Office.Excel.Functions.SPG($AE128, "SP_RATE_VALUE",AH$75,"Options:NA=NA")</f>
        <v>NA</v>
      </c>
      <c r="AK128" s="392"/>
      <c r="AL128" s="392"/>
      <c r="AM128" s="392"/>
      <c r="AN128" s="3"/>
      <c r="AO128" s="2"/>
      <c r="AP128" s="3"/>
      <c r="AQ128" s="2"/>
      <c r="AY128" s="392"/>
      <c r="AZ128" s="3"/>
      <c r="BA128" s="2"/>
      <c r="BB128" s="3"/>
      <c r="BC128" s="2"/>
      <c r="BJ128" t="str">
        <f t="shared" si="43"/>
        <v>Turkmenistan Manat</v>
      </c>
      <c r="BK128" s="403" t="s">
        <v>239</v>
      </c>
      <c r="BL128" s="404" t="s">
        <v>240</v>
      </c>
      <c r="BM128" s="404" t="s">
        <v>57</v>
      </c>
      <c r="BN128" s="405" t="s">
        <v>30</v>
      </c>
      <c r="BQ128" s="44" t="s">
        <v>13</v>
      </c>
      <c r="BR128" s="44" t="s">
        <v>4443</v>
      </c>
    </row>
    <row r="129" spans="2:70" hidden="1" outlineLevel="1" x14ac:dyDescent="0.2">
      <c r="B129" s="158" t="str">
        <f>VLOOKUP("Change in Inc. Taxes",Language_Data,Lookup_Column,FALSE)</f>
        <v>Change in Inc. Taxes</v>
      </c>
      <c r="G129" s="34" t="s">
        <v>508</v>
      </c>
      <c r="H129" s="256" cm="1">
        <f t="array" ref="H129">_xll.SNL.Clients.Office.Excel.Functions.SPG(H$99,$G129,H$100,H$101,"Options:Curr="&amp;$BL$52&amp;",Mag="&amp;$BK$135&amp;",ConvMethod="&amp;$BL$145&amp;",NA=0")</f>
        <v>-2309</v>
      </c>
      <c r="I129" s="256" cm="1">
        <f t="array" ref="I129">_xll.SNL.Clients.Office.Excel.Functions.SPG(I$99,$G129,I$100,I$101,"Options:Curr="&amp;$BL$52&amp;",Mag="&amp;$BK$135&amp;",ConvMethod="&amp;$BL$145&amp;",NA=0")</f>
        <v>696</v>
      </c>
      <c r="J129" s="256" cm="1">
        <f t="array" ref="J129">_xll.SNL.Clients.Office.Excel.Functions.SPG(J$99,$G129,J$100,J$101,"Options:Curr="&amp;$BL$52&amp;",Mag="&amp;$BK$135&amp;",ConvMethod="&amp;$BL$145&amp;",NA=0")</f>
        <v>-358</v>
      </c>
      <c r="K129" s="256" cm="1">
        <f t="array" ref="K129">_xll.SNL.Clients.Office.Excel.Functions.SPG(K$99,$G129,K$100,K$101,"Options:Curr="&amp;$BL$52&amp;",Mag="&amp;$BK$135&amp;",ConvMethod="&amp;$BL$145&amp;",NA=0")</f>
        <v>1687</v>
      </c>
      <c r="L129" s="256" cm="1">
        <f t="array" ref="L129">_xll.SNL.Clients.Office.Excel.Functions.SPG(L$99,$G129,L$100,L$101,"Options:Curr="&amp;$BL$52&amp;",Mag="&amp;$BK$135&amp;",ConvMethod="&amp;$BL$145&amp;",NA=0")</f>
        <v>-38</v>
      </c>
      <c r="M129" s="256" cm="1">
        <f t="array" ref="M129">_xll.SNL.Clients.Office.Excel.Functions.SPG(M$99,$G129,M$100,M$101,"Options:Curr="&amp;$BL$52&amp;",Mag="&amp;$BK$135&amp;",ConvMethod="&amp;$BL$145&amp;",NA=0")</f>
        <v>-1875</v>
      </c>
      <c r="N129" s="98"/>
      <c r="O129" s="98"/>
      <c r="P129" s="98"/>
      <c r="Q129" s="98"/>
      <c r="R129" s="98"/>
      <c r="S129" s="157"/>
      <c r="Z129" s="216"/>
      <c r="AA129" s="216"/>
      <c r="AB129" s="216"/>
      <c r="AC129" s="26" t="s">
        <v>4551</v>
      </c>
      <c r="AD129" s="380">
        <f t="shared" si="29"/>
        <v>3.2149999999999999</v>
      </c>
      <c r="AE129" s="381" t="s">
        <v>4552</v>
      </c>
      <c r="AF129" s="382" cm="1">
        <f t="array" ref="AF129">_xll.SNL.Clients.Office.Excel.Functions.SPG($AE129, "SP_RATE_VALUE",AF$75,"Options:NA=NA")</f>
        <v>3.2149999999999999</v>
      </c>
      <c r="AG129" s="382" t="str" cm="1">
        <f t="array" ref="AG129">_xll.SNL.Clients.Office.Excel.Functions.SPG($AE129, "SP_RATE_VALUE",AG$75,"Options:NA=NA")</f>
        <v>NA</v>
      </c>
      <c r="AH129" s="383" t="str" cm="1">
        <f t="array" ref="AH129">_xll.SNL.Clients.Office.Excel.Functions.SPG($AE129, "SP_RATE_VALUE",AH$75,"Options:NA=NA")</f>
        <v>NA</v>
      </c>
      <c r="AK129" s="392"/>
      <c r="AL129" s="392"/>
      <c r="AM129" s="392"/>
      <c r="AN129" s="3"/>
      <c r="AO129" s="2"/>
      <c r="AP129" s="3"/>
      <c r="AQ129" s="2"/>
      <c r="AY129" s="392"/>
      <c r="AZ129" s="3"/>
      <c r="BA129" s="2"/>
      <c r="BB129" s="3"/>
      <c r="BC129" s="2"/>
      <c r="BJ129" t="str">
        <f t="shared" si="43"/>
        <v>UAE Dirham</v>
      </c>
      <c r="BK129" s="403" t="s">
        <v>278</v>
      </c>
      <c r="BL129" s="404" t="s">
        <v>41</v>
      </c>
      <c r="BM129" s="404" t="s">
        <v>42</v>
      </c>
      <c r="BN129" s="405" t="s">
        <v>30</v>
      </c>
      <c r="BQ129" s="44" t="s">
        <v>271</v>
      </c>
      <c r="BR129" s="44" t="s">
        <v>4696</v>
      </c>
    </row>
    <row r="130" spans="2:70" hidden="1" outlineLevel="1" x14ac:dyDescent="0.2">
      <c r="B130" s="158" t="str">
        <f>VLOOKUP("Change in Def. Taxes",Language_Data,Lookup_Column,FALSE)</f>
        <v>Change in Def. Taxes</v>
      </c>
      <c r="G130" s="34" t="s">
        <v>509</v>
      </c>
      <c r="H130" s="256" cm="1">
        <f t="array" ref="H130">_xll.SNL.Clients.Office.Excel.Functions.SPG(H$99,$G130,H$100,H$101,"Options:Curr="&amp;$BL$52&amp;",Mag="&amp;$BK$135&amp;",ConvMethod="&amp;$BL$145&amp;",NA=0")</f>
        <v>0</v>
      </c>
      <c r="I130" s="256" cm="1">
        <f t="array" ref="I130">_xll.SNL.Clients.Office.Excel.Functions.SPG(I$99,$G130,I$100,I$101,"Options:Curr="&amp;$BL$52&amp;",Mag="&amp;$BK$135&amp;",ConvMethod="&amp;$BL$145&amp;",NA=0")</f>
        <v>0</v>
      </c>
      <c r="J130" s="256" cm="1">
        <f t="array" ref="J130">_xll.SNL.Clients.Office.Excel.Functions.SPG(J$99,$G130,J$100,J$101,"Options:Curr="&amp;$BL$52&amp;",Mag="&amp;$BK$135&amp;",ConvMethod="&amp;$BL$145&amp;",NA=0")</f>
        <v>0</v>
      </c>
      <c r="K130" s="256" cm="1">
        <f t="array" ref="K130">_xll.SNL.Clients.Office.Excel.Functions.SPG(K$99,$G130,K$100,K$101,"Options:Curr="&amp;$BL$52&amp;",Mag="&amp;$BK$135&amp;",ConvMethod="&amp;$BL$145&amp;",NA=0")</f>
        <v>0</v>
      </c>
      <c r="L130" s="256" cm="1">
        <f t="array" ref="L130">_xll.SNL.Clients.Office.Excel.Functions.SPG(L$99,$G130,L$100,L$101,"Options:Curr="&amp;$BL$52&amp;",Mag="&amp;$BK$135&amp;",ConvMethod="&amp;$BL$145&amp;",NA=0")</f>
        <v>0</v>
      </c>
      <c r="M130" s="256" cm="1">
        <f t="array" ref="M130">_xll.SNL.Clients.Office.Excel.Functions.SPG(M$99,$G130,M$100,M$101,"Options:Curr="&amp;$BL$52&amp;",Mag="&amp;$BK$135&amp;",ConvMethod="&amp;$BL$145&amp;",NA=0")</f>
        <v>0</v>
      </c>
      <c r="N130" s="98"/>
      <c r="O130" s="98"/>
      <c r="P130" s="98"/>
      <c r="Q130" s="98"/>
      <c r="R130" s="98"/>
      <c r="S130" s="157"/>
      <c r="Z130" s="216"/>
      <c r="AA130" s="216"/>
      <c r="AB130" s="216"/>
      <c r="AC130" s="26" t="s">
        <v>4553</v>
      </c>
      <c r="AD130" s="380">
        <f t="shared" si="29"/>
        <v>3.8889999999999998</v>
      </c>
      <c r="AE130" s="381" t="s">
        <v>4554</v>
      </c>
      <c r="AF130" s="382" cm="1">
        <f t="array" ref="AF130">_xll.SNL.Clients.Office.Excel.Functions.SPG($AE130, "SP_RATE_VALUE",AF$75,"Options:NA=NA")</f>
        <v>3.8889999999999998</v>
      </c>
      <c r="AG130" s="382" t="str" cm="1">
        <f t="array" ref="AG130">_xll.SNL.Clients.Office.Excel.Functions.SPG($AE130, "SP_RATE_VALUE",AG$75,"Options:NA=NA")</f>
        <v>NA</v>
      </c>
      <c r="AH130" s="383" t="str" cm="1">
        <f t="array" ref="AH130">_xll.SNL.Clients.Office.Excel.Functions.SPG($AE130, "SP_RATE_VALUE",AH$75,"Options:NA=NA")</f>
        <v>NA</v>
      </c>
      <c r="AK130" s="392"/>
      <c r="AL130" s="392"/>
      <c r="AM130" s="392"/>
      <c r="AN130" s="3"/>
      <c r="AO130" s="2"/>
      <c r="AP130" s="3"/>
      <c r="AQ130" s="2"/>
      <c r="AY130" s="392"/>
      <c r="AZ130" s="3"/>
      <c r="BA130" s="2"/>
      <c r="BB130" s="3"/>
      <c r="BC130" s="2"/>
      <c r="BJ130" t="str">
        <f t="shared" si="43"/>
        <v>Ukraine Hryvnia</v>
      </c>
      <c r="BK130" s="403" t="s">
        <v>241</v>
      </c>
      <c r="BL130" s="404" t="s">
        <v>242</v>
      </c>
      <c r="BM130" s="404" t="s">
        <v>242</v>
      </c>
      <c r="BN130" s="405" t="s">
        <v>30</v>
      </c>
      <c r="BQ130" s="44" t="s">
        <v>320</v>
      </c>
      <c r="BR130" s="44" t="s">
        <v>4697</v>
      </c>
    </row>
    <row r="131" spans="2:70" hidden="1" outlineLevel="1" x14ac:dyDescent="0.2">
      <c r="B131" s="158" t="str">
        <f>VLOOKUP("Change in Other Net Operating Assets",Language_Data,Lookup_Column,FALSE)</f>
        <v>Change in Other Net Operating Assets</v>
      </c>
      <c r="G131" s="34" t="s">
        <v>510</v>
      </c>
      <c r="H131" s="256" cm="1">
        <f t="array" ref="H131">_xll.SNL.Clients.Office.Excel.Functions.SPG(H$99,$G131,H$100,H$101,"Options:Curr="&amp;$BL$52&amp;",Mag="&amp;$BK$135&amp;",ConvMethod="&amp;$BL$145&amp;",NA=0")</f>
        <v>1160</v>
      </c>
      <c r="I131" s="256" cm="1">
        <f t="array" ref="I131">_xll.SNL.Clients.Office.Excel.Functions.SPG(I$99,$G131,I$100,I$101,"Options:Curr="&amp;$BL$52&amp;",Mag="&amp;$BK$135&amp;",ConvMethod="&amp;$BL$145&amp;",NA=0")</f>
        <v>-345</v>
      </c>
      <c r="J131" s="256" cm="1">
        <f t="array" ref="J131">_xll.SNL.Clients.Office.Excel.Functions.SPG(J$99,$G131,J$100,J$101,"Options:Curr="&amp;$BL$52&amp;",Mag="&amp;$BK$135&amp;",ConvMethod="&amp;$BL$145&amp;",NA=0")</f>
        <v>-1999</v>
      </c>
      <c r="K131" s="256" cm="1">
        <f t="array" ref="K131">_xll.SNL.Clients.Office.Excel.Functions.SPG(K$99,$G131,K$100,K$101,"Options:Curr="&amp;$BL$52&amp;",Mag="&amp;$BK$135&amp;",ConvMethod="&amp;$BL$145&amp;",NA=0")</f>
        <v>-2849</v>
      </c>
      <c r="L131" s="256" cm="1">
        <f t="array" ref="L131">_xll.SNL.Clients.Office.Excel.Functions.SPG(L$99,$G131,L$100,L$101,"Options:Curr="&amp;$BL$52&amp;",Mag="&amp;$BK$135&amp;",ConvMethod="&amp;$BL$145&amp;",NA=0")</f>
        <v>-1047</v>
      </c>
      <c r="M131" s="256" cm="1">
        <f t="array" ref="M131">_xll.SNL.Clients.Office.Excel.Functions.SPG(M$99,$G131,M$100,M$101,"Options:Curr="&amp;$BL$52&amp;",Mag="&amp;$BK$135&amp;",ConvMethod="&amp;$BL$145&amp;",NA=0")</f>
        <v>-4451</v>
      </c>
      <c r="N131" s="98"/>
      <c r="O131" s="98"/>
      <c r="P131" s="98"/>
      <c r="Q131" s="98"/>
      <c r="R131" s="98"/>
      <c r="S131" s="157"/>
      <c r="Z131" s="216"/>
      <c r="AA131" s="216"/>
      <c r="AB131" s="216"/>
      <c r="AC131" s="26" t="s">
        <v>4555</v>
      </c>
      <c r="AD131" s="380">
        <f t="shared" si="29"/>
        <v>3.306</v>
      </c>
      <c r="AE131" s="381" t="s">
        <v>4556</v>
      </c>
      <c r="AF131" s="382" cm="1">
        <f t="array" ref="AF131">_xll.SNL.Clients.Office.Excel.Functions.SPG($AE131, "SP_RATE_VALUE",AF$75,"Options:NA=NA")</f>
        <v>3.306</v>
      </c>
      <c r="AG131" s="382" t="str" cm="1">
        <f t="array" ref="AG131">_xll.SNL.Clients.Office.Excel.Functions.SPG($AE131, "SP_RATE_VALUE",AG$75,"Options:NA=NA")</f>
        <v>NA</v>
      </c>
      <c r="AH131" s="383" t="str" cm="1">
        <f t="array" ref="AH131">_xll.SNL.Clients.Office.Excel.Functions.SPG($AE131, "SP_RATE_VALUE",AH$75,"Options:NA=NA")</f>
        <v>NA</v>
      </c>
      <c r="AK131" s="392"/>
      <c r="AL131" s="392"/>
      <c r="AM131" s="392"/>
      <c r="AN131" s="3"/>
      <c r="AO131" s="2"/>
      <c r="AP131" s="3"/>
      <c r="AQ131" s="2"/>
      <c r="AY131" s="392"/>
      <c r="AZ131" s="3"/>
      <c r="BA131" s="2"/>
      <c r="BB131" s="3"/>
      <c r="BC131" s="2"/>
      <c r="BJ131" t="str">
        <f t="shared" si="43"/>
        <v>Uzbekistani Som</v>
      </c>
      <c r="BK131" s="403" t="s">
        <v>243</v>
      </c>
      <c r="BL131" s="404" t="s">
        <v>244</v>
      </c>
      <c r="BM131" s="404" t="s">
        <v>244</v>
      </c>
      <c r="BN131" s="405" t="s">
        <v>40</v>
      </c>
      <c r="BQ131" s="44" t="s">
        <v>365</v>
      </c>
      <c r="BR131" s="44" t="s">
        <v>4698</v>
      </c>
    </row>
    <row r="132" spans="2:70" ht="10.5" collapsed="1" x14ac:dyDescent="0.25">
      <c r="B132" s="143" t="str">
        <f>VLOOKUP("Margin",Language_Data,Lookup_Column,FALSE)</f>
        <v>Margin</v>
      </c>
      <c r="H132" s="166">
        <f t="shared" ref="H132:M132" si="47">IF(ISERROR(+H123/H$105),"NA",+H123/H$105)</f>
        <v>0</v>
      </c>
      <c r="I132" s="166">
        <f t="shared" si="47"/>
        <v>2.2494578100569931E-3</v>
      </c>
      <c r="J132" s="166">
        <f t="shared" si="47"/>
        <v>-1.126866904183281E-2</v>
      </c>
      <c r="K132" s="166">
        <f t="shared" si="47"/>
        <v>7.441192549016408E-3</v>
      </c>
      <c r="L132" s="166">
        <f t="shared" si="47"/>
        <v>-1.8990217375871421E-2</v>
      </c>
      <c r="M132" s="166">
        <f t="shared" si="47"/>
        <v>-1.4751129312708874E-2</v>
      </c>
      <c r="N132" s="246">
        <f>M132</f>
        <v>-1.4751129312708874E-2</v>
      </c>
      <c r="O132" s="222">
        <f>N132</f>
        <v>-1.4751129312708874E-2</v>
      </c>
      <c r="P132" s="222">
        <f>O132</f>
        <v>-1.4751129312708874E-2</v>
      </c>
      <c r="Q132" s="222">
        <f>P132</f>
        <v>-1.4751129312708874E-2</v>
      </c>
      <c r="R132" s="222">
        <f>Q132</f>
        <v>-1.4751129312708874E-2</v>
      </c>
      <c r="S132" s="2"/>
      <c r="W132" s="114"/>
      <c r="X132" s="268"/>
      <c r="Y132" s="269" t="str">
        <f>MI_ID</f>
        <v>MSFT</v>
      </c>
      <c r="Z132" s="216"/>
      <c r="AA132" s="215"/>
      <c r="AB132" s="215"/>
      <c r="AC132" s="26" t="s">
        <v>4557</v>
      </c>
      <c r="AD132" s="380">
        <f t="shared" si="29"/>
        <v>3.5088699999999999</v>
      </c>
      <c r="AE132" s="381" t="s">
        <v>4558</v>
      </c>
      <c r="AF132" s="382" cm="1">
        <f t="array" ref="AF132">_xll.SNL.Clients.Office.Excel.Functions.SPG($AE132, "SP_RATE_VALUE",AF$75,"Options:NA=NA")</f>
        <v>3.5088699999999999</v>
      </c>
      <c r="AG132" s="382" t="str" cm="1">
        <f t="array" ref="AG132">_xll.SNL.Clients.Office.Excel.Functions.SPG($AE132, "SP_RATE_VALUE",AG$75,"Options:NA=NA")</f>
        <v>NA</v>
      </c>
      <c r="AH132" s="383" t="str" cm="1">
        <f t="array" ref="AH132">_xll.SNL.Clients.Office.Excel.Functions.SPG($AE132, "SP_RATE_VALUE",AH$75,"Options:NA=NA")</f>
        <v>NA</v>
      </c>
      <c r="AK132" s="392"/>
      <c r="AL132" s="392"/>
      <c r="AM132" s="392"/>
      <c r="AN132" s="3"/>
      <c r="AO132" s="2"/>
      <c r="AP132" s="3"/>
      <c r="AQ132" s="2"/>
      <c r="AY132" s="392"/>
      <c r="AZ132" s="3"/>
      <c r="BA132" s="2"/>
      <c r="BB132" s="3"/>
      <c r="BC132" s="2"/>
      <c r="BJ132" t="str">
        <f t="shared" si="43"/>
        <v>Venezuelan Bolívar</v>
      </c>
      <c r="BK132" s="403" t="s">
        <v>3965</v>
      </c>
      <c r="BL132" s="404" t="s">
        <v>279</v>
      </c>
      <c r="BM132" s="406" t="s">
        <v>280</v>
      </c>
      <c r="BN132" s="405" t="s">
        <v>30</v>
      </c>
      <c r="BQ132" s="44" t="s">
        <v>323</v>
      </c>
      <c r="BR132" s="44" t="s">
        <v>4699</v>
      </c>
    </row>
    <row r="133" spans="2:70" x14ac:dyDescent="0.2">
      <c r="B133" s="7" t="str">
        <f>VLOOKUP("Unlevered Free Cash Flow",Language_Data,Lookup_Column,FALSE)</f>
        <v>Unlevered Free Cash Flow</v>
      </c>
      <c r="H133" s="160">
        <f t="shared" ref="H133:R133" si="48">IF(COUNT(H118:H120,H122:H123)=0,"NA",SUM(H118:H120,H122:H123))</f>
        <v>47771.814631999994</v>
      </c>
      <c r="I133" s="160">
        <f t="shared" si="48"/>
        <v>60377.156665999995</v>
      </c>
      <c r="J133" s="160">
        <f t="shared" si="48"/>
        <v>57740.208945999999</v>
      </c>
      <c r="K133" s="160">
        <f t="shared" si="48"/>
        <v>66602.273765999998</v>
      </c>
      <c r="L133" s="160">
        <f t="shared" si="48"/>
        <v>63835.415456000017</v>
      </c>
      <c r="M133" s="160">
        <f t="shared" si="48"/>
        <v>53888.406573999993</v>
      </c>
      <c r="N133" s="160">
        <f t="shared" si="48"/>
        <v>66327.880001050435</v>
      </c>
      <c r="O133" s="160">
        <f t="shared" si="48"/>
        <v>81487.760754650022</v>
      </c>
      <c r="P133" s="160">
        <f t="shared" si="48"/>
        <v>99942.266877224538</v>
      </c>
      <c r="Q133" s="160">
        <f t="shared" si="48"/>
        <v>122383.82425326272</v>
      </c>
      <c r="R133" s="160">
        <f t="shared" si="48"/>
        <v>149646.95144973294</v>
      </c>
      <c r="S133" s="157">
        <f>IFERROR((R133/N133)^(1/4)-1,"NA")</f>
        <v>0.22558359583242371</v>
      </c>
      <c r="W133" s="270"/>
      <c r="X133" s="271"/>
      <c r="Y133" s="272" t="s">
        <v>4248</v>
      </c>
      <c r="Z133" s="215"/>
      <c r="AC133" s="26" t="s">
        <v>4559</v>
      </c>
      <c r="AD133" s="380">
        <f t="shared" si="29"/>
        <v>6.8064999999999998</v>
      </c>
      <c r="AE133" s="381" t="s">
        <v>4560</v>
      </c>
      <c r="AF133" s="382" cm="1">
        <f t="array" ref="AF133">_xll.SNL.Clients.Office.Excel.Functions.SPG($AE133, "SP_RATE_VALUE",AF$75,"Options:NA=NA")</f>
        <v>6.8064999999999998</v>
      </c>
      <c r="AG133" s="382" t="str" cm="1">
        <f t="array" ref="AG133">_xll.SNL.Clients.Office.Excel.Functions.SPG($AE133, "SP_RATE_VALUE",AG$75,"Options:NA=NA")</f>
        <v>NA</v>
      </c>
      <c r="AH133" s="383" t="str" cm="1">
        <f t="array" ref="AH133">_xll.SNL.Clients.Office.Excel.Functions.SPG($AE133, "SP_RATE_VALUE",AH$75,"Options:NA=NA")</f>
        <v>NA</v>
      </c>
      <c r="AK133" s="392"/>
      <c r="AL133" s="392"/>
      <c r="AM133" s="392"/>
      <c r="AN133" s="3"/>
      <c r="AO133" s="2"/>
      <c r="AP133" s="3"/>
      <c r="AQ133" s="2"/>
      <c r="AY133" s="392"/>
      <c r="AZ133" s="3"/>
      <c r="BA133" s="2"/>
      <c r="BB133" s="3"/>
      <c r="BC133" s="2"/>
      <c r="BJ133" t="str">
        <f t="shared" si="43"/>
        <v>Vietnam Dong</v>
      </c>
      <c r="BK133" s="407" t="s">
        <v>245</v>
      </c>
      <c r="BL133" s="408" t="s">
        <v>246</v>
      </c>
      <c r="BM133" s="408" t="s">
        <v>247</v>
      </c>
      <c r="BN133" s="409" t="s">
        <v>40</v>
      </c>
      <c r="BQ133" s="44" t="s">
        <v>373</v>
      </c>
      <c r="BR133" s="44" t="s">
        <v>4700</v>
      </c>
    </row>
    <row r="134" spans="2:70" x14ac:dyDescent="0.2">
      <c r="B134" s="143" t="str">
        <f>VLOOKUP("Annual Growth",Language_Data,Lookup_Column,FALSE)</f>
        <v>Annual Growth</v>
      </c>
      <c r="I134" s="157"/>
      <c r="J134" s="157">
        <f>IFERROR(J133/I133-1,"NA")</f>
        <v>-4.367459260440687E-2</v>
      </c>
      <c r="K134" s="157">
        <f t="shared" ref="K134:L134" si="49">IFERROR(K133/J133-1,"NA")</f>
        <v>0.15348168948068763</v>
      </c>
      <c r="L134" s="157">
        <f t="shared" si="49"/>
        <v>-4.1543000764824423E-2</v>
      </c>
      <c r="M134" s="157">
        <f t="shared" ref="M134:R134" si="50">IFERROR(M133/L133-1,"NA")</f>
        <v>-0.15582273274082814</v>
      </c>
      <c r="N134" s="157">
        <f t="shared" si="50"/>
        <v>0.23083765540494228</v>
      </c>
      <c r="O134" s="157">
        <f t="shared" si="50"/>
        <v>0.22855970601441666</v>
      </c>
      <c r="P134" s="157">
        <f t="shared" si="50"/>
        <v>0.22646966798043255</v>
      </c>
      <c r="Q134" s="157">
        <f t="shared" si="50"/>
        <v>0.22454521072257472</v>
      </c>
      <c r="R134" s="157">
        <f t="shared" si="50"/>
        <v>0.22276740707212683</v>
      </c>
      <c r="S134" s="2"/>
      <c r="V134" s="143"/>
      <c r="W134" s="276"/>
      <c r="X134" s="277"/>
      <c r="Y134" s="330">
        <f>$L$15</f>
        <v>46251</v>
      </c>
      <c r="AA134" s="160"/>
      <c r="AB134" s="6"/>
      <c r="AC134" s="26" t="s">
        <v>4561</v>
      </c>
      <c r="AD134" s="380">
        <f t="shared" si="29"/>
        <v>7.04</v>
      </c>
      <c r="AE134" s="381" t="s">
        <v>4562</v>
      </c>
      <c r="AF134" s="382" cm="1">
        <f t="array" ref="AF134">_xll.SNL.Clients.Office.Excel.Functions.SPG($AE134, "SP_RATE_VALUE",AF$75,"Options:NA=NA")</f>
        <v>7.04</v>
      </c>
      <c r="AG134" s="382" t="str" cm="1">
        <f t="array" ref="AG134">_xll.SNL.Clients.Office.Excel.Functions.SPG($AE134, "SP_RATE_VALUE",AG$75,"Options:NA=NA")</f>
        <v>NA</v>
      </c>
      <c r="AH134" s="383" t="str" cm="1">
        <f t="array" ref="AH134">_xll.SNL.Clients.Office.Excel.Functions.SPG($AE134, "SP_RATE_VALUE",AH$75,"Options:NA=NA")</f>
        <v>NA</v>
      </c>
      <c r="AK134" s="392"/>
      <c r="AL134" s="392"/>
      <c r="AM134" s="392"/>
      <c r="AN134" s="3"/>
      <c r="AO134" s="2"/>
      <c r="AP134" s="3"/>
      <c r="AQ134" s="2"/>
      <c r="AY134" s="392"/>
      <c r="AZ134" s="3"/>
      <c r="BA134" s="2"/>
      <c r="BB134" s="3"/>
      <c r="BC134" s="2"/>
      <c r="BK134" s="7"/>
      <c r="BL134" s="7"/>
      <c r="BM134" s="7"/>
      <c r="BN134" s="7"/>
      <c r="BQ134" s="44" t="s">
        <v>348</v>
      </c>
      <c r="BR134" s="44" t="s">
        <v>4701</v>
      </c>
    </row>
    <row r="135" spans="2:70" x14ac:dyDescent="0.2">
      <c r="B135" s="144"/>
      <c r="I135" s="2"/>
      <c r="J135" s="2"/>
      <c r="K135" s="2"/>
      <c r="L135" s="2"/>
      <c r="M135" s="2"/>
      <c r="N135" s="2"/>
      <c r="O135" s="2"/>
      <c r="P135" s="2"/>
      <c r="Q135" s="2"/>
      <c r="R135" s="2"/>
      <c r="V135" s="7"/>
      <c r="W135" s="278" t="s">
        <v>420</v>
      </c>
      <c r="X135" s="117" t="s">
        <v>515</v>
      </c>
      <c r="Y135" s="119" cm="1">
        <f t="array" ref="Y135">_xll.SNL.Clients.Office.Excel.Functions.SPG(Y$132,$X135,Y$133,Y$134,"Options:Curr="&amp;$BL$52&amp;",Mag="&amp;$BK$135&amp;",ConvMethod="&amp;$BL$145&amp;",NA=0")</f>
        <v>0</v>
      </c>
      <c r="Z135" s="6"/>
      <c r="AA135" s="160"/>
      <c r="AB135" s="6"/>
      <c r="AC135" s="26" t="s">
        <v>4563</v>
      </c>
      <c r="AD135" s="380">
        <f t="shared" si="29"/>
        <v>3.3610000000000002</v>
      </c>
      <c r="AE135" s="381" t="s">
        <v>4564</v>
      </c>
      <c r="AF135" s="382" cm="1">
        <f t="array" ref="AF135">_xll.SNL.Clients.Office.Excel.Functions.SPG($AE135, "SP_RATE_VALUE",AF$75,"Options:NA=NA")</f>
        <v>3.3610000000000002</v>
      </c>
      <c r="AG135" s="382" t="str" cm="1">
        <f t="array" ref="AG135">_xll.SNL.Clients.Office.Excel.Functions.SPG($AE135, "SP_RATE_VALUE",AG$75,"Options:NA=NA")</f>
        <v>NA</v>
      </c>
      <c r="AH135" s="383" t="str" cm="1">
        <f t="array" ref="AH135">_xll.SNL.Clients.Office.Excel.Functions.SPG($AE135, "SP_RATE_VALUE",AH$75,"Options:NA=NA")</f>
        <v>NA</v>
      </c>
      <c r="AK135" s="392"/>
      <c r="AL135" s="392"/>
      <c r="AM135" s="392"/>
      <c r="AN135" s="3"/>
      <c r="AO135" s="2"/>
      <c r="AP135" s="3"/>
      <c r="AQ135" s="2"/>
      <c r="AY135" s="392"/>
      <c r="AZ135" s="3"/>
      <c r="BA135" s="2"/>
      <c r="BB135" s="3"/>
      <c r="BC135" s="2"/>
      <c r="BJ135" t="str">
        <f>IF(L30="","",L30)</f>
        <v>Millions</v>
      </c>
      <c r="BK135" s="401" t="str">
        <f>IFERROR(VLOOKUP(BJ135,BJ138:BM143,2,0),0)</f>
        <v>Millions</v>
      </c>
      <c r="BL135" s="401" t="str">
        <f>IFERROR(IF(VLOOKUP(L30,$BJ$138:$BL$143,3,FALSE)="","",VLOOKUP(L30,$BJ$138:$BL$143,3,FALSE)),"")</f>
        <v>M</v>
      </c>
      <c r="BM135" s="401" t="str">
        <f>IF(L30=BJ138,INDEX(BL140:BL143,MATCH(BL135,BL140:BL143,0)+1),BL135)</f>
        <v>M</v>
      </c>
      <c r="BN135" s="471">
        <f>IFERROR(VLOOKUP(BJ135,BJ138:BN143,5,0),0)</f>
        <v>1000000</v>
      </c>
      <c r="BQ135" s="44" t="s">
        <v>349</v>
      </c>
      <c r="BR135" s="44" t="s">
        <v>4702</v>
      </c>
    </row>
    <row r="136" spans="2:70" x14ac:dyDescent="0.2">
      <c r="B136" s="7" t="str">
        <f>VLOOKUP("Discount Factor:",Language_Data,Lookup_Column,FALSE)&amp;" - "&amp;CHOOSE($L$32,VLOOKUP("Mid-Period Convention",Language_Data,Lookup_Column,FALSE),VLOOKUP("End-of-Period Convention",Language_Data,Lookup_Column,FALSE))</f>
        <v>Discount Factor: - End-of-Period Convention</v>
      </c>
      <c r="I136" s="2"/>
      <c r="J136" s="2"/>
      <c r="K136" s="2"/>
      <c r="L136" s="2"/>
      <c r="M136" s="2"/>
      <c r="N136" s="136">
        <f>CHOOSE($L$32,($AA$156/365/2),($AA$156/365))</f>
        <v>0.86849315068493149</v>
      </c>
      <c r="O136" s="136">
        <f>CHOOSE($L$32,($AA$156/365+0.5),(N136+1))</f>
        <v>1.8684931506849316</v>
      </c>
      <c r="P136" s="136">
        <f>O136+1</f>
        <v>2.8684931506849316</v>
      </c>
      <c r="Q136" s="136">
        <f>P136+1</f>
        <v>3.8684931506849316</v>
      </c>
      <c r="R136" s="136">
        <f>Q136+1</f>
        <v>4.868493150684932</v>
      </c>
      <c r="V136" s="143"/>
      <c r="W136" s="270" t="s">
        <v>485</v>
      </c>
      <c r="X136" s="124" t="s">
        <v>525</v>
      </c>
      <c r="Y136" s="123" cm="1">
        <f t="array" ref="Y136">_xll.SNL.Clients.Office.Excel.Functions.SPG(Y$132,$X136,Y$133,Y$134,"Options:Curr="&amp;$BL$52&amp;",Mag="&amp;$BK$135&amp;",ConvMethod="&amp;$BL$145&amp;",NA=0")</f>
        <v>20935</v>
      </c>
      <c r="Z136" s="6"/>
      <c r="AA136" s="160"/>
      <c r="AB136" s="6"/>
      <c r="AC136" s="26" t="s">
        <v>4565</v>
      </c>
      <c r="AD136" s="380">
        <f t="shared" si="29"/>
        <v>3.8050000000000002</v>
      </c>
      <c r="AE136" s="381" t="s">
        <v>4566</v>
      </c>
      <c r="AF136" s="382" cm="1">
        <f t="array" ref="AF136">_xll.SNL.Clients.Office.Excel.Functions.SPG($AE136, "SP_RATE_VALUE",AF$75,"Options:NA=NA")</f>
        <v>3.8050000000000002</v>
      </c>
      <c r="AG136" s="382" t="str" cm="1">
        <f t="array" ref="AG136">_xll.SNL.Clients.Office.Excel.Functions.SPG($AE136, "SP_RATE_VALUE",AG$75,"Options:NA=NA")</f>
        <v>NA</v>
      </c>
      <c r="AH136" s="383" t="str" cm="1">
        <f t="array" ref="AH136">_xll.SNL.Clients.Office.Excel.Functions.SPG($AE136, "SP_RATE_VALUE",AH$75,"Options:NA=NA")</f>
        <v>NA</v>
      </c>
      <c r="AK136" s="392"/>
      <c r="AL136" s="392"/>
      <c r="AM136" s="392"/>
      <c r="AN136" s="3"/>
      <c r="AO136" s="2"/>
      <c r="AP136" s="3"/>
      <c r="AQ136" s="2"/>
      <c r="AY136" s="392"/>
      <c r="AZ136" s="3"/>
      <c r="BA136" s="2"/>
      <c r="BB136" s="3"/>
      <c r="BC136" s="2"/>
      <c r="BK136" s="81"/>
      <c r="BL136" s="410"/>
      <c r="BM136" s="411" t="str" cm="1">
        <f t="array" ref="BM136">IFERROR(INDEX(BL140:BL143,MATCH(BL135,BL140:BL143,0)+1),"")</f>
        <v>B</v>
      </c>
      <c r="BN136" s="471"/>
      <c r="BQ136" s="44" t="s">
        <v>350</v>
      </c>
      <c r="BR136" s="44" t="s">
        <v>4703</v>
      </c>
    </row>
    <row r="137" spans="2:70" ht="10.5" x14ac:dyDescent="0.25">
      <c r="B137" s="7" t="str">
        <f>VLOOKUP("PV of Yearly Cash Flows",Language_Data,Lookup_Column,FALSE)</f>
        <v>PV of Yearly Cash Flows</v>
      </c>
      <c r="I137" s="2"/>
      <c r="J137" s="2"/>
      <c r="K137" s="2"/>
      <c r="L137" s="2"/>
      <c r="M137" s="2"/>
      <c r="N137" s="223">
        <f>IFERROR((N133*$AA$156/365)/(1+$R$142)^N136,"NA")</f>
        <v>50068.901197309708</v>
      </c>
      <c r="O137" s="223">
        <f>IFERROR(O133/(1+$R$142)^O136,"NA")</f>
        <v>60267.456797875617</v>
      </c>
      <c r="P137" s="223">
        <f>IFERROR(P133/(1+$R$142)^P136,"NA")</f>
        <v>62896.229680209093</v>
      </c>
      <c r="Q137" s="223">
        <f>IFERROR(Q133/(1+$R$142)^Q136,"NA")</f>
        <v>65536.670156377251</v>
      </c>
      <c r="R137" s="223">
        <f>IFERROR(R133/(1+$R$142)^R136,"NA")</f>
        <v>68188.81775080612</v>
      </c>
      <c r="V137" s="144"/>
      <c r="Z137" s="6"/>
      <c r="AA137" s="160"/>
      <c r="AB137" s="6"/>
      <c r="AC137" s="26" t="s">
        <v>4567</v>
      </c>
      <c r="AD137" s="380">
        <f t="shared" si="29"/>
        <v>4.0069999999999997</v>
      </c>
      <c r="AE137" s="381" t="s">
        <v>4568</v>
      </c>
      <c r="AF137" s="382" cm="1">
        <f t="array" ref="AF137">_xll.SNL.Clients.Office.Excel.Functions.SPG($AE137, "SP_RATE_VALUE",AF$75,"Options:NA=NA")</f>
        <v>4.0069999999999997</v>
      </c>
      <c r="AG137" s="382" t="str" cm="1">
        <f t="array" ref="AG137">_xll.SNL.Clients.Office.Excel.Functions.SPG($AE137, "SP_RATE_VALUE",AG$75,"Options:NA=NA")</f>
        <v>NA</v>
      </c>
      <c r="AH137" s="383" t="str" cm="1">
        <f t="array" ref="AH137">_xll.SNL.Clients.Office.Excel.Functions.SPG($AE137, "SP_RATE_VALUE",AH$75,"Options:NA=NA")</f>
        <v>NA</v>
      </c>
      <c r="AK137" s="392"/>
      <c r="AL137" s="392"/>
      <c r="AM137" s="392"/>
      <c r="AN137" s="3"/>
      <c r="AO137" s="2"/>
      <c r="AP137" s="3"/>
      <c r="AQ137" s="2"/>
      <c r="AY137" s="392"/>
      <c r="AZ137" s="3"/>
      <c r="BA137" s="2"/>
      <c r="BB137" s="3"/>
      <c r="BC137" s="2"/>
      <c r="BK137" s="63" t="s">
        <v>20</v>
      </c>
      <c r="BL137" s="402" t="s">
        <v>248</v>
      </c>
      <c r="BM137" s="402"/>
      <c r="BN137" s="471"/>
      <c r="BQ137" s="44" t="s">
        <v>337</v>
      </c>
      <c r="BR137" s="44" t="s">
        <v>4704</v>
      </c>
    </row>
    <row r="138" spans="2:70" x14ac:dyDescent="0.2">
      <c r="B138" s="145"/>
      <c r="C138" s="15"/>
      <c r="D138" s="15"/>
      <c r="E138" s="15"/>
      <c r="F138" s="15"/>
      <c r="G138" s="15"/>
      <c r="H138" s="15"/>
      <c r="I138" s="15"/>
      <c r="J138" s="15"/>
      <c r="K138" s="15"/>
      <c r="L138" s="15"/>
      <c r="M138" s="15"/>
      <c r="N138" s="15"/>
      <c r="O138" s="15"/>
      <c r="P138" s="15"/>
      <c r="Q138" s="15"/>
      <c r="R138" s="15"/>
      <c r="S138" s="15"/>
      <c r="V138" s="7"/>
      <c r="Z138" s="6"/>
      <c r="AC138" s="26" t="s">
        <v>4569</v>
      </c>
      <c r="AD138" s="380">
        <f t="shared" si="29"/>
        <v>2.9205999999999999</v>
      </c>
      <c r="AE138" s="381" t="s">
        <v>4570</v>
      </c>
      <c r="AF138" s="382" cm="1">
        <f t="array" ref="AF138">_xll.SNL.Clients.Office.Excel.Functions.SPG($AE138, "SP_RATE_VALUE",AF$75,"Options:NA=NA")</f>
        <v>2.9205999999999999</v>
      </c>
      <c r="AG138" s="382" t="str" cm="1">
        <f t="array" ref="AG138">_xll.SNL.Clients.Office.Excel.Functions.SPG($AE138, "SP_RATE_VALUE",AG$75,"Options:NA=NA")</f>
        <v>NA</v>
      </c>
      <c r="AH138" s="383" t="str" cm="1">
        <f t="array" ref="AH138">_xll.SNL.Clients.Office.Excel.Functions.SPG($AE138, "SP_RATE_VALUE",AH$75,"Options:NA=NA")</f>
        <v>NA</v>
      </c>
      <c r="AK138" s="392"/>
      <c r="AL138" s="392"/>
      <c r="AM138" s="392"/>
      <c r="AN138" s="3"/>
      <c r="AO138" s="2"/>
      <c r="AP138" s="3"/>
      <c r="AQ138" s="2"/>
      <c r="AY138" s="392"/>
      <c r="AZ138" s="3"/>
      <c r="BA138" s="2"/>
      <c r="BB138" s="3"/>
      <c r="BC138" s="2"/>
      <c r="BJ138" t="str">
        <f t="shared" ref="BJ138:BJ143" si="51">VLOOKUP(BK138,Language_Data,Lookup_Column,FALSE)</f>
        <v>MIstandard</v>
      </c>
      <c r="BK138" s="403" t="s">
        <v>310</v>
      </c>
      <c r="BL138" s="412" t="str">
        <f>IF(BM52="Reported","",VLOOKUP(BM52,$BM$55:$BN$133,2,FALSE))</f>
        <v>000</v>
      </c>
      <c r="BM138" s="412"/>
      <c r="BN138" s="433"/>
      <c r="BQ138" s="44" t="s">
        <v>370</v>
      </c>
      <c r="BR138" s="44" t="s">
        <v>4705</v>
      </c>
    </row>
    <row r="139" spans="2:70" x14ac:dyDescent="0.2">
      <c r="V139" s="7"/>
      <c r="Z139" s="7"/>
      <c r="AC139" s="26" t="s">
        <v>4571</v>
      </c>
      <c r="AD139" s="380">
        <f t="shared" si="29"/>
        <v>12.49</v>
      </c>
      <c r="AE139" s="381" t="s">
        <v>4572</v>
      </c>
      <c r="AF139" s="382" cm="1">
        <f t="array" ref="AF139">_xll.SNL.Clients.Office.Excel.Functions.SPG($AE139, "SP_RATE_VALUE",AF$75,"Options:NA=NA")</f>
        <v>12.49</v>
      </c>
      <c r="AG139" s="382" t="str" cm="1">
        <f t="array" ref="AG139">_xll.SNL.Clients.Office.Excel.Functions.SPG($AE139, "SP_RATE_VALUE",AG$75,"Options:NA=NA")</f>
        <v>NA</v>
      </c>
      <c r="AH139" s="383" t="str" cm="1">
        <f t="array" ref="AH139">_xll.SNL.Clients.Office.Excel.Functions.SPG($AE139, "SP_RATE_VALUE",AH$75,"Options:NA=NA")</f>
        <v>NA</v>
      </c>
      <c r="AK139" s="392"/>
      <c r="AL139" s="392"/>
      <c r="AM139" s="392"/>
      <c r="AN139" s="3"/>
      <c r="AO139" s="2"/>
      <c r="AP139" s="3"/>
      <c r="AQ139" s="2"/>
      <c r="AY139" s="392"/>
      <c r="AZ139" s="3"/>
      <c r="BA139" s="2"/>
      <c r="BB139" s="3"/>
      <c r="BC139" s="2"/>
      <c r="BJ139" t="str">
        <f t="shared" si="51"/>
        <v>Actuals</v>
      </c>
      <c r="BK139" s="403" t="s">
        <v>249</v>
      </c>
      <c r="BL139" s="405" t="s">
        <v>250</v>
      </c>
      <c r="BM139" s="413">
        <v>0</v>
      </c>
      <c r="BN139" s="434">
        <v>1</v>
      </c>
      <c r="BQ139" s="44" t="s">
        <v>352</v>
      </c>
      <c r="BR139" s="44" t="s">
        <v>4706</v>
      </c>
    </row>
    <row r="140" spans="2:70" ht="12.5" x14ac:dyDescent="0.25">
      <c r="B140" s="92" t="str">
        <f>VLOOKUP("Present Value of Equity at",Language_Data,Lookup_Column,FALSE)&amp;" "&amp;TEXT($L$15,"mm/dd/yyyy")</f>
        <v>Present Value of Equity at 08/17/2026</v>
      </c>
      <c r="C140" s="149"/>
      <c r="D140" s="149"/>
      <c r="E140" s="149"/>
      <c r="F140" s="149"/>
      <c r="G140" s="149"/>
      <c r="H140" s="149"/>
      <c r="I140" s="149"/>
      <c r="J140" s="149"/>
      <c r="K140" s="150"/>
      <c r="L140" s="140"/>
      <c r="M140" s="92" t="str">
        <f>VLOOKUP("DCF Assumptions",Language_Data,Lookup_Column,FALSE)</f>
        <v>DCF Assumptions</v>
      </c>
      <c r="N140" s="151"/>
      <c r="O140" s="151"/>
      <c r="P140" s="151"/>
      <c r="Q140" s="151"/>
      <c r="R140" s="151"/>
      <c r="S140" s="152"/>
      <c r="Z140" s="7"/>
      <c r="AC140" s="26" t="s">
        <v>4573</v>
      </c>
      <c r="AD140" s="380">
        <f t="shared" ref="AD140:AD157" si="52">IF(AF140&lt;&gt;"NA",AF140,IF(AG140&lt;&gt;"NA",AG140,AH140))</f>
        <v>3.74</v>
      </c>
      <c r="AE140" s="381" t="s">
        <v>4574</v>
      </c>
      <c r="AF140" s="382" cm="1">
        <f t="array" ref="AF140">_xll.SNL.Clients.Office.Excel.Functions.SPG($AE140, "SP_RATE_VALUE",AF$75,"Options:NA=NA")</f>
        <v>3.74</v>
      </c>
      <c r="AG140" s="382" t="str" cm="1">
        <f t="array" ref="AG140">_xll.SNL.Clients.Office.Excel.Functions.SPG($AE140, "SP_RATE_VALUE",AG$75,"Options:NA=NA")</f>
        <v>NA</v>
      </c>
      <c r="AH140" s="383" t="str" cm="1">
        <f t="array" ref="AH140">_xll.SNL.Clients.Office.Excel.Functions.SPG($AE140, "SP_RATE_VALUE",AH$75,"Options:NA=NA")</f>
        <v>NA</v>
      </c>
      <c r="AK140" s="392"/>
      <c r="AL140" s="392"/>
      <c r="AM140" s="392"/>
      <c r="AN140" s="3"/>
      <c r="AO140" s="2"/>
      <c r="AP140" s="3"/>
      <c r="AQ140" s="2"/>
      <c r="AY140" s="392"/>
      <c r="AZ140" s="3"/>
      <c r="BA140" s="2"/>
      <c r="BB140" s="3"/>
      <c r="BC140" s="2"/>
      <c r="BJ140" t="str">
        <f t="shared" si="51"/>
        <v>Thousands</v>
      </c>
      <c r="BK140" s="403" t="s">
        <v>251</v>
      </c>
      <c r="BL140" s="405" t="s">
        <v>30</v>
      </c>
      <c r="BM140" s="413">
        <v>3</v>
      </c>
      <c r="BN140" s="434">
        <v>1000</v>
      </c>
      <c r="BQ140" s="44" t="s">
        <v>325</v>
      </c>
      <c r="BR140" s="44" t="s">
        <v>4707</v>
      </c>
    </row>
    <row r="141" spans="2:70" ht="10.5" x14ac:dyDescent="0.25">
      <c r="B141" s="7"/>
      <c r="C141" s="7"/>
      <c r="D141" s="7"/>
      <c r="E141" s="7"/>
      <c r="F141" s="7"/>
      <c r="G141" s="7"/>
      <c r="H141" s="7"/>
      <c r="I141" s="7"/>
      <c r="J141" s="54" t="s">
        <v>413</v>
      </c>
      <c r="K141" s="54" t="s">
        <v>414</v>
      </c>
      <c r="L141" s="7"/>
      <c r="M141" s="7"/>
      <c r="N141" s="7"/>
      <c r="O141" s="7"/>
      <c r="P141" s="7"/>
      <c r="Q141" s="7"/>
      <c r="R141" s="7"/>
      <c r="S141" s="7"/>
      <c r="W141" s="273"/>
      <c r="X141" s="274"/>
      <c r="Y141" s="274"/>
      <c r="Z141" s="274"/>
      <c r="AA141" s="275" t="str">
        <f>MI_ID</f>
        <v>MSFT</v>
      </c>
      <c r="AC141" s="26" t="s">
        <v>4575</v>
      </c>
      <c r="AD141" s="380">
        <f t="shared" si="52"/>
        <v>9.1660000000000004</v>
      </c>
      <c r="AE141" s="381" t="s">
        <v>4576</v>
      </c>
      <c r="AF141" s="382" cm="1">
        <f t="array" ref="AF141">_xll.SNL.Clients.Office.Excel.Functions.SPG($AE141, "SP_RATE_VALUE",AF$75,"Options:NA=NA")</f>
        <v>9.1660000000000004</v>
      </c>
      <c r="AG141" s="382" t="str" cm="1">
        <f t="array" ref="AG141">_xll.SNL.Clients.Office.Excel.Functions.SPG($AE141, "SP_RATE_VALUE",AG$75,"Options:NA=NA")</f>
        <v>NA</v>
      </c>
      <c r="AH141" s="383" t="str" cm="1">
        <f t="array" ref="AH141">_xll.SNL.Clients.Office.Excel.Functions.SPG($AE141, "SP_RATE_VALUE",AH$75,"Options:NA=NA")</f>
        <v>NA</v>
      </c>
      <c r="AK141" s="392"/>
      <c r="AL141" s="392"/>
      <c r="AM141" s="392"/>
      <c r="AN141" s="3"/>
      <c r="AO141" s="2"/>
      <c r="AP141" s="3"/>
      <c r="AQ141" s="2"/>
      <c r="AY141" s="392"/>
      <c r="AZ141" s="3"/>
      <c r="BA141" s="2"/>
      <c r="BB141" s="3"/>
      <c r="BC141" s="2"/>
      <c r="BJ141" t="str">
        <f t="shared" si="51"/>
        <v>Millions</v>
      </c>
      <c r="BK141" s="403" t="s">
        <v>252</v>
      </c>
      <c r="BL141" s="412" t="s">
        <v>40</v>
      </c>
      <c r="BM141" s="414">
        <v>6</v>
      </c>
      <c r="BN141" s="434">
        <v>1000000</v>
      </c>
      <c r="BQ141" s="44" t="s">
        <v>366</v>
      </c>
      <c r="BR141" s="44" t="s">
        <v>4708</v>
      </c>
    </row>
    <row r="142" spans="2:70" x14ac:dyDescent="0.2">
      <c r="B142" s="7" t="str">
        <f>VLOOKUP("PV of",Language_Data,Lookup_Column,FALSE)&amp;" "&amp;N103&amp;" "&amp;VLOOKUP("Free Cash Flow Stub(1)",Language_Data,Lookup_Column,FALSE)</f>
        <v>PV of 2027 Free Cash Flow Stub(1)</v>
      </c>
      <c r="C142" s="7"/>
      <c r="D142" s="7"/>
      <c r="E142" s="7"/>
      <c r="F142" s="7"/>
      <c r="G142" s="7"/>
      <c r="H142" s="7"/>
      <c r="I142" s="112">
        <f>N137</f>
        <v>50068.901197309708</v>
      </c>
      <c r="J142" s="210">
        <f>IFERROR(I142/I$145,"NA")</f>
        <v>1.1892158992007859E-2</v>
      </c>
      <c r="K142" s="210">
        <f>IFERROR(I142/I$152,"NA")</f>
        <v>1.220488146989516E-2</v>
      </c>
      <c r="L142" s="7"/>
      <c r="M142" s="7" t="str">
        <f>VLOOKUP("Weighted Average Cost of Capital",Language_Data,Lookup_Column,FALSE)</f>
        <v>Weighted Average Cost of Capital</v>
      </c>
      <c r="N142" s="7"/>
      <c r="O142" s="7"/>
      <c r="P142" s="7"/>
      <c r="Q142" s="7"/>
      <c r="R142" s="133">
        <f>F91</f>
        <v>0.17520888143433552</v>
      </c>
      <c r="S142" s="153"/>
      <c r="W142" s="279"/>
      <c r="X142" s="280"/>
      <c r="Y142" s="333"/>
      <c r="AA142" s="27"/>
      <c r="AC142" s="26" t="s">
        <v>4577</v>
      </c>
      <c r="AD142" s="380">
        <f t="shared" si="52"/>
        <v>4.718</v>
      </c>
      <c r="AE142" s="381" t="s">
        <v>4578</v>
      </c>
      <c r="AF142" s="382" cm="1">
        <f t="array" ref="AF142">_xll.SNL.Clients.Office.Excel.Functions.SPG($AE142, "SP_RATE_VALUE",AF$75,"Options:NA=NA")</f>
        <v>4.718</v>
      </c>
      <c r="AG142" s="382" t="str" cm="1">
        <f t="array" ref="AG142">_xll.SNL.Clients.Office.Excel.Functions.SPG($AE142, "SP_RATE_VALUE",AG$75,"Options:NA=NA")</f>
        <v>NA</v>
      </c>
      <c r="AH142" s="383" t="str" cm="1">
        <f t="array" ref="AH142">_xll.SNL.Clients.Office.Excel.Functions.SPG($AE142, "SP_RATE_VALUE",AH$75,"Options:NA=NA")</f>
        <v>NA</v>
      </c>
      <c r="AK142" s="392"/>
      <c r="AL142" s="392"/>
      <c r="AM142" s="392"/>
      <c r="AN142" s="3"/>
      <c r="AO142" s="2"/>
      <c r="AP142" s="3"/>
      <c r="AQ142" s="2"/>
      <c r="AY142" s="392"/>
      <c r="AZ142" s="3"/>
      <c r="BA142" s="2"/>
      <c r="BB142" s="3"/>
      <c r="BC142" s="2"/>
      <c r="BJ142" t="str">
        <f t="shared" si="51"/>
        <v>Billions</v>
      </c>
      <c r="BK142" s="403" t="s">
        <v>253</v>
      </c>
      <c r="BL142" s="412" t="s">
        <v>185</v>
      </c>
      <c r="BM142" s="414">
        <v>9</v>
      </c>
      <c r="BN142" s="434">
        <v>1000000000</v>
      </c>
      <c r="BQ142" s="44" t="s">
        <v>367</v>
      </c>
      <c r="BR142" s="44" t="s">
        <v>4709</v>
      </c>
    </row>
    <row r="143" spans="2:70" x14ac:dyDescent="0.2">
      <c r="B143" s="7" t="str">
        <f>VLOOKUP("PV of",Language_Data,Lookup_Column,FALSE)&amp;" "&amp;O103&amp;"-"&amp;R103&amp;" "&amp;VLOOKUP("Free Cash Flows(1)",Language_Data,Lookup_Column,FALSE)</f>
        <v>PV of 2028-2031 Free Cash Flows(1)</v>
      </c>
      <c r="C143" s="7"/>
      <c r="D143" s="7"/>
      <c r="E143" s="7"/>
      <c r="F143" s="7"/>
      <c r="G143" s="7"/>
      <c r="H143" s="7"/>
      <c r="I143" s="112">
        <f>IF(COUNT(O137,P137,Q137,R137)=0,"NA",SUM(O137,P137,Q137,R137))</f>
        <v>256889.17438526807</v>
      </c>
      <c r="J143" s="210">
        <f>IFERROR(I143/I$145,"NA")</f>
        <v>6.1015257616226448E-2</v>
      </c>
      <c r="K143" s="210">
        <f>IFERROR(I143/I$152,"NA")</f>
        <v>6.2619746974592883E-2</v>
      </c>
      <c r="L143" s="7"/>
      <c r="M143" s="7"/>
      <c r="N143" s="7"/>
      <c r="O143" s="7"/>
      <c r="P143" s="7"/>
      <c r="Q143" s="7"/>
      <c r="R143" s="212"/>
      <c r="S143" s="7"/>
      <c r="W143" s="281" t="s">
        <v>498</v>
      </c>
      <c r="X143" s="282" t="s">
        <v>486</v>
      </c>
      <c r="Y143" s="332">
        <f>$L$15</f>
        <v>46251</v>
      </c>
      <c r="AA143" s="119" cm="1">
        <f t="array" ref="AA143">_xll.SNL.Clients.Office.Excel.Functions.SPG(AA141,X143,Y143,"Options:NA=0,Mag=Actuals")</f>
        <v>7425545491</v>
      </c>
      <c r="AC143" s="26" t="s">
        <v>4579</v>
      </c>
      <c r="AD143" s="380">
        <f t="shared" si="52"/>
        <v>4.383</v>
      </c>
      <c r="AE143" s="381" t="s">
        <v>4580</v>
      </c>
      <c r="AF143" s="382" cm="1">
        <f t="array" ref="AF143">_xll.SNL.Clients.Office.Excel.Functions.SPG($AE143, "SP_RATE_VALUE",AF$75,"Options:NA=NA")</f>
        <v>4.383</v>
      </c>
      <c r="AG143" s="382" t="str" cm="1">
        <f t="array" ref="AG143">_xll.SNL.Clients.Office.Excel.Functions.SPG($AE143, "SP_RATE_VALUE",AG$75,"Options:NA=NA")</f>
        <v>NA</v>
      </c>
      <c r="AH143" s="383" t="str" cm="1">
        <f t="array" ref="AH143">_xll.SNL.Clients.Office.Excel.Functions.SPG($AE143, "SP_RATE_VALUE",AH$75,"Options:NA=NA")</f>
        <v>NA</v>
      </c>
      <c r="AK143" s="392"/>
      <c r="AL143" s="392"/>
      <c r="AM143" s="392"/>
      <c r="AN143" s="3"/>
      <c r="AO143" s="2"/>
      <c r="AP143" s="3"/>
      <c r="AQ143" s="2"/>
      <c r="AY143" s="392"/>
      <c r="AZ143" s="3"/>
      <c r="BA143" s="2"/>
      <c r="BB143" s="3"/>
      <c r="BC143" s="2"/>
      <c r="BJ143" t="str">
        <f t="shared" si="51"/>
        <v>Trillions</v>
      </c>
      <c r="BK143" s="407" t="s">
        <v>254</v>
      </c>
      <c r="BL143" s="411" t="s">
        <v>255</v>
      </c>
      <c r="BM143" s="415">
        <v>12</v>
      </c>
      <c r="BN143" s="435">
        <v>1000000000000</v>
      </c>
      <c r="BQ143" s="44" t="s">
        <v>347</v>
      </c>
      <c r="BR143" s="44" t="s">
        <v>4710</v>
      </c>
    </row>
    <row r="144" spans="2:70" ht="10.5" x14ac:dyDescent="0.25">
      <c r="B144" s="7" t="str">
        <f>VLOOKUP("PV of Terminal Value(1)",Language_Data,Lookup_Column,FALSE)</f>
        <v>PV of Terminal Value(1)</v>
      </c>
      <c r="C144" s="7"/>
      <c r="D144" s="7"/>
      <c r="E144" s="7"/>
      <c r="F144" s="7"/>
      <c r="G144" s="7"/>
      <c r="H144" s="7"/>
      <c r="I144" s="162">
        <f>IFERROR(($R$109*$R$144)/((1+$R$142)^((AA156/365+4))),"NA")</f>
        <v>3903286.7782710055</v>
      </c>
      <c r="J144" s="211">
        <f>IFERROR(I144/I$145,"NA")</f>
        <v>0.9270925833917657</v>
      </c>
      <c r="K144" s="211">
        <f>IFERROR(I144/I$152,"NA")</f>
        <v>0.95147189837603852</v>
      </c>
      <c r="L144" s="7"/>
      <c r="M144" s="7" t="str">
        <f>VLOOKUP("Terminal EBITDA Multiple",Language_Data,Lookup_Column,FALSE)</f>
        <v>Terminal EBITDA Multiple</v>
      </c>
      <c r="N144" s="7"/>
      <c r="O144" s="7"/>
      <c r="P144" s="7"/>
      <c r="Q144" s="7"/>
      <c r="R144" s="242" cm="1">
        <f t="array" ref="R144">_xll.SNL.Clients.Office.Excel.Functions.SPG(L13,"IQ_TEV_EBITDA", "LTM", "-1Y", , "Options: Statistic=AVG,NA=0")</f>
        <v>18.777099390438249</v>
      </c>
      <c r="S144" s="154"/>
      <c r="W144" s="270" t="s">
        <v>490</v>
      </c>
      <c r="X144" s="124" t="s">
        <v>489</v>
      </c>
      <c r="Y144" s="331">
        <f>$L$15</f>
        <v>46251</v>
      </c>
      <c r="Z144" s="15"/>
      <c r="AA144" s="283" cm="1">
        <f t="array" ref="AA144">_xll.SNL.Clients.Office.Excel.Functions.SPG(AA141,X144,Y144,"Options:Curr="&amp;$BL$52&amp;",ConvMethod="&amp;$BL$145&amp;",NA=0")</f>
        <v>480.35</v>
      </c>
      <c r="AC144" s="26" t="s">
        <v>4581</v>
      </c>
      <c r="AD144" s="380">
        <f t="shared" si="52"/>
        <v>7.3125</v>
      </c>
      <c r="AE144" s="381" t="s">
        <v>4582</v>
      </c>
      <c r="AF144" s="382" cm="1">
        <f t="array" ref="AF144">_xll.SNL.Clients.Office.Excel.Functions.SPG($AE144, "SP_RATE_VALUE",AF$75,"Options:NA=NA")</f>
        <v>7.3125</v>
      </c>
      <c r="AG144" s="382" t="str" cm="1">
        <f t="array" ref="AG144">_xll.SNL.Clients.Office.Excel.Functions.SPG($AE144, "SP_RATE_VALUE",AG$75,"Options:NA=NA")</f>
        <v>NA</v>
      </c>
      <c r="AH144" s="383" t="str" cm="1">
        <f t="array" ref="AH144">_xll.SNL.Clients.Office.Excel.Functions.SPG($AE144, "SP_RATE_VALUE",AH$75,"Options:NA=NA")</f>
        <v>NA</v>
      </c>
      <c r="AK144" s="392"/>
      <c r="AL144" s="392"/>
      <c r="AM144" s="392"/>
      <c r="AN144" s="3"/>
      <c r="AO144" s="2"/>
      <c r="AP144" s="3"/>
      <c r="AQ144" s="2"/>
      <c r="AY144" s="392"/>
      <c r="AZ144" s="3"/>
      <c r="BA144" s="2"/>
      <c r="BB144" s="3"/>
      <c r="BC144" s="2"/>
      <c r="BK144" s="7"/>
      <c r="BL144" s="7"/>
      <c r="BM144" s="7"/>
      <c r="BN144" s="7"/>
      <c r="BQ144" s="44" t="s">
        <v>341</v>
      </c>
      <c r="BR144" s="44" t="s">
        <v>4711</v>
      </c>
    </row>
    <row r="145" spans="2:70" ht="10.5" x14ac:dyDescent="0.25">
      <c r="B145" s="7" t="str">
        <f>VLOOKUP("Enterprise Value",Language_Data,Lookup_Column,FALSE)</f>
        <v>Enterprise value</v>
      </c>
      <c r="C145" s="7"/>
      <c r="D145" s="7"/>
      <c r="E145" s="7"/>
      <c r="F145" s="7"/>
      <c r="G145" s="7"/>
      <c r="H145" s="7"/>
      <c r="I145" s="112">
        <f>IF(COUNT(I142:I144)=0,"NA",SUM(I142:I144))</f>
        <v>4210244.8538535833</v>
      </c>
      <c r="J145" s="210">
        <f>IF(COUNT(J142:J144)=0,"NA",SUM(J142:J144))</f>
        <v>1</v>
      </c>
      <c r="K145" s="210">
        <f>IF(COUNT(K142:K144)=0,"NA",SUM(K142:K144))</f>
        <v>1.0262965268205266</v>
      </c>
      <c r="L145" s="7"/>
      <c r="M145" s="7"/>
      <c r="N145" s="7"/>
      <c r="O145" s="7"/>
      <c r="P145" s="7"/>
      <c r="Q145" s="7"/>
      <c r="R145" s="341"/>
      <c r="S145" s="7"/>
      <c r="AC145" s="26" t="s">
        <v>4583</v>
      </c>
      <c r="AD145" s="380">
        <f t="shared" si="52"/>
        <v>3.5529999999999999</v>
      </c>
      <c r="AE145" s="381" t="s">
        <v>4584</v>
      </c>
      <c r="AF145" s="382" cm="1">
        <f t="array" ref="AF145">_xll.SNL.Clients.Office.Excel.Functions.SPG($AE145, "SP_RATE_VALUE",AF$75,"Options:NA=NA")</f>
        <v>3.5529999999999999</v>
      </c>
      <c r="AG145" s="382" t="str" cm="1">
        <f t="array" ref="AG145">_xll.SNL.Clients.Office.Excel.Functions.SPG($AE145, "SP_RATE_VALUE",AG$75,"Options:NA=NA")</f>
        <v>NA</v>
      </c>
      <c r="AH145" s="383" t="str" cm="1">
        <f t="array" ref="AH145">_xll.SNL.Clients.Office.Excel.Functions.SPG($AE145, "SP_RATE_VALUE",AH$75,"Options:NA=NA")</f>
        <v>NA</v>
      </c>
      <c r="AK145" s="392"/>
      <c r="AL145" s="392"/>
      <c r="AM145" s="392"/>
      <c r="AN145" s="3"/>
      <c r="AO145" s="2"/>
      <c r="AP145" s="3"/>
      <c r="AQ145" s="2"/>
      <c r="AY145" s="392"/>
      <c r="AZ145" s="3"/>
      <c r="BA145" s="2"/>
      <c r="BB145" s="3"/>
      <c r="BC145" s="2"/>
      <c r="BK145" s="63" t="s">
        <v>256</v>
      </c>
      <c r="BL145" s="416" t="str">
        <f>VLOOKUP(BK50,BK146:BL147,2,FALSE)</f>
        <v>MIrecommended</v>
      </c>
      <c r="BM145" s="402"/>
      <c r="BN145" s="7"/>
      <c r="BQ145" s="44" t="s">
        <v>381</v>
      </c>
      <c r="BR145" s="44" t="s">
        <v>4712</v>
      </c>
    </row>
    <row r="146" spans="2:70" x14ac:dyDescent="0.2">
      <c r="B146" s="7" t="str">
        <f>VLOOKUP("Less:",Language_Data,Lookup_Column,FALSE)</f>
        <v>Less:</v>
      </c>
      <c r="C146" s="7"/>
      <c r="D146" s="7"/>
      <c r="E146" s="7"/>
      <c r="F146" s="7"/>
      <c r="G146" s="7"/>
      <c r="H146" s="7"/>
      <c r="I146" s="112"/>
      <c r="J146" s="212"/>
      <c r="K146" s="229"/>
      <c r="L146" s="7"/>
      <c r="M146" s="7" t="str">
        <f>VLOOKUP("Implied Perp. Growth Rate of Unlevered Free Cash Flow(2)",Language_Data,Lookup_Column,FALSE)</f>
        <v>Implied Perp. Growth Rate of Unlevered Free Cash Flow(2)</v>
      </c>
      <c r="N146" s="7"/>
      <c r="O146" s="7"/>
      <c r="P146" s="7"/>
      <c r="Q146" s="7"/>
      <c r="R146" s="133">
        <f>IFERROR((R109*R144*R142-R133)/(R109*R144+R133),"NA")</f>
        <v>0.15503096461280796</v>
      </c>
      <c r="S146" s="155"/>
      <c r="AC146" s="26" t="s">
        <v>4585</v>
      </c>
      <c r="AD146" s="380">
        <f t="shared" si="52"/>
        <v>15.11</v>
      </c>
      <c r="AE146" s="381" t="s">
        <v>4586</v>
      </c>
      <c r="AF146" s="382" cm="1">
        <f t="array" ref="AF146">_xll.SNL.Clients.Office.Excel.Functions.SPG($AE146, "SP_RATE_VALUE",AF$75,"Options:NA=NA")</f>
        <v>15.11</v>
      </c>
      <c r="AG146" s="382" t="str" cm="1">
        <f t="array" ref="AG146">_xll.SNL.Clients.Office.Excel.Functions.SPG($AE146, "SP_RATE_VALUE",AG$75,"Options:NA=NA")</f>
        <v>NA</v>
      </c>
      <c r="AH146" s="383" t="str" cm="1">
        <f t="array" ref="AH146">_xll.SNL.Clients.Office.Excel.Functions.SPG($AE146, "SP_RATE_VALUE",AH$75,"Options:NA=NA")</f>
        <v>NA</v>
      </c>
      <c r="AK146" s="392"/>
      <c r="AL146" s="392"/>
      <c r="AM146" s="392"/>
      <c r="AN146" s="3"/>
      <c r="AO146" s="2"/>
      <c r="AP146" s="3"/>
      <c r="AQ146" s="2"/>
      <c r="AY146" s="392"/>
      <c r="AZ146" s="3"/>
      <c r="BA146" s="2"/>
      <c r="BB146" s="3"/>
      <c r="BC146" s="2"/>
      <c r="BK146" s="403" t="s">
        <v>312</v>
      </c>
      <c r="BL146" s="404" t="s">
        <v>311</v>
      </c>
      <c r="BM146" s="412"/>
      <c r="BN146" s="7"/>
      <c r="BQ146" s="44" t="s">
        <v>4713</v>
      </c>
      <c r="BR146" s="44" t="s">
        <v>4714</v>
      </c>
    </row>
    <row r="147" spans="2:70" ht="10.5" x14ac:dyDescent="0.25">
      <c r="B147" s="7"/>
      <c r="C147" s="7" t="str">
        <f>VLOOKUP("Total Debt",Language_Data,Lookup_Column,FALSE)</f>
        <v>Total Debt</v>
      </c>
      <c r="D147" s="7"/>
      <c r="E147" s="7"/>
      <c r="F147" s="7"/>
      <c r="G147" s="7"/>
      <c r="H147" s="7"/>
      <c r="I147" s="112">
        <f>IFERROR(IF(AA66="","",-AA66),"NA")</f>
        <v>-128813</v>
      </c>
      <c r="J147" s="212"/>
      <c r="K147" s="210">
        <f>IFERROR(I147/I$152,"NA")</f>
        <v>-3.1399678426857099E-2</v>
      </c>
      <c r="L147" s="7"/>
      <c r="M147" s="7"/>
      <c r="N147" s="7"/>
      <c r="O147" s="7"/>
      <c r="P147" s="7"/>
      <c r="Q147" s="7"/>
      <c r="R147" s="212"/>
      <c r="S147" s="7"/>
      <c r="W147" s="273"/>
      <c r="X147" s="274"/>
      <c r="Y147" s="274"/>
      <c r="Z147" s="284"/>
      <c r="AA147" s="286" t="str">
        <f>MI_ID</f>
        <v>MSFT</v>
      </c>
      <c r="AC147" s="26" t="s">
        <v>4587</v>
      </c>
      <c r="AD147" s="380">
        <f t="shared" si="52"/>
        <v>2.2799999999999998</v>
      </c>
      <c r="AE147" s="381" t="s">
        <v>4588</v>
      </c>
      <c r="AF147" s="382" cm="1">
        <f t="array" ref="AF147">_xll.SNL.Clients.Office.Excel.Functions.SPG($AE147, "SP_RATE_VALUE",AF$75,"Options:NA=NA")</f>
        <v>2.2799999999999998</v>
      </c>
      <c r="AG147" s="382" t="str" cm="1">
        <f t="array" ref="AG147">_xll.SNL.Clients.Office.Excel.Functions.SPG($AE147, "SP_RATE_VALUE",AG$75,"Options:NA=NA")</f>
        <v>NA</v>
      </c>
      <c r="AH147" s="383" t="str" cm="1">
        <f t="array" ref="AH147">_xll.SNL.Clients.Office.Excel.Functions.SPG($AE147, "SP_RATE_VALUE",AH$75,"Options:NA=NA")</f>
        <v>NA</v>
      </c>
      <c r="AK147" s="392"/>
      <c r="AL147" s="392"/>
      <c r="AM147" s="392"/>
      <c r="AN147" s="3"/>
      <c r="AO147" s="2"/>
      <c r="AP147" s="3"/>
      <c r="AQ147" s="2"/>
      <c r="AY147" s="392"/>
      <c r="AZ147" s="3"/>
      <c r="BA147" s="2"/>
      <c r="BB147" s="3"/>
      <c r="BC147" s="2"/>
      <c r="BK147" s="407" t="s">
        <v>257</v>
      </c>
      <c r="BL147" s="408" t="s">
        <v>258</v>
      </c>
      <c r="BM147" s="411"/>
      <c r="BN147" s="7"/>
      <c r="BQ147" s="44" t="s">
        <v>388</v>
      </c>
      <c r="BR147" s="44" t="s">
        <v>4715</v>
      </c>
    </row>
    <row r="148" spans="2:70" x14ac:dyDescent="0.2">
      <c r="B148" s="7"/>
      <c r="C148" s="7" t="str">
        <f>VLOOKUP("Preferred Stock",Language_Data,Lookup_Column,FALSE)</f>
        <v>Preferred Stock</v>
      </c>
      <c r="D148" s="7"/>
      <c r="E148" s="7"/>
      <c r="F148" s="7"/>
      <c r="G148" s="7"/>
      <c r="H148" s="7"/>
      <c r="I148" s="112" t="str">
        <f>IFERROR(IF(AA67="","",-AA67),"NA")</f>
        <v>NA</v>
      </c>
      <c r="J148" s="212"/>
      <c r="K148" s="210" t="str">
        <f>IFERROR(I148/I$152,"NA")</f>
        <v>NA</v>
      </c>
      <c r="L148" s="7"/>
      <c r="M148" s="7" t="str">
        <f>VLOOKUP("Tax Rate",Language_Data,Lookup_Column,FALSE)</f>
        <v>Tax Rate</v>
      </c>
      <c r="N148" s="7"/>
      <c r="O148" s="7"/>
      <c r="P148" s="7"/>
      <c r="Q148" s="7"/>
      <c r="R148" s="133">
        <f>F50</f>
        <v>0.17469799999999999</v>
      </c>
      <c r="S148" s="155"/>
      <c r="W148" s="276"/>
      <c r="X148" s="268"/>
      <c r="Y148" s="268"/>
      <c r="Z148" s="268"/>
      <c r="AA148" s="43"/>
      <c r="AC148" s="26" t="s">
        <v>4589</v>
      </c>
      <c r="AD148" s="380">
        <f t="shared" si="52"/>
        <v>4.3150000000000004</v>
      </c>
      <c r="AE148" s="381" t="s">
        <v>4590</v>
      </c>
      <c r="AF148" s="382" cm="1">
        <f t="array" ref="AF148">_xll.SNL.Clients.Office.Excel.Functions.SPG($AE148, "SP_RATE_VALUE",AF$75,"Options:NA=NA")</f>
        <v>4.3150000000000004</v>
      </c>
      <c r="AG148" s="382" t="str" cm="1">
        <f t="array" ref="AG148">_xll.SNL.Clients.Office.Excel.Functions.SPG($AE148, "SP_RATE_VALUE",AG$75,"Options:NA=NA")</f>
        <v>NA</v>
      </c>
      <c r="AH148" s="383" t="str" cm="1">
        <f t="array" ref="AH148">_xll.SNL.Clients.Office.Excel.Functions.SPG($AE148, "SP_RATE_VALUE",AH$75,"Options:NA=NA")</f>
        <v>NA</v>
      </c>
      <c r="AK148" s="392"/>
      <c r="AL148" s="392"/>
      <c r="AM148" s="392"/>
      <c r="AN148" s="3"/>
      <c r="AO148" s="2"/>
      <c r="AP148" s="3"/>
      <c r="AQ148" s="2"/>
      <c r="AY148" s="392"/>
      <c r="AZ148" s="3"/>
      <c r="BA148" s="2"/>
      <c r="BB148" s="3"/>
      <c r="BC148" s="2"/>
      <c r="BK148" s="7"/>
      <c r="BL148" s="7"/>
      <c r="BM148" s="7"/>
      <c r="BN148" s="7"/>
      <c r="BQ148" s="44" t="s">
        <v>372</v>
      </c>
      <c r="BR148" s="44" t="s">
        <v>4716</v>
      </c>
    </row>
    <row r="149" spans="2:70" x14ac:dyDescent="0.2">
      <c r="B149" s="7"/>
      <c r="C149" s="7" t="str">
        <f>VLOOKUP("Minority Interest",Language_Data,Lookup_Column,FALSE)</f>
        <v>Minority Interest</v>
      </c>
      <c r="D149" s="7"/>
      <c r="E149" s="7"/>
      <c r="F149" s="7"/>
      <c r="G149" s="7"/>
      <c r="H149" s="7"/>
      <c r="I149" s="112">
        <f>IFERROR(IF(Y135="","",-Y135),"NA")</f>
        <v>0</v>
      </c>
      <c r="J149" s="212"/>
      <c r="K149" s="210">
        <f>IFERROR(I149/I$152,"NA")</f>
        <v>0</v>
      </c>
      <c r="L149" s="7"/>
      <c r="M149" s="7"/>
      <c r="N149" s="7"/>
      <c r="O149" s="7"/>
      <c r="P149" s="7"/>
      <c r="Q149" s="7"/>
      <c r="R149" s="7"/>
      <c r="S149" s="7"/>
      <c r="W149" s="278"/>
      <c r="X149" s="116"/>
      <c r="Y149" s="116"/>
      <c r="Z149" s="116"/>
      <c r="AA149" s="288"/>
      <c r="AC149" s="26" t="s">
        <v>4591</v>
      </c>
      <c r="AD149" s="380">
        <f t="shared" si="52"/>
        <v>3.657</v>
      </c>
      <c r="AE149" s="381" t="s">
        <v>4592</v>
      </c>
      <c r="AF149" s="382" cm="1">
        <f t="array" ref="AF149">_xll.SNL.Clients.Office.Excel.Functions.SPG($AE149, "SP_RATE_VALUE",AF$75,"Options:NA=NA")</f>
        <v>3.657</v>
      </c>
      <c r="AG149" s="382" t="str" cm="1">
        <f t="array" ref="AG149">_xll.SNL.Clients.Office.Excel.Functions.SPG($AE149, "SP_RATE_VALUE",AG$75,"Options:NA=NA")</f>
        <v>NA</v>
      </c>
      <c r="AH149" s="383" t="str" cm="1">
        <f t="array" ref="AH149">_xll.SNL.Clients.Office.Excel.Functions.SPG($AE149, "SP_RATE_VALUE",AH$75,"Options:NA=NA")</f>
        <v>NA</v>
      </c>
      <c r="AK149" s="392"/>
      <c r="AL149" s="392"/>
      <c r="AM149" s="392"/>
      <c r="AN149" s="3"/>
      <c r="AO149" s="2"/>
      <c r="AP149" s="3"/>
      <c r="AQ149" s="2"/>
      <c r="AY149" s="392"/>
      <c r="AZ149" s="3"/>
      <c r="BA149" s="2"/>
      <c r="BB149" s="3"/>
      <c r="BC149" s="2"/>
      <c r="BQ149" s="44" t="s">
        <v>382</v>
      </c>
      <c r="BR149" s="44" t="s">
        <v>4717</v>
      </c>
    </row>
    <row r="150" spans="2:70" ht="10.5" x14ac:dyDescent="0.25">
      <c r="B150" s="7" t="str">
        <f>VLOOKUP("Plus:",Language_Data,Lookup_Column,FALSE)</f>
        <v>Plus:</v>
      </c>
      <c r="C150" s="7"/>
      <c r="D150" s="7"/>
      <c r="E150" s="7"/>
      <c r="F150" s="7"/>
      <c r="G150" s="7"/>
      <c r="H150" s="7"/>
      <c r="I150" s="112"/>
      <c r="J150" s="212"/>
      <c r="K150" s="210"/>
      <c r="L150" s="7"/>
      <c r="M150" s="7"/>
      <c r="N150" s="7"/>
      <c r="O150" s="7"/>
      <c r="P150" s="7"/>
      <c r="Q150" s="7"/>
      <c r="R150" s="7"/>
      <c r="S150" s="7"/>
      <c r="W150" s="278"/>
      <c r="X150" s="116"/>
      <c r="Y150" s="116"/>
      <c r="Z150" s="116"/>
      <c r="AA150" s="288"/>
      <c r="AC150" s="26" t="s">
        <v>4593</v>
      </c>
      <c r="AD150" s="380">
        <f t="shared" si="52"/>
        <v>3.028</v>
      </c>
      <c r="AE150" s="381" t="s">
        <v>4594</v>
      </c>
      <c r="AF150" s="382" cm="1">
        <f t="array" ref="AF150">_xll.SNL.Clients.Office.Excel.Functions.SPG($AE150, "SP_RATE_VALUE",AF$75,"Options:NA=NA")</f>
        <v>3.028</v>
      </c>
      <c r="AG150" s="382" t="str" cm="1">
        <f t="array" ref="AG150">_xll.SNL.Clients.Office.Excel.Functions.SPG($AE150, "SP_RATE_VALUE",AG$75,"Options:NA=NA")</f>
        <v>NA</v>
      </c>
      <c r="AH150" s="383" t="str" cm="1">
        <f t="array" ref="AH150">_xll.SNL.Clients.Office.Excel.Functions.SPG($AE150, "SP_RATE_VALUE",AH$75,"Options:NA=NA")</f>
        <v>NA</v>
      </c>
      <c r="AK150" s="392"/>
      <c r="AL150" s="392"/>
      <c r="AM150" s="392"/>
      <c r="AN150" s="3"/>
      <c r="AO150" s="2"/>
      <c r="AP150" s="3"/>
      <c r="AQ150" s="2"/>
      <c r="AY150" s="392"/>
      <c r="AZ150" s="3"/>
      <c r="BA150" s="2"/>
      <c r="BB150" s="3"/>
      <c r="BC150" s="2"/>
      <c r="BK150" s="399"/>
      <c r="BQ150" s="44" t="s">
        <v>354</v>
      </c>
      <c r="BR150" s="44" t="s">
        <v>4718</v>
      </c>
    </row>
    <row r="151" spans="2:70" x14ac:dyDescent="0.2">
      <c r="B151" s="7"/>
      <c r="C151" s="7" t="str">
        <f>VLOOKUP("Cash and Equivalents",Language_Data,Lookup_Column,FALSE)</f>
        <v>Cash and Equivalents</v>
      </c>
      <c r="D151" s="7"/>
      <c r="E151" s="7"/>
      <c r="F151" s="7"/>
      <c r="G151" s="7"/>
      <c r="H151" s="7"/>
      <c r="I151" s="162">
        <f>IF(Y136="","",Y136)</f>
        <v>20935</v>
      </c>
      <c r="J151" s="212"/>
      <c r="K151" s="210">
        <f>IFERROR(I151/I$152,"NA")</f>
        <v>5.1031516063305207E-3</v>
      </c>
      <c r="L151" s="7"/>
      <c r="M151" s="7"/>
      <c r="N151" s="7"/>
      <c r="O151" s="7"/>
      <c r="P151" s="7"/>
      <c r="Q151" s="7"/>
      <c r="R151" s="7"/>
      <c r="S151" s="7"/>
      <c r="W151" s="278"/>
      <c r="X151" s="285"/>
      <c r="Y151" s="285"/>
      <c r="Z151" s="285"/>
      <c r="AA151" s="44"/>
      <c r="AC151" s="26" t="s">
        <v>707</v>
      </c>
      <c r="AD151" s="380">
        <f t="shared" si="52"/>
        <v>0.39972000000000002</v>
      </c>
      <c r="AE151" s="381" t="s">
        <v>4595</v>
      </c>
      <c r="AF151" s="382" cm="1">
        <f t="array" ref="AF151">_xll.SNL.Clients.Office.Excel.Functions.SPG($AE151, "SP_RATE_VALUE",AF$75,"Options:NA=NA")</f>
        <v>0.39972000000000002</v>
      </c>
      <c r="AG151" s="382" t="str" cm="1">
        <f t="array" ref="AG151">_xll.SNL.Clients.Office.Excel.Functions.SPG($AE151, "SP_RATE_VALUE",AG$75,"Options:NA=NA")</f>
        <v>NA</v>
      </c>
      <c r="AH151" s="383" t="str" cm="1">
        <f t="array" ref="AH151">_xll.SNL.Clients.Office.Excel.Functions.SPG($AE151, "SP_RATE_VALUE",AH$75,"Options:NA=NA")</f>
        <v>NA</v>
      </c>
      <c r="AK151" s="392"/>
      <c r="AL151" s="392"/>
      <c r="AM151" s="392"/>
      <c r="AN151" s="3"/>
      <c r="AO151" s="2"/>
      <c r="AP151" s="3"/>
      <c r="AQ151" s="2"/>
      <c r="AY151" s="392"/>
      <c r="AZ151" s="3"/>
      <c r="BA151" s="2"/>
      <c r="BB151" s="3"/>
      <c r="BC151" s="2"/>
      <c r="BQ151" s="44" t="s">
        <v>368</v>
      </c>
      <c r="BR151" s="44" t="s">
        <v>4719</v>
      </c>
    </row>
    <row r="152" spans="2:70" ht="10.5" thickBot="1" x14ac:dyDescent="0.25">
      <c r="B152" s="7" t="str">
        <f>VLOOKUP("Equity Value",Language_Data,Lookup_Column,FALSE)</f>
        <v>Equity value</v>
      </c>
      <c r="C152" s="7"/>
      <c r="D152" s="7"/>
      <c r="E152" s="7"/>
      <c r="F152" s="7"/>
      <c r="G152" s="7"/>
      <c r="H152" s="7"/>
      <c r="I152" s="227">
        <f>SUM(I145:I151)</f>
        <v>4102366.8538535833</v>
      </c>
      <c r="J152" s="212"/>
      <c r="K152" s="213">
        <f>SUM(K145:K151)</f>
        <v>1</v>
      </c>
      <c r="L152" s="7"/>
      <c r="M152" s="7"/>
      <c r="N152" s="7"/>
      <c r="O152" s="7"/>
      <c r="P152" s="7"/>
      <c r="Q152" s="7"/>
      <c r="R152" s="7"/>
      <c r="S152" s="7"/>
      <c r="W152" s="278"/>
      <c r="X152" s="285"/>
      <c r="Y152" s="285"/>
      <c r="Z152" s="285"/>
      <c r="AA152" s="44"/>
      <c r="AC152" s="26" t="s">
        <v>705</v>
      </c>
      <c r="AD152" s="380">
        <f t="shared" si="52"/>
        <v>1.97</v>
      </c>
      <c r="AE152" s="381" t="s">
        <v>4596</v>
      </c>
      <c r="AF152" s="382" cm="1">
        <f t="array" ref="AF152">_xll.SNL.Clients.Office.Excel.Functions.SPG($AE152, "SP_RATE_VALUE",AF$75,"Options:NA=NA")</f>
        <v>1.97</v>
      </c>
      <c r="AG152" s="382" t="str" cm="1">
        <f t="array" ref="AG152">_xll.SNL.Clients.Office.Excel.Functions.SPG($AE152, "SP_RATE_VALUE",AG$75,"Options:NA=NA")</f>
        <v>NA</v>
      </c>
      <c r="AH152" s="383" t="str" cm="1">
        <f t="array" ref="AH152">_xll.SNL.Clients.Office.Excel.Functions.SPG($AE152, "SP_RATE_VALUE",AH$75,"Options:NA=NA")</f>
        <v>NA</v>
      </c>
      <c r="AK152" s="392"/>
      <c r="AL152" s="392"/>
      <c r="AM152" s="392"/>
      <c r="AN152" s="3"/>
      <c r="AO152" s="2"/>
      <c r="AP152" s="3"/>
      <c r="AQ152" s="2"/>
      <c r="AY152" s="392"/>
      <c r="AZ152" s="3"/>
      <c r="BA152" s="2"/>
      <c r="BB152" s="3"/>
      <c r="BC152" s="2"/>
      <c r="BQ152" s="18" t="s">
        <v>383</v>
      </c>
      <c r="BR152" s="18" t="s">
        <v>4720</v>
      </c>
    </row>
    <row r="153" spans="2:70" x14ac:dyDescent="0.2">
      <c r="B153" s="7"/>
      <c r="C153" s="7"/>
      <c r="D153" s="7"/>
      <c r="E153" s="7"/>
      <c r="F153" s="7"/>
      <c r="G153" s="7"/>
      <c r="H153" s="7"/>
      <c r="I153" s="228"/>
      <c r="J153" s="7"/>
      <c r="K153" s="7"/>
      <c r="L153" s="7"/>
      <c r="M153" s="7"/>
      <c r="N153" s="7"/>
      <c r="O153" s="7"/>
      <c r="P153" s="7"/>
      <c r="Q153" s="7"/>
      <c r="R153" s="7"/>
      <c r="S153" s="7"/>
      <c r="W153" s="278" t="s">
        <v>438</v>
      </c>
      <c r="X153" s="116" t="s">
        <v>524</v>
      </c>
      <c r="Y153" s="287" t="s">
        <v>4241</v>
      </c>
      <c r="Z153" s="287">
        <f>$L$15</f>
        <v>46251</v>
      </c>
      <c r="AA153" s="289" cm="1">
        <f t="array" ref="AA153">_xll.SNL.Clients.Office.Excel.Functions.SPG(AA$147,$X153,$Y153,$Z153)</f>
        <v>46203</v>
      </c>
      <c r="AB153" s="5"/>
      <c r="AC153" s="26" t="s">
        <v>706</v>
      </c>
      <c r="AD153" s="380">
        <f t="shared" si="52"/>
        <v>2.0699999999999998</v>
      </c>
      <c r="AE153" s="381" t="s">
        <v>4597</v>
      </c>
      <c r="AF153" s="382" cm="1">
        <f t="array" ref="AF153">_xll.SNL.Clients.Office.Excel.Functions.SPG($AE153, "SP_RATE_VALUE",AF$75,"Options:NA=NA")</f>
        <v>2.0699999999999998</v>
      </c>
      <c r="AG153" s="382" t="str" cm="1">
        <f t="array" ref="AG153">_xll.SNL.Clients.Office.Excel.Functions.SPG($AE153, "SP_RATE_VALUE",AG$75,"Options:NA=NA")</f>
        <v>NA</v>
      </c>
      <c r="AH153" s="383" t="str" cm="1">
        <f t="array" ref="AH153">_xll.SNL.Clients.Office.Excel.Functions.SPG($AE153, "SP_RATE_VALUE",AH$75,"Options:NA=NA")</f>
        <v>NA</v>
      </c>
      <c r="AK153" s="392"/>
      <c r="AL153" s="392"/>
      <c r="AM153" s="392"/>
      <c r="AN153" s="3"/>
      <c r="AO153" s="2"/>
      <c r="AP153" s="3"/>
      <c r="AQ153" s="2"/>
      <c r="AY153" s="392"/>
      <c r="AZ153" s="3"/>
      <c r="BA153" s="2"/>
      <c r="BB153" s="3"/>
      <c r="BC153" s="2"/>
    </row>
    <row r="154" spans="2:70" x14ac:dyDescent="0.2">
      <c r="B154" s="7" t="str">
        <f>VLOOKUP("Shares Outstanding",Language_Data,Lookup_Column,FALSE)&amp;" "&amp;VLOOKUP("in",Language_Data,Lookup_Column,FALSE)&amp;" "&amp;CAP_MAG</f>
        <v>Shares Outstanding In Millions</v>
      </c>
      <c r="C154" s="7"/>
      <c r="D154" s="7"/>
      <c r="E154" s="7"/>
      <c r="F154" s="7"/>
      <c r="G154" s="7"/>
      <c r="H154" s="7"/>
      <c r="I154" s="225">
        <f>IF(AA143="","",IFERROR(AA143/10^VLOOKUP(L30,BK138:BM143,3,FALSE),"NA"))</f>
        <v>7425.5454909999999</v>
      </c>
      <c r="J154" s="7"/>
      <c r="K154" s="7"/>
      <c r="L154" s="7"/>
      <c r="M154" s="7"/>
      <c r="N154" s="7"/>
      <c r="O154" s="7"/>
      <c r="P154" s="7"/>
      <c r="Q154" s="7"/>
      <c r="R154" s="7"/>
      <c r="S154" s="7"/>
      <c r="W154" s="278" t="s">
        <v>439</v>
      </c>
      <c r="X154" s="116" t="s">
        <v>524</v>
      </c>
      <c r="Y154" s="287" t="s">
        <v>4248</v>
      </c>
      <c r="Z154" s="287">
        <f>$L$15</f>
        <v>46251</v>
      </c>
      <c r="AA154" s="289" cm="1">
        <f t="array" ref="AA154">_xll.SNL.Clients.Office.Excel.Functions.SPG(AA$147,$X154,$Y154,$Z154)</f>
        <v>46203</v>
      </c>
      <c r="AB154" s="5"/>
      <c r="AC154" s="26" t="s">
        <v>4598</v>
      </c>
      <c r="AD154" s="380">
        <f t="shared" si="52"/>
        <v>32.49</v>
      </c>
      <c r="AE154" s="381" t="s">
        <v>4599</v>
      </c>
      <c r="AF154" s="382" cm="1">
        <f t="array" ref="AF154">_xll.SNL.Clients.Office.Excel.Functions.SPG($AE154, "SP_RATE_VALUE",AF$75,"Options:NA=NA")</f>
        <v>32.49</v>
      </c>
      <c r="AG154" s="382" t="str" cm="1">
        <f t="array" ref="AG154">_xll.SNL.Clients.Office.Excel.Functions.SPG($AE154, "SP_RATE_VALUE",AG$75,"Options:NA=NA")</f>
        <v>NA</v>
      </c>
      <c r="AH154" s="383" t="str" cm="1">
        <f t="array" ref="AH154">_xll.SNL.Clients.Office.Excel.Functions.SPG($AE154, "SP_RATE_VALUE",AH$75,"Options:NA=NA")</f>
        <v>NA</v>
      </c>
      <c r="AK154" s="392"/>
      <c r="AL154" s="392"/>
      <c r="AM154" s="392"/>
      <c r="AN154" s="3"/>
      <c r="AO154" s="2"/>
      <c r="AP154" s="3"/>
      <c r="AQ154" s="2"/>
      <c r="AY154" s="392"/>
      <c r="AZ154" s="3"/>
      <c r="BA154" s="2"/>
      <c r="BB154" s="3"/>
      <c r="BC154" s="2"/>
    </row>
    <row r="155" spans="2:70" x14ac:dyDescent="0.2">
      <c r="B155" s="7" t="str">
        <f>VLOOKUP("Implied Per Share Value",Language_Data,Lookup_Column,FALSE)</f>
        <v>Implied Per Share Value</v>
      </c>
      <c r="C155" s="7"/>
      <c r="D155" s="7"/>
      <c r="E155" s="7"/>
      <c r="F155" s="7"/>
      <c r="G155" s="7"/>
      <c r="H155" s="7"/>
      <c r="I155" s="214">
        <f>IFERROR(I152/I154,"NA")</f>
        <v>552.46673242063957</v>
      </c>
      <c r="J155" s="7"/>
      <c r="K155" s="7"/>
      <c r="L155" s="7"/>
      <c r="M155" s="7"/>
      <c r="N155" s="7"/>
      <c r="O155" s="7"/>
      <c r="P155" s="7"/>
      <c r="Q155" s="7"/>
      <c r="R155" s="7"/>
      <c r="S155" s="7"/>
      <c r="W155" s="278" t="s">
        <v>440</v>
      </c>
      <c r="X155" s="285"/>
      <c r="Y155" s="285"/>
      <c r="Z155" s="285"/>
      <c r="AA155" s="289">
        <f>$L$15</f>
        <v>46251</v>
      </c>
      <c r="AB155" s="5"/>
      <c r="AC155" s="26" t="s">
        <v>4600</v>
      </c>
      <c r="AD155" s="380">
        <f t="shared" si="52"/>
        <v>5.3250000000000002</v>
      </c>
      <c r="AE155" s="381" t="s">
        <v>4601</v>
      </c>
      <c r="AF155" s="382" cm="1">
        <f t="array" ref="AF155">_xll.SNL.Clients.Office.Excel.Functions.SPG($AE155, "SP_RATE_VALUE",AF$75,"Options:NA=NA")</f>
        <v>5.3250000000000002</v>
      </c>
      <c r="AG155" s="382" t="str" cm="1">
        <f t="array" ref="AG155">_xll.SNL.Clients.Office.Excel.Functions.SPG($AE155, "SP_RATE_VALUE",AG$75,"Options:NA=NA")</f>
        <v>NA</v>
      </c>
      <c r="AH155" s="383" t="str" cm="1">
        <f t="array" ref="AH155">_xll.SNL.Clients.Office.Excel.Functions.SPG($AE155, "SP_RATE_VALUE",AH$75,"Options:NA=NA")</f>
        <v>NA</v>
      </c>
      <c r="AK155" s="392"/>
      <c r="AL155" s="392"/>
      <c r="AM155" s="392"/>
      <c r="AN155" s="3"/>
      <c r="AO155" s="2"/>
      <c r="AP155" s="3"/>
      <c r="AQ155" s="2"/>
      <c r="AY155" s="392"/>
      <c r="AZ155" s="3"/>
      <c r="BA155" s="2"/>
      <c r="BB155" s="3"/>
      <c r="BC155" s="2"/>
    </row>
    <row r="156" spans="2:70" x14ac:dyDescent="0.2">
      <c r="B156" s="7" t="str">
        <f>VLOOKUP("Current Price",Language_Data,Lookup_Column,FALSE)</f>
        <v>Current Price</v>
      </c>
      <c r="C156" s="7"/>
      <c r="D156" s="7"/>
      <c r="E156" s="7"/>
      <c r="F156" s="7"/>
      <c r="G156" s="7"/>
      <c r="H156" s="7"/>
      <c r="I156" s="225">
        <f>IF(AA144="","",AA144)</f>
        <v>480.35</v>
      </c>
      <c r="J156" s="7"/>
      <c r="K156" s="7"/>
      <c r="L156" s="7"/>
      <c r="M156" s="7"/>
      <c r="N156" s="7"/>
      <c r="O156" s="7"/>
      <c r="P156" s="7"/>
      <c r="Q156" s="7"/>
      <c r="R156" s="7"/>
      <c r="S156" s="7"/>
      <c r="W156" s="270" t="s">
        <v>441</v>
      </c>
      <c r="X156" s="271"/>
      <c r="Y156" s="271"/>
      <c r="Z156" s="271"/>
      <c r="AA156" s="290">
        <f>IF(AA155-AA153&gt;365,(AA153+365*2)-AA155,(AA153+365)-AA155)</f>
        <v>317</v>
      </c>
      <c r="AB156" s="5"/>
      <c r="AC156" s="26" t="s">
        <v>11</v>
      </c>
      <c r="AD156" s="380">
        <f t="shared" si="52"/>
        <v>4.72</v>
      </c>
      <c r="AE156" s="381" t="s">
        <v>4602</v>
      </c>
      <c r="AF156" s="382" cm="1">
        <f t="array" ref="AF156">_xll.SNL.Clients.Office.Excel.Functions.SPG($AE156, "SP_RATE_VALUE",AF$75,"Options:NA=NA")</f>
        <v>4.72</v>
      </c>
      <c r="AG156" s="382" t="str" cm="1">
        <f t="array" ref="AG156">_xll.SNL.Clients.Office.Excel.Functions.SPG($AE156, "SP_RATE_VALUE",AG$75,"Options:NA=NA")</f>
        <v>NA</v>
      </c>
      <c r="AH156" s="383" t="str" cm="1">
        <f t="array" ref="AH156">_xll.SNL.Clients.Office.Excel.Functions.SPG($AE156, "SP_RATE_VALUE",AH$75,"Options:NA=NA")</f>
        <v>NA</v>
      </c>
      <c r="AK156" s="392"/>
      <c r="AL156" s="392"/>
      <c r="AM156" s="392"/>
      <c r="AN156" s="3"/>
      <c r="AO156" s="2"/>
      <c r="AP156" s="3"/>
      <c r="AQ156" s="2"/>
      <c r="AY156" s="392"/>
      <c r="AZ156" s="3"/>
      <c r="BA156" s="2"/>
      <c r="BB156" s="3"/>
      <c r="BC156" s="2"/>
    </row>
    <row r="157" spans="2:70" x14ac:dyDescent="0.2">
      <c r="B157" s="156" t="str">
        <f>VLOOKUP("Premium/(Discount) to Current Price",Language_Data,Lookup_Column,FALSE)</f>
        <v>Premium/(Discount) to Current Price</v>
      </c>
      <c r="C157" s="156"/>
      <c r="D157" s="156"/>
      <c r="E157" s="156"/>
      <c r="F157" s="156"/>
      <c r="G157" s="156"/>
      <c r="H157" s="156"/>
      <c r="I157" s="166">
        <f>IFERROR(I155/I156-1,"NA")</f>
        <v>0.15013372003880399</v>
      </c>
      <c r="J157" s="69"/>
      <c r="K157" s="69"/>
      <c r="L157" s="69"/>
      <c r="M157" s="69"/>
      <c r="N157" s="69"/>
      <c r="O157" s="69"/>
      <c r="P157" s="69"/>
      <c r="Q157" s="69"/>
      <c r="R157" s="69"/>
      <c r="S157" s="69"/>
      <c r="AC157" s="14" t="s">
        <v>4603</v>
      </c>
      <c r="AD157" s="384">
        <f t="shared" si="52"/>
        <v>4.569</v>
      </c>
      <c r="AE157" s="385" t="s">
        <v>4604</v>
      </c>
      <c r="AF157" s="386" cm="1">
        <f t="array" ref="AF157">_xll.SNL.Clients.Office.Excel.Functions.SPG($AE157, "SP_RATE_VALUE",AF$75,"Options:NA=NA")</f>
        <v>4.569</v>
      </c>
      <c r="AG157" s="386" t="str" cm="1">
        <f t="array" ref="AG157">_xll.SNL.Clients.Office.Excel.Functions.SPG($AE157, "SP_RATE_VALUE",AG$75,"Options:NA=NA")</f>
        <v>NA</v>
      </c>
      <c r="AH157" s="387" t="str" cm="1">
        <f t="array" ref="AH157">_xll.SNL.Clients.Office.Excel.Functions.SPG($AE157, "SP_RATE_VALUE",AH$75,"Options:NA=NA")</f>
        <v>NA</v>
      </c>
      <c r="AK157" s="392"/>
      <c r="AL157" s="392"/>
      <c r="AM157" s="392"/>
      <c r="AN157" s="3"/>
      <c r="AO157" s="2"/>
      <c r="AP157" s="3"/>
      <c r="AQ157" s="2"/>
      <c r="AY157" s="392"/>
      <c r="AZ157" s="3"/>
      <c r="BA157" s="2"/>
      <c r="BB157" s="3"/>
      <c r="BC157" s="2"/>
    </row>
    <row r="158" spans="2:70" x14ac:dyDescent="0.2">
      <c r="B158" s="7"/>
      <c r="C158" s="7"/>
      <c r="D158" s="7"/>
      <c r="E158" s="7"/>
      <c r="F158" s="7"/>
      <c r="G158" s="7"/>
      <c r="H158" s="7"/>
      <c r="I158" s="7"/>
      <c r="J158" s="7"/>
      <c r="K158" s="7"/>
      <c r="L158" s="7"/>
      <c r="M158" s="7"/>
      <c r="N158" s="7"/>
      <c r="O158" s="7"/>
      <c r="P158" s="7"/>
      <c r="Q158" s="7"/>
      <c r="R158" s="7"/>
      <c r="S158" s="7"/>
      <c r="T158" s="7"/>
      <c r="U158" s="7"/>
      <c r="W158" s="291">
        <f>DAY($AA$154)</f>
        <v>30</v>
      </c>
      <c r="X158" s="292"/>
      <c r="AK158" s="392"/>
      <c r="AL158" s="392"/>
      <c r="AM158" s="392"/>
      <c r="AN158" s="3"/>
      <c r="AO158" s="2"/>
      <c r="AP158" s="3"/>
      <c r="AQ158" s="2"/>
      <c r="AY158" s="392"/>
      <c r="AZ158" s="3"/>
      <c r="BA158" s="2"/>
      <c r="BB158" s="3"/>
      <c r="BC158" s="2"/>
    </row>
    <row r="159" spans="2:70" x14ac:dyDescent="0.2">
      <c r="B159" s="7" t="str">
        <f>VLOOKUP("(1) Assumes",Language_Data,Lookup_Column,FALSE)&amp;$AA$156&amp;VLOOKUP("days remain in",Language_Data,Lookup_Column,FALSE)&amp;N103&amp;"; "&amp;CHOOSE(L32,VLOOKUP("Mid-Period Convention",Language_Data,Lookup_Column,FALSE),VLOOKUP("End-of-Period Convention",Language_Data,Lookup_Column,FALSE))&amp;VLOOKUP("for annual cash flows; Terminal value cash flow occurs at",Language_Data,Lookup_Column,FALSE)&amp;$X$159&amp;" "&amp;$W$158&amp;", "&amp;TEXT($R$103,"####.")</f>
        <v>(1) Assumes317days remain in2027; End-of-Period Conventionfor annual cash flows; Terminal value cash flow occurs atJune 30, 2031.</v>
      </c>
      <c r="C159" s="7"/>
      <c r="D159" s="7"/>
      <c r="E159" s="7"/>
      <c r="F159" s="7"/>
      <c r="G159" s="7"/>
      <c r="H159" s="7"/>
      <c r="I159" s="7"/>
      <c r="J159" s="7"/>
      <c r="K159" s="7"/>
      <c r="L159" s="7"/>
      <c r="M159" s="7"/>
      <c r="N159" s="7"/>
      <c r="O159" s="7"/>
      <c r="P159" s="7"/>
      <c r="Q159" s="7"/>
      <c r="R159" s="7"/>
      <c r="S159" s="7"/>
      <c r="T159" s="7"/>
      <c r="U159" s="7"/>
      <c r="W159" s="294">
        <f>MONTH($AA$153)</f>
        <v>6</v>
      </c>
      <c r="X159" s="83" t="str">
        <f>VLOOKUP(W159,$W$161:$X$172,2,0)</f>
        <v>June</v>
      </c>
      <c r="AK159" s="392"/>
      <c r="AL159" s="392"/>
      <c r="AM159" s="392"/>
      <c r="AN159" s="3"/>
      <c r="AO159" s="2"/>
      <c r="AP159" s="3"/>
      <c r="AQ159" s="2"/>
      <c r="AY159" s="392"/>
      <c r="AZ159" s="3"/>
      <c r="BA159" s="2"/>
      <c r="BB159" s="3"/>
      <c r="BC159" s="2"/>
    </row>
    <row r="160" spans="2:70" x14ac:dyDescent="0.2">
      <c r="B160" s="127" t="str">
        <f>VLOOKUP("Terminal value equals present value of",Language_Data,Lookup_Column,FALSE)&amp;" "&amp;$R$103&amp;" "&amp;VLOOKUP("EBITDA of",Language_Data,Lookup_Column,FALSE)&amp;TEXT($R$109,"$0,00")&amp;" * "&amp;TEXT($R$144,"0.0x")&amp;VLOOKUP("Terminal Forward EBITDA Multiple.",Language_Data,Lookup_Column,FALSE)</f>
        <v>Terminal value equals present value of 2031 EBITDA of$456,201 * 18.8xTerminal Forward EBITDA Multiple.</v>
      </c>
      <c r="C160" s="7"/>
      <c r="D160" s="7"/>
      <c r="E160" s="7"/>
      <c r="F160" s="7"/>
      <c r="G160" s="7"/>
      <c r="H160" s="7"/>
      <c r="I160" s="7"/>
      <c r="J160" s="7"/>
      <c r="K160" s="7"/>
      <c r="L160" s="7"/>
      <c r="M160" s="7"/>
      <c r="N160" s="7"/>
      <c r="O160" s="7"/>
      <c r="P160" s="7"/>
      <c r="Q160" s="7"/>
      <c r="R160" s="7"/>
      <c r="S160" s="7"/>
      <c r="T160" s="7"/>
      <c r="U160" s="7"/>
      <c r="W160" s="293"/>
      <c r="X160" s="71"/>
      <c r="AK160" s="392"/>
      <c r="AL160" s="392"/>
      <c r="AM160" s="392"/>
      <c r="AN160" s="3"/>
      <c r="AO160" s="2"/>
      <c r="AP160" s="3"/>
      <c r="AQ160" s="2"/>
      <c r="AY160" s="392"/>
      <c r="AZ160" s="3"/>
      <c r="BA160" s="2"/>
      <c r="BB160" s="3"/>
      <c r="BC160" s="2"/>
    </row>
    <row r="161" spans="2:55" x14ac:dyDescent="0.2">
      <c r="B161" s="7" t="str">
        <f>VLOOKUP("(2) Implied Perpetual Growth Rate of FCF = [(Terminal EBITDA)*(Terminal EBITDA Multiple)*(WACC) - (Terminal Year FCF)] / [(Terminal EBITDA)*(Terminal EBITDA Multiple) + (Terminal Year FCF)]",Language_Data,Lookup_Column,FALSE)</f>
        <v>(2) Implied Perpetual Growth Rate of FCF = [(Terminal EBITDA)*(Terminal EBITDA Multiple)*(WACC) - (Terminal Year FCF)] / [(Terminal EBITDA)*(Terminal EBITDA Multiple) + (Terminal Year FCF)]</v>
      </c>
      <c r="C161" s="7"/>
      <c r="D161" s="7"/>
      <c r="E161" s="7"/>
      <c r="F161" s="7"/>
      <c r="G161" s="7"/>
      <c r="H161" s="7"/>
      <c r="I161" s="7"/>
      <c r="J161" s="7"/>
      <c r="K161" s="7"/>
      <c r="L161" s="7"/>
      <c r="M161" s="7"/>
      <c r="N161" s="7"/>
      <c r="O161" s="7"/>
      <c r="P161" s="7"/>
      <c r="Q161" s="7"/>
      <c r="R161" s="7"/>
      <c r="S161" s="7"/>
      <c r="T161" s="7"/>
      <c r="U161" s="7"/>
      <c r="W161" s="293">
        <v>1</v>
      </c>
      <c r="X161" s="71" t="s">
        <v>473</v>
      </c>
      <c r="AK161" s="392"/>
      <c r="AL161" s="392"/>
      <c r="AM161" s="392"/>
      <c r="AN161" s="3"/>
      <c r="AO161" s="2"/>
      <c r="AP161" s="3"/>
      <c r="AQ161" s="2"/>
      <c r="AY161" s="392"/>
      <c r="AZ161" s="3"/>
      <c r="BA161" s="2"/>
      <c r="BB161" s="3"/>
      <c r="BC161" s="2"/>
    </row>
    <row r="162" spans="2:55" x14ac:dyDescent="0.2">
      <c r="W162" s="293">
        <f>W161+1</f>
        <v>2</v>
      </c>
      <c r="X162" s="71" t="s">
        <v>474</v>
      </c>
      <c r="AK162" s="392"/>
      <c r="AL162" s="392"/>
      <c r="AM162" s="392"/>
      <c r="AN162" s="3"/>
      <c r="AO162" s="2"/>
      <c r="AP162" s="3"/>
      <c r="AQ162" s="2"/>
      <c r="AY162" s="392"/>
      <c r="AZ162" s="3"/>
      <c r="BA162" s="2"/>
      <c r="BB162" s="3"/>
      <c r="BC162" s="2"/>
    </row>
    <row r="163" spans="2:55" ht="10.5" x14ac:dyDescent="0.2">
      <c r="B163" s="89" t="str">
        <f>VLOOKUP("SENSITIVITY ANALYSIS",Language_Data,Lookup_Column,FALSE)</f>
        <v>SENSITIVITY ANALYSIS</v>
      </c>
      <c r="C163" s="168"/>
      <c r="D163" s="168"/>
      <c r="E163" s="168"/>
      <c r="F163" s="168"/>
      <c r="G163" s="168"/>
      <c r="H163" s="168"/>
      <c r="I163" s="168"/>
      <c r="J163" s="168"/>
      <c r="K163" s="168"/>
      <c r="L163" s="168"/>
      <c r="M163" s="168"/>
      <c r="N163" s="168"/>
      <c r="O163" s="168"/>
      <c r="P163" s="168"/>
      <c r="Q163" s="168"/>
      <c r="R163" s="168"/>
      <c r="S163" s="168"/>
      <c r="W163" s="293">
        <f t="shared" ref="W163:W172" si="53">W162+1</f>
        <v>3</v>
      </c>
      <c r="X163" s="71" t="s">
        <v>475</v>
      </c>
      <c r="AK163" s="392"/>
      <c r="AL163" s="392"/>
      <c r="AM163" s="392"/>
      <c r="AN163" s="3"/>
      <c r="AO163" s="2"/>
      <c r="AP163" s="3"/>
      <c r="AQ163" s="2"/>
      <c r="AY163" s="392"/>
      <c r="AZ163" s="3"/>
      <c r="BA163" s="2"/>
      <c r="BB163" s="3"/>
      <c r="BC163" s="2"/>
    </row>
    <row r="164" spans="2:55" x14ac:dyDescent="0.2">
      <c r="B164" s="142" t="str">
        <f>"("&amp;CAP_CURR&amp;" "&amp;VLOOKUP("in",Language_Data,Lookup_Column,FALSE)&amp;" "&amp;CAP_MAG&amp;VLOOKUP(", except per share data)",Language_Data,Lookup_Column,FALSE)</f>
        <v>(USD In Millions, except per share data)</v>
      </c>
      <c r="C164" s="7"/>
      <c r="D164" s="7"/>
      <c r="E164" s="7"/>
      <c r="F164" s="7"/>
      <c r="G164" s="7"/>
      <c r="H164" s="7"/>
      <c r="I164" s="7"/>
      <c r="J164" s="7"/>
      <c r="K164" s="7"/>
      <c r="L164" s="7"/>
      <c r="M164" s="7"/>
      <c r="N164" s="7"/>
      <c r="O164" s="7"/>
      <c r="P164" s="7"/>
      <c r="Q164" s="7"/>
      <c r="R164" s="7"/>
      <c r="S164" s="7"/>
      <c r="W164" s="293">
        <f t="shared" si="53"/>
        <v>4</v>
      </c>
      <c r="X164" s="71" t="s">
        <v>476</v>
      </c>
      <c r="AK164" s="392"/>
      <c r="AL164" s="392"/>
      <c r="AM164" s="392"/>
      <c r="AN164" s="3"/>
      <c r="AO164" s="2"/>
      <c r="AP164" s="3"/>
      <c r="AQ164" s="2"/>
      <c r="AY164" s="392"/>
      <c r="AZ164" s="3"/>
      <c r="BA164" s="2"/>
      <c r="BB164" s="3"/>
      <c r="BC164" s="2"/>
    </row>
    <row r="165" spans="2:55" x14ac:dyDescent="0.2">
      <c r="B165" s="7"/>
      <c r="C165" s="7"/>
      <c r="D165" s="7"/>
      <c r="E165" s="7"/>
      <c r="F165" s="7"/>
      <c r="G165" s="7"/>
      <c r="H165" s="7"/>
      <c r="I165" s="7"/>
      <c r="J165" s="7"/>
      <c r="K165" s="7"/>
      <c r="L165" s="7"/>
      <c r="M165" s="7"/>
      <c r="N165" s="7"/>
      <c r="O165" s="7"/>
      <c r="P165" s="7"/>
      <c r="Q165" s="7"/>
      <c r="R165" s="7"/>
      <c r="S165" s="7"/>
      <c r="W165" s="293">
        <f t="shared" si="53"/>
        <v>5</v>
      </c>
      <c r="X165" s="71" t="s">
        <v>477</v>
      </c>
      <c r="AA165" s="7"/>
      <c r="AB165" s="7"/>
      <c r="AK165" s="392"/>
      <c r="AL165" s="392"/>
      <c r="AM165" s="392"/>
      <c r="AN165" s="3"/>
      <c r="AO165" s="2"/>
      <c r="AP165" s="3"/>
      <c r="AQ165" s="2"/>
      <c r="AY165" s="392"/>
      <c r="AZ165" s="3"/>
      <c r="BA165" s="2"/>
      <c r="BB165" s="3"/>
      <c r="BC165" s="2"/>
    </row>
    <row r="166" spans="2:55" x14ac:dyDescent="0.2">
      <c r="B166" s="7"/>
      <c r="C166" s="7"/>
      <c r="D166" s="7"/>
      <c r="E166" s="7"/>
      <c r="F166" s="7"/>
      <c r="G166" s="7"/>
      <c r="H166" s="7"/>
      <c r="I166" s="7"/>
      <c r="J166" s="7"/>
      <c r="K166" s="7"/>
      <c r="L166" s="7"/>
      <c r="M166" s="7"/>
      <c r="N166" s="7"/>
      <c r="O166" s="7"/>
      <c r="P166" s="7"/>
      <c r="Q166" s="7"/>
      <c r="R166" s="7"/>
      <c r="S166" s="7"/>
      <c r="W166" s="293">
        <f t="shared" si="53"/>
        <v>6</v>
      </c>
      <c r="X166" s="71" t="s">
        <v>478</v>
      </c>
      <c r="Z166" s="7"/>
      <c r="AA166" s="7"/>
      <c r="AB166" s="7"/>
      <c r="AK166" s="392"/>
      <c r="AL166" s="392"/>
      <c r="AM166" s="392"/>
      <c r="AN166" s="3"/>
      <c r="AO166" s="2"/>
      <c r="AP166" s="3"/>
      <c r="AQ166" s="2"/>
      <c r="AY166" s="392"/>
      <c r="AZ166" s="3"/>
      <c r="BA166" s="2"/>
      <c r="BB166" s="3"/>
      <c r="BC166" s="2"/>
    </row>
    <row r="167" spans="2:55" x14ac:dyDescent="0.2">
      <c r="B167" s="7"/>
      <c r="C167" s="7"/>
      <c r="D167" s="7"/>
      <c r="E167" s="7"/>
      <c r="F167" s="7"/>
      <c r="G167" s="7"/>
      <c r="H167" s="7"/>
      <c r="I167" s="7"/>
      <c r="J167" s="7"/>
      <c r="K167" s="7"/>
      <c r="L167" s="7"/>
      <c r="M167" s="169"/>
      <c r="N167" s="7"/>
      <c r="O167" s="7"/>
      <c r="P167" s="7"/>
      <c r="Q167" s="7"/>
      <c r="R167" s="7"/>
      <c r="S167" s="169"/>
      <c r="W167" s="293">
        <f t="shared" si="53"/>
        <v>7</v>
      </c>
      <c r="X167" s="71" t="s">
        <v>479</v>
      </c>
      <c r="Z167" s="7"/>
      <c r="AA167" s="7"/>
      <c r="AB167" s="7"/>
      <c r="AK167" s="392"/>
      <c r="AL167" s="392"/>
      <c r="AM167" s="392"/>
      <c r="AN167" s="3"/>
      <c r="AO167" s="2"/>
      <c r="AP167" s="3"/>
      <c r="AQ167" s="2"/>
      <c r="AY167" s="392"/>
      <c r="AZ167" s="3"/>
      <c r="BA167" s="2"/>
      <c r="BB167" s="3"/>
      <c r="BC167" s="2"/>
    </row>
    <row r="168" spans="2:55" ht="10.5" x14ac:dyDescent="0.25">
      <c r="B168" s="7"/>
      <c r="C168" s="7"/>
      <c r="D168" s="170" t="str">
        <f>VLOOKUP("Discounted",Language_Data,Lookup_Column,FALSE)</f>
        <v>Discounted</v>
      </c>
      <c r="E168" s="170"/>
      <c r="F168" s="7"/>
      <c r="G168" s="7"/>
      <c r="H168" s="7"/>
      <c r="I168" s="171" t="str">
        <f>VLOOKUP("Present Value of Terminal Value",Language_Data,Lookup_Column,FALSE)</f>
        <v>Present Value of Terminal Value</v>
      </c>
      <c r="J168" s="172"/>
      <c r="K168" s="172"/>
      <c r="L168" s="172"/>
      <c r="M168" s="173"/>
      <c r="N168" s="7"/>
      <c r="O168" s="171" t="str">
        <f>VLOOKUP("Present Value of Enterprise Value",Language_Data,Lookup_Column,FALSE)</f>
        <v>Present Value of Enterprise Value</v>
      </c>
      <c r="P168" s="172"/>
      <c r="Q168" s="172"/>
      <c r="R168" s="172"/>
      <c r="S168" s="173"/>
      <c r="W168" s="293">
        <f t="shared" si="53"/>
        <v>8</v>
      </c>
      <c r="X168" s="71" t="s">
        <v>480</v>
      </c>
      <c r="Z168" s="7"/>
      <c r="AA168" s="7"/>
      <c r="AB168" s="7"/>
      <c r="AK168" s="392"/>
      <c r="AL168" s="392"/>
      <c r="AM168" s="392"/>
      <c r="AN168" s="3"/>
      <c r="AO168" s="2"/>
      <c r="AP168" s="3"/>
      <c r="AQ168" s="2"/>
      <c r="AY168" s="392"/>
      <c r="AZ168" s="3"/>
      <c r="BA168" s="2"/>
      <c r="BB168" s="3"/>
      <c r="BC168" s="2"/>
    </row>
    <row r="169" spans="2:55" ht="10.5" x14ac:dyDescent="0.25">
      <c r="B169" s="260" t="str">
        <f>IF(OR(AA75="",AA75="NA"),IF(OR($AA$78="",$AA$78="NA"),"",$AA$78),AA75)</f>
        <v>MSFT-US</v>
      </c>
      <c r="C169" s="7"/>
      <c r="D169" s="170" t="str">
        <f>VLOOKUP("CF",Language_Data,Lookup_Column,FALSE)</f>
        <v>CF</v>
      </c>
      <c r="E169" s="170"/>
      <c r="F169" s="7"/>
      <c r="G169" s="7"/>
      <c r="H169" s="7"/>
      <c r="I169" s="175" t="str">
        <f>VLOOKUP("EBITDA Exit Multiple",Language_Data,Lookup_Column,FALSE)</f>
        <v>EBITDA Exit Multiple</v>
      </c>
      <c r="J169" s="74"/>
      <c r="K169" s="74"/>
      <c r="L169" s="74"/>
      <c r="M169" s="75"/>
      <c r="N169" s="170"/>
      <c r="O169" s="175" t="str">
        <f>I169</f>
        <v>EBITDA Exit Multiple</v>
      </c>
      <c r="P169" s="74"/>
      <c r="Q169" s="74"/>
      <c r="R169" s="74"/>
      <c r="S169" s="75"/>
      <c r="W169" s="293">
        <f t="shared" si="53"/>
        <v>9</v>
      </c>
      <c r="X169" s="71" t="s">
        <v>481</v>
      </c>
      <c r="Z169" s="7"/>
      <c r="AA169" s="7"/>
      <c r="AB169" s="7"/>
      <c r="AK169" s="392"/>
      <c r="AL169" s="392"/>
      <c r="AM169" s="392"/>
      <c r="AN169" s="3"/>
      <c r="AO169" s="2"/>
      <c r="AP169" s="3"/>
      <c r="AQ169" s="2"/>
      <c r="AY169" s="392"/>
      <c r="AZ169" s="3"/>
      <c r="BA169" s="2"/>
      <c r="BB169" s="3"/>
      <c r="BC169" s="2"/>
    </row>
    <row r="170" spans="2:55" ht="10.5" x14ac:dyDescent="0.25">
      <c r="B170" s="177" t="str">
        <f>VLOOKUP("WACC",Language_Data,Lookup_Column,FALSE)</f>
        <v>WACC</v>
      </c>
      <c r="C170" s="7"/>
      <c r="D170" s="177" t="str">
        <f>$S$103</f>
        <v>2027-2031</v>
      </c>
      <c r="E170" s="170"/>
      <c r="F170" s="7"/>
      <c r="G170" s="7"/>
      <c r="H170" s="7"/>
      <c r="I170" s="178">
        <f>IFERROR(J170-$U$175,"NA")</f>
        <v>16.777099390438249</v>
      </c>
      <c r="J170" s="179">
        <f>IFERROR(K170-$U$175,"NA")</f>
        <v>17.777099390438249</v>
      </c>
      <c r="K170" s="179">
        <f>R144</f>
        <v>18.777099390438249</v>
      </c>
      <c r="L170" s="179">
        <f>IFERROR(K170+$U$175,"NA")</f>
        <v>19.777099390438249</v>
      </c>
      <c r="M170" s="180">
        <f>IFERROR(L170+$U$175,"NA")</f>
        <v>20.777099390438249</v>
      </c>
      <c r="N170" s="170"/>
      <c r="O170" s="178">
        <f>I170</f>
        <v>16.777099390438249</v>
      </c>
      <c r="P170" s="179">
        <f>J170</f>
        <v>17.777099390438249</v>
      </c>
      <c r="Q170" s="179">
        <f>K170</f>
        <v>18.777099390438249</v>
      </c>
      <c r="R170" s="179">
        <f>L170</f>
        <v>19.777099390438249</v>
      </c>
      <c r="S170" s="180">
        <f>M170</f>
        <v>20.777099390438249</v>
      </c>
      <c r="W170" s="293">
        <f t="shared" si="53"/>
        <v>10</v>
      </c>
      <c r="X170" s="71" t="s">
        <v>482</v>
      </c>
      <c r="Z170" s="7"/>
      <c r="AK170" s="392"/>
      <c r="AL170" s="392"/>
      <c r="AM170" s="392"/>
      <c r="AN170" s="3"/>
      <c r="AO170" s="2"/>
      <c r="AP170" s="3"/>
      <c r="AQ170" s="2"/>
      <c r="AY170" s="392"/>
      <c r="AZ170" s="3"/>
      <c r="BA170" s="2"/>
      <c r="BB170" s="3"/>
      <c r="BC170" s="2"/>
    </row>
    <row r="171" spans="2:55" ht="10.5" x14ac:dyDescent="0.25">
      <c r="B171" s="181">
        <f>B172-$U$174</f>
        <v>0.1552088814343355</v>
      </c>
      <c r="C171" s="7"/>
      <c r="D171" s="182">
        <f>IFERROR(((N$133*$AA$156/365)/(1+$B171)^(N$136))+(O$133/(1+$B171)^(O$136))+(P$133/(1+$B171)^(P$136))+(Q$133/(1+$B171)^(Q$136))+(R$133/(1+$B171)^(R$136)),"NA")</f>
        <v>323291.25660956081</v>
      </c>
      <c r="E171" s="182"/>
      <c r="F171" s="7"/>
      <c r="G171" s="7"/>
      <c r="H171" s="7"/>
      <c r="I171" s="183">
        <f t="shared" ref="I171:M175" si="54">IFERROR(($R$109*I$170)/(1+$B171)^(($AA$156/365+4)),"NA")</f>
        <v>3791501.5479792394</v>
      </c>
      <c r="J171" s="184">
        <f t="shared" si="54"/>
        <v>4017494.2216675244</v>
      </c>
      <c r="K171" s="184">
        <f t="shared" si="54"/>
        <v>4243486.8953558095</v>
      </c>
      <c r="L171" s="184">
        <f t="shared" si="54"/>
        <v>4469479.5690440955</v>
      </c>
      <c r="M171" s="185">
        <f t="shared" si="54"/>
        <v>4695472.2427323796</v>
      </c>
      <c r="N171" s="181"/>
      <c r="O171" s="183">
        <f t="shared" ref="O171:S175" si="55">IFERROR(SUM($D171,I171),"NA")</f>
        <v>4114792.8045888003</v>
      </c>
      <c r="P171" s="184">
        <f t="shared" si="55"/>
        <v>4340785.4782770853</v>
      </c>
      <c r="Q171" s="184">
        <f t="shared" si="55"/>
        <v>4566778.1519653704</v>
      </c>
      <c r="R171" s="184">
        <f t="shared" si="55"/>
        <v>4792770.8256536564</v>
      </c>
      <c r="S171" s="185">
        <f t="shared" si="55"/>
        <v>5018763.4993419405</v>
      </c>
      <c r="V171" s="7"/>
      <c r="W171" s="293">
        <f t="shared" si="53"/>
        <v>11</v>
      </c>
      <c r="X171" s="71" t="s">
        <v>483</v>
      </c>
      <c r="AK171" s="392"/>
      <c r="AL171" s="392"/>
      <c r="AM171" s="392"/>
      <c r="AN171" s="3"/>
      <c r="AO171" s="2"/>
      <c r="AP171" s="3"/>
      <c r="AQ171" s="2"/>
      <c r="AY171" s="392"/>
      <c r="AZ171" s="3"/>
      <c r="BA171" s="2"/>
      <c r="BB171" s="3"/>
      <c r="BC171" s="2"/>
    </row>
    <row r="172" spans="2:55" ht="10.5" x14ac:dyDescent="0.25">
      <c r="B172" s="181">
        <f>B173-$U$174</f>
        <v>0.16520888143433551</v>
      </c>
      <c r="C172" s="7"/>
      <c r="D172" s="182">
        <f>IFERROR(((N$133*$AA$156/365)/(1+$B172)^(N$136))+(O$133/(1+$B172)^(O$136))+(P$133/(1+$B172)^(P$136))+(Q$133/(1+$B172)^(Q$136))+(R$133/(1+$B172)^(R$136)),"NA")</f>
        <v>314961.40434405982</v>
      </c>
      <c r="E172" s="182"/>
      <c r="F172" s="7"/>
      <c r="G172" s="7"/>
      <c r="H172" s="7"/>
      <c r="I172" s="183">
        <f t="shared" si="54"/>
        <v>3635692.6944169006</v>
      </c>
      <c r="J172" s="184">
        <f t="shared" si="54"/>
        <v>3852398.3721867413</v>
      </c>
      <c r="K172" s="184">
        <f t="shared" si="54"/>
        <v>4069104.0499565816</v>
      </c>
      <c r="L172" s="184">
        <f t="shared" si="54"/>
        <v>4285809.7277264232</v>
      </c>
      <c r="M172" s="185">
        <f t="shared" si="54"/>
        <v>4502515.4054962629</v>
      </c>
      <c r="N172" s="181"/>
      <c r="O172" s="183">
        <f t="shared" si="55"/>
        <v>3950654.0987609606</v>
      </c>
      <c r="P172" s="184">
        <f t="shared" si="55"/>
        <v>4167359.7765308013</v>
      </c>
      <c r="Q172" s="184">
        <f t="shared" si="55"/>
        <v>4384065.4543006411</v>
      </c>
      <c r="R172" s="184">
        <f t="shared" si="55"/>
        <v>4600771.1320704827</v>
      </c>
      <c r="S172" s="185">
        <f t="shared" si="55"/>
        <v>4817476.8098403225</v>
      </c>
      <c r="V172" s="7"/>
      <c r="W172" s="294">
        <f t="shared" si="53"/>
        <v>12</v>
      </c>
      <c r="X172" s="83" t="s">
        <v>484</v>
      </c>
      <c r="AA172" s="7"/>
      <c r="AB172" s="7"/>
      <c r="AK172" s="392"/>
      <c r="AL172" s="392"/>
      <c r="AM172" s="392"/>
      <c r="AN172" s="3"/>
      <c r="AO172" s="2"/>
      <c r="AP172" s="3"/>
      <c r="AQ172" s="2"/>
      <c r="AY172" s="392"/>
      <c r="AZ172" s="3"/>
      <c r="BA172" s="2"/>
      <c r="BB172" s="3"/>
      <c r="BC172" s="2"/>
    </row>
    <row r="173" spans="2:55" ht="10.5" x14ac:dyDescent="0.25">
      <c r="B173" s="181">
        <f>F91</f>
        <v>0.17520888143433552</v>
      </c>
      <c r="C173" s="7"/>
      <c r="D173" s="182">
        <f>IFERROR(((N$133*$AA$156/365)/(1+$B173)^(N$136))+(O$133/(1+$B173)^(O$136))+(P$133/(1+$B173)^(P$136))+(Q$133/(1+$B173)^(Q$136))+(R$133/(1+$B173)^(R$136)),"NA")</f>
        <v>306958.07558257779</v>
      </c>
      <c r="E173" s="182"/>
      <c r="F173" s="186" t="s">
        <v>450</v>
      </c>
      <c r="G173" s="186"/>
      <c r="H173" s="186"/>
      <c r="I173" s="183">
        <f t="shared" si="54"/>
        <v>3487537.0719815828</v>
      </c>
      <c r="J173" s="184">
        <f t="shared" si="54"/>
        <v>3695411.9251262941</v>
      </c>
      <c r="K173" s="184">
        <f t="shared" si="54"/>
        <v>3903286.7782710055</v>
      </c>
      <c r="L173" s="184">
        <f t="shared" si="54"/>
        <v>4111161.6314157178</v>
      </c>
      <c r="M173" s="185">
        <f t="shared" si="54"/>
        <v>4319036.4845604291</v>
      </c>
      <c r="N173" s="186" t="s">
        <v>451</v>
      </c>
      <c r="O173" s="183">
        <f t="shared" si="55"/>
        <v>3794495.1475641606</v>
      </c>
      <c r="P173" s="184">
        <f t="shared" si="55"/>
        <v>4002370.000708872</v>
      </c>
      <c r="Q173" s="184">
        <f t="shared" si="55"/>
        <v>4210244.8538535833</v>
      </c>
      <c r="R173" s="184">
        <f t="shared" si="55"/>
        <v>4418119.7069982952</v>
      </c>
      <c r="S173" s="185">
        <f t="shared" si="55"/>
        <v>4625994.560143007</v>
      </c>
      <c r="V173" s="7"/>
      <c r="X173" s="7"/>
      <c r="Y173" s="7"/>
      <c r="Z173" s="7"/>
      <c r="AA173" s="182"/>
      <c r="AB173" s="7"/>
      <c r="AK173" s="392"/>
      <c r="AL173" s="392"/>
      <c r="AM173" s="392"/>
      <c r="AN173" s="3"/>
      <c r="AO173" s="2"/>
      <c r="AP173" s="3"/>
      <c r="AQ173" s="2"/>
      <c r="AY173" s="392"/>
      <c r="AZ173" s="3"/>
      <c r="BA173" s="2"/>
      <c r="BB173" s="3"/>
      <c r="BC173" s="2"/>
    </row>
    <row r="174" spans="2:55" ht="10.5" x14ac:dyDescent="0.25">
      <c r="B174" s="181">
        <f>B173+$U$174</f>
        <v>0.18520888143433553</v>
      </c>
      <c r="C174" s="7"/>
      <c r="D174" s="182">
        <f>IFERROR(((N$133*$AA$156/365)/(1+$B174)^(N$136))+(O$133/(1+$B174)^(O$136))+(P$133/(1+$B174)^(P$136))+(Q$133/(1+$B174)^(Q$136))+(R$133/(1+$B174)^(R$136)),"NA")</f>
        <v>299265.06218420528</v>
      </c>
      <c r="E174" s="182"/>
      <c r="F174" s="7"/>
      <c r="G174" s="7"/>
      <c r="H174" s="7"/>
      <c r="I174" s="183">
        <f t="shared" si="54"/>
        <v>3346598.3629742218</v>
      </c>
      <c r="J174" s="184">
        <f t="shared" si="54"/>
        <v>3546072.5560448989</v>
      </c>
      <c r="K174" s="184">
        <f t="shared" si="54"/>
        <v>3745546.749115576</v>
      </c>
      <c r="L174" s="184">
        <f t="shared" si="54"/>
        <v>3945020.9421862541</v>
      </c>
      <c r="M174" s="185">
        <f t="shared" si="54"/>
        <v>4144495.1352569312</v>
      </c>
      <c r="N174" s="181"/>
      <c r="O174" s="183">
        <f t="shared" si="55"/>
        <v>3645863.4251584271</v>
      </c>
      <c r="P174" s="184">
        <f t="shared" si="55"/>
        <v>3845337.6182291042</v>
      </c>
      <c r="Q174" s="184">
        <f t="shared" si="55"/>
        <v>4044811.8112997813</v>
      </c>
      <c r="R174" s="184">
        <f t="shared" si="55"/>
        <v>4244286.0043704594</v>
      </c>
      <c r="S174" s="185">
        <f t="shared" si="55"/>
        <v>4443760.1974411365</v>
      </c>
      <c r="T174" s="7" t="str">
        <f>VLOOKUP("WACC Step",Language_Data,Lookup_Column,FALSE)</f>
        <v>WACC Step</v>
      </c>
      <c r="U174" s="174">
        <v>0.01</v>
      </c>
      <c r="V174" s="7"/>
      <c r="Y174" s="7"/>
      <c r="Z174" s="7"/>
      <c r="AA174" s="182"/>
      <c r="AB174" s="7"/>
      <c r="AK174" s="392"/>
      <c r="AL174" s="392"/>
      <c r="AM174" s="392"/>
      <c r="AN174" s="3"/>
      <c r="AO174" s="2"/>
      <c r="AP174" s="3"/>
      <c r="AQ174" s="2"/>
      <c r="AY174" s="392"/>
      <c r="AZ174" s="3"/>
      <c r="BA174" s="2"/>
      <c r="BB174" s="3"/>
      <c r="BC174" s="2"/>
    </row>
    <row r="175" spans="2:55" ht="10.5" x14ac:dyDescent="0.25">
      <c r="B175" s="181">
        <f>B174+$U$174</f>
        <v>0.19520888143433554</v>
      </c>
      <c r="C175" s="7"/>
      <c r="D175" s="182">
        <f>IFERROR(((N$133*$AA$156/365)/(1+$B175)^(N$136))+(O$133/(1+$B175)^(O$136))+(P$133/(1+$B175)^(P$136))+(Q$133/(1+$B175)^(Q$136))+(R$133/(1+$B175)^(R$136)),"NA")</f>
        <v>291867.11086601659</v>
      </c>
      <c r="E175" s="182"/>
      <c r="F175" s="7"/>
      <c r="G175" s="7"/>
      <c r="H175" s="7"/>
      <c r="I175" s="183">
        <f t="shared" si="54"/>
        <v>3212468.510956489</v>
      </c>
      <c r="J175" s="184">
        <f t="shared" si="54"/>
        <v>3403947.8862761203</v>
      </c>
      <c r="K175" s="184">
        <f t="shared" si="54"/>
        <v>3595427.2615957516</v>
      </c>
      <c r="L175" s="184">
        <f t="shared" si="54"/>
        <v>3786906.6369153839</v>
      </c>
      <c r="M175" s="185">
        <f t="shared" si="54"/>
        <v>3978386.0122350152</v>
      </c>
      <c r="N175" s="181"/>
      <c r="O175" s="183">
        <f t="shared" si="55"/>
        <v>3504335.6218225057</v>
      </c>
      <c r="P175" s="184">
        <f t="shared" si="55"/>
        <v>3695814.997142137</v>
      </c>
      <c r="Q175" s="184">
        <f t="shared" si="55"/>
        <v>3887294.3724617683</v>
      </c>
      <c r="R175" s="184">
        <f t="shared" si="55"/>
        <v>4078773.7477814006</v>
      </c>
      <c r="S175" s="185">
        <f t="shared" si="55"/>
        <v>4270253.1231010314</v>
      </c>
      <c r="T175" s="7" t="str">
        <f>VLOOKUP("Exit Multiple Step",Language_Data,Lookup_Column,FALSE)</f>
        <v>Exit Multiple Step</v>
      </c>
      <c r="U175" s="176">
        <v>1</v>
      </c>
      <c r="Y175" s="7"/>
      <c r="Z175" s="7"/>
      <c r="AA175" s="182"/>
      <c r="AB175" s="7"/>
      <c r="AK175" s="392"/>
      <c r="AL175" s="392"/>
      <c r="AM175" s="392"/>
      <c r="AN175" s="3"/>
      <c r="AO175" s="2"/>
      <c r="AP175" s="3"/>
      <c r="AQ175" s="2"/>
      <c r="AY175" s="392"/>
      <c r="AZ175" s="3"/>
      <c r="BA175" s="2"/>
      <c r="BB175" s="3"/>
      <c r="BC175" s="2"/>
    </row>
    <row r="176" spans="2:55" ht="10.5" x14ac:dyDescent="0.25">
      <c r="B176" s="187"/>
      <c r="C176" s="153"/>
      <c r="D176" s="188"/>
      <c r="E176" s="155"/>
      <c r="F176" s="155"/>
      <c r="G176" s="155"/>
      <c r="H176" s="155"/>
      <c r="I176" s="189"/>
      <c r="J176" s="188"/>
      <c r="K176" s="188"/>
      <c r="L176" s="188"/>
      <c r="M176" s="190"/>
      <c r="N176" s="181"/>
      <c r="O176" s="189"/>
      <c r="P176" s="188"/>
      <c r="Q176" s="188"/>
      <c r="R176" s="188"/>
      <c r="S176" s="190"/>
      <c r="Z176" s="7"/>
      <c r="AA176" s="182"/>
      <c r="AB176" s="7"/>
      <c r="AK176" s="392"/>
      <c r="AL176" s="392"/>
      <c r="AM176" s="392"/>
      <c r="AN176" s="3"/>
      <c r="AO176" s="2"/>
      <c r="AP176" s="3"/>
      <c r="AQ176" s="2"/>
      <c r="AY176" s="392"/>
      <c r="AZ176" s="3"/>
      <c r="BA176" s="2"/>
      <c r="BB176" s="3"/>
      <c r="BC176" s="2"/>
    </row>
    <row r="177" spans="2:55" ht="10.5" x14ac:dyDescent="0.25">
      <c r="B177" s="181"/>
      <c r="C177" s="153"/>
      <c r="D177" s="155"/>
      <c r="E177" s="155"/>
      <c r="F177" s="155"/>
      <c r="G177" s="155"/>
      <c r="H177" s="155"/>
      <c r="I177" s="155"/>
      <c r="J177" s="155"/>
      <c r="K177" s="155"/>
      <c r="L177" s="155"/>
      <c r="M177" s="155"/>
      <c r="N177" s="7"/>
      <c r="O177" s="7"/>
      <c r="P177" s="7"/>
      <c r="Q177" s="7"/>
      <c r="R177" s="7"/>
      <c r="S177" s="7"/>
      <c r="Z177" s="7"/>
      <c r="AA177" s="182"/>
      <c r="AB177" s="7"/>
      <c r="AK177" s="392"/>
      <c r="AL177" s="392"/>
      <c r="AM177" s="392"/>
      <c r="AN177" s="3"/>
      <c r="AO177" s="2"/>
      <c r="AP177" s="3"/>
      <c r="AQ177" s="2"/>
      <c r="AY177" s="392"/>
      <c r="AZ177" s="3"/>
      <c r="BA177" s="2"/>
      <c r="BB177" s="3"/>
      <c r="BC177" s="2"/>
    </row>
    <row r="178" spans="2:55" x14ac:dyDescent="0.2">
      <c r="B178" s="7"/>
      <c r="C178" s="7"/>
      <c r="D178" s="7"/>
      <c r="E178" s="7"/>
      <c r="F178" s="7"/>
      <c r="G178" s="7"/>
      <c r="H178" s="7"/>
      <c r="I178" s="7"/>
      <c r="J178" s="7"/>
      <c r="K178" s="7"/>
      <c r="L178" s="7"/>
      <c r="M178" s="7"/>
      <c r="N178" s="7"/>
      <c r="O178" s="7"/>
      <c r="P178" s="7"/>
      <c r="Q178" s="7"/>
      <c r="R178" s="7"/>
      <c r="S178" s="7"/>
      <c r="Z178" s="7"/>
      <c r="AA178" s="7"/>
      <c r="AB178" s="7"/>
      <c r="AK178" s="392"/>
      <c r="AL178" s="392"/>
      <c r="AM178" s="392"/>
      <c r="AN178" s="3"/>
      <c r="AO178" s="2"/>
      <c r="AP178" s="3"/>
      <c r="AQ178" s="2"/>
      <c r="AY178" s="392"/>
      <c r="AZ178" s="3"/>
      <c r="BA178" s="2"/>
      <c r="BB178" s="3"/>
      <c r="BC178" s="2"/>
    </row>
    <row r="179" spans="2:55" x14ac:dyDescent="0.2">
      <c r="B179" s="7"/>
      <c r="C179" s="7"/>
      <c r="D179" s="7"/>
      <c r="E179" s="7"/>
      <c r="F179" s="7"/>
      <c r="G179" s="7"/>
      <c r="H179" s="7"/>
      <c r="I179" s="7"/>
      <c r="J179" s="7"/>
      <c r="K179" s="7"/>
      <c r="L179" s="7"/>
      <c r="M179" s="7"/>
      <c r="N179" s="7"/>
      <c r="O179" s="7"/>
      <c r="P179" s="7"/>
      <c r="Q179" s="7"/>
      <c r="R179" s="7"/>
      <c r="S179" s="7"/>
      <c r="Z179" s="7"/>
      <c r="AA179" s="7"/>
      <c r="AB179" s="7"/>
      <c r="AK179" s="392"/>
      <c r="AL179" s="392"/>
      <c r="AM179" s="392"/>
      <c r="AN179" s="3"/>
      <c r="AO179" s="2"/>
      <c r="AP179" s="3"/>
      <c r="AQ179" s="2"/>
      <c r="AY179" s="392"/>
      <c r="AZ179" s="3"/>
      <c r="BA179" s="2"/>
      <c r="BB179" s="3"/>
      <c r="BC179" s="2"/>
    </row>
    <row r="180" spans="2:55" ht="10.5" x14ac:dyDescent="0.25">
      <c r="B180" s="7"/>
      <c r="C180" s="7"/>
      <c r="D180" s="170" t="str">
        <f>VLOOKUP("Net Debt(1)",Language_Data,Lookup_Column,FALSE)</f>
        <v>Net Debt(1)</v>
      </c>
      <c r="E180" s="170"/>
      <c r="F180" s="7"/>
      <c r="G180" s="7"/>
      <c r="H180" s="7"/>
      <c r="I180" s="171" t="str">
        <f>VLOOKUP("Present Value of Equity",Language_Data,Lookup_Column,FALSE)</f>
        <v>Present Value of Equity</v>
      </c>
      <c r="J180" s="172"/>
      <c r="K180" s="172"/>
      <c r="L180" s="172"/>
      <c r="M180" s="173"/>
      <c r="N180" s="7"/>
      <c r="O180" s="171" t="str">
        <f>VLOOKUP("Equity Value per Share",Language_Data,Lookup_Column,FALSE)</f>
        <v>Equity Value per Share</v>
      </c>
      <c r="P180" s="172"/>
      <c r="Q180" s="172"/>
      <c r="R180" s="172"/>
      <c r="S180" s="173"/>
      <c r="Z180" s="7"/>
      <c r="AA180" s="7"/>
      <c r="AB180" s="7"/>
      <c r="AK180" s="392"/>
      <c r="AL180" s="392"/>
      <c r="AM180" s="392"/>
      <c r="AN180" s="3"/>
      <c r="AO180" s="2"/>
      <c r="AP180" s="3"/>
      <c r="AQ180" s="2"/>
      <c r="AY180" s="392"/>
      <c r="AZ180" s="3"/>
      <c r="BA180" s="2"/>
      <c r="BB180" s="3"/>
      <c r="BC180" s="2"/>
    </row>
    <row r="181" spans="2:55" ht="10.5" x14ac:dyDescent="0.25">
      <c r="B181" s="260" t="str">
        <f t="shared" ref="B181:B187" si="56">B169</f>
        <v>MSFT-US</v>
      </c>
      <c r="C181" s="7"/>
      <c r="D181" s="170" t="str">
        <f>VLOOKUP("at",Language_Data,Lookup_Column,FALSE)</f>
        <v>at</v>
      </c>
      <c r="E181" s="170"/>
      <c r="F181" s="7"/>
      <c r="G181" s="7"/>
      <c r="H181" s="7"/>
      <c r="I181" s="175" t="str">
        <f>I169</f>
        <v>EBITDA Exit Multiple</v>
      </c>
      <c r="J181" s="74"/>
      <c r="K181" s="74"/>
      <c r="L181" s="74"/>
      <c r="M181" s="75"/>
      <c r="N181" s="170"/>
      <c r="O181" s="175" t="str">
        <f>I169</f>
        <v>EBITDA Exit Multiple</v>
      </c>
      <c r="P181" s="74"/>
      <c r="Q181" s="74"/>
      <c r="R181" s="74"/>
      <c r="S181" s="75"/>
      <c r="Z181" s="7"/>
      <c r="AA181" s="7"/>
      <c r="AB181" s="7"/>
      <c r="AK181" s="392"/>
      <c r="AL181" s="392"/>
      <c r="AM181" s="392"/>
      <c r="AN181" s="3"/>
      <c r="AO181" s="2"/>
      <c r="AP181" s="3"/>
      <c r="AQ181" s="2"/>
      <c r="AY181" s="392"/>
      <c r="AZ181" s="3"/>
      <c r="BA181" s="2"/>
      <c r="BB181" s="3"/>
      <c r="BC181" s="2"/>
    </row>
    <row r="182" spans="2:55" ht="10.5" x14ac:dyDescent="0.25">
      <c r="B182" s="177" t="str">
        <f t="shared" si="56"/>
        <v>WACC</v>
      </c>
      <c r="C182" s="7"/>
      <c r="D182" s="191" t="str">
        <f>$Y$154</f>
        <v>FQ0</v>
      </c>
      <c r="E182" s="253"/>
      <c r="F182" s="7"/>
      <c r="G182" s="7"/>
      <c r="H182" s="7"/>
      <c r="I182" s="178">
        <f>I170</f>
        <v>16.777099390438249</v>
      </c>
      <c r="J182" s="179">
        <f>J170</f>
        <v>17.777099390438249</v>
      </c>
      <c r="K182" s="179">
        <f>K170</f>
        <v>18.777099390438249</v>
      </c>
      <c r="L182" s="179">
        <f>L170</f>
        <v>19.777099390438249</v>
      </c>
      <c r="M182" s="180">
        <f>M170</f>
        <v>20.777099390438249</v>
      </c>
      <c r="N182" s="170"/>
      <c r="O182" s="178">
        <f>O170</f>
        <v>16.777099390438249</v>
      </c>
      <c r="P182" s="179">
        <f>P170</f>
        <v>17.777099390438249</v>
      </c>
      <c r="Q182" s="179">
        <f>Q170</f>
        <v>18.777099390438249</v>
      </c>
      <c r="R182" s="179">
        <f>R170</f>
        <v>19.777099390438249</v>
      </c>
      <c r="S182" s="180">
        <f>S170</f>
        <v>20.777099390438249</v>
      </c>
      <c r="Z182" s="7"/>
      <c r="AA182" s="7"/>
      <c r="AB182" s="7"/>
      <c r="AK182" s="392"/>
      <c r="AL182" s="392"/>
      <c r="AM182" s="392"/>
      <c r="AN182" s="3"/>
      <c r="AO182" s="2"/>
      <c r="AP182" s="3"/>
      <c r="AQ182" s="2"/>
      <c r="AY182" s="392"/>
      <c r="AZ182" s="3"/>
      <c r="BA182" s="2"/>
      <c r="BB182" s="3"/>
      <c r="BC182" s="2"/>
    </row>
    <row r="183" spans="2:55" ht="10.5" x14ac:dyDescent="0.25">
      <c r="B183" s="181">
        <f t="shared" si="56"/>
        <v>0.1552088814343355</v>
      </c>
      <c r="C183" s="7"/>
      <c r="D183" s="192">
        <f>-SUM(I147:I151)</f>
        <v>107878</v>
      </c>
      <c r="E183" s="192"/>
      <c r="F183" s="7"/>
      <c r="G183" s="7"/>
      <c r="H183" s="7"/>
      <c r="I183" s="183">
        <f t="shared" ref="I183:M187" si="57">IFERROR(O171-$D183,"NA")</f>
        <v>4006914.8045888003</v>
      </c>
      <c r="J183" s="230">
        <f t="shared" si="57"/>
        <v>4232907.4782770853</v>
      </c>
      <c r="K183" s="230">
        <f t="shared" si="57"/>
        <v>4458900.1519653704</v>
      </c>
      <c r="L183" s="230">
        <f t="shared" si="57"/>
        <v>4684892.8256536564</v>
      </c>
      <c r="M183" s="231">
        <f t="shared" si="57"/>
        <v>4910885.4993419405</v>
      </c>
      <c r="N183" s="186" t="str">
        <f>VLOOKUP("Divided",Language_Data,Lookup_Column,FALSE)</f>
        <v>Divided</v>
      </c>
      <c r="O183" s="193">
        <f t="shared" ref="O183:S187" si="58">IFERROR(I183/$N$185,"NA")</f>
        <v>539.61218195286938</v>
      </c>
      <c r="P183" s="194">
        <f t="shared" si="58"/>
        <v>570.0466697574617</v>
      </c>
      <c r="Q183" s="194">
        <f t="shared" si="58"/>
        <v>600.48115756205402</v>
      </c>
      <c r="R183" s="194">
        <f t="shared" si="58"/>
        <v>630.91564536664646</v>
      </c>
      <c r="S183" s="195">
        <f t="shared" si="58"/>
        <v>661.35013317123867</v>
      </c>
      <c r="AK183" s="392"/>
      <c r="AL183" s="392"/>
      <c r="AM183" s="392"/>
      <c r="AN183" s="3"/>
      <c r="AO183" s="2"/>
      <c r="AP183" s="3"/>
      <c r="AQ183" s="2"/>
      <c r="AY183" s="392"/>
      <c r="AZ183" s="3"/>
      <c r="BA183" s="2"/>
      <c r="BB183" s="3"/>
      <c r="BC183" s="2"/>
    </row>
    <row r="184" spans="2:55" ht="10.5" x14ac:dyDescent="0.25">
      <c r="B184" s="181">
        <f t="shared" si="56"/>
        <v>0.16520888143433551</v>
      </c>
      <c r="C184" s="7"/>
      <c r="D184" s="192">
        <f>D183</f>
        <v>107878</v>
      </c>
      <c r="E184" s="192"/>
      <c r="F184" s="7"/>
      <c r="G184" s="7"/>
      <c r="H184" s="7"/>
      <c r="I184" s="183">
        <f t="shared" si="57"/>
        <v>3842776.0987609606</v>
      </c>
      <c r="J184" s="184">
        <f t="shared" si="57"/>
        <v>4059481.7765308013</v>
      </c>
      <c r="K184" s="184">
        <f t="shared" si="57"/>
        <v>4276187.4543006411</v>
      </c>
      <c r="L184" s="184">
        <f t="shared" si="57"/>
        <v>4492893.1320704827</v>
      </c>
      <c r="M184" s="185">
        <f t="shared" si="57"/>
        <v>4709598.8098403225</v>
      </c>
      <c r="N184" s="186" t="str">
        <f>VLOOKUP("By",Language_Data,Lookup_Column,FALSE)</f>
        <v>By</v>
      </c>
      <c r="O184" s="193">
        <f t="shared" si="58"/>
        <v>517.5075828999403</v>
      </c>
      <c r="P184" s="194">
        <f t="shared" si="58"/>
        <v>546.69138872706708</v>
      </c>
      <c r="Q184" s="194">
        <f t="shared" si="58"/>
        <v>575.87519455419374</v>
      </c>
      <c r="R184" s="194">
        <f t="shared" si="58"/>
        <v>605.05900038132063</v>
      </c>
      <c r="S184" s="195">
        <f t="shared" si="58"/>
        <v>634.24280620844729</v>
      </c>
      <c r="AK184" s="392"/>
      <c r="AL184" s="392"/>
      <c r="AM184" s="392"/>
      <c r="AN184" s="3"/>
      <c r="AO184" s="2"/>
      <c r="AP184" s="3"/>
      <c r="AQ184" s="2"/>
      <c r="AY184" s="392"/>
      <c r="AZ184" s="3"/>
      <c r="BA184" s="2"/>
      <c r="BB184" s="3"/>
      <c r="BC184" s="2"/>
    </row>
    <row r="185" spans="2:55" ht="10.5" x14ac:dyDescent="0.25">
      <c r="B185" s="181">
        <f t="shared" si="56"/>
        <v>0.17520888143433552</v>
      </c>
      <c r="C185" s="196" t="s">
        <v>456</v>
      </c>
      <c r="D185" s="192">
        <f>D184</f>
        <v>107878</v>
      </c>
      <c r="E185" s="192"/>
      <c r="F185" s="186" t="s">
        <v>451</v>
      </c>
      <c r="G185" s="186"/>
      <c r="H185" s="186"/>
      <c r="I185" s="183">
        <f t="shared" si="57"/>
        <v>3686617.1475641606</v>
      </c>
      <c r="J185" s="184">
        <f t="shared" si="57"/>
        <v>3894492.000708872</v>
      </c>
      <c r="K185" s="184">
        <f t="shared" si="57"/>
        <v>4102366.8538535833</v>
      </c>
      <c r="L185" s="184">
        <f t="shared" si="57"/>
        <v>4310241.7069982952</v>
      </c>
      <c r="M185" s="185">
        <f t="shared" si="57"/>
        <v>4518116.560143007</v>
      </c>
      <c r="N185" s="186">
        <f>I154</f>
        <v>7425.5454909999999</v>
      </c>
      <c r="O185" s="193">
        <f t="shared" si="58"/>
        <v>496.477619325403</v>
      </c>
      <c r="P185" s="194">
        <f t="shared" si="58"/>
        <v>524.47217587302123</v>
      </c>
      <c r="Q185" s="194">
        <f t="shared" si="58"/>
        <v>552.46673242063957</v>
      </c>
      <c r="R185" s="194">
        <f t="shared" si="58"/>
        <v>580.46128896825792</v>
      </c>
      <c r="S185" s="195">
        <f t="shared" si="58"/>
        <v>608.45584551587615</v>
      </c>
      <c r="X185" s="7"/>
      <c r="Y185" s="7"/>
      <c r="Z185" s="7"/>
      <c r="AA185" s="7"/>
      <c r="AB185" s="7"/>
      <c r="AK185" s="392"/>
      <c r="AL185" s="392"/>
      <c r="AM185" s="392"/>
      <c r="AN185" s="3"/>
      <c r="AO185" s="2"/>
      <c r="AP185" s="3"/>
      <c r="AQ185" s="2"/>
      <c r="AY185" s="392"/>
      <c r="AZ185" s="3"/>
      <c r="BA185" s="2"/>
      <c r="BB185" s="3"/>
      <c r="BC185" s="2"/>
    </row>
    <row r="186" spans="2:55" ht="10.5" x14ac:dyDescent="0.25">
      <c r="B186" s="181">
        <f t="shared" si="56"/>
        <v>0.18520888143433553</v>
      </c>
      <c r="C186" s="7"/>
      <c r="D186" s="192">
        <f>D185</f>
        <v>107878</v>
      </c>
      <c r="E186" s="192"/>
      <c r="F186" s="7"/>
      <c r="G186" s="7"/>
      <c r="H186" s="7"/>
      <c r="I186" s="183">
        <f t="shared" si="57"/>
        <v>3537985.4251584271</v>
      </c>
      <c r="J186" s="184">
        <f t="shared" si="57"/>
        <v>3737459.6182291042</v>
      </c>
      <c r="K186" s="184">
        <f t="shared" si="57"/>
        <v>3936933.8112997813</v>
      </c>
      <c r="L186" s="184">
        <f t="shared" si="57"/>
        <v>4136408.0043704594</v>
      </c>
      <c r="M186" s="185">
        <f t="shared" si="57"/>
        <v>4335882.1974411365</v>
      </c>
      <c r="N186" s="186" t="str">
        <f>VLOOKUP("Shares",Language_Data,Lookup_Column,FALSE)</f>
        <v>Shares</v>
      </c>
      <c r="O186" s="193">
        <f t="shared" si="58"/>
        <v>476.46134946537995</v>
      </c>
      <c r="P186" s="194">
        <f t="shared" si="58"/>
        <v>503.32458709720726</v>
      </c>
      <c r="Q186" s="194">
        <f t="shared" si="58"/>
        <v>530.18782472903467</v>
      </c>
      <c r="R186" s="194">
        <f t="shared" si="58"/>
        <v>557.05106236086215</v>
      </c>
      <c r="S186" s="195">
        <f t="shared" si="58"/>
        <v>583.91429999268951</v>
      </c>
      <c r="X186" s="7"/>
      <c r="Y186" s="7"/>
      <c r="Z186" s="7"/>
      <c r="AA186" s="7"/>
      <c r="AB186" s="7"/>
      <c r="AK186" s="392"/>
      <c r="AL186" s="392"/>
      <c r="AM186" s="392"/>
      <c r="AN186" s="3"/>
      <c r="AO186" s="2"/>
      <c r="AP186" s="3"/>
      <c r="AQ186" s="2"/>
      <c r="AY186" s="392"/>
      <c r="AZ186" s="3"/>
      <c r="BA186" s="2"/>
      <c r="BB186" s="3"/>
      <c r="BC186" s="2"/>
    </row>
    <row r="187" spans="2:55" ht="10.5" x14ac:dyDescent="0.25">
      <c r="B187" s="181">
        <f t="shared" si="56"/>
        <v>0.19520888143433554</v>
      </c>
      <c r="C187" s="7"/>
      <c r="D187" s="192">
        <f>D186</f>
        <v>107878</v>
      </c>
      <c r="E187" s="192"/>
      <c r="F187" s="7"/>
      <c r="G187" s="7"/>
      <c r="H187" s="7"/>
      <c r="I187" s="183">
        <f t="shared" si="57"/>
        <v>3396457.6218225057</v>
      </c>
      <c r="J187" s="184">
        <f t="shared" si="57"/>
        <v>3587936.997142137</v>
      </c>
      <c r="K187" s="184">
        <f t="shared" si="57"/>
        <v>3779416.3724617683</v>
      </c>
      <c r="L187" s="184">
        <f t="shared" si="57"/>
        <v>3970895.7477814006</v>
      </c>
      <c r="M187" s="185">
        <f t="shared" si="57"/>
        <v>4162375.1231010314</v>
      </c>
      <c r="N187" s="186" t="s">
        <v>451</v>
      </c>
      <c r="O187" s="193">
        <f t="shared" si="58"/>
        <v>457.40176609773943</v>
      </c>
      <c r="P187" s="194">
        <f t="shared" si="58"/>
        <v>483.18833969717542</v>
      </c>
      <c r="Q187" s="194">
        <f t="shared" si="58"/>
        <v>508.97491329661136</v>
      </c>
      <c r="R187" s="194">
        <f t="shared" si="58"/>
        <v>534.76148689604747</v>
      </c>
      <c r="S187" s="195">
        <f t="shared" si="58"/>
        <v>560.54806049548336</v>
      </c>
      <c r="X187" s="7"/>
      <c r="Y187" s="7"/>
      <c r="Z187" s="7"/>
      <c r="AA187" s="7"/>
      <c r="AB187" s="7"/>
      <c r="AK187" s="392"/>
      <c r="AL187" s="392"/>
      <c r="AM187" s="392"/>
      <c r="AN187" s="3"/>
      <c r="AO187" s="2"/>
      <c r="AP187" s="3"/>
      <c r="AQ187" s="2"/>
      <c r="AY187" s="392"/>
      <c r="AZ187" s="3"/>
      <c r="BA187" s="2"/>
      <c r="BB187" s="3"/>
      <c r="BC187" s="2"/>
    </row>
    <row r="188" spans="2:55" ht="10.5" x14ac:dyDescent="0.25">
      <c r="B188" s="187"/>
      <c r="C188" s="7"/>
      <c r="D188" s="188"/>
      <c r="E188" s="155"/>
      <c r="F188" s="7"/>
      <c r="G188" s="7"/>
      <c r="H188" s="7"/>
      <c r="I188" s="189"/>
      <c r="J188" s="188"/>
      <c r="K188" s="188"/>
      <c r="L188" s="188"/>
      <c r="M188" s="190"/>
      <c r="N188" s="181"/>
      <c r="O188" s="189"/>
      <c r="P188" s="188"/>
      <c r="Q188" s="188"/>
      <c r="R188" s="188"/>
      <c r="S188" s="190"/>
      <c r="X188" s="7"/>
      <c r="Y188" s="7"/>
      <c r="Z188" s="7"/>
      <c r="AA188" s="7"/>
      <c r="AB188" s="7"/>
      <c r="AK188" s="392"/>
      <c r="AL188" s="392"/>
      <c r="AM188" s="392"/>
      <c r="AN188" s="3"/>
      <c r="AO188" s="2"/>
      <c r="AP188" s="3"/>
      <c r="AQ188" s="2"/>
      <c r="AY188" s="392"/>
      <c r="AZ188" s="3"/>
      <c r="BA188" s="2"/>
      <c r="BB188" s="3"/>
      <c r="BC188" s="2"/>
    </row>
    <row r="189" spans="2:55" x14ac:dyDescent="0.2">
      <c r="B189" s="7"/>
      <c r="C189" s="7"/>
      <c r="D189" s="7"/>
      <c r="E189" s="7"/>
      <c r="F189" s="7"/>
      <c r="G189" s="7"/>
      <c r="H189" s="7"/>
      <c r="I189" s="7"/>
      <c r="J189" s="7"/>
      <c r="K189" s="7"/>
      <c r="L189" s="7"/>
      <c r="M189" s="7"/>
      <c r="N189" s="7"/>
      <c r="O189" s="7"/>
      <c r="P189" s="7"/>
      <c r="Q189" s="7"/>
      <c r="R189" s="7"/>
      <c r="S189" s="7"/>
      <c r="X189" s="7"/>
      <c r="Y189" s="7"/>
      <c r="Z189" s="7"/>
      <c r="AA189" s="7"/>
      <c r="AB189" s="7"/>
      <c r="AK189" s="392"/>
      <c r="AL189" s="392"/>
      <c r="AM189" s="392"/>
      <c r="AN189" s="3"/>
      <c r="AO189" s="2"/>
      <c r="AP189" s="3"/>
      <c r="AQ189" s="2"/>
      <c r="AY189" s="392"/>
      <c r="AZ189" s="3"/>
      <c r="BA189" s="2"/>
      <c r="BB189" s="3"/>
      <c r="BC189" s="2"/>
    </row>
    <row r="190" spans="2:55" x14ac:dyDescent="0.2">
      <c r="B190" s="7"/>
      <c r="C190" s="7"/>
      <c r="D190" s="7"/>
      <c r="E190" s="7"/>
      <c r="F190" s="7"/>
      <c r="G190" s="7"/>
      <c r="H190" s="7"/>
      <c r="I190" s="7"/>
      <c r="J190" s="7"/>
      <c r="K190" s="7"/>
      <c r="L190" s="7"/>
      <c r="M190" s="7"/>
      <c r="N190" s="7"/>
      <c r="O190" s="7"/>
      <c r="P190" s="7"/>
      <c r="Q190" s="7"/>
      <c r="R190" s="7"/>
      <c r="S190" s="7"/>
      <c r="X190" s="7"/>
      <c r="Y190" s="7"/>
      <c r="Z190" s="7"/>
      <c r="AA190" s="7"/>
      <c r="AB190" s="7"/>
      <c r="AK190" s="392"/>
      <c r="AL190" s="392"/>
      <c r="AM190" s="392"/>
      <c r="AN190" s="3"/>
      <c r="AO190" s="2"/>
      <c r="AP190" s="3"/>
      <c r="AQ190" s="2"/>
      <c r="AY190" s="392"/>
      <c r="AZ190" s="3"/>
      <c r="BA190" s="2"/>
      <c r="BB190" s="3"/>
      <c r="BC190" s="2"/>
    </row>
    <row r="191" spans="2:55" x14ac:dyDescent="0.2">
      <c r="B191" s="7"/>
      <c r="C191" s="7"/>
      <c r="D191" s="7"/>
      <c r="E191" s="7"/>
      <c r="F191" s="7"/>
      <c r="G191" s="7"/>
      <c r="H191" s="7"/>
      <c r="I191" s="7"/>
      <c r="J191" s="7"/>
      <c r="K191" s="169"/>
      <c r="L191" s="7"/>
      <c r="M191" s="7"/>
      <c r="N191" s="7"/>
      <c r="O191" s="182"/>
      <c r="P191" s="182"/>
      <c r="Q191" s="182"/>
      <c r="R191" s="182"/>
      <c r="S191" s="182"/>
      <c r="X191" s="7"/>
      <c r="Y191" s="7"/>
      <c r="Z191" s="7"/>
      <c r="AA191" s="7"/>
      <c r="AB191" s="7"/>
      <c r="AK191" s="392"/>
      <c r="AL191" s="392"/>
      <c r="AM191" s="392"/>
      <c r="AN191" s="3"/>
      <c r="AO191" s="2"/>
      <c r="AP191" s="3"/>
      <c r="AQ191" s="2"/>
      <c r="AY191" s="392"/>
      <c r="AZ191" s="3"/>
      <c r="BA191" s="2"/>
      <c r="BB191" s="3"/>
      <c r="BC191" s="2"/>
    </row>
    <row r="192" spans="2:55" ht="10.5" x14ac:dyDescent="0.25">
      <c r="B192" s="7"/>
      <c r="C192" s="7"/>
      <c r="D192" s="7"/>
      <c r="E192" s="7"/>
      <c r="F192" s="7"/>
      <c r="G192" s="7"/>
      <c r="H192" s="7"/>
      <c r="I192" s="171" t="str">
        <f>VLOOKUP("Implied Perpetual Growth Rate of FCF",Language_Data,Lookup_Column,FALSE)</f>
        <v>Implied Perpetual Growth Rate of FCF</v>
      </c>
      <c r="J192" s="172"/>
      <c r="K192" s="172"/>
      <c r="L192" s="172"/>
      <c r="M192" s="173"/>
      <c r="N192" s="7"/>
      <c r="O192" s="171" t="str">
        <f>VLOOKUP("Premium/(Discount) to Current Price per Share",Language_Data,Lookup_Column,FALSE)</f>
        <v>Premium/(Discount) to Current Price per Share</v>
      </c>
      <c r="P192" s="172"/>
      <c r="Q192" s="172"/>
      <c r="R192" s="172"/>
      <c r="S192" s="173"/>
      <c r="X192" s="7"/>
      <c r="Y192" s="7"/>
      <c r="Z192" s="7"/>
      <c r="AA192" s="7"/>
      <c r="AB192" s="7"/>
      <c r="AK192" s="392"/>
      <c r="AL192" s="392"/>
      <c r="AM192" s="392"/>
      <c r="AN192" s="3"/>
      <c r="AO192" s="2"/>
      <c r="AP192" s="3"/>
      <c r="AQ192" s="2"/>
      <c r="AY192" s="392"/>
      <c r="AZ192" s="3"/>
      <c r="BA192" s="2"/>
      <c r="BB192" s="3"/>
      <c r="BC192" s="2"/>
    </row>
    <row r="193" spans="2:55" ht="10.5" x14ac:dyDescent="0.25">
      <c r="B193" s="260" t="str">
        <f>B181</f>
        <v>MSFT-US</v>
      </c>
      <c r="C193" s="7"/>
      <c r="D193" s="7"/>
      <c r="E193" s="7"/>
      <c r="F193" s="7"/>
      <c r="G193" s="7"/>
      <c r="H193" s="7"/>
      <c r="I193" s="175" t="str">
        <f>I169</f>
        <v>EBITDA Exit Multiple</v>
      </c>
      <c r="J193" s="74"/>
      <c r="K193" s="74"/>
      <c r="L193" s="74"/>
      <c r="M193" s="75"/>
      <c r="N193" s="7"/>
      <c r="O193" s="175" t="str">
        <f>I169</f>
        <v>EBITDA Exit Multiple</v>
      </c>
      <c r="P193" s="74"/>
      <c r="Q193" s="74"/>
      <c r="R193" s="74"/>
      <c r="S193" s="75"/>
      <c r="X193" s="7"/>
      <c r="Y193" s="7"/>
      <c r="Z193" s="7"/>
      <c r="AA193" s="7"/>
      <c r="AB193" s="7"/>
      <c r="AK193" s="392"/>
      <c r="AL193" s="392"/>
      <c r="AM193" s="392"/>
      <c r="AN193" s="3"/>
      <c r="AO193" s="2"/>
      <c r="AP193" s="3"/>
      <c r="AQ193" s="2"/>
      <c r="AY193" s="392"/>
      <c r="AZ193" s="3"/>
      <c r="BA193" s="2"/>
      <c r="BB193" s="3"/>
      <c r="BC193" s="2"/>
    </row>
    <row r="194" spans="2:55" ht="10.5" x14ac:dyDescent="0.25">
      <c r="B194" s="177" t="str">
        <f>B182</f>
        <v>WACC</v>
      </c>
      <c r="C194" s="155"/>
      <c r="D194" s="7"/>
      <c r="E194" s="7"/>
      <c r="F194" s="7"/>
      <c r="G194" s="7"/>
      <c r="H194" s="7"/>
      <c r="I194" s="178">
        <f>I170</f>
        <v>16.777099390438249</v>
      </c>
      <c r="J194" s="179">
        <f>J170</f>
        <v>17.777099390438249</v>
      </c>
      <c r="K194" s="179">
        <f>K170</f>
        <v>18.777099390438249</v>
      </c>
      <c r="L194" s="179">
        <f>L170</f>
        <v>19.777099390438249</v>
      </c>
      <c r="M194" s="180">
        <f>M170</f>
        <v>20.777099390438249</v>
      </c>
      <c r="N194" s="7"/>
      <c r="O194" s="178">
        <f>O170</f>
        <v>16.777099390438249</v>
      </c>
      <c r="P194" s="179">
        <f>P170</f>
        <v>17.777099390438249</v>
      </c>
      <c r="Q194" s="179">
        <f>Q170</f>
        <v>18.777099390438249</v>
      </c>
      <c r="R194" s="179">
        <f>R170</f>
        <v>19.777099390438249</v>
      </c>
      <c r="S194" s="180">
        <f>S170</f>
        <v>20.777099390438249</v>
      </c>
      <c r="X194" s="7"/>
      <c r="Y194" s="7"/>
      <c r="Z194" s="7"/>
      <c r="AA194" s="7"/>
      <c r="AB194" s="7"/>
      <c r="AK194" s="392"/>
      <c r="AL194" s="392"/>
      <c r="AM194" s="392"/>
      <c r="AN194" s="3"/>
      <c r="AO194" s="2"/>
      <c r="AP194" s="3"/>
      <c r="AQ194" s="2"/>
      <c r="AY194" s="392"/>
      <c r="AZ194" s="3"/>
      <c r="BA194" s="2"/>
      <c r="BB194" s="3"/>
      <c r="BC194" s="2"/>
    </row>
    <row r="195" spans="2:55" ht="10.5" x14ac:dyDescent="0.25">
      <c r="B195" s="181">
        <f>B171</f>
        <v>0.1552088814343355</v>
      </c>
      <c r="C195" s="153"/>
      <c r="D195" s="7"/>
      <c r="E195" s="7"/>
      <c r="F195" s="7"/>
      <c r="G195" s="7"/>
      <c r="H195" s="7"/>
      <c r="I195" s="197">
        <f t="shared" ref="I195:M199" si="59">IFERROR(($R$109*I$194*$B195-$R$133)/($R$109*I$194+$R$133),"NA")</f>
        <v>0.13305522552185256</v>
      </c>
      <c r="J195" s="198">
        <f t="shared" si="59"/>
        <v>0.13427883777087807</v>
      </c>
      <c r="K195" s="198">
        <f t="shared" si="59"/>
        <v>0.13537435747071253</v>
      </c>
      <c r="L195" s="198">
        <f t="shared" si="59"/>
        <v>0.13636089803635365</v>
      </c>
      <c r="M195" s="199">
        <f t="shared" si="59"/>
        <v>0.13725395036691562</v>
      </c>
      <c r="N195" s="7"/>
      <c r="O195" s="197">
        <f t="shared" ref="O195:S199" si="60">IFERROR(O183/$I$156-1,"NA")</f>
        <v>0.1233729196479012</v>
      </c>
      <c r="P195" s="198">
        <f t="shared" si="60"/>
        <v>0.18673190331521106</v>
      </c>
      <c r="Q195" s="198">
        <f t="shared" si="60"/>
        <v>0.25009088698252113</v>
      </c>
      <c r="R195" s="198">
        <f t="shared" si="60"/>
        <v>0.31344987064983121</v>
      </c>
      <c r="S195" s="199">
        <f t="shared" si="60"/>
        <v>0.37680885431714084</v>
      </c>
      <c r="X195" s="7"/>
      <c r="Y195" s="7"/>
      <c r="Z195" s="7"/>
      <c r="AA195" s="7"/>
      <c r="AB195" s="7"/>
      <c r="AK195" s="392"/>
      <c r="AL195" s="392"/>
      <c r="AM195" s="392"/>
      <c r="AN195" s="3"/>
      <c r="AO195" s="2"/>
      <c r="AP195" s="3"/>
      <c r="AQ195" s="2"/>
      <c r="AY195" s="392"/>
      <c r="AZ195" s="3"/>
      <c r="BA195" s="2"/>
      <c r="BB195" s="3"/>
      <c r="BC195" s="2"/>
    </row>
    <row r="196" spans="2:55" ht="10.5" x14ac:dyDescent="0.25">
      <c r="B196" s="181">
        <f>B172</f>
        <v>0.16520888143433551</v>
      </c>
      <c r="C196" s="153"/>
      <c r="D196" s="7"/>
      <c r="E196" s="7"/>
      <c r="F196" s="7"/>
      <c r="G196" s="7"/>
      <c r="H196" s="7"/>
      <c r="I196" s="197">
        <f t="shared" si="59"/>
        <v>0.14286345365904474</v>
      </c>
      <c r="J196" s="198">
        <f t="shared" si="59"/>
        <v>0.14409765803793256</v>
      </c>
      <c r="K196" s="198">
        <f t="shared" si="59"/>
        <v>0.14520266104176024</v>
      </c>
      <c r="L196" s="198">
        <f t="shared" si="59"/>
        <v>0.14619774153971576</v>
      </c>
      <c r="M196" s="199">
        <f t="shared" si="59"/>
        <v>0.14709852452700065</v>
      </c>
      <c r="N196" s="7"/>
      <c r="O196" s="197">
        <f t="shared" si="60"/>
        <v>7.7355226189112614E-2</v>
      </c>
      <c r="P196" s="198">
        <f t="shared" si="60"/>
        <v>0.13811052092654741</v>
      </c>
      <c r="Q196" s="198">
        <f t="shared" si="60"/>
        <v>0.19886581566398198</v>
      </c>
      <c r="R196" s="198">
        <f t="shared" si="60"/>
        <v>0.25962111040141678</v>
      </c>
      <c r="S196" s="199">
        <f t="shared" si="60"/>
        <v>0.32037640513885135</v>
      </c>
      <c r="X196" s="7"/>
      <c r="Y196" s="7"/>
      <c r="Z196" s="7"/>
      <c r="AA196" s="7"/>
      <c r="AB196" s="7"/>
      <c r="AK196" s="392"/>
      <c r="AL196" s="392"/>
      <c r="AM196" s="392"/>
      <c r="AN196" s="3"/>
      <c r="AO196" s="2"/>
      <c r="AP196" s="3"/>
      <c r="AQ196" s="2"/>
      <c r="AY196" s="392"/>
      <c r="AZ196" s="3"/>
      <c r="BA196" s="2"/>
      <c r="BB196" s="3"/>
      <c r="BC196" s="2"/>
    </row>
    <row r="197" spans="2:55" ht="10.5" x14ac:dyDescent="0.25">
      <c r="B197" s="181">
        <f>B173</f>
        <v>0.17520888143433552</v>
      </c>
      <c r="C197" s="153"/>
      <c r="D197" s="7"/>
      <c r="E197" s="7"/>
      <c r="F197" s="200" t="s">
        <v>459</v>
      </c>
      <c r="G197" s="200"/>
      <c r="H197" s="200"/>
      <c r="I197" s="197">
        <f t="shared" si="59"/>
        <v>0.15267168179623691</v>
      </c>
      <c r="J197" s="198">
        <f t="shared" si="59"/>
        <v>0.153916478304987</v>
      </c>
      <c r="K197" s="198">
        <f t="shared" si="59"/>
        <v>0.15503096461280796</v>
      </c>
      <c r="L197" s="198">
        <f t="shared" si="59"/>
        <v>0.15603458504307788</v>
      </c>
      <c r="M197" s="199">
        <f t="shared" si="59"/>
        <v>0.15694309868708564</v>
      </c>
      <c r="N197" s="7"/>
      <c r="O197" s="197">
        <f t="shared" si="60"/>
        <v>3.3574725357349733E-2</v>
      </c>
      <c r="P197" s="198">
        <f t="shared" si="60"/>
        <v>9.1854222698076748E-2</v>
      </c>
      <c r="Q197" s="198">
        <f t="shared" si="60"/>
        <v>0.15013372003880399</v>
      </c>
      <c r="R197" s="198">
        <f t="shared" si="60"/>
        <v>0.20841321737953145</v>
      </c>
      <c r="S197" s="199">
        <f t="shared" si="60"/>
        <v>0.26669271472025846</v>
      </c>
      <c r="X197" s="7"/>
      <c r="Y197" s="7"/>
      <c r="Z197" s="7"/>
      <c r="AA197" s="7"/>
      <c r="AB197" s="7"/>
      <c r="AK197" s="392"/>
      <c r="AL197" s="392"/>
      <c r="AM197" s="392"/>
      <c r="AN197" s="3"/>
      <c r="AO197" s="2"/>
      <c r="AP197" s="3"/>
      <c r="AQ197" s="2"/>
      <c r="AY197" s="392"/>
      <c r="AZ197" s="3"/>
      <c r="BA197" s="2"/>
      <c r="BB197" s="3"/>
      <c r="BC197" s="2"/>
    </row>
    <row r="198" spans="2:55" ht="10.5" x14ac:dyDescent="0.25">
      <c r="B198" s="181">
        <f>B174</f>
        <v>0.18520888143433553</v>
      </c>
      <c r="C198" s="153"/>
      <c r="D198" s="7"/>
      <c r="E198" s="7"/>
      <c r="F198" s="7"/>
      <c r="G198" s="7"/>
      <c r="H198" s="7"/>
      <c r="I198" s="197">
        <f t="shared" si="59"/>
        <v>0.16247990993342906</v>
      </c>
      <c r="J198" s="198">
        <f t="shared" si="59"/>
        <v>0.1637352985720415</v>
      </c>
      <c r="K198" s="198">
        <f t="shared" si="59"/>
        <v>0.16485926818385568</v>
      </c>
      <c r="L198" s="198">
        <f t="shared" si="59"/>
        <v>0.16587142854643996</v>
      </c>
      <c r="M198" s="199">
        <f t="shared" si="59"/>
        <v>0.16678767284717064</v>
      </c>
      <c r="N198" s="7"/>
      <c r="O198" s="197">
        <f t="shared" si="60"/>
        <v>-8.0954523464558115E-3</v>
      </c>
      <c r="P198" s="198">
        <f t="shared" si="60"/>
        <v>4.7828847917575246E-2</v>
      </c>
      <c r="Q198" s="198">
        <f t="shared" si="60"/>
        <v>0.10375314818160652</v>
      </c>
      <c r="R198" s="198">
        <f t="shared" si="60"/>
        <v>0.1596774484456378</v>
      </c>
      <c r="S198" s="199">
        <f t="shared" si="60"/>
        <v>0.21560174870966886</v>
      </c>
      <c r="X198" s="7"/>
      <c r="Y198" s="7"/>
      <c r="Z198" s="7"/>
      <c r="AA198" s="7"/>
      <c r="AB198" s="7"/>
      <c r="AK198" s="392"/>
      <c r="AL198" s="392"/>
      <c r="AM198" s="392"/>
      <c r="AN198" s="3"/>
      <c r="AO198" s="2"/>
      <c r="AP198" s="3"/>
      <c r="AQ198" s="2"/>
      <c r="AY198" s="392"/>
      <c r="AZ198" s="3"/>
      <c r="BA198" s="2"/>
      <c r="BB198" s="3"/>
      <c r="BC198" s="2"/>
    </row>
    <row r="199" spans="2:55" ht="10.5" x14ac:dyDescent="0.25">
      <c r="B199" s="181">
        <f>B175</f>
        <v>0.19520888143433554</v>
      </c>
      <c r="C199" s="153"/>
      <c r="D199" s="7"/>
      <c r="E199" s="7"/>
      <c r="F199" s="7"/>
      <c r="G199" s="7"/>
      <c r="H199" s="7"/>
      <c r="I199" s="197">
        <f t="shared" si="59"/>
        <v>0.17228813807062124</v>
      </c>
      <c r="J199" s="198">
        <f t="shared" si="59"/>
        <v>0.17355411883909599</v>
      </c>
      <c r="K199" s="198">
        <f t="shared" si="59"/>
        <v>0.17468757175490343</v>
      </c>
      <c r="L199" s="198">
        <f t="shared" si="59"/>
        <v>0.17570827204980208</v>
      </c>
      <c r="M199" s="199">
        <f t="shared" si="59"/>
        <v>0.17663224700725566</v>
      </c>
      <c r="N199" s="7"/>
      <c r="O199" s="197">
        <f t="shared" si="60"/>
        <v>-4.7773985431998733E-2</v>
      </c>
      <c r="P199" s="198">
        <f t="shared" si="60"/>
        <v>5.9088991301663452E-3</v>
      </c>
      <c r="Q199" s="198">
        <f t="shared" si="60"/>
        <v>5.9591783692331202E-2</v>
      </c>
      <c r="R199" s="198">
        <f t="shared" si="60"/>
        <v>0.1132746682544965</v>
      </c>
      <c r="S199" s="199">
        <f t="shared" si="60"/>
        <v>0.16695755281666136</v>
      </c>
      <c r="X199" s="7"/>
      <c r="Y199" s="7"/>
      <c r="Z199" s="7"/>
      <c r="AA199" s="7"/>
      <c r="AB199" s="7"/>
      <c r="AK199" s="392"/>
      <c r="AL199" s="392"/>
      <c r="AM199" s="392"/>
      <c r="AN199" s="3"/>
      <c r="AO199" s="2"/>
      <c r="AP199" s="3"/>
      <c r="AQ199" s="2"/>
      <c r="AY199" s="392"/>
      <c r="AZ199" s="3"/>
      <c r="BA199" s="2"/>
      <c r="BB199" s="3"/>
      <c r="BC199" s="2"/>
    </row>
    <row r="200" spans="2:55" ht="10.5" x14ac:dyDescent="0.25">
      <c r="B200" s="187"/>
      <c r="C200" s="153"/>
      <c r="D200" s="7"/>
      <c r="E200" s="7"/>
      <c r="F200" s="7"/>
      <c r="G200" s="7"/>
      <c r="H200" s="7"/>
      <c r="I200" s="189"/>
      <c r="J200" s="188"/>
      <c r="K200" s="188"/>
      <c r="L200" s="188"/>
      <c r="M200" s="190"/>
      <c r="N200" s="7"/>
      <c r="O200" s="189"/>
      <c r="P200" s="188"/>
      <c r="Q200" s="188"/>
      <c r="R200" s="188"/>
      <c r="S200" s="190"/>
      <c r="X200" s="7"/>
      <c r="Y200" s="7"/>
      <c r="Z200" s="7"/>
      <c r="AA200" s="7"/>
      <c r="AB200" s="7"/>
      <c r="AK200" s="392"/>
      <c r="AL200" s="392"/>
      <c r="AM200" s="392"/>
      <c r="AN200" s="3"/>
      <c r="AO200" s="2"/>
      <c r="AP200" s="3"/>
      <c r="AQ200" s="2"/>
      <c r="AY200" s="392"/>
      <c r="AZ200" s="3"/>
      <c r="BA200" s="2"/>
      <c r="BB200" s="3"/>
      <c r="BC200" s="2"/>
    </row>
    <row r="201" spans="2:55" x14ac:dyDescent="0.2">
      <c r="B201" s="7"/>
      <c r="C201" s="7"/>
      <c r="D201" s="7"/>
      <c r="E201" s="7"/>
      <c r="F201" s="7"/>
      <c r="G201" s="7"/>
      <c r="H201" s="7"/>
      <c r="I201" s="7"/>
      <c r="J201" s="7"/>
      <c r="K201" s="7"/>
      <c r="L201" s="7"/>
      <c r="M201" s="7"/>
      <c r="N201" s="7"/>
      <c r="O201" s="7"/>
      <c r="P201" s="7"/>
      <c r="Q201" s="7"/>
      <c r="R201" s="7"/>
      <c r="S201" s="7"/>
      <c r="X201" s="7"/>
      <c r="Y201" s="7"/>
      <c r="Z201" s="7"/>
      <c r="AA201" s="7"/>
      <c r="AB201" s="7"/>
      <c r="AK201" s="392"/>
      <c r="AL201" s="392"/>
      <c r="AM201" s="392"/>
      <c r="AN201" s="3"/>
      <c r="AO201" s="2"/>
      <c r="AP201" s="3"/>
      <c r="AQ201" s="2"/>
      <c r="AY201" s="392"/>
      <c r="AZ201" s="3"/>
      <c r="BA201" s="2"/>
      <c r="BB201" s="3"/>
      <c r="BC201" s="2"/>
    </row>
    <row r="202" spans="2:55" x14ac:dyDescent="0.2">
      <c r="B202" s="69"/>
      <c r="C202" s="69"/>
      <c r="D202" s="69"/>
      <c r="E202" s="69"/>
      <c r="F202" s="69"/>
      <c r="G202" s="69"/>
      <c r="H202" s="69"/>
      <c r="I202" s="69"/>
      <c r="J202" s="69"/>
      <c r="K202" s="69"/>
      <c r="L202" s="69"/>
      <c r="M202" s="69"/>
      <c r="N202" s="69"/>
      <c r="O202" s="69"/>
      <c r="P202" s="69"/>
      <c r="Q202" s="69"/>
      <c r="R202" s="69"/>
      <c r="S202" s="69"/>
      <c r="X202" s="7"/>
      <c r="Y202" s="7"/>
      <c r="Z202" s="7"/>
      <c r="AA202" s="7"/>
      <c r="AB202" s="7"/>
      <c r="AK202" s="392"/>
      <c r="AL202" s="392"/>
      <c r="AM202" s="392"/>
      <c r="AN202" s="3"/>
      <c r="AO202" s="2"/>
      <c r="AP202" s="3"/>
      <c r="AQ202" s="2"/>
      <c r="AY202" s="392"/>
      <c r="AZ202" s="3"/>
      <c r="BA202" s="2"/>
      <c r="BB202" s="3"/>
      <c r="BC202" s="2"/>
    </row>
    <row r="203" spans="2:55" x14ac:dyDescent="0.2">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K203" s="392"/>
      <c r="AL203" s="392"/>
      <c r="AM203" s="392"/>
      <c r="AN203" s="3"/>
      <c r="AO203" s="2"/>
      <c r="AP203" s="3"/>
      <c r="AQ203" s="2"/>
      <c r="AY203" s="392"/>
      <c r="AZ203" s="3"/>
      <c r="BA203" s="2"/>
      <c r="BB203" s="3"/>
      <c r="BC203" s="2"/>
    </row>
    <row r="204" spans="2:55" x14ac:dyDescent="0.2">
      <c r="B204" s="167" t="str">
        <f>VLOOKUP("(1) Equals Total Debt plus Preferred Equity plus Minority Interest Less Cash and Equivalents.",Language_Data,Lookup_Column,FALSE)</f>
        <v>(1) Equals Total Debt plus Preferred Equity plus Minority Interest Less Cash and Equivalents.</v>
      </c>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K204" s="392"/>
      <c r="AL204" s="392"/>
      <c r="AM204" s="392"/>
      <c r="AN204" s="3"/>
      <c r="AO204" s="2"/>
      <c r="AP204" s="3"/>
      <c r="AQ204" s="2"/>
      <c r="AY204" s="392"/>
      <c r="AZ204" s="3"/>
      <c r="BA204" s="2"/>
      <c r="BB204" s="3"/>
      <c r="BC204" s="2"/>
    </row>
    <row r="205" spans="2:55" x14ac:dyDescent="0.2">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K205" s="392"/>
      <c r="AL205" s="392"/>
      <c r="AM205" s="392"/>
      <c r="AN205" s="3"/>
      <c r="AO205" s="2"/>
      <c r="AP205" s="3"/>
      <c r="AQ205" s="2"/>
      <c r="AY205" s="392"/>
      <c r="AZ205" s="3"/>
      <c r="BA205" s="2"/>
      <c r="BB205" s="3"/>
      <c r="BC205" s="2"/>
    </row>
    <row r="206" spans="2:55" ht="10.5" x14ac:dyDescent="0.2">
      <c r="B206" s="89" t="str">
        <f>VLOOKUP("WORKING CAPITAL SCHEDULE",Language_Data,Lookup_Column,FALSE)</f>
        <v>WORKING CAPITAL SCHEDULE</v>
      </c>
      <c r="C206" s="168"/>
      <c r="D206" s="168"/>
      <c r="E206" s="168"/>
      <c r="F206" s="168"/>
      <c r="G206" s="168"/>
      <c r="H206" s="168"/>
      <c r="I206" s="168"/>
      <c r="J206" s="168"/>
      <c r="K206" s="168"/>
      <c r="L206" s="168"/>
      <c r="M206" s="168"/>
      <c r="N206" s="168"/>
      <c r="O206" s="168"/>
      <c r="P206" s="168"/>
      <c r="Q206" s="168"/>
      <c r="R206" s="168"/>
      <c r="S206" s="168"/>
      <c r="Z206" s="7"/>
      <c r="AA206" s="7"/>
      <c r="AB206" s="7"/>
      <c r="AK206" s="392"/>
      <c r="AL206" s="392"/>
      <c r="AM206" s="392"/>
      <c r="AN206" s="3"/>
      <c r="AO206" s="2"/>
      <c r="AP206" s="3"/>
      <c r="AQ206" s="2"/>
      <c r="AY206" s="392"/>
      <c r="AZ206" s="3"/>
      <c r="BA206" s="2"/>
      <c r="BB206" s="3"/>
      <c r="BC206" s="2"/>
    </row>
    <row r="207" spans="2:55" x14ac:dyDescent="0.2">
      <c r="B207" s="142" t="str">
        <f>"("&amp;CAP_CURR&amp;" "&amp;VLOOKUP("in",Language_Data,Lookup_Column,FALSE)&amp;" "&amp;CAP_MAG&amp;VLOOKUP(", except per share data)",Language_Data,Lookup_Column,FALSE)</f>
        <v>(USD In Millions, except per share data)</v>
      </c>
      <c r="C207" s="7"/>
      <c r="D207" s="7"/>
      <c r="E207" s="7"/>
      <c r="F207" s="201"/>
      <c r="G207" s="201"/>
      <c r="H207" s="201"/>
      <c r="I207" s="201"/>
      <c r="J207" s="201"/>
      <c r="K207" s="201"/>
      <c r="L207" s="201"/>
      <c r="M207" s="202"/>
      <c r="N207" s="7"/>
      <c r="O207" s="7"/>
      <c r="P207" s="7"/>
      <c r="Q207" s="7"/>
      <c r="R207" s="7"/>
      <c r="S207" s="7"/>
      <c r="Y207" s="7"/>
      <c r="Z207" s="7"/>
      <c r="AA207" s="7"/>
      <c r="AB207" s="7"/>
      <c r="AK207" s="392"/>
      <c r="AL207" s="392"/>
      <c r="AM207" s="392"/>
      <c r="AN207" s="3"/>
      <c r="AO207" s="2"/>
      <c r="AP207" s="3"/>
      <c r="AQ207" s="2"/>
      <c r="AY207" s="392"/>
      <c r="AZ207" s="3"/>
      <c r="BA207" s="2"/>
      <c r="BB207" s="3"/>
      <c r="BC207" s="2"/>
    </row>
    <row r="208" spans="2:55" ht="10.5" hidden="1" outlineLevel="1" x14ac:dyDescent="0.25">
      <c r="B208" s="30"/>
      <c r="C208" s="7"/>
      <c r="D208" s="7"/>
      <c r="E208" s="7"/>
      <c r="F208" s="215" t="str">
        <f>H99</f>
        <v>MSFT</v>
      </c>
      <c r="G208" s="201"/>
      <c r="I208" s="215" t="str">
        <f t="shared" ref="I208:M209" si="61">I99</f>
        <v>MSFT</v>
      </c>
      <c r="J208" s="215" t="str">
        <f t="shared" si="61"/>
        <v>MSFT</v>
      </c>
      <c r="K208" s="215" t="str">
        <f t="shared" si="61"/>
        <v>MSFT</v>
      </c>
      <c r="L208" s="215" t="str">
        <f t="shared" si="61"/>
        <v>MSFT</v>
      </c>
      <c r="M208" s="215" t="str">
        <f t="shared" si="61"/>
        <v>MSFT</v>
      </c>
      <c r="N208" s="7"/>
      <c r="O208" s="7"/>
      <c r="P208" s="7"/>
      <c r="Q208" s="7"/>
      <c r="R208" s="7"/>
      <c r="S208" s="7"/>
      <c r="Y208" s="7"/>
      <c r="Z208" s="7"/>
      <c r="AA208" s="7"/>
      <c r="AB208" s="7"/>
      <c r="AK208" s="392"/>
      <c r="AL208" s="392"/>
      <c r="AM208" s="392"/>
      <c r="AN208" s="3"/>
      <c r="AO208" s="2"/>
      <c r="AP208" s="3"/>
      <c r="AQ208" s="2"/>
      <c r="AY208" s="392"/>
      <c r="AZ208" s="3"/>
      <c r="BA208" s="2"/>
      <c r="BB208" s="3"/>
      <c r="BC208" s="2"/>
    </row>
    <row r="209" spans="2:55" hidden="1" outlineLevel="1" x14ac:dyDescent="0.2">
      <c r="B209" s="142"/>
      <c r="C209" s="7"/>
      <c r="D209" s="7"/>
      <c r="E209" s="7"/>
      <c r="F209" s="215" t="str">
        <f>H100</f>
        <v>FY-5</v>
      </c>
      <c r="G209" s="7"/>
      <c r="I209" s="215" t="str">
        <f t="shared" si="61"/>
        <v>FY-4</v>
      </c>
      <c r="J209" s="215" t="str">
        <f t="shared" si="61"/>
        <v>FY-3</v>
      </c>
      <c r="K209" s="215" t="str">
        <f t="shared" si="61"/>
        <v>FY-2</v>
      </c>
      <c r="L209" s="215" t="str">
        <f t="shared" si="61"/>
        <v>FY-1</v>
      </c>
      <c r="M209" s="215" t="str">
        <f t="shared" si="61"/>
        <v>FY0</v>
      </c>
      <c r="N209" s="7"/>
      <c r="O209" s="7"/>
      <c r="P209" s="7"/>
      <c r="Q209" s="7"/>
      <c r="R209" s="7"/>
      <c r="S209" s="7"/>
      <c r="Y209" s="7"/>
      <c r="Z209" s="7"/>
      <c r="AA209" s="7"/>
      <c r="AB209" s="7"/>
      <c r="AK209" s="392"/>
      <c r="AL209" s="392"/>
      <c r="AM209" s="392"/>
      <c r="AN209" s="3"/>
      <c r="AO209" s="2"/>
      <c r="AP209" s="3"/>
      <c r="AQ209" s="2"/>
      <c r="AY209" s="392"/>
      <c r="AZ209" s="3"/>
      <c r="BA209" s="2"/>
      <c r="BB209" s="3"/>
      <c r="BC209" s="2"/>
    </row>
    <row r="210" spans="2:55" hidden="1" outlineLevel="1" collapsed="1" x14ac:dyDescent="0.2">
      <c r="B210" s="7"/>
      <c r="C210" s="7"/>
      <c r="D210" s="7"/>
      <c r="E210" s="7"/>
      <c r="F210" s="31">
        <f>$L$15</f>
        <v>46251</v>
      </c>
      <c r="I210" s="31">
        <f>$L$15</f>
        <v>46251</v>
      </c>
      <c r="J210" s="31">
        <f>$L$15</f>
        <v>46251</v>
      </c>
      <c r="K210" s="31">
        <f>$L$15</f>
        <v>46251</v>
      </c>
      <c r="L210" s="31">
        <f>$L$15</f>
        <v>46251</v>
      </c>
      <c r="M210" s="31">
        <f>$L$15</f>
        <v>46251</v>
      </c>
      <c r="N210" s="7"/>
      <c r="O210" s="7"/>
      <c r="P210" s="7"/>
      <c r="Q210" s="7"/>
      <c r="R210" s="7"/>
      <c r="S210" s="7"/>
      <c r="Y210" s="7"/>
      <c r="Z210" s="7"/>
      <c r="AA210" s="7"/>
      <c r="AB210" s="7"/>
      <c r="AK210" s="392"/>
      <c r="AL210" s="392"/>
      <c r="AM210" s="392"/>
      <c r="AN210" s="3"/>
      <c r="AO210" s="2"/>
      <c r="AP210" s="3"/>
      <c r="AQ210" s="2"/>
      <c r="AY210" s="392"/>
      <c r="AZ210" s="3"/>
      <c r="BA210" s="2"/>
      <c r="BB210" s="3"/>
      <c r="BC210" s="2"/>
    </row>
    <row r="211" spans="2:55" ht="10.5" collapsed="1" x14ac:dyDescent="0.25">
      <c r="B211" s="7"/>
      <c r="C211" s="7"/>
      <c r="D211" s="7"/>
      <c r="E211" s="7"/>
      <c r="F211" s="73" t="str">
        <f>VLOOKUP("Fiscal Year Ending",Language_Data,Lookup_Column,FALSE)&amp;" "&amp;VLOOKUP(TEXT($AD$14,"Mmmmmmmm"),Language_Data,Lookup_Column,FALSE)</f>
        <v>Fiscal Year Ending January</v>
      </c>
      <c r="G211" s="73"/>
      <c r="H211" s="73"/>
      <c r="I211" s="73"/>
      <c r="J211" s="73"/>
      <c r="K211" s="73"/>
      <c r="L211" s="73"/>
      <c r="M211" s="73"/>
      <c r="N211" s="73"/>
      <c r="O211" s="73"/>
      <c r="P211" s="73"/>
      <c r="Q211" s="73"/>
      <c r="R211" s="73"/>
      <c r="S211" s="261"/>
      <c r="Z211" s="7"/>
      <c r="AA211" s="7"/>
      <c r="AB211" s="7"/>
      <c r="AK211" s="392"/>
      <c r="AL211" s="392"/>
      <c r="AM211" s="392"/>
      <c r="AN211" s="3"/>
      <c r="AO211" s="2"/>
      <c r="AP211" s="3"/>
      <c r="AQ211" s="2"/>
      <c r="AY211" s="392"/>
      <c r="AZ211" s="3"/>
      <c r="BA211" s="2"/>
      <c r="BB211" s="3"/>
      <c r="BC211" s="2"/>
    </row>
    <row r="212" spans="2:55" ht="10.5" x14ac:dyDescent="0.25">
      <c r="B212" s="7"/>
      <c r="C212" s="7"/>
      <c r="D212" s="7"/>
      <c r="E212" s="7"/>
      <c r="F212" s="244" t="str">
        <f>H103</f>
        <v>2021</v>
      </c>
      <c r="G212" s="243"/>
      <c r="H212" s="243"/>
      <c r="I212" s="243" t="str">
        <f>I103</f>
        <v>2022</v>
      </c>
      <c r="J212" s="243" t="str">
        <f>J103</f>
        <v>2023</v>
      </c>
      <c r="K212" s="243" t="str">
        <f>K103</f>
        <v>2024</v>
      </c>
      <c r="L212" s="243" t="str">
        <f>L103</f>
        <v>2025</v>
      </c>
      <c r="M212" s="244" t="str">
        <f>M103</f>
        <v>2026</v>
      </c>
      <c r="N212" s="203">
        <f>M212+1</f>
        <v>2027</v>
      </c>
      <c r="O212" s="203">
        <f>N212+1</f>
        <v>2028</v>
      </c>
      <c r="P212" s="203">
        <f>O212+1</f>
        <v>2029</v>
      </c>
      <c r="Q212" s="203">
        <f>P212+1</f>
        <v>2030</v>
      </c>
      <c r="R212" s="203">
        <f>Q212+1</f>
        <v>2031</v>
      </c>
      <c r="S212" s="7"/>
      <c r="Z212" s="7"/>
      <c r="AA212" s="7"/>
      <c r="AB212" s="7"/>
      <c r="AK212" s="392"/>
      <c r="AL212" s="392"/>
      <c r="AM212" s="392"/>
      <c r="AN212" s="3"/>
      <c r="AO212" s="2"/>
      <c r="AP212" s="3"/>
      <c r="AQ212" s="2"/>
      <c r="AY212" s="392"/>
      <c r="AZ212" s="3"/>
      <c r="BA212" s="2"/>
      <c r="BB212" s="3"/>
      <c r="BC212" s="2"/>
    </row>
    <row r="213" spans="2:55" ht="10.5" x14ac:dyDescent="0.25">
      <c r="B213" s="7"/>
      <c r="C213" s="7"/>
      <c r="D213" s="7"/>
      <c r="E213" s="7"/>
      <c r="F213" s="264"/>
      <c r="G213" s="52"/>
      <c r="H213" s="52"/>
      <c r="I213" s="52"/>
      <c r="J213" s="52"/>
      <c r="K213" s="52"/>
      <c r="L213" s="52"/>
      <c r="M213" s="264"/>
      <c r="N213" s="265"/>
      <c r="O213" s="265"/>
      <c r="P213" s="265"/>
      <c r="Q213" s="265"/>
      <c r="R213" s="265"/>
      <c r="S213" s="7"/>
      <c r="Z213" s="7"/>
      <c r="AA213" s="7"/>
      <c r="AB213" s="7"/>
      <c r="AK213" s="392"/>
      <c r="AL213" s="392"/>
      <c r="AM213" s="392"/>
      <c r="AN213" s="3"/>
      <c r="AO213" s="2"/>
      <c r="AP213" s="3"/>
      <c r="AQ213" s="2"/>
      <c r="AY213" s="392"/>
      <c r="AZ213" s="3"/>
      <c r="BA213" s="2"/>
      <c r="BB213" s="3"/>
      <c r="BC213" s="2"/>
    </row>
    <row r="214" spans="2:55" x14ac:dyDescent="0.2">
      <c r="B214" s="204" t="str">
        <f>VLOOKUP("Total Revenue",Language_Data,Lookup_Column,FALSE)</f>
        <v>Total Revenue</v>
      </c>
      <c r="C214" s="7"/>
      <c r="D214" s="7"/>
      <c r="E214" s="34" t="s">
        <v>516</v>
      </c>
      <c r="F214" s="218" cm="1">
        <f t="array" ref="F214">_xll.SNL.Clients.Office.Excel.Functions.SPG(F$208,$E214,F$209,F$210,"Options:Curr="&amp;$BL$52&amp;",Mag="&amp;$BK$135&amp;",ConvMethod="&amp;$BL$145&amp;",NA=0")</f>
        <v>168088</v>
      </c>
      <c r="G214" s="218"/>
      <c r="H214" s="218"/>
      <c r="I214" s="218" cm="1">
        <f t="array" ref="I214">_xll.SNL.Clients.Office.Excel.Functions.SPG(I$208,$E214,I$209,I$210,"Options:Curr="&amp;$BL$52&amp;",Mag="&amp;$BK$135&amp;",ConvMethod="&amp;$BL$145&amp;",NA=0")</f>
        <v>198270</v>
      </c>
      <c r="J214" s="218" cm="1">
        <f t="array" ref="J214">_xll.SNL.Clients.Office.Excel.Functions.SPG(J$208,$E214,J$209,J$210,"Options:Curr="&amp;$BL$52&amp;",Mag="&amp;$BK$135&amp;",ConvMethod="&amp;$BL$145&amp;",NA=0")</f>
        <v>211915</v>
      </c>
      <c r="K214" s="218" cm="1">
        <f t="array" ref="K214">_xll.SNL.Clients.Office.Excel.Functions.SPG(K$208,$E214,K$209,K$210,"Options:Curr="&amp;$BL$52&amp;",Mag="&amp;$BK$135&amp;",ConvMethod="&amp;$BL$145&amp;",NA=0")</f>
        <v>245122</v>
      </c>
      <c r="L214" s="218" cm="1">
        <f t="array" ref="L214">_xll.SNL.Clients.Office.Excel.Functions.SPG(L$208,$E214,L$209,L$210,"Options:Curr="&amp;$BL$52&amp;",Mag="&amp;$BK$135&amp;",ConvMethod="&amp;$BL$145&amp;",NA=0")</f>
        <v>281724</v>
      </c>
      <c r="M214" s="218" cm="1">
        <f t="array" ref="M214">_xll.SNL.Clients.Office.Excel.Functions.SPG(M$208,$E214,M$209,M$210,"Options:Curr="&amp;$BL$52&amp;",Mag="&amp;$BK$135&amp;",ConvMethod="&amp;$BL$145&amp;",NA=0")</f>
        <v>331839</v>
      </c>
      <c r="N214" s="218">
        <f>IF(N105="","",N105)</f>
        <v>390868.80038974318</v>
      </c>
      <c r="O214" s="218">
        <f>IF(O105="","",O105)</f>
        <v>460399.22708939243</v>
      </c>
      <c r="P214" s="218">
        <f>IF(P105="","",P105)</f>
        <v>542298.2036252392</v>
      </c>
      <c r="Q214" s="218">
        <f>IF(Q105="","",Q105)</f>
        <v>638765.93258932768</v>
      </c>
      <c r="R214" s="218">
        <f>IF(R105="","",R105)</f>
        <v>752394.00372176291</v>
      </c>
      <c r="S214" s="7"/>
      <c r="W214" s="7"/>
      <c r="X214" s="212"/>
      <c r="Y214" s="258"/>
      <c r="Z214" s="258"/>
      <c r="AA214" s="258"/>
      <c r="AB214" s="258"/>
      <c r="AC214" s="258"/>
      <c r="AD214" s="258"/>
      <c r="AK214" s="392"/>
      <c r="AL214" s="392"/>
      <c r="AM214" s="392"/>
      <c r="AN214" s="3"/>
      <c r="AO214" s="2"/>
      <c r="AP214" s="3"/>
      <c r="AQ214" s="2"/>
      <c r="AY214" s="392"/>
      <c r="AZ214" s="3"/>
      <c r="BA214" s="2"/>
      <c r="BB214" s="3"/>
      <c r="BC214" s="2"/>
    </row>
    <row r="215" spans="2:55" x14ac:dyDescent="0.2">
      <c r="B215" s="204" t="str">
        <f>VLOOKUP("Cost of Revenue",Language_Data,Lookup_Column,FALSE)</f>
        <v>Cost of Revenue</v>
      </c>
      <c r="C215" s="7"/>
      <c r="D215" s="7"/>
      <c r="E215" s="34" t="s">
        <v>500</v>
      </c>
      <c r="F215" s="218" cm="1">
        <f t="array" ref="F215">_xll.SNL.Clients.Office.Excel.Functions.SPG(F$208,$E215,F$209,F$210,"Options:Curr="&amp;$BL$52&amp;",Mag="&amp;$BK$135&amp;",ConvMethod="&amp;$BL$145&amp;",NA=0")</f>
        <v>52232</v>
      </c>
      <c r="G215" s="218"/>
      <c r="H215" s="218"/>
      <c r="I215" s="218" cm="1">
        <f t="array" ref="I215">_xll.SNL.Clients.Office.Excel.Functions.SPG(I$208,$E215,I$209,I$210,"Options:Curr="&amp;$BL$52&amp;",Mag="&amp;$BK$135&amp;",ConvMethod="&amp;$BL$145&amp;",NA=0")</f>
        <v>62650</v>
      </c>
      <c r="J215" s="218" cm="1">
        <f t="array" ref="J215">_xll.SNL.Clients.Office.Excel.Functions.SPG(J$208,$E215,J$209,J$210,"Options:Curr="&amp;$BL$52&amp;",Mag="&amp;$BK$135&amp;",ConvMethod="&amp;$BL$145&amp;",NA=0")</f>
        <v>65863</v>
      </c>
      <c r="K215" s="218" cm="1">
        <f t="array" ref="K215">_xll.SNL.Clients.Office.Excel.Functions.SPG(K$208,$E215,K$209,K$210,"Options:Curr="&amp;$BL$52&amp;",Mag="&amp;$BK$135&amp;",ConvMethod="&amp;$BL$145&amp;",NA=0")</f>
        <v>74114</v>
      </c>
      <c r="L215" s="218" cm="1">
        <f t="array" ref="L215">_xll.SNL.Clients.Office.Excel.Functions.SPG(L$208,$E215,L$209,L$210,"Options:Curr="&amp;$BL$52&amp;",Mag="&amp;$BK$135&amp;",ConvMethod="&amp;$BL$145&amp;",NA=0")</f>
        <v>87831</v>
      </c>
      <c r="M215" s="218" cm="1">
        <f t="array" ref="M215">_xll.SNL.Clients.Office.Excel.Functions.SPG(M$208,$E215,M$209,M$210,"Options:Curr="&amp;$BL$52&amp;",Mag="&amp;$BK$135&amp;",ConvMethod="&amp;$BL$145&amp;",NA=0")</f>
        <v>106374</v>
      </c>
      <c r="N215" s="218">
        <f>IF(N107="","",N107)</f>
        <v>125296.53769646889</v>
      </c>
      <c r="O215" s="218">
        <f>IF(O107="","",O107)</f>
        <v>147585.14635834555</v>
      </c>
      <c r="P215" s="218">
        <f>IF(P107="","",P107)</f>
        <v>173838.60580712694</v>
      </c>
      <c r="Q215" s="218">
        <f>IF(Q107="","",Q107)</f>
        <v>204762.21093137679</v>
      </c>
      <c r="R215" s="218">
        <f>IF(R107="","",R107)</f>
        <v>241186.71931840084</v>
      </c>
      <c r="S215" s="7"/>
      <c r="W215" s="7"/>
      <c r="X215" s="212"/>
      <c r="Y215" s="258"/>
      <c r="Z215" s="258"/>
      <c r="AA215" s="258"/>
      <c r="AB215" s="258"/>
      <c r="AC215" s="258"/>
      <c r="AD215" s="258"/>
      <c r="AK215" s="392"/>
      <c r="AL215" s="392"/>
      <c r="AM215" s="392"/>
      <c r="AN215" s="3"/>
      <c r="AO215" s="2"/>
      <c r="AP215" s="3"/>
      <c r="AQ215" s="2"/>
      <c r="AY215" s="392"/>
      <c r="AZ215" s="3"/>
      <c r="BA215" s="2"/>
      <c r="BB215" s="3"/>
      <c r="BC215" s="2"/>
    </row>
    <row r="216" spans="2:55" x14ac:dyDescent="0.2">
      <c r="B216" s="205"/>
      <c r="C216" s="7"/>
      <c r="D216" s="7"/>
      <c r="E216" s="96"/>
      <c r="F216" s="212"/>
      <c r="G216" s="212"/>
      <c r="H216" s="212"/>
      <c r="I216" s="218"/>
      <c r="J216" s="218"/>
      <c r="K216" s="218"/>
      <c r="L216" s="218"/>
      <c r="M216" s="218"/>
      <c r="N216" s="218"/>
      <c r="O216" s="218"/>
      <c r="P216" s="218"/>
      <c r="Q216" s="218"/>
      <c r="R216" s="218"/>
      <c r="S216" s="7"/>
      <c r="W216" s="7"/>
      <c r="X216" s="7"/>
      <c r="Y216" s="7"/>
      <c r="Z216" s="7"/>
      <c r="AA216" s="7"/>
      <c r="AB216" s="7"/>
      <c r="AC216" s="7"/>
      <c r="AD216" s="7"/>
      <c r="AK216" s="392"/>
      <c r="AL216" s="392"/>
      <c r="AM216" s="392"/>
      <c r="AN216" s="3"/>
      <c r="AO216" s="2"/>
      <c r="AP216" s="3"/>
      <c r="AQ216" s="2"/>
      <c r="AY216" s="392"/>
      <c r="AZ216" s="3"/>
      <c r="BA216" s="2"/>
      <c r="BB216" s="3"/>
      <c r="BC216" s="2"/>
    </row>
    <row r="217" spans="2:55" x14ac:dyDescent="0.2">
      <c r="B217" s="7" t="str">
        <f>VLOOKUP("Accounts Receivable",Language_Data,Lookup_Column,FALSE)</f>
        <v>Accounts Receivable</v>
      </c>
      <c r="C217" s="7"/>
      <c r="D217" s="7"/>
      <c r="E217" s="224" t="s">
        <v>518</v>
      </c>
      <c r="F217" s="218" cm="1">
        <f t="array" ref="F217">_xll.SNL.Clients.Office.Excel.Functions.SPG(F$208,$E217,F$209,F$210,"Options:Curr="&amp;$BL$52&amp;",Mag="&amp;$BK$135&amp;",ConvMethod="&amp;$BL$145&amp;",NA=0")</f>
        <v>38043</v>
      </c>
      <c r="G217" s="218"/>
      <c r="H217" s="218"/>
      <c r="I217" s="218" cm="1">
        <f t="array" ref="I217">_xll.SNL.Clients.Office.Excel.Functions.SPG(I$208,$E217,I$209,I$210,"Options:Curr="&amp;$BL$52&amp;",Mag="&amp;$BK$135&amp;",ConvMethod="&amp;$BL$145&amp;",NA=0")</f>
        <v>50361</v>
      </c>
      <c r="J217" s="218" cm="1">
        <f t="array" ref="J217">_xll.SNL.Clients.Office.Excel.Functions.SPG(J$208,$E217,J$209,J$210,"Options:Curr="&amp;$BL$52&amp;",Mag="&amp;$BK$135&amp;",ConvMethod="&amp;$BL$145&amp;",NA=0")</f>
        <v>57888</v>
      </c>
      <c r="K217" s="218" cm="1">
        <f t="array" ref="K217">_xll.SNL.Clients.Office.Excel.Functions.SPG(K$208,$E217,K$209,K$210,"Options:Curr="&amp;$BL$52&amp;",Mag="&amp;$BK$135&amp;",ConvMethod="&amp;$BL$145&amp;",NA=0")</f>
        <v>67424</v>
      </c>
      <c r="L217" s="218" cm="1">
        <f t="array" ref="L217">_xll.SNL.Clients.Office.Excel.Functions.SPG(L$208,$E217,L$209,L$210,"Options:Curr="&amp;$BL$52&amp;",Mag="&amp;$BK$135&amp;",ConvMethod="&amp;$BL$145&amp;",NA=0")</f>
        <v>78105</v>
      </c>
      <c r="M217" s="218" cm="1">
        <f t="array" ref="M217">_xll.SNL.Clients.Office.Excel.Functions.SPG(M$208,$E217,M$209,M$210,"Options:Curr="&amp;$BL$52&amp;",Mag="&amp;$BK$135&amp;",ConvMethod="&amp;$BL$145&amp;",NA=0")</f>
        <v>108676</v>
      </c>
      <c r="N217" s="218">
        <f>IFERROR(N214*N218/365,"NA")</f>
        <v>128008.03326660136</v>
      </c>
      <c r="O217" s="218">
        <f>IFERROR(O214*O218/365,"NA")</f>
        <v>150778.98138304061</v>
      </c>
      <c r="P217" s="218">
        <f>IFERROR(P214*P218/365,"NA")</f>
        <v>177600.58214126879</v>
      </c>
      <c r="Q217" s="218">
        <f>IFERROR(Q214*Q218/365,"NA")</f>
        <v>209193.3934530835</v>
      </c>
      <c r="R217" s="218">
        <f>IFERROR(R214*R218/365,"NA")</f>
        <v>246406.15102042348</v>
      </c>
      <c r="S217" s="7"/>
      <c r="W217" s="7"/>
      <c r="X217" s="7"/>
      <c r="Y217" s="7"/>
      <c r="Z217" s="7"/>
      <c r="AA217" s="7"/>
      <c r="AB217" s="7"/>
      <c r="AC217" s="7"/>
      <c r="AD217" s="7"/>
      <c r="AK217" s="392"/>
      <c r="AL217" s="392"/>
      <c r="AM217" s="392"/>
      <c r="AN217" s="3"/>
      <c r="AO217" s="2"/>
      <c r="AP217" s="3"/>
      <c r="AQ217" s="2"/>
      <c r="AY217" s="392"/>
      <c r="AZ217" s="3"/>
      <c r="BA217" s="2"/>
      <c r="BB217" s="3"/>
      <c r="BC217" s="2"/>
    </row>
    <row r="218" spans="2:55" x14ac:dyDescent="0.2">
      <c r="B218" s="7"/>
      <c r="C218" s="144" t="str">
        <f>VLOOKUP("Receivable Days",Language_Data,Lookup_Column,FALSE)</f>
        <v>Receivable Days</v>
      </c>
      <c r="D218" s="7"/>
      <c r="E218" s="96"/>
      <c r="F218" s="232">
        <f>IFERROR(F217/F214*365,"NA")</f>
        <v>82.609674694207797</v>
      </c>
      <c r="G218" s="215"/>
      <c r="H218" s="232"/>
      <c r="I218" s="232">
        <f>IFERROR(I217/I214*365,"NA")</f>
        <v>92.710773188076871</v>
      </c>
      <c r="J218" s="232">
        <f>IFERROR(J217/J214*365,"NA")</f>
        <v>99.705636693957487</v>
      </c>
      <c r="K218" s="232">
        <f>IFERROR(K217/K214*365,"NA")</f>
        <v>100.39800589094411</v>
      </c>
      <c r="L218" s="232">
        <f>IFERROR(L217/L214*365,"NA")</f>
        <v>101.19239042467095</v>
      </c>
      <c r="M218" s="232">
        <f>IFERROR(M217/M214*365,"NA")</f>
        <v>119.53610033781442</v>
      </c>
      <c r="N218" s="233">
        <f>M218</f>
        <v>119.53610033781442</v>
      </c>
      <c r="O218" s="233">
        <f>N218</f>
        <v>119.53610033781442</v>
      </c>
      <c r="P218" s="233">
        <f>O218</f>
        <v>119.53610033781442</v>
      </c>
      <c r="Q218" s="233">
        <f>P218</f>
        <v>119.53610033781442</v>
      </c>
      <c r="R218" s="233">
        <f>Q218</f>
        <v>119.53610033781442</v>
      </c>
      <c r="S218" s="7"/>
      <c r="W218" s="7"/>
      <c r="X218" s="212"/>
      <c r="Y218" s="160"/>
      <c r="Z218" s="160"/>
      <c r="AA218" s="160"/>
      <c r="AB218" s="160"/>
      <c r="AC218" s="160"/>
      <c r="AD218" s="160"/>
      <c r="AK218" s="392"/>
      <c r="AL218" s="392"/>
      <c r="AM218" s="392"/>
      <c r="AN218" s="3"/>
      <c r="AO218" s="2"/>
      <c r="AP218" s="3"/>
      <c r="AQ218" s="2"/>
      <c r="AY218" s="392"/>
      <c r="AZ218" s="3"/>
      <c r="BA218" s="2"/>
      <c r="BB218" s="3"/>
      <c r="BC218" s="2"/>
    </row>
    <row r="219" spans="2:55" x14ac:dyDescent="0.2">
      <c r="B219" s="7" t="str">
        <f>VLOOKUP("Inventory",Language_Data,Lookup_Column,FALSE)</f>
        <v>Inventory</v>
      </c>
      <c r="C219" s="7"/>
      <c r="D219" s="7"/>
      <c r="E219" s="224" t="s">
        <v>517</v>
      </c>
      <c r="F219" s="218" cm="1">
        <f t="array" ref="F219">_xll.SNL.Clients.Office.Excel.Functions.SPG(F$208,$E219,F$209,F$210,"Options:Curr="&amp;$BL$52&amp;",Mag="&amp;$BK$135&amp;",ConvMethod="&amp;$BL$145&amp;",NA=0")</f>
        <v>2636</v>
      </c>
      <c r="G219" s="218"/>
      <c r="H219" s="218"/>
      <c r="I219" s="218" cm="1">
        <f t="array" ref="I219">_xll.SNL.Clients.Office.Excel.Functions.SPG(I$208,$E219,I$209,I$210,"Options:Curr="&amp;$BL$52&amp;",Mag="&amp;$BK$135&amp;",ConvMethod="&amp;$BL$145&amp;",NA=0")</f>
        <v>3742</v>
      </c>
      <c r="J219" s="218" cm="1">
        <f t="array" ref="J219">_xll.SNL.Clients.Office.Excel.Functions.SPG(J$208,$E219,J$209,J$210,"Options:Curr="&amp;$BL$52&amp;",Mag="&amp;$BK$135&amp;",ConvMethod="&amp;$BL$145&amp;",NA=0")</f>
        <v>2500</v>
      </c>
      <c r="K219" s="218" cm="1">
        <f t="array" ref="K219">_xll.SNL.Clients.Office.Excel.Functions.SPG(K$208,$E219,K$209,K$210,"Options:Curr="&amp;$BL$52&amp;",Mag="&amp;$BK$135&amp;",ConvMethod="&amp;$BL$145&amp;",NA=0")</f>
        <v>1246</v>
      </c>
      <c r="L219" s="218" cm="1">
        <f t="array" ref="L219">_xll.SNL.Clients.Office.Excel.Functions.SPG(L$208,$E219,L$209,L$210,"Options:Curr="&amp;$BL$52&amp;",Mag="&amp;$BK$135&amp;",ConvMethod="&amp;$BL$145&amp;",NA=0")</f>
        <v>938</v>
      </c>
      <c r="M219" s="218" cm="1">
        <f t="array" ref="M219">_xll.SNL.Clients.Office.Excel.Functions.SPG(M$208,$E219,M$209,M$210,"Options:Curr="&amp;$BL$52&amp;",Mag="&amp;$BK$135&amp;",ConvMethod="&amp;$BL$145&amp;",NA=0")</f>
        <v>1397</v>
      </c>
      <c r="N219" s="218">
        <f>IFERROR(N215*N220/365,"NA")</f>
        <v>1645.5079545938579</v>
      </c>
      <c r="O219" s="218">
        <f>IFERROR(O215*O220/365,"NA")</f>
        <v>1938.2222109031222</v>
      </c>
      <c r="P219" s="218">
        <f>IFERROR(P215*P220/365,"NA")</f>
        <v>2283.0064894857419</v>
      </c>
      <c r="Q219" s="218">
        <f>IFERROR(Q215*Q220/365,"NA")</f>
        <v>2689.1233635205349</v>
      </c>
      <c r="R219" s="218">
        <f>IFERROR(R215*R220/365,"NA")</f>
        <v>3167.4830963187055</v>
      </c>
      <c r="S219" s="7"/>
      <c r="W219" s="7"/>
      <c r="X219" s="212"/>
      <c r="Y219" s="160"/>
      <c r="Z219" s="160"/>
      <c r="AA219" s="160"/>
      <c r="AB219" s="160"/>
      <c r="AC219" s="160"/>
      <c r="AD219" s="160"/>
      <c r="AK219" s="392"/>
      <c r="AL219" s="392"/>
      <c r="AM219" s="392"/>
      <c r="AN219" s="3"/>
      <c r="AO219" s="2"/>
      <c r="AP219" s="3"/>
      <c r="AQ219" s="2"/>
      <c r="AY219" s="392"/>
      <c r="AZ219" s="3"/>
      <c r="BA219" s="2"/>
      <c r="BB219" s="3"/>
      <c r="BC219" s="2"/>
    </row>
    <row r="220" spans="2:55" x14ac:dyDescent="0.2">
      <c r="B220" s="7"/>
      <c r="C220" s="144" t="str">
        <f>VLOOKUP("Inventory Days",Language_Data,Lookup_Column,FALSE)</f>
        <v>Inventory Days</v>
      </c>
      <c r="D220" s="7"/>
      <c r="E220" s="96"/>
      <c r="F220" s="233">
        <f>IFERROR(F219/F215*365,"NA")</f>
        <v>18.420508500536069</v>
      </c>
      <c r="G220" s="233"/>
      <c r="H220" s="233"/>
      <c r="I220" s="233">
        <f>IFERROR(I219/I215*365,"NA")</f>
        <v>21.80095770151636</v>
      </c>
      <c r="J220" s="233">
        <f>IFERROR(J219/J215*365,"NA")</f>
        <v>13.854516192703034</v>
      </c>
      <c r="K220" s="233">
        <f>IFERROR(K219/K215*365,"NA")</f>
        <v>6.1363575033057183</v>
      </c>
      <c r="L220" s="233">
        <f>IFERROR(L219/L215*365,"NA")</f>
        <v>3.8980542177591055</v>
      </c>
      <c r="M220" s="233">
        <f>IFERROR(M219/M215*365,"NA")</f>
        <v>4.7935115723767083</v>
      </c>
      <c r="N220" s="233">
        <f>M220</f>
        <v>4.7935115723767083</v>
      </c>
      <c r="O220" s="233">
        <f>N220</f>
        <v>4.7935115723767083</v>
      </c>
      <c r="P220" s="233">
        <f>O220</f>
        <v>4.7935115723767083</v>
      </c>
      <c r="Q220" s="233">
        <f>P220</f>
        <v>4.7935115723767083</v>
      </c>
      <c r="R220" s="233">
        <f>Q220</f>
        <v>4.7935115723767083</v>
      </c>
      <c r="S220" s="7"/>
      <c r="W220" s="158"/>
      <c r="X220" s="212"/>
      <c r="Y220" s="160"/>
      <c r="Z220" s="160"/>
      <c r="AA220" s="160"/>
      <c r="AB220" s="160"/>
      <c r="AC220" s="160"/>
      <c r="AD220" s="160"/>
      <c r="AK220" s="392"/>
      <c r="AL220" s="392"/>
      <c r="AM220" s="392"/>
      <c r="AN220" s="3"/>
      <c r="AO220" s="2"/>
      <c r="AP220" s="3"/>
      <c r="AQ220" s="2"/>
      <c r="AY220" s="392"/>
      <c r="AZ220" s="3"/>
      <c r="BA220" s="2"/>
      <c r="BB220" s="3"/>
      <c r="BC220" s="2"/>
    </row>
    <row r="221" spans="2:55" x14ac:dyDescent="0.2">
      <c r="B221" s="7" t="str">
        <f>VLOOKUP("Other Current Assets",Language_Data,Lookup_Column,FALSE)</f>
        <v>Other Current Assets</v>
      </c>
      <c r="C221" s="7"/>
      <c r="D221" s="7"/>
      <c r="E221" s="96"/>
      <c r="F221" s="6">
        <f>IF(COUNT(F222,F223,F217,F219)=0,"NA",IFERROR(SUM(F222)-SUM(F223)-SUM(F217)-SUM(F219),"NA"))</f>
        <v>13471</v>
      </c>
      <c r="G221" s="218"/>
      <c r="H221" s="218"/>
      <c r="I221" s="6">
        <f>IF(COUNT(I222,I223,I217,I219)=0,"NA",IFERROR(SUM(I222)-SUM(I223)-SUM(I217)-SUM(I219),"NA"))</f>
        <v>10832</v>
      </c>
      <c r="J221" s="6">
        <f>IF(COUNT(J222,J223,J217,J219)=0,"NA",IFERROR(SUM(J222)-SUM(J223)-SUM(J217)-SUM(J219),"NA"))</f>
        <v>12613</v>
      </c>
      <c r="K221" s="6">
        <f>IF(COUNT(K222,K223,K217,K219)=0,"NA",IFERROR(SUM(K222)-SUM(K223)-SUM(K217)-SUM(K219),"NA"))</f>
        <v>15533</v>
      </c>
      <c r="L221" s="6">
        <f>IF(COUNT(L222,L223,L217,L219)=0,"NA",IFERROR(SUM(L222)-SUM(L223)-SUM(L217)-SUM(L219),"NA"))</f>
        <v>17523</v>
      </c>
      <c r="M221" s="6">
        <f>IF(COUNT(M222,M223,M217,M219)=0,"NA",IFERROR(SUM(M222)-SUM(M223)-SUM(M217)-SUM(M219),"NA"))</f>
        <v>20794</v>
      </c>
      <c r="N221" s="218">
        <f>IFERROR(N214*N224,"NA")</f>
        <v>24492.979533160116</v>
      </c>
      <c r="O221" s="218">
        <f>IFERROR(O214*O224,"NA")</f>
        <v>28849.958950264514</v>
      </c>
      <c r="P221" s="218">
        <f>IFERROR(P214*P224,"NA")</f>
        <v>33981.987789811392</v>
      </c>
      <c r="Q221" s="218">
        <f>IFERROR(Q214*Q224,"NA")</f>
        <v>40026.937166103082</v>
      </c>
      <c r="R221" s="218">
        <f>IFERROR(R214*R224,"NA")</f>
        <v>47147.203654152581</v>
      </c>
      <c r="S221" s="7"/>
      <c r="W221" s="158"/>
      <c r="X221" s="212"/>
      <c r="Y221" s="160"/>
      <c r="Z221" s="160"/>
      <c r="AA221" s="160"/>
      <c r="AB221" s="160"/>
      <c r="AC221" s="160"/>
      <c r="AD221" s="160"/>
      <c r="AK221" s="392"/>
      <c r="AL221" s="392"/>
      <c r="AM221" s="392"/>
      <c r="AN221" s="3"/>
      <c r="AO221" s="2"/>
      <c r="AP221" s="3"/>
      <c r="AQ221" s="2"/>
      <c r="AY221" s="392"/>
      <c r="AZ221" s="3"/>
      <c r="BA221" s="2"/>
      <c r="BB221" s="3"/>
      <c r="BC221" s="2"/>
    </row>
    <row r="222" spans="2:55" hidden="1" outlineLevel="1" x14ac:dyDescent="0.2">
      <c r="B222" s="159" t="str">
        <f>VLOOKUP("Total Current Assets",Language_Data,Lookup_Column,FALSE)</f>
        <v>Total Current Assets</v>
      </c>
      <c r="D222" s="7"/>
      <c r="E222" s="34" t="s">
        <v>491</v>
      </c>
      <c r="F222" s="218" cm="1">
        <f t="array" ref="F222">_xll.SNL.Clients.Office.Excel.Functions.SPG(F$208,$E222,F$209,F$210,"Options:Curr="&amp;$BL$52&amp;",Mag="&amp;$BK$135&amp;",ConvMethod="&amp;$BL$145&amp;",NA=0")</f>
        <v>184406</v>
      </c>
      <c r="G222" s="218"/>
      <c r="H222" s="218"/>
      <c r="I222" s="218" cm="1">
        <f t="array" ref="I222">_xll.SNL.Clients.Office.Excel.Functions.SPG(I$208,$E222,I$209,I$210,"Options:Curr="&amp;$BL$52&amp;",Mag="&amp;$BK$135&amp;",ConvMethod="&amp;$BL$145&amp;",NA=0")</f>
        <v>169684</v>
      </c>
      <c r="J222" s="218" cm="1">
        <f t="array" ref="J222">_xll.SNL.Clients.Office.Excel.Functions.SPG(J$208,$E222,J$209,J$210,"Options:Curr="&amp;$BL$52&amp;",Mag="&amp;$BK$135&amp;",ConvMethod="&amp;$BL$145&amp;",NA=0")</f>
        <v>184257</v>
      </c>
      <c r="K222" s="218" cm="1">
        <f t="array" ref="K222">_xll.SNL.Clients.Office.Excel.Functions.SPG(K$208,$E222,K$209,K$210,"Options:Curr="&amp;$BL$52&amp;",Mag="&amp;$BK$135&amp;",ConvMethod="&amp;$BL$145&amp;",NA=0")</f>
        <v>159734</v>
      </c>
      <c r="L222" s="218" cm="1">
        <f t="array" ref="L222">_xll.SNL.Clients.Office.Excel.Functions.SPG(L$208,$E222,L$209,L$210,"Options:Curr="&amp;$BL$52&amp;",Mag="&amp;$BK$135&amp;",ConvMethod="&amp;$BL$145&amp;",NA=0")</f>
        <v>191131</v>
      </c>
      <c r="M222" s="218" cm="1">
        <f t="array" ref="M222">_xll.SNL.Clients.Office.Excel.Functions.SPG(M$208,$E222,M$209,M$210,"Options:Curr="&amp;$BL$52&amp;",Mag="&amp;$BK$135&amp;",ConvMethod="&amp;$BL$145&amp;",NA=0")</f>
        <v>207710</v>
      </c>
      <c r="N222" s="218"/>
      <c r="O222" s="218"/>
      <c r="P222" s="218"/>
      <c r="Q222" s="218"/>
      <c r="R222" s="218"/>
      <c r="S222" s="7"/>
      <c r="W222" s="158"/>
      <c r="X222" s="212"/>
      <c r="Y222" s="160"/>
      <c r="Z222" s="160"/>
      <c r="AA222" s="160"/>
      <c r="AB222" s="160"/>
      <c r="AC222" s="160"/>
      <c r="AD222" s="160"/>
      <c r="AK222" s="392"/>
      <c r="AL222" s="392"/>
      <c r="AM222" s="392"/>
      <c r="AN222" s="3"/>
      <c r="AO222" s="2"/>
      <c r="AP222" s="3"/>
      <c r="AQ222" s="2"/>
      <c r="AY222" s="392"/>
      <c r="AZ222" s="3"/>
      <c r="BA222" s="2"/>
      <c r="BB222" s="3"/>
      <c r="BC222" s="2"/>
    </row>
    <row r="223" spans="2:55" hidden="1" outlineLevel="1" x14ac:dyDescent="0.2">
      <c r="B223" s="159" t="str">
        <f>VLOOKUP("Cash &amp; Short Term Investments",Language_Data,Lookup_Column,FALSE)</f>
        <v>Cash &amp; Short Term Investments</v>
      </c>
      <c r="D223" s="7"/>
      <c r="E223" s="34" t="s">
        <v>492</v>
      </c>
      <c r="F223" s="218" cm="1">
        <f t="array" ref="F223">_xll.SNL.Clients.Office.Excel.Functions.SPG(F$208,$E223,F$209,F$210,"Options:Curr="&amp;$BL$52&amp;",Mag="&amp;$BK$135&amp;",ConvMethod="&amp;$BL$145&amp;",NA=0")</f>
        <v>130256</v>
      </c>
      <c r="G223" s="218"/>
      <c r="H223" s="218"/>
      <c r="I223" s="218" cm="1">
        <f t="array" ref="I223">_xll.SNL.Clients.Office.Excel.Functions.SPG(I$208,$E223,I$209,I$210,"Options:Curr="&amp;$BL$52&amp;",Mag="&amp;$BK$135&amp;",ConvMethod="&amp;$BL$145&amp;",NA=0")</f>
        <v>104749</v>
      </c>
      <c r="J223" s="218" cm="1">
        <f t="array" ref="J223">_xll.SNL.Clients.Office.Excel.Functions.SPG(J$208,$E223,J$209,J$210,"Options:Curr="&amp;$BL$52&amp;",Mag="&amp;$BK$135&amp;",ConvMethod="&amp;$BL$145&amp;",NA=0")</f>
        <v>111256</v>
      </c>
      <c r="K223" s="218" cm="1">
        <f t="array" ref="K223">_xll.SNL.Clients.Office.Excel.Functions.SPG(K$208,$E223,K$209,K$210,"Options:Curr="&amp;$BL$52&amp;",Mag="&amp;$BK$135&amp;",ConvMethod="&amp;$BL$145&amp;",NA=0")</f>
        <v>75531</v>
      </c>
      <c r="L223" s="218" cm="1">
        <f t="array" ref="L223">_xll.SNL.Clients.Office.Excel.Functions.SPG(L$208,$E223,L$209,L$210,"Options:Curr="&amp;$BL$52&amp;",Mag="&amp;$BK$135&amp;",ConvMethod="&amp;$BL$145&amp;",NA=0")</f>
        <v>94565</v>
      </c>
      <c r="M223" s="218" cm="1">
        <f t="array" ref="M223">_xll.SNL.Clients.Office.Excel.Functions.SPG(M$208,$E223,M$209,M$210,"Options:Curr="&amp;$BL$52&amp;",Mag="&amp;$BK$135&amp;",ConvMethod="&amp;$BL$145&amp;",NA=0")</f>
        <v>76843</v>
      </c>
      <c r="N223" s="218"/>
      <c r="O223" s="218"/>
      <c r="P223" s="218"/>
      <c r="Q223" s="218"/>
      <c r="R223" s="218"/>
      <c r="S223" s="7"/>
      <c r="W223" s="158"/>
      <c r="X223" s="212"/>
      <c r="Y223" s="160"/>
      <c r="Z223" s="160"/>
      <c r="AA223" s="160"/>
      <c r="AB223" s="160"/>
      <c r="AC223" s="160"/>
      <c r="AD223" s="160"/>
      <c r="AK223" s="392"/>
      <c r="AL223" s="392"/>
      <c r="AM223" s="392"/>
      <c r="AN223" s="3"/>
      <c r="AO223" s="2"/>
      <c r="AP223" s="3"/>
      <c r="AQ223" s="2"/>
      <c r="AY223" s="392"/>
      <c r="AZ223" s="3"/>
      <c r="BA223" s="2"/>
      <c r="BB223" s="3"/>
      <c r="BC223" s="2"/>
    </row>
    <row r="224" spans="2:55" collapsed="1" x14ac:dyDescent="0.2">
      <c r="B224" s="96"/>
      <c r="C224" s="144" t="str">
        <f>VLOOKUP("Margin",Language_Data,Lookup_Column,FALSE)</f>
        <v>Margin</v>
      </c>
      <c r="D224" s="7"/>
      <c r="E224" s="96"/>
      <c r="F224" s="259">
        <f>IFERROR(F221/F214,"NA")</f>
        <v>8.0142544381514441E-2</v>
      </c>
      <c r="G224" s="234"/>
      <c r="H224" s="234"/>
      <c r="I224" s="259">
        <f>IFERROR(I221/I214,"NA")</f>
        <v>5.4632571745599434E-2</v>
      </c>
      <c r="J224" s="259">
        <f>IFERROR(J221/J214,"NA")</f>
        <v>5.9519146827737533E-2</v>
      </c>
      <c r="K224" s="259">
        <f>IFERROR(K221/K214,"NA")</f>
        <v>6.3368445100806942E-2</v>
      </c>
      <c r="L224" s="259">
        <f>IFERROR(L221/L214,"NA")</f>
        <v>6.2199173659326146E-2</v>
      </c>
      <c r="M224" s="259">
        <f>IFERROR(M221/M214,"NA")</f>
        <v>6.2662917860769829E-2</v>
      </c>
      <c r="N224" s="259">
        <f>M224</f>
        <v>6.2662917860769829E-2</v>
      </c>
      <c r="O224" s="259">
        <f>N224</f>
        <v>6.2662917860769829E-2</v>
      </c>
      <c r="P224" s="259">
        <f>O224</f>
        <v>6.2662917860769829E-2</v>
      </c>
      <c r="Q224" s="259">
        <f>P224</f>
        <v>6.2662917860769829E-2</v>
      </c>
      <c r="R224" s="259">
        <f>Q224</f>
        <v>6.2662917860769829E-2</v>
      </c>
      <c r="S224" s="7"/>
      <c r="W224" s="7"/>
      <c r="X224" s="212"/>
      <c r="Y224" s="160"/>
      <c r="Z224" s="160"/>
      <c r="AA224" s="160"/>
      <c r="AB224" s="160"/>
      <c r="AC224" s="160"/>
      <c r="AD224" s="160"/>
      <c r="AK224" s="392"/>
      <c r="AL224" s="392"/>
      <c r="AM224" s="392"/>
      <c r="AN224" s="3"/>
      <c r="AO224" s="2"/>
      <c r="AP224" s="3"/>
      <c r="AQ224" s="2"/>
      <c r="AY224" s="392"/>
      <c r="AZ224" s="3"/>
      <c r="BA224" s="2"/>
      <c r="BB224" s="3"/>
      <c r="BC224" s="2"/>
    </row>
    <row r="225" spans="2:55" x14ac:dyDescent="0.2">
      <c r="B225" s="7" t="str">
        <f>VLOOKUP("Total Non-Cash Current Assets",Language_Data,Lookup_Column,FALSE)</f>
        <v>Total Non-Cash Current Assets</v>
      </c>
      <c r="C225" s="7"/>
      <c r="D225" s="7"/>
      <c r="E225" s="96"/>
      <c r="F225" s="218">
        <f>IF(COUNT(F217,F219,F221)=0,"NA",SUM(F217,F219,F221))</f>
        <v>54150</v>
      </c>
      <c r="G225" s="218"/>
      <c r="H225" s="218"/>
      <c r="I225" s="218">
        <f>IF(COUNT(I217,I219,I221)=0,"NA",SUM(I217,I219,I221))</f>
        <v>64935</v>
      </c>
      <c r="J225" s="218">
        <f>IF(COUNT(J217,J219,J221)=0,"NA",SUM(J217,J219,J221))</f>
        <v>73001</v>
      </c>
      <c r="K225" s="218">
        <f>IF(COUNT(K217,K219,K221)=0,"NA",SUM(K217,K219,K221))</f>
        <v>84203</v>
      </c>
      <c r="L225" s="218">
        <f>IF(COUNT(L217,L219,L221)=0,"NA",SUM(L217,L219,L221))</f>
        <v>96566</v>
      </c>
      <c r="M225" s="218">
        <f>IF(COUNT(M217,M219,M221)=0,"NA",SUM(M217,M219,M221))</f>
        <v>130867</v>
      </c>
      <c r="N225" s="218">
        <f t="shared" ref="N225:R225" si="62">IF(COUNT(N217,N219,N221)=0,"NA",SUM(N217,N219,N221))</f>
        <v>154146.52075435533</v>
      </c>
      <c r="O225" s="218">
        <f t="shared" si="62"/>
        <v>181567.16254420826</v>
      </c>
      <c r="P225" s="218">
        <f t="shared" si="62"/>
        <v>213865.57642056592</v>
      </c>
      <c r="Q225" s="218">
        <f t="shared" si="62"/>
        <v>251909.45398270711</v>
      </c>
      <c r="R225" s="218">
        <f t="shared" si="62"/>
        <v>296720.83777089475</v>
      </c>
      <c r="S225" s="7"/>
      <c r="W225" s="7"/>
      <c r="X225" s="212"/>
      <c r="Y225" s="160"/>
      <c r="Z225" s="160"/>
      <c r="AA225" s="160"/>
      <c r="AB225" s="160"/>
      <c r="AC225" s="160"/>
      <c r="AD225" s="160"/>
      <c r="AK225" s="392"/>
      <c r="AL225" s="392"/>
      <c r="AM225" s="392"/>
      <c r="AN225" s="3"/>
      <c r="AO225" s="2"/>
      <c r="AP225" s="3"/>
      <c r="AQ225" s="2"/>
      <c r="AY225" s="392"/>
      <c r="AZ225" s="3"/>
      <c r="BA225" s="2"/>
      <c r="BB225" s="3"/>
      <c r="BC225" s="2"/>
    </row>
    <row r="226" spans="2:55" x14ac:dyDescent="0.2">
      <c r="B226" s="7"/>
      <c r="C226" s="7"/>
      <c r="D226" s="7"/>
      <c r="E226" s="96"/>
      <c r="F226" s="160"/>
      <c r="G226" s="160"/>
      <c r="H226" s="160"/>
      <c r="I226" s="160"/>
      <c r="J226" s="160"/>
      <c r="K226" s="160"/>
      <c r="L226" s="160"/>
      <c r="M226" s="160"/>
      <c r="N226" s="212"/>
      <c r="O226" s="212"/>
      <c r="P226" s="212"/>
      <c r="Q226" s="212"/>
      <c r="R226" s="212"/>
      <c r="S226" s="7"/>
      <c r="W226" s="7"/>
      <c r="X226" s="212"/>
      <c r="Y226" s="160"/>
      <c r="Z226" s="160"/>
      <c r="AA226" s="160"/>
      <c r="AB226" s="160"/>
      <c r="AC226" s="160"/>
      <c r="AD226" s="160"/>
      <c r="AK226" s="392"/>
      <c r="AL226" s="392"/>
      <c r="AM226" s="392"/>
      <c r="AN226" s="3"/>
      <c r="AO226" s="2"/>
      <c r="AP226" s="3"/>
      <c r="AQ226" s="2"/>
      <c r="AY226" s="392"/>
      <c r="AZ226" s="3"/>
      <c r="BA226" s="2"/>
      <c r="BB226" s="3"/>
      <c r="BC226" s="2"/>
    </row>
    <row r="227" spans="2:55" x14ac:dyDescent="0.2">
      <c r="B227" s="7" t="str">
        <f>VLOOKUP("Accounts Payable",Language_Data,Lookup_Column,FALSE)</f>
        <v>Accounts Payable</v>
      </c>
      <c r="C227" s="7"/>
      <c r="D227" s="7"/>
      <c r="E227" s="34" t="s">
        <v>511</v>
      </c>
      <c r="F227" s="218" cm="1">
        <f t="array" ref="F227">_xll.SNL.Clients.Office.Excel.Functions.SPG(F$208,$E227,F$209,F$210,"Options:Curr="&amp;$BL$52&amp;",Mag="&amp;$BK$135&amp;",ConvMethod="&amp;$BL$145&amp;",NA=0")</f>
        <v>15163</v>
      </c>
      <c r="G227" s="218"/>
      <c r="H227" s="218"/>
      <c r="I227" s="218" cm="1">
        <f t="array" ref="I227">_xll.SNL.Clients.Office.Excel.Functions.SPG(I$208,$E227,I$209,I$210,"Options:Curr="&amp;$BL$52&amp;",Mag="&amp;$BK$135&amp;",ConvMethod="&amp;$BL$145&amp;",NA=0")</f>
        <v>19000</v>
      </c>
      <c r="J227" s="218" cm="1">
        <f t="array" ref="J227">_xll.SNL.Clients.Office.Excel.Functions.SPG(J$208,$E227,J$209,J$210,"Options:Curr="&amp;$BL$52&amp;",Mag="&amp;$BK$135&amp;",ConvMethod="&amp;$BL$145&amp;",NA=0")</f>
        <v>18095</v>
      </c>
      <c r="K227" s="218" cm="1">
        <f t="array" ref="K227">_xll.SNL.Clients.Office.Excel.Functions.SPG(K$208,$E227,K$209,K$210,"Options:Curr="&amp;$BL$52&amp;",Mag="&amp;$BK$135&amp;",ConvMethod="&amp;$BL$145&amp;",NA=0")</f>
        <v>21996</v>
      </c>
      <c r="L227" s="218" cm="1">
        <f t="array" ref="L227">_xll.SNL.Clients.Office.Excel.Functions.SPG(L$208,$E227,L$209,L$210,"Options:Curr="&amp;$BL$52&amp;",Mag="&amp;$BK$135&amp;",ConvMethod="&amp;$BL$145&amp;",NA=0")</f>
        <v>27724</v>
      </c>
      <c r="M227" s="218" cm="1">
        <f t="array" ref="M227">_xll.SNL.Clients.Office.Excel.Functions.SPG(M$208,$E227,M$209,M$210,"Options:Curr="&amp;$BL$52&amp;",Mag="&amp;$BK$135&amp;",ConvMethod="&amp;$BL$145&amp;",NA=0")</f>
        <v>42416</v>
      </c>
      <c r="N227" s="218">
        <f>IFERROR(N228*N215/365,"NA")</f>
        <v>49961.249393022961</v>
      </c>
      <c r="O227" s="218">
        <f>IFERROR(O228*O215/365,"NA")</f>
        <v>58848.699568838107</v>
      </c>
      <c r="P227" s="218">
        <f>IFERROR(P228*P215/365,"NA")</f>
        <v>69317.110420921425</v>
      </c>
      <c r="Q227" s="218">
        <f>IFERROR(Q228*Q215/365,"NA")</f>
        <v>81647.71409240301</v>
      </c>
      <c r="R227" s="218">
        <f>IFERROR(R228*R215/365,"NA")</f>
        <v>96171.770231534872</v>
      </c>
      <c r="S227" s="7"/>
      <c r="T227" s="218"/>
      <c r="W227" s="158"/>
      <c r="X227" s="212"/>
      <c r="Y227" s="160"/>
      <c r="Z227" s="160"/>
      <c r="AA227" s="160"/>
      <c r="AB227" s="160"/>
      <c r="AC227" s="160"/>
      <c r="AD227" s="160"/>
      <c r="AK227" s="392"/>
      <c r="AL227" s="392"/>
      <c r="AM227" s="392"/>
      <c r="AN227" s="3"/>
      <c r="AO227" s="2"/>
      <c r="AP227" s="3"/>
      <c r="AQ227" s="2"/>
      <c r="AY227" s="392"/>
      <c r="AZ227" s="3"/>
      <c r="BA227" s="2"/>
      <c r="BB227" s="3"/>
      <c r="BC227" s="2"/>
    </row>
    <row r="228" spans="2:55" x14ac:dyDescent="0.2">
      <c r="B228" s="7"/>
      <c r="C228" s="144" t="str">
        <f>VLOOKUP("Payable Days",Language_Data,Lookup_Column,FALSE)</f>
        <v>Payable Days</v>
      </c>
      <c r="D228" s="7"/>
      <c r="E228" s="96"/>
      <c r="F228" s="235">
        <f>IFERROR(F227/F215*365,"NA")</f>
        <v>105.95985219788636</v>
      </c>
      <c r="G228" s="235"/>
      <c r="H228" s="235"/>
      <c r="I228" s="235">
        <f>IFERROR(I227/I215*365,"NA")</f>
        <v>110.69433359936153</v>
      </c>
      <c r="J228" s="235">
        <f>IFERROR(J227/J215*365,"NA")</f>
        <v>100.27898820278456</v>
      </c>
      <c r="K228" s="235">
        <f>IFERROR(K227/K215*365,"NA")</f>
        <v>108.32690179992984</v>
      </c>
      <c r="L228" s="235">
        <f>IFERROR(L227/L215*365,"NA")</f>
        <v>115.21285195432137</v>
      </c>
      <c r="M228" s="235">
        <f>IFERROR(M227/M215*365,"NA")</f>
        <v>145.54157970932746</v>
      </c>
      <c r="N228" s="236">
        <f>M228</f>
        <v>145.54157970932746</v>
      </c>
      <c r="O228" s="236">
        <f>N228</f>
        <v>145.54157970932746</v>
      </c>
      <c r="P228" s="236">
        <f>O228</f>
        <v>145.54157970932746</v>
      </c>
      <c r="Q228" s="236">
        <f>P228</f>
        <v>145.54157970932746</v>
      </c>
      <c r="R228" s="236">
        <f>Q228</f>
        <v>145.54157970932746</v>
      </c>
      <c r="S228" s="7"/>
      <c r="W228" s="158"/>
      <c r="X228" s="212"/>
      <c r="Y228" s="160"/>
      <c r="Z228" s="160"/>
      <c r="AA228" s="160"/>
      <c r="AB228" s="160"/>
      <c r="AC228" s="160"/>
      <c r="AD228" s="160"/>
      <c r="AK228" s="392"/>
      <c r="AL228" s="392"/>
      <c r="AM228" s="392"/>
      <c r="AN228" s="3"/>
      <c r="AO228" s="2"/>
      <c r="AP228" s="3"/>
      <c r="AQ228" s="2"/>
      <c r="AY228" s="392"/>
      <c r="AZ228" s="3"/>
      <c r="BA228" s="2"/>
      <c r="BB228" s="3"/>
      <c r="BC228" s="2"/>
    </row>
    <row r="229" spans="2:55" x14ac:dyDescent="0.2">
      <c r="B229" s="7" t="str">
        <f>VLOOKUP("Accrued Liabilities",Language_Data,Lookup_Column,FALSE)</f>
        <v>Accrued Liabilities</v>
      </c>
      <c r="C229" s="7"/>
      <c r="D229" s="7"/>
      <c r="E229" s="34" t="s">
        <v>512</v>
      </c>
      <c r="F229" s="218" cm="1">
        <f t="array" ref="F229">_xll.SNL.Clients.Office.Excel.Functions.SPG(F$208,$E229,F$209,F$210,"Options:Curr="&amp;$BL$52&amp;",Mag="&amp;$BK$135&amp;",ConvMethod="&amp;$BL$145&amp;",NA=0")</f>
        <v>10057</v>
      </c>
      <c r="G229" s="218"/>
      <c r="H229" s="218"/>
      <c r="I229" s="218" cm="1">
        <f t="array" ref="I229">_xll.SNL.Clients.Office.Excel.Functions.SPG(I$208,$E229,I$209,I$210,"Options:Curr="&amp;$BL$52&amp;",Mag="&amp;$BK$135&amp;",ConvMethod="&amp;$BL$145&amp;",NA=0")</f>
        <v>10661</v>
      </c>
      <c r="J229" s="218" cm="1">
        <f t="array" ref="J229">_xll.SNL.Clients.Office.Excel.Functions.SPG(J$208,$E229,J$209,J$210,"Options:Curr="&amp;$BL$52&amp;",Mag="&amp;$BK$135&amp;",ConvMethod="&amp;$BL$145&amp;",NA=0")</f>
        <v>11009</v>
      </c>
      <c r="K229" s="218" cm="1">
        <f t="array" ref="K229">_xll.SNL.Clients.Office.Excel.Functions.SPG(K$208,$E229,K$209,K$210,"Options:Curr="&amp;$BL$52&amp;",Mag="&amp;$BK$135&amp;",ConvMethod="&amp;$BL$145&amp;",NA=0")</f>
        <v>12564</v>
      </c>
      <c r="L229" s="218" cm="1">
        <f t="array" ref="L229">_xll.SNL.Clients.Office.Excel.Functions.SPG(L$208,$E229,L$209,L$210,"Options:Curr="&amp;$BL$52&amp;",Mag="&amp;$BK$135&amp;",ConvMethod="&amp;$BL$145&amp;",NA=0")</f>
        <v>13709</v>
      </c>
      <c r="M229" s="218" cm="1">
        <f t="array" ref="M229">_xll.SNL.Clients.Office.Excel.Functions.SPG(M$208,$E229,M$209,M$210,"Options:Curr="&amp;$BL$52&amp;",Mag="&amp;$BK$135&amp;",ConvMethod="&amp;$BL$145&amp;",NA=0")</f>
        <v>14945</v>
      </c>
      <c r="N229" s="218">
        <f>IFERROR(N214*N230,"NA")</f>
        <v>17603.519242237082</v>
      </c>
      <c r="O229" s="218">
        <f>IFERROR(O214*O230,"NA")</f>
        <v>20734.954145989381</v>
      </c>
      <c r="P229" s="218">
        <f>IFERROR(P214*P230,"NA")</f>
        <v>24423.430197111247</v>
      </c>
      <c r="Q229" s="218">
        <f>IFERROR(Q214*Q230,"NA")</f>
        <v>28768.037700654539</v>
      </c>
      <c r="R229" s="218">
        <f>IFERROR(R214*R230,"NA")</f>
        <v>33885.493825685786</v>
      </c>
      <c r="S229" s="7"/>
      <c r="W229" s="158"/>
      <c r="X229" s="212"/>
      <c r="Y229" s="160"/>
      <c r="Z229" s="160"/>
      <c r="AA229" s="160"/>
      <c r="AB229" s="160"/>
      <c r="AC229" s="160"/>
      <c r="AD229" s="160"/>
      <c r="AK229" s="392"/>
      <c r="AL229" s="392"/>
      <c r="AM229" s="392"/>
      <c r="AN229" s="3"/>
      <c r="AO229" s="2"/>
      <c r="AP229" s="3"/>
      <c r="AQ229" s="2"/>
      <c r="AY229" s="392"/>
      <c r="AZ229" s="3"/>
      <c r="BA229" s="2"/>
      <c r="BB229" s="3"/>
      <c r="BC229" s="2"/>
    </row>
    <row r="230" spans="2:55" x14ac:dyDescent="0.2">
      <c r="B230" s="7"/>
      <c r="C230" s="144" t="str">
        <f>VLOOKUP("Margin",Language_Data,Lookup_Column,FALSE)</f>
        <v>Margin</v>
      </c>
      <c r="D230" s="7"/>
      <c r="E230" s="96"/>
      <c r="F230" s="157">
        <f>IFERROR(F229/F214,"NA")</f>
        <v>5.9831754795107328E-2</v>
      </c>
      <c r="G230" s="157"/>
      <c r="H230" s="157"/>
      <c r="I230" s="157">
        <f>IFERROR(I229/I214,"NA")</f>
        <v>5.3770111464165028E-2</v>
      </c>
      <c r="J230" s="157">
        <f>IFERROR(J229/J214,"NA")</f>
        <v>5.1950074322251849E-2</v>
      </c>
      <c r="K230" s="157">
        <f>IFERROR(K229/K214,"NA")</f>
        <v>5.1256109202764341E-2</v>
      </c>
      <c r="L230" s="157">
        <f>IFERROR(L229/L214,"NA")</f>
        <v>4.8661100935667535E-2</v>
      </c>
      <c r="M230" s="157">
        <f>IFERROR(M229/M214,"NA")</f>
        <v>4.5036900424603496E-2</v>
      </c>
      <c r="N230" s="157">
        <f>M230</f>
        <v>4.5036900424603496E-2</v>
      </c>
      <c r="O230" s="157">
        <f>N230</f>
        <v>4.5036900424603496E-2</v>
      </c>
      <c r="P230" s="157">
        <f>O230</f>
        <v>4.5036900424603496E-2</v>
      </c>
      <c r="Q230" s="157">
        <f>P230</f>
        <v>4.5036900424603496E-2</v>
      </c>
      <c r="R230" s="157">
        <f>Q230</f>
        <v>4.5036900424603496E-2</v>
      </c>
      <c r="S230" s="7"/>
      <c r="W230" s="7"/>
      <c r="X230" s="212"/>
      <c r="Y230" s="160"/>
      <c r="Z230" s="160"/>
      <c r="AA230" s="160"/>
      <c r="AB230" s="160"/>
      <c r="AC230" s="160"/>
      <c r="AD230" s="160"/>
      <c r="AK230" s="392"/>
      <c r="AL230" s="392"/>
      <c r="AM230" s="392"/>
      <c r="AN230" s="3"/>
      <c r="AO230" s="2"/>
      <c r="AP230" s="3"/>
      <c r="AQ230" s="2"/>
      <c r="AY230" s="392"/>
      <c r="AZ230" s="3"/>
      <c r="BA230" s="2"/>
      <c r="BB230" s="3"/>
      <c r="BC230" s="2"/>
    </row>
    <row r="231" spans="2:55" x14ac:dyDescent="0.2">
      <c r="B231" s="7" t="str">
        <f>VLOOKUP("Other Current Liabilities",Language_Data,Lookup_Column,FALSE)</f>
        <v>Other Current Liabilities</v>
      </c>
      <c r="C231" s="7"/>
      <c r="D231" s="7"/>
      <c r="E231" s="96"/>
      <c r="F231" s="218">
        <f>IFERROR(IF(COUNT(F232:F235)=0,"NA",SUM(F232)-SUM(F233:F235))-SUM(F229)-SUM(F227),"NA")</f>
        <v>52612</v>
      </c>
      <c r="G231" s="218"/>
      <c r="H231" s="218"/>
      <c r="I231" s="218">
        <f>IFERROR(IF(COUNT(I232:I235)=0,"NA",SUM(I232)-SUM(I233:I235))-SUM(I229)-SUM(I227),"NA")</f>
        <v>59384</v>
      </c>
      <c r="J231" s="218">
        <f>IFERROR(IF(COUNT(J232:J235)=0,"NA",SUM(J232)-SUM(J233:J235))-SUM(J229)-SUM(J227),"NA")</f>
        <v>66192</v>
      </c>
      <c r="K231" s="218">
        <f>IFERROR(IF(COUNT(K232:K235)=0,"NA",SUM(K232)-SUM(K233:K235))-SUM(K229)-SUM(K227),"NA")</f>
        <v>75855</v>
      </c>
      <c r="L231" s="218">
        <f>IFERROR(IF(COUNT(L232:L235)=0,"NA",SUM(L232)-SUM(L233:L235))-SUM(L229)-SUM(L227),"NA")</f>
        <v>88190</v>
      </c>
      <c r="M231" s="218">
        <f>IFERROR(IF(COUNT(M232:M235)=0,"NA",SUM(M232)-SUM(M233:M235))-SUM(M229)-SUM(M227),"NA")</f>
        <v>92554</v>
      </c>
      <c r="N231" s="218">
        <f>IFERROR(N214*N236,"NA")</f>
        <v>109018.14118073008</v>
      </c>
      <c r="O231" s="218">
        <f>IFERROR(O214*O236,"NA")</f>
        <v>128411.03687038481</v>
      </c>
      <c r="P231" s="218">
        <f>IFERROR(P214*P236,"NA")</f>
        <v>151253.67403569317</v>
      </c>
      <c r="Q231" s="218">
        <f>IFERROR(Q214*Q236,"NA")</f>
        <v>178159.71638316361</v>
      </c>
      <c r="R231" s="218">
        <f>IFERROR(R214*R236,"NA")</f>
        <v>209851.99033405972</v>
      </c>
      <c r="S231" s="7"/>
      <c r="Z231" s="7"/>
      <c r="AA231" s="7"/>
      <c r="AB231" s="7"/>
      <c r="AK231" s="392"/>
      <c r="AL231" s="392"/>
      <c r="AM231" s="392"/>
      <c r="AN231" s="3"/>
      <c r="AO231" s="2"/>
      <c r="AP231" s="3"/>
      <c r="AQ231" s="2"/>
      <c r="AY231" s="392"/>
      <c r="AZ231" s="3"/>
      <c r="BA231" s="2"/>
      <c r="BB231" s="3"/>
      <c r="BC231" s="2"/>
    </row>
    <row r="232" spans="2:55" hidden="1" outlineLevel="1" x14ac:dyDescent="0.2">
      <c r="B232" s="159" t="str">
        <f>VLOOKUP("Total Current Liabilities",Language_Data,Lookup_Column,FALSE)</f>
        <v>Total Current Liabilities</v>
      </c>
      <c r="D232" s="7"/>
      <c r="E232" s="34" t="s">
        <v>495</v>
      </c>
      <c r="F232" s="218" cm="1">
        <f t="array" ref="F232">_xll.SNL.Clients.Office.Excel.Functions.SPG(F$208,$E232,F$209,F$210,"Options:Curr="&amp;$BL$52&amp;",Mag="&amp;$BK$135&amp;",ConvMethod="&amp;$BL$145&amp;",NA=0")</f>
        <v>88657</v>
      </c>
      <c r="G232" s="218"/>
      <c r="H232" s="218"/>
      <c r="I232" s="218" cm="1">
        <f t="array" ref="I232">_xll.SNL.Clients.Office.Excel.Functions.SPG(I$208,$E232,I$209,I$210,"Options:Curr="&amp;$BL$52&amp;",Mag="&amp;$BK$135&amp;",ConvMethod="&amp;$BL$145&amp;",NA=0")</f>
        <v>95082</v>
      </c>
      <c r="J232" s="218" cm="1">
        <f t="array" ref="J232">_xll.SNL.Clients.Office.Excel.Functions.SPG(J$208,$E232,J$209,J$210,"Options:Curr="&amp;$BL$52&amp;",Mag="&amp;$BK$135&amp;",ConvMethod="&amp;$BL$145&amp;",NA=0")</f>
        <v>104149</v>
      </c>
      <c r="K232" s="218" cm="1">
        <f t="array" ref="K232">_xll.SNL.Clients.Office.Excel.Functions.SPG(K$208,$E232,K$209,K$210,"Options:Curr="&amp;$BL$52&amp;",Mag="&amp;$BK$135&amp;",ConvMethod="&amp;$BL$145&amp;",NA=0")</f>
        <v>125286</v>
      </c>
      <c r="L232" s="218" cm="1">
        <f t="array" ref="L232">_xll.SNL.Clients.Office.Excel.Functions.SPG(L$208,$E232,L$209,L$210,"Options:Curr="&amp;$BL$52&amp;",Mag="&amp;$BK$135&amp;",ConvMethod="&amp;$BL$145&amp;",NA=0")</f>
        <v>141218</v>
      </c>
      <c r="M232" s="218" cm="1">
        <f t="array" ref="M232">_xll.SNL.Clients.Office.Excel.Functions.SPG(M$208,$E232,M$209,M$210,"Options:Curr="&amp;$BL$52&amp;",Mag="&amp;$BK$135&amp;",ConvMethod="&amp;$BL$145&amp;",NA=0")</f>
        <v>168825</v>
      </c>
      <c r="N232" s="218"/>
      <c r="O232" s="218"/>
      <c r="P232" s="218"/>
      <c r="Q232" s="218"/>
      <c r="R232" s="218"/>
      <c r="S232" s="7"/>
      <c r="Z232" s="7"/>
      <c r="AA232" s="7"/>
      <c r="AB232" s="7"/>
      <c r="AK232" s="392"/>
      <c r="AL232" s="392"/>
      <c r="AM232" s="392"/>
      <c r="AN232" s="3"/>
      <c r="AO232" s="2"/>
      <c r="AP232" s="3"/>
      <c r="AQ232" s="2"/>
      <c r="AY232" s="392"/>
      <c r="AZ232" s="3"/>
      <c r="BA232" s="2"/>
      <c r="BB232" s="3"/>
      <c r="BC232" s="2"/>
    </row>
    <row r="233" spans="2:55" hidden="1" outlineLevel="1" x14ac:dyDescent="0.2">
      <c r="B233" s="159" t="str">
        <f>VLOOKUP("Short-term Borrowings",Language_Data,Lookup_Column,FALSE)</f>
        <v>Short-term Borrowings</v>
      </c>
      <c r="D233" s="7"/>
      <c r="E233" s="34" t="s">
        <v>513</v>
      </c>
      <c r="F233" s="218" cm="1">
        <f t="array" ref="F233">_xll.SNL.Clients.Office.Excel.Functions.SPG(F$208,$E233,F$209,F$210,"Options:Curr="&amp;$BL$52&amp;",Mag="&amp;$BK$135&amp;",ConvMethod="&amp;$BL$145&amp;",NA=0")</f>
        <v>0</v>
      </c>
      <c r="G233" s="218"/>
      <c r="H233" s="218"/>
      <c r="I233" s="218" cm="1">
        <f t="array" ref="I233">_xll.SNL.Clients.Office.Excel.Functions.SPG(I$208,$E233,I$209,I$210,"Options:Curr="&amp;$BL$52&amp;",Mag="&amp;$BK$135&amp;",ConvMethod="&amp;$BL$145&amp;",NA=0")</f>
        <v>0</v>
      </c>
      <c r="J233" s="218" cm="1">
        <f t="array" ref="J233">_xll.SNL.Clients.Office.Excel.Functions.SPG(J$208,$E233,J$209,J$210,"Options:Curr="&amp;$BL$52&amp;",Mag="&amp;$BK$135&amp;",ConvMethod="&amp;$BL$145&amp;",NA=0")</f>
        <v>0</v>
      </c>
      <c r="K233" s="218" cm="1">
        <f t="array" ref="K233">_xll.SNL.Clients.Office.Excel.Functions.SPG(K$208,$E233,K$209,K$210,"Options:Curr="&amp;$BL$52&amp;",Mag="&amp;$BK$135&amp;",ConvMethod="&amp;$BL$145&amp;",NA=0")</f>
        <v>6693</v>
      </c>
      <c r="L233" s="218" cm="1">
        <f t="array" ref="L233">_xll.SNL.Clients.Office.Excel.Functions.SPG(L$208,$E233,L$209,L$210,"Options:Curr="&amp;$BL$52&amp;",Mag="&amp;$BK$135&amp;",ConvMethod="&amp;$BL$145&amp;",NA=0")</f>
        <v>0</v>
      </c>
      <c r="M233" s="218" cm="1">
        <f t="array" ref="M233">_xll.SNL.Clients.Office.Excel.Functions.SPG(M$208,$E233,M$209,M$210,"Options:Curr="&amp;$BL$52&amp;",Mag="&amp;$BK$135&amp;",ConvMethod="&amp;$BL$145&amp;",NA=0")</f>
        <v>0</v>
      </c>
      <c r="N233" s="218"/>
      <c r="O233" s="218"/>
      <c r="P233" s="218"/>
      <c r="Q233" s="218"/>
      <c r="R233" s="218"/>
      <c r="S233" s="7"/>
      <c r="Z233" s="7"/>
      <c r="AA233" s="7"/>
      <c r="AB233" s="7"/>
      <c r="AK233" s="392"/>
      <c r="AL233" s="392"/>
      <c r="AM233" s="392"/>
      <c r="AN233" s="3"/>
      <c r="AO233" s="2"/>
      <c r="AP233" s="3"/>
      <c r="AQ233" s="2"/>
      <c r="AY233" s="392"/>
      <c r="AZ233" s="3"/>
      <c r="BA233" s="2"/>
      <c r="BB233" s="3"/>
      <c r="BC233" s="2"/>
    </row>
    <row r="234" spans="2:55" hidden="1" outlineLevel="1" x14ac:dyDescent="0.2">
      <c r="B234" s="159" t="str">
        <f>VLOOKUP("Current Portion of Leases",Language_Data,Lookup_Column,FALSE)</f>
        <v>Current Portion of Leases</v>
      </c>
      <c r="D234" s="7"/>
      <c r="E234" s="34" t="s">
        <v>4316</v>
      </c>
      <c r="F234" s="218" cm="1">
        <f t="array" ref="F234">_xll.SNL.Clients.Office.Excel.Functions.SPG(F$208,$E234,F$209,F$210,"Options:Curr="&amp;$BL$52&amp;",Mag="&amp;$BK$135&amp;",ConvMethod="&amp;$BL$145&amp;",NA=0")</f>
        <v>2753</v>
      </c>
      <c r="G234" s="218"/>
      <c r="H234" s="218"/>
      <c r="I234" s="218" cm="1">
        <f t="array" ref="I234">_xll.SNL.Clients.Office.Excel.Functions.SPG(I$208,$E234,I$209,I$210,"Options:Curr="&amp;$BL$52&amp;",Mag="&amp;$BK$135&amp;",ConvMethod="&amp;$BL$145&amp;",NA=0")</f>
        <v>3288</v>
      </c>
      <c r="J234" s="218" cm="1">
        <f t="array" ref="J234">_xll.SNL.Clients.Office.Excel.Functions.SPG(J$208,$E234,J$209,J$210,"Options:Curr="&amp;$BL$52&amp;",Mag="&amp;$BK$135&amp;",ConvMethod="&amp;$BL$145&amp;",NA=0")</f>
        <v>3606</v>
      </c>
      <c r="K234" s="218" cm="1">
        <f t="array" ref="K234">_xll.SNL.Clients.Office.Excel.Functions.SPG(K$208,$E234,K$209,K$210,"Options:Curr="&amp;$BL$52&amp;",Mag="&amp;$BK$135&amp;",ConvMethod="&amp;$BL$145&amp;",NA=0")</f>
        <v>5929</v>
      </c>
      <c r="L234" s="218" cm="1">
        <f t="array" ref="L234">_xll.SNL.Clients.Office.Excel.Functions.SPG(L$208,$E234,L$209,L$210,"Options:Curr="&amp;$BL$52&amp;",Mag="&amp;$BK$135&amp;",ConvMethod="&amp;$BL$145&amp;",NA=0")</f>
        <v>8596</v>
      </c>
      <c r="M234" s="218" cm="1">
        <f t="array" ref="M234">_xll.SNL.Clients.Office.Excel.Functions.SPG(M$208,$E234,M$209,M$210,"Options:Curr="&amp;$BL$52&amp;",Mag="&amp;$BK$135&amp;",ConvMethod="&amp;$BL$145&amp;",NA=0")</f>
        <v>9683</v>
      </c>
      <c r="N234" s="218"/>
      <c r="O234" s="218"/>
      <c r="P234" s="218"/>
      <c r="Q234" s="218"/>
      <c r="R234" s="218"/>
      <c r="S234" s="7"/>
      <c r="Z234" s="7"/>
      <c r="AA234" s="7"/>
      <c r="AB234" s="7"/>
      <c r="AK234" s="392"/>
      <c r="AL234" s="392"/>
      <c r="AM234" s="392"/>
      <c r="AN234" s="3"/>
      <c r="AO234" s="2"/>
      <c r="AP234" s="3"/>
      <c r="AQ234" s="2"/>
      <c r="AY234" s="392"/>
      <c r="AZ234" s="3"/>
      <c r="BA234" s="2"/>
      <c r="BB234" s="3"/>
      <c r="BC234" s="2"/>
    </row>
    <row r="235" spans="2:55" hidden="1" outlineLevel="1" x14ac:dyDescent="0.2">
      <c r="B235" s="159" t="str">
        <f>VLOOKUP("Current Portion of Long Term Debt",Language_Data,Lookup_Column,FALSE)</f>
        <v>Current Portion of Long Term Debt</v>
      </c>
      <c r="D235" s="7"/>
      <c r="E235" s="34" t="s">
        <v>514</v>
      </c>
      <c r="F235" s="218" cm="1">
        <f t="array" ref="F235">_xll.SNL.Clients.Office.Excel.Functions.SPG(F$208,$E235,F$209,F$210,"Options:Curr="&amp;$BL$52&amp;",Mag="&amp;$BK$135&amp;",ConvMethod="&amp;$BL$145&amp;",NA=0")</f>
        <v>8072</v>
      </c>
      <c r="G235" s="218"/>
      <c r="H235" s="218"/>
      <c r="I235" s="218" cm="1">
        <f t="array" ref="I235">_xll.SNL.Clients.Office.Excel.Functions.SPG(I$208,$E235,I$209,I$210,"Options:Curr="&amp;$BL$52&amp;",Mag="&amp;$BK$135&amp;",ConvMethod="&amp;$BL$145&amp;",NA=0")</f>
        <v>2749</v>
      </c>
      <c r="J235" s="218" cm="1">
        <f t="array" ref="J235">_xll.SNL.Clients.Office.Excel.Functions.SPG(J$208,$E235,J$209,J$210,"Options:Curr="&amp;$BL$52&amp;",Mag="&amp;$BK$135&amp;",ConvMethod="&amp;$BL$145&amp;",NA=0")</f>
        <v>5247</v>
      </c>
      <c r="K235" s="218" cm="1">
        <f t="array" ref="K235">_xll.SNL.Clients.Office.Excel.Functions.SPG(K$208,$E235,K$209,K$210,"Options:Curr="&amp;$BL$52&amp;",Mag="&amp;$BK$135&amp;",ConvMethod="&amp;$BL$145&amp;",NA=0")</f>
        <v>2249</v>
      </c>
      <c r="L235" s="218" cm="1">
        <f t="array" ref="L235">_xll.SNL.Clients.Office.Excel.Functions.SPG(L$208,$E235,L$209,L$210,"Options:Curr="&amp;$BL$52&amp;",Mag="&amp;$BK$135&amp;",ConvMethod="&amp;$BL$145&amp;",NA=0")</f>
        <v>2999</v>
      </c>
      <c r="M235" s="218" cm="1">
        <f t="array" ref="M235">_xll.SNL.Clients.Office.Excel.Functions.SPG(M$208,$E235,M$209,M$210,"Options:Curr="&amp;$BL$52&amp;",Mag="&amp;$BK$135&amp;",ConvMethod="&amp;$BL$145&amp;",NA=0")</f>
        <v>9227</v>
      </c>
      <c r="N235" s="218"/>
      <c r="O235" s="218"/>
      <c r="P235" s="218"/>
      <c r="Q235" s="218"/>
      <c r="R235" s="218"/>
      <c r="S235" s="7"/>
      <c r="Z235" s="7"/>
      <c r="AA235" s="7"/>
      <c r="AB235" s="7"/>
      <c r="AK235" s="392"/>
      <c r="AL235" s="392"/>
      <c r="AM235" s="392"/>
      <c r="AN235" s="3"/>
      <c r="AO235" s="2"/>
      <c r="AP235" s="3"/>
      <c r="AQ235" s="2"/>
      <c r="AY235" s="392"/>
      <c r="AZ235" s="3"/>
      <c r="BA235" s="2"/>
      <c r="BB235" s="3"/>
      <c r="BC235" s="2"/>
    </row>
    <row r="236" spans="2:55" collapsed="1" x14ac:dyDescent="0.2">
      <c r="B236" s="7"/>
      <c r="C236" s="144" t="str">
        <f>VLOOKUP("Margin",Language_Data,Lookup_Column,FALSE)</f>
        <v>Margin</v>
      </c>
      <c r="D236" s="7"/>
      <c r="E236" s="96"/>
      <c r="F236" s="166">
        <f>IFERROR(F231/F214,"NA")</f>
        <v>0.31300271286468995</v>
      </c>
      <c r="G236" s="166"/>
      <c r="H236" s="166"/>
      <c r="I236" s="166">
        <f>IFERROR(I231/I214,"NA")</f>
        <v>0.29951076814444949</v>
      </c>
      <c r="J236" s="166">
        <f>IFERROR(J231/J214,"NA")</f>
        <v>0.31235165042587831</v>
      </c>
      <c r="K236" s="166">
        <f>IFERROR(K231/K214,"NA")</f>
        <v>0.30945814737151295</v>
      </c>
      <c r="L236" s="166">
        <f>IFERROR(L231/L214,"NA")</f>
        <v>0.31303687296786925</v>
      </c>
      <c r="M236" s="166">
        <f>IFERROR(M231/M214,"NA")</f>
        <v>0.27891236412838755</v>
      </c>
      <c r="N236" s="166">
        <f>M236</f>
        <v>0.27891236412838755</v>
      </c>
      <c r="O236" s="166">
        <f>N236</f>
        <v>0.27891236412838755</v>
      </c>
      <c r="P236" s="166">
        <f>O236</f>
        <v>0.27891236412838755</v>
      </c>
      <c r="Q236" s="166">
        <f>P236</f>
        <v>0.27891236412838755</v>
      </c>
      <c r="R236" s="166">
        <f>Q236</f>
        <v>0.27891236412838755</v>
      </c>
      <c r="S236" s="7"/>
      <c r="Z236" s="7"/>
      <c r="AA236" s="7"/>
      <c r="AB236" s="7"/>
      <c r="AK236" s="392"/>
      <c r="AL236" s="392"/>
      <c r="AM236" s="392"/>
      <c r="AN236" s="3"/>
      <c r="AO236" s="2"/>
      <c r="AP236" s="3"/>
      <c r="AQ236" s="2"/>
      <c r="AY236" s="392"/>
      <c r="AZ236" s="3"/>
      <c r="BA236" s="2"/>
      <c r="BB236" s="3"/>
      <c r="BC236" s="2"/>
    </row>
    <row r="237" spans="2:55" x14ac:dyDescent="0.2">
      <c r="B237" s="7" t="str">
        <f>VLOOKUP("Total Non-Debt Current Liabilities",Language_Data,Lookup_Column,FALSE)</f>
        <v>Total Non-Debt Current Liabilities</v>
      </c>
      <c r="C237" s="7"/>
      <c r="D237" s="7"/>
      <c r="E237" s="96"/>
      <c r="F237" s="112">
        <f>IF(COUNT(F227,F229,F231)=0,"NA",SUM(F227,F229,F231))</f>
        <v>77832</v>
      </c>
      <c r="G237" s="112"/>
      <c r="H237" s="112"/>
      <c r="I237" s="112">
        <f>IF(COUNT(I227,I229,I231)=0,"NA",SUM(I227,I229,I231))</f>
        <v>89045</v>
      </c>
      <c r="J237" s="112">
        <f t="shared" ref="J237:R237" si="63">IF(COUNT(J227,J229,J231)=0,"NA",SUM(J227,J229,J231))</f>
        <v>95296</v>
      </c>
      <c r="K237" s="112">
        <f t="shared" si="63"/>
        <v>110415</v>
      </c>
      <c r="L237" s="112">
        <f t="shared" si="63"/>
        <v>129623</v>
      </c>
      <c r="M237" s="112">
        <f t="shared" si="63"/>
        <v>149915</v>
      </c>
      <c r="N237" s="112">
        <f t="shared" si="63"/>
        <v>176582.90981599013</v>
      </c>
      <c r="O237" s="112">
        <f t="shared" si="63"/>
        <v>207994.69058521232</v>
      </c>
      <c r="P237" s="112">
        <f t="shared" si="63"/>
        <v>244994.21465372585</v>
      </c>
      <c r="Q237" s="112">
        <f t="shared" si="63"/>
        <v>288575.46817622113</v>
      </c>
      <c r="R237" s="112">
        <f t="shared" si="63"/>
        <v>339909.25439128035</v>
      </c>
      <c r="S237" s="7"/>
      <c r="Z237" s="7"/>
      <c r="AA237" s="7"/>
      <c r="AB237" s="7"/>
      <c r="AK237" s="392"/>
      <c r="AL237" s="392"/>
      <c r="AM237" s="392"/>
      <c r="AN237" s="3"/>
      <c r="AO237" s="2"/>
      <c r="AP237" s="3"/>
      <c r="AQ237" s="2"/>
      <c r="AY237" s="392"/>
      <c r="AZ237" s="3"/>
      <c r="BA237" s="2"/>
      <c r="BB237" s="3"/>
      <c r="BC237" s="2"/>
    </row>
    <row r="238" spans="2:55" x14ac:dyDescent="0.2">
      <c r="B238" s="205"/>
      <c r="C238" s="7"/>
      <c r="D238" s="7"/>
      <c r="E238" s="96"/>
      <c r="F238" s="212"/>
      <c r="G238" s="212"/>
      <c r="H238" s="212"/>
      <c r="I238" s="212"/>
      <c r="J238" s="212"/>
      <c r="K238" s="212"/>
      <c r="L238" s="212"/>
      <c r="M238" s="212"/>
      <c r="N238" s="212"/>
      <c r="O238" s="212"/>
      <c r="P238" s="212"/>
      <c r="Q238" s="212"/>
      <c r="R238" s="212"/>
      <c r="S238" s="7"/>
      <c r="Z238" s="7"/>
      <c r="AA238" s="7"/>
      <c r="AB238" s="7"/>
      <c r="AK238" s="392"/>
      <c r="AL238" s="392"/>
      <c r="AM238" s="392"/>
      <c r="AN238" s="3"/>
      <c r="AO238" s="2"/>
      <c r="AP238" s="3"/>
      <c r="AQ238" s="2"/>
      <c r="AY238" s="392"/>
      <c r="AZ238" s="3"/>
      <c r="BA238" s="2"/>
      <c r="BB238" s="3"/>
      <c r="BC238" s="2"/>
    </row>
    <row r="239" spans="2:55" x14ac:dyDescent="0.2">
      <c r="B239" s="204" t="str">
        <f>VLOOKUP("Net Working Capital/(Deficit)",Language_Data,Lookup_Column,FALSE)</f>
        <v>Net Working Capital/(Deficit)</v>
      </c>
      <c r="C239" s="7"/>
      <c r="D239" s="7"/>
      <c r="E239" s="96"/>
      <c r="F239" s="160">
        <f>IFERROR(SUM(F225)-SUM(F237),"NA")</f>
        <v>-23682</v>
      </c>
      <c r="G239" s="160"/>
      <c r="H239" s="160"/>
      <c r="I239" s="112">
        <f t="shared" ref="I239:R239" si="64">IFERROR(SUM(I225)-SUM(I237),"NA")</f>
        <v>-24110</v>
      </c>
      <c r="J239" s="112">
        <f t="shared" si="64"/>
        <v>-22295</v>
      </c>
      <c r="K239" s="112">
        <f t="shared" si="64"/>
        <v>-26212</v>
      </c>
      <c r="L239" s="112">
        <f t="shared" si="64"/>
        <v>-33057</v>
      </c>
      <c r="M239" s="112">
        <f t="shared" si="64"/>
        <v>-19048</v>
      </c>
      <c r="N239" s="112">
        <f t="shared" si="64"/>
        <v>-22436.389061634807</v>
      </c>
      <c r="O239" s="112">
        <f t="shared" si="64"/>
        <v>-26427.528041004058</v>
      </c>
      <c r="P239" s="112">
        <f t="shared" si="64"/>
        <v>-31128.638233159931</v>
      </c>
      <c r="Q239" s="112">
        <f t="shared" si="64"/>
        <v>-36666.014193514013</v>
      </c>
      <c r="R239" s="112">
        <f t="shared" si="64"/>
        <v>-43188.4166203856</v>
      </c>
      <c r="S239" s="7"/>
      <c r="Z239" s="7"/>
      <c r="AA239" s="7"/>
      <c r="AB239" s="7"/>
      <c r="AK239" s="392"/>
      <c r="AL239" s="392"/>
      <c r="AM239" s="392"/>
      <c r="AN239" s="3"/>
      <c r="AO239" s="2"/>
      <c r="AP239" s="3"/>
      <c r="AQ239" s="2"/>
      <c r="AY239" s="392"/>
      <c r="AZ239" s="3"/>
      <c r="BA239" s="2"/>
      <c r="BB239" s="3"/>
      <c r="BC239" s="2"/>
    </row>
    <row r="240" spans="2:55" x14ac:dyDescent="0.2">
      <c r="B240" s="205"/>
      <c r="C240" s="7"/>
      <c r="D240" s="7"/>
      <c r="E240" s="96"/>
      <c r="F240" s="160"/>
      <c r="G240" s="160"/>
      <c r="H240" s="160"/>
      <c r="I240" s="160"/>
      <c r="J240" s="160"/>
      <c r="K240" s="160"/>
      <c r="L240" s="160"/>
      <c r="M240" s="160"/>
      <c r="N240" s="160"/>
      <c r="O240" s="160"/>
      <c r="P240" s="160"/>
      <c r="Q240" s="160"/>
      <c r="R240" s="160"/>
      <c r="S240" s="7"/>
      <c r="Z240" s="7"/>
      <c r="AA240" s="7"/>
      <c r="AB240" s="7"/>
      <c r="AK240" s="392"/>
      <c r="AL240" s="392"/>
      <c r="AM240" s="392"/>
      <c r="AN240" s="3"/>
      <c r="AO240" s="2"/>
      <c r="AP240" s="3"/>
      <c r="AQ240" s="2"/>
      <c r="AY240" s="392"/>
      <c r="AZ240" s="3"/>
      <c r="BA240" s="2"/>
      <c r="BB240" s="3"/>
      <c r="BC240" s="2"/>
    </row>
    <row r="241" spans="2:55" ht="10.5" x14ac:dyDescent="0.25">
      <c r="B241" s="138" t="str">
        <f>VLOOKUP("(Increase) / Decrease in Working Capital",Language_Data,Lookup_Column,FALSE)</f>
        <v>(Increase) / Decrease in Working Capital</v>
      </c>
      <c r="C241" s="8"/>
      <c r="D241" s="8"/>
      <c r="E241" s="262"/>
      <c r="F241" s="238"/>
      <c r="G241" s="238"/>
      <c r="H241" s="238"/>
      <c r="I241" s="257">
        <f>IFERROR(SUM(F239)-SUM(I239),"NA")</f>
        <v>428</v>
      </c>
      <c r="J241" s="257">
        <f t="shared" ref="J241:R241" si="65">IFERROR(SUM(I239)-SUM(J239),"NA")</f>
        <v>-1815</v>
      </c>
      <c r="K241" s="257">
        <f t="shared" si="65"/>
        <v>3917</v>
      </c>
      <c r="L241" s="257">
        <f t="shared" si="65"/>
        <v>6845</v>
      </c>
      <c r="M241" s="257">
        <f t="shared" si="65"/>
        <v>-14009</v>
      </c>
      <c r="N241" s="257">
        <f t="shared" si="65"/>
        <v>3388.3890616348071</v>
      </c>
      <c r="O241" s="257">
        <f t="shared" si="65"/>
        <v>3991.1389793692506</v>
      </c>
      <c r="P241" s="257">
        <f t="shared" si="65"/>
        <v>4701.1101921558729</v>
      </c>
      <c r="Q241" s="257">
        <f t="shared" si="65"/>
        <v>5537.3759603540821</v>
      </c>
      <c r="R241" s="257">
        <f t="shared" si="65"/>
        <v>6522.4024268715875</v>
      </c>
      <c r="S241" s="8"/>
      <c r="Z241" s="7"/>
      <c r="AA241" s="7"/>
      <c r="AB241" s="7"/>
      <c r="AK241" s="392"/>
      <c r="AL241" s="392"/>
      <c r="AM241" s="392"/>
      <c r="AN241" s="3"/>
      <c r="AO241" s="2"/>
      <c r="AP241" s="3"/>
      <c r="AQ241" s="2"/>
      <c r="AY241" s="392"/>
      <c r="AZ241" s="3"/>
      <c r="BA241" s="2"/>
      <c r="BB241" s="3"/>
      <c r="BC241" s="2"/>
    </row>
    <row r="242" spans="2:55" x14ac:dyDescent="0.2">
      <c r="B242" s="69"/>
      <c r="C242" s="69"/>
      <c r="D242" s="69"/>
      <c r="E242" s="69"/>
      <c r="F242" s="69"/>
      <c r="G242" s="69"/>
      <c r="H242" s="69"/>
      <c r="I242" s="69"/>
      <c r="J242" s="69"/>
      <c r="K242" s="69"/>
      <c r="L242" s="69"/>
      <c r="M242" s="69"/>
      <c r="N242" s="69"/>
      <c r="O242" s="69"/>
      <c r="P242" s="69"/>
      <c r="Q242" s="69"/>
      <c r="R242" s="69"/>
      <c r="S242" s="69"/>
      <c r="T242" s="7"/>
      <c r="U242" s="7"/>
      <c r="V242" s="7"/>
      <c r="W242" s="7"/>
      <c r="X242" s="7"/>
      <c r="Y242" s="7"/>
      <c r="Z242" s="7"/>
      <c r="AA242" s="7"/>
      <c r="AB242" s="7"/>
      <c r="AK242" s="392"/>
      <c r="AL242" s="392"/>
      <c r="AM242" s="392"/>
      <c r="AN242" s="3"/>
      <c r="AO242" s="2"/>
      <c r="AP242" s="3"/>
      <c r="AQ242" s="2"/>
      <c r="AY242" s="392"/>
      <c r="AZ242" s="3"/>
      <c r="BA242" s="2"/>
      <c r="BB242" s="3"/>
      <c r="BC242" s="2"/>
    </row>
    <row r="243" spans="2:55" ht="10.5" x14ac:dyDescent="0.25">
      <c r="B243" s="7" t="str">
        <f>VLOOKUP("Source: S&amp;P Capital IQ Pro",Language_Data,Lookup_Column,FALSE)</f>
        <v>Source: S&amp;P Capital IQ Pro</v>
      </c>
      <c r="C243" s="7"/>
      <c r="D243" s="7"/>
      <c r="E243" s="7"/>
      <c r="F243" s="7"/>
      <c r="G243" s="7"/>
      <c r="H243" s="7"/>
      <c r="I243" s="7"/>
      <c r="J243" s="7"/>
      <c r="K243" s="7"/>
      <c r="L243" s="7"/>
      <c r="M243" s="7"/>
      <c r="N243" s="7"/>
      <c r="O243" s="7"/>
      <c r="P243" s="7"/>
      <c r="Q243" s="7"/>
      <c r="R243" s="7"/>
      <c r="S243" s="7"/>
      <c r="T243" s="7"/>
      <c r="U243" s="7"/>
      <c r="V243" s="7"/>
      <c r="W243" s="7"/>
      <c r="X243" s="7"/>
      <c r="Y243" s="7"/>
      <c r="Z243" s="8"/>
      <c r="AA243" s="7"/>
      <c r="AB243" s="7"/>
      <c r="AK243" s="392"/>
      <c r="AL243" s="392"/>
      <c r="AM243" s="392"/>
      <c r="AN243" s="3"/>
      <c r="AO243" s="2"/>
      <c r="AP243" s="3"/>
      <c r="AQ243" s="2"/>
      <c r="AY243" s="392"/>
      <c r="AZ243" s="3"/>
      <c r="BA243" s="2"/>
      <c r="BB243" s="3"/>
      <c r="BC243" s="2"/>
    </row>
    <row r="244" spans="2:55" ht="11.25" customHeight="1" x14ac:dyDescent="0.2">
      <c r="B244" s="326" t="str" cm="1">
        <f t="array" ref="B244">VLOOKUP("Copyright © ",Language_Data,Lookup_Column,FALSE)&amp;YEAR(_xll.SNL.Clients.Office.Excel.Functions.SPGDATE())&amp;" "&amp;VLOOKUP("S&amp;P Global Market Intelligence LLC (and its affiliates as applicable) – All rights reserved.",Language_Data,Lookup_Column,FALSE)&amp;" "&amp;VLOOKUP("This model and/or any data in it are provided subject to the written agreement of S&amp;P Global Market Intelligence LLC governing the subscription service to which this model is applied.",Language_Data,Lookup_Column,FALSE)</f>
        <v>Copyright © 2026 S&amp;P Global Market Intelligence LLC (and its affiliates as applicable) – All rights reserved. This model and/or any data in it are provided subject to the written agreement of S&amp;P Global Market Intelligence LLC governing the subscription service to which this model is applied.</v>
      </c>
      <c r="C244" s="226"/>
      <c r="D244" s="226"/>
      <c r="E244" s="226"/>
      <c r="F244" s="226"/>
      <c r="G244" s="226"/>
      <c r="H244" s="226"/>
      <c r="I244" s="226"/>
      <c r="J244" s="226"/>
      <c r="K244" s="226"/>
      <c r="L244" s="226"/>
      <c r="M244" s="226"/>
      <c r="N244" s="226"/>
      <c r="O244" s="226"/>
      <c r="P244" s="226"/>
      <c r="Q244" s="226"/>
      <c r="R244" s="226"/>
      <c r="S244" s="226"/>
      <c r="T244" s="226"/>
      <c r="U244" s="226"/>
      <c r="V244" s="226"/>
      <c r="W244" s="226"/>
      <c r="X244" s="226"/>
      <c r="Y244" s="226"/>
      <c r="Z244" s="7"/>
      <c r="AA244" s="7"/>
      <c r="AB244" s="7"/>
      <c r="AK244" s="392"/>
      <c r="AL244" s="392"/>
      <c r="AM244" s="392"/>
      <c r="AN244" s="3"/>
      <c r="AO244" s="2"/>
      <c r="AP244" s="3"/>
      <c r="AQ244" s="2"/>
      <c r="AY244" s="392"/>
      <c r="AZ244" s="3"/>
      <c r="BA244" s="2"/>
      <c r="BB244" s="3"/>
      <c r="BC244" s="2"/>
    </row>
    <row r="245" spans="2:55" x14ac:dyDescent="0.2">
      <c r="B245" s="7"/>
      <c r="C245" s="7"/>
      <c r="D245" s="7"/>
      <c r="E245" s="7"/>
      <c r="F245" s="7"/>
      <c r="G245" s="7"/>
      <c r="H245" s="7"/>
      <c r="I245" s="7"/>
      <c r="J245" s="7"/>
      <c r="K245" s="7"/>
      <c r="L245" s="7"/>
      <c r="M245" s="7"/>
      <c r="N245" s="7"/>
      <c r="O245" s="7"/>
      <c r="P245" s="7"/>
      <c r="Q245" s="7"/>
      <c r="R245" s="7"/>
      <c r="S245" s="7"/>
      <c r="T245" s="7"/>
      <c r="U245" s="7"/>
      <c r="V245" s="7"/>
      <c r="W245" s="7"/>
      <c r="X245" s="7"/>
      <c r="Y245" s="7"/>
      <c r="Z245" s="7"/>
      <c r="AA245" s="7"/>
      <c r="AB245" s="7"/>
      <c r="AK245" s="392"/>
      <c r="AL245" s="392"/>
      <c r="AM245" s="392"/>
      <c r="AN245" s="3"/>
      <c r="AO245" s="2"/>
      <c r="AP245" s="3"/>
      <c r="AQ245" s="2"/>
      <c r="AY245" s="392"/>
      <c r="AZ245" s="3"/>
      <c r="BA245" s="2"/>
      <c r="BB245" s="3"/>
      <c r="BC245" s="2"/>
    </row>
    <row r="246" spans="2:55" x14ac:dyDescent="0.2">
      <c r="AK246" s="392"/>
      <c r="AL246" s="392"/>
      <c r="AM246" s="392"/>
      <c r="AN246" s="3"/>
      <c r="AO246" s="2"/>
      <c r="AP246" s="3"/>
      <c r="AQ246" s="2"/>
      <c r="AY246" s="392"/>
      <c r="AZ246" s="3"/>
      <c r="BA246" s="2"/>
      <c r="BB246" s="3"/>
      <c r="BC246" s="2"/>
    </row>
    <row r="247" spans="2:55" x14ac:dyDescent="0.2">
      <c r="AK247" s="392"/>
      <c r="AL247" s="392"/>
      <c r="AM247" s="392"/>
      <c r="AN247" s="3"/>
      <c r="AO247" s="2"/>
      <c r="AP247" s="3"/>
      <c r="AQ247" s="2"/>
      <c r="AY247" s="392"/>
      <c r="AZ247" s="3"/>
      <c r="BA247" s="2"/>
      <c r="BB247" s="3"/>
      <c r="BC247" s="2"/>
    </row>
    <row r="248" spans="2:55" x14ac:dyDescent="0.2">
      <c r="AK248" s="392"/>
      <c r="AL248" s="392"/>
      <c r="AM248" s="392"/>
      <c r="AN248" s="3"/>
      <c r="AO248" s="2"/>
      <c r="AP248" s="3"/>
      <c r="AQ248" s="2"/>
      <c r="AY248" s="392"/>
      <c r="AZ248" s="3"/>
      <c r="BA248" s="2"/>
      <c r="BB248" s="3"/>
      <c r="BC248" s="2"/>
    </row>
    <row r="249" spans="2:55" ht="10.5" hidden="1" outlineLevel="1" x14ac:dyDescent="0.25">
      <c r="B249" s="30"/>
      <c r="G249" s="216" t="str">
        <f>H249</f>
        <v>MSFT</v>
      </c>
      <c r="H249" s="216" t="str">
        <f t="shared" ref="H249:M250" si="66">H99</f>
        <v>MSFT</v>
      </c>
      <c r="I249" s="216" t="str">
        <f t="shared" si="66"/>
        <v>MSFT</v>
      </c>
      <c r="J249" s="216" t="str">
        <f t="shared" si="66"/>
        <v>MSFT</v>
      </c>
      <c r="K249" s="216" t="str">
        <f t="shared" si="66"/>
        <v>MSFT</v>
      </c>
      <c r="L249" s="216" t="str">
        <f t="shared" si="66"/>
        <v>MSFT</v>
      </c>
      <c r="M249" s="216" t="str">
        <f t="shared" si="66"/>
        <v>MSFT</v>
      </c>
      <c r="AK249" s="392"/>
      <c r="AL249" s="392"/>
      <c r="AM249" s="392"/>
      <c r="AN249" s="3"/>
      <c r="AO249" s="2"/>
      <c r="AP249" s="3"/>
      <c r="AQ249" s="2"/>
      <c r="AY249" s="392"/>
      <c r="AZ249" s="3"/>
      <c r="BA249" s="2"/>
      <c r="BB249" s="3"/>
      <c r="BC249" s="2"/>
    </row>
    <row r="250" spans="2:55" hidden="1" outlineLevel="1" x14ac:dyDescent="0.2">
      <c r="G250" s="215" t="s">
        <v>4317</v>
      </c>
      <c r="H250" s="215" t="str">
        <f t="shared" si="66"/>
        <v>FY-5</v>
      </c>
      <c r="I250" s="215" t="str">
        <f t="shared" si="66"/>
        <v>FY-4</v>
      </c>
      <c r="J250" s="215" t="str">
        <f t="shared" si="66"/>
        <v>FY-3</v>
      </c>
      <c r="K250" s="215" t="str">
        <f t="shared" si="66"/>
        <v>FY-2</v>
      </c>
      <c r="L250" s="215" t="str">
        <f t="shared" si="66"/>
        <v>FY-1</v>
      </c>
      <c r="M250" s="216" t="str">
        <f t="shared" si="66"/>
        <v>FY0</v>
      </c>
      <c r="AK250" s="392"/>
      <c r="AL250" s="392"/>
      <c r="AM250" s="392"/>
      <c r="AN250" s="3"/>
      <c r="AO250" s="2"/>
      <c r="AP250" s="3"/>
      <c r="AQ250" s="2"/>
      <c r="AY250" s="392"/>
      <c r="AZ250" s="3"/>
      <c r="BA250" s="2"/>
      <c r="BB250" s="3"/>
      <c r="BC250" s="2"/>
    </row>
    <row r="251" spans="2:55" hidden="1" outlineLevel="1" x14ac:dyDescent="0.2">
      <c r="G251" s="31">
        <f t="shared" ref="G251:M251" si="67">$L$15</f>
        <v>46251</v>
      </c>
      <c r="H251" s="31">
        <f t="shared" si="67"/>
        <v>46251</v>
      </c>
      <c r="I251" s="31">
        <f t="shared" si="67"/>
        <v>46251</v>
      </c>
      <c r="J251" s="31">
        <f t="shared" si="67"/>
        <v>46251</v>
      </c>
      <c r="K251" s="31">
        <f t="shared" si="67"/>
        <v>46251</v>
      </c>
      <c r="L251" s="31">
        <f t="shared" si="67"/>
        <v>46251</v>
      </c>
      <c r="M251" s="31">
        <f t="shared" si="67"/>
        <v>46251</v>
      </c>
      <c r="AK251" s="392"/>
      <c r="AL251" s="392"/>
      <c r="AM251" s="392"/>
      <c r="AN251" s="3"/>
      <c r="AO251" s="2"/>
      <c r="AP251" s="3"/>
      <c r="AQ251" s="2"/>
      <c r="AY251" s="392"/>
      <c r="AZ251" s="3"/>
      <c r="BA251" s="2"/>
      <c r="BB251" s="3"/>
      <c r="BC251" s="2"/>
    </row>
    <row r="252" spans="2:55" hidden="1" outlineLevel="1" x14ac:dyDescent="0.2">
      <c r="B252" t="s">
        <v>400</v>
      </c>
      <c r="E252" s="34" t="s">
        <v>488</v>
      </c>
      <c r="F252" s="6"/>
      <c r="G252" s="6" cm="1">
        <f t="array" ref="G252">_xll.SNL.Clients.Office.Excel.Functions.SPG(G$249,$E252,G$250,G$251,"Options:Curr="&amp;$BL$52&amp;",Mag="&amp;$BK$135&amp;",ConvMethod="&amp;$BL$145&amp;",NA=0")</f>
        <v>65259</v>
      </c>
      <c r="H252" s="6" cm="1">
        <f t="array" ref="H252">_xll.SNL.Clients.Office.Excel.Functions.SPG(H$249,$E252,H$250,H$251,"Options:Curr="&amp;$BL$52&amp;",Mag="&amp;$BK$135&amp;",ConvMethod="&amp;$BL$145&amp;",NA=0")</f>
        <v>80816</v>
      </c>
      <c r="I252" s="6" cm="1">
        <f t="array" ref="I252">_xll.SNL.Clients.Office.Excel.Functions.SPG(I$249,$E252,I$250,I$251,"Options:Curr="&amp;$BL$52&amp;",Mag="&amp;$BK$135&amp;",ConvMethod="&amp;$BL$145&amp;",NA=0")</f>
        <v>97983</v>
      </c>
      <c r="J252" s="6" cm="1">
        <f t="array" ref="J252">_xll.SNL.Clients.Office.Excel.Functions.SPG(J$249,$E252,J$250,J$251,"Options:Curr="&amp;$BL$52&amp;",Mag="&amp;$BK$135&amp;",ConvMethod="&amp;$BL$145&amp;",NA=0")</f>
        <v>102023</v>
      </c>
      <c r="K252" s="6" cm="1">
        <f t="array" ref="K252">_xll.SNL.Clients.Office.Excel.Functions.SPG(K$249,$E252,K$250,K$251,"Options:Curr="&amp;$BL$52&amp;",Mag="&amp;$BK$135&amp;",ConvMethod="&amp;$BL$145&amp;",NA=0")</f>
        <v>129433</v>
      </c>
      <c r="L252" s="6" cm="1">
        <f t="array" ref="L252">_xll.SNL.Clients.Office.Excel.Functions.SPG(L$249,$E252,L$250,L$251,"Options:Curr="&amp;$BL$52&amp;",Mag="&amp;$BK$135&amp;",ConvMethod="&amp;$BL$145&amp;",NA=0")</f>
        <v>156528</v>
      </c>
      <c r="M252" s="6" cm="1">
        <f t="array" ref="M252">_xll.SNL.Clients.Office.Excel.Functions.SPG(M$249,$E252,M$250,M$251,"Options:Curr="&amp;$BL$52&amp;",Mag="&amp;$BK$135&amp;",ConvMethod="&amp;$BL$145&amp;",NA=0")</f>
        <v>194237</v>
      </c>
      <c r="AK252" s="392"/>
      <c r="AL252" s="392"/>
      <c r="AM252" s="392"/>
      <c r="AN252" s="3"/>
      <c r="AO252" s="2"/>
      <c r="AP252" s="3"/>
      <c r="AQ252" s="2"/>
      <c r="AY252" s="392"/>
      <c r="AZ252" s="3"/>
      <c r="BA252" s="2"/>
      <c r="BB252" s="3"/>
      <c r="BC252" s="2"/>
    </row>
    <row r="253" spans="2:55" hidden="1" outlineLevel="1" x14ac:dyDescent="0.2">
      <c r="B253" t="s">
        <v>403</v>
      </c>
      <c r="E253" s="34" t="s">
        <v>4206</v>
      </c>
      <c r="F253" s="6"/>
      <c r="G253" s="6" cm="1">
        <f t="array" ref="G253">_xll.SNL.Clients.Office.Excel.Functions.SPG(G$249,$E253,G$250,G$251,"Options:Curr="&amp;$BL$52&amp;",Mag="&amp;$BK$135&amp;",ConvMethod="&amp;$BL$145&amp;",NA=0")</f>
        <v>52959</v>
      </c>
      <c r="H253" s="6" cm="1">
        <f t="array" ref="H253">_xll.SNL.Clients.Office.Excel.Functions.SPG(H$249,$E253,H$250,H$251,"Options:Curr="&amp;$BL$52&amp;",Mag="&amp;$BK$135&amp;",ConvMethod="&amp;$BL$145&amp;",NA=0")</f>
        <v>69916</v>
      </c>
      <c r="I253" s="6" cm="1">
        <f t="array" ref="I253">_xll.SNL.Clients.Office.Excel.Functions.SPG(I$249,$E253,I$250,I$251,"Options:Curr="&amp;$BL$52&amp;",Mag="&amp;$BK$135&amp;",ConvMethod="&amp;$BL$145&amp;",NA=0")</f>
        <v>83383</v>
      </c>
      <c r="J253" s="6" cm="1">
        <f t="array" ref="J253">_xll.SNL.Clients.Office.Excel.Functions.SPG(J$249,$E253,J$250,J$251,"Options:Curr="&amp;$BL$52&amp;",Mag="&amp;$BK$135&amp;",ConvMethod="&amp;$BL$145&amp;",NA=0")</f>
        <v>88523</v>
      </c>
      <c r="K253" s="6" cm="1">
        <f t="array" ref="K253">_xll.SNL.Clients.Office.Excel.Functions.SPG(K$249,$E253,K$250,K$251,"Options:Curr="&amp;$BL$52&amp;",Mag="&amp;$BK$135&amp;",ConvMethod="&amp;$BL$145&amp;",NA=0")</f>
        <v>109433</v>
      </c>
      <c r="L253" s="6" cm="1">
        <f t="array" ref="L253">_xll.SNL.Clients.Office.Excel.Functions.SPG(L$249,$E253,L$250,L$251,"Options:Curr="&amp;$BL$52&amp;",Mag="&amp;$BK$135&amp;",ConvMethod="&amp;$BL$145&amp;",NA=0")</f>
        <v>128528</v>
      </c>
      <c r="M253" s="6" cm="1">
        <f t="array" ref="M253">_xll.SNL.Clients.Office.Excel.Functions.SPG(M$249,$E253,M$250,M$251,"Options:Curr="&amp;$BL$52&amp;",Mag="&amp;$BK$135&amp;",ConvMethod="&amp;$BL$145&amp;",NA=0")</f>
        <v>155237</v>
      </c>
      <c r="AK253" s="392"/>
      <c r="AL253" s="392"/>
      <c r="AM253" s="392"/>
      <c r="AN253" s="3"/>
      <c r="AO253" s="2"/>
      <c r="AP253" s="3"/>
      <c r="AQ253" s="2"/>
      <c r="AY253" s="392"/>
      <c r="AZ253" s="3"/>
      <c r="BA253" s="2"/>
      <c r="BB253" s="3"/>
      <c r="BC253" s="2"/>
    </row>
    <row r="254" spans="2:55" hidden="1" outlineLevel="1" x14ac:dyDescent="0.2">
      <c r="B254" t="s">
        <v>4180</v>
      </c>
      <c r="E254" s="34" t="s">
        <v>4177</v>
      </c>
      <c r="F254" s="6"/>
      <c r="G254" s="6" cm="1">
        <f t="array" ref="G254">_xll.SNL.Clients.Office.Excel.Functions.SPG(G$249,$E254,G$250,G$251,"Options:Curr="&amp;$BL$52&amp;",Mag="&amp;$BK$135&amp;",ConvMethod="&amp;$BL$145&amp;",NA=0")</f>
        <v>2043</v>
      </c>
      <c r="H254" s="6" cm="1">
        <f t="array" ref="H254">_xll.SNL.Clients.Office.Excel.Functions.SPG(H$249,$E254,H$250,H$251,"Options:Curr="&amp;$BL$52&amp;",Mag="&amp;$BK$135&amp;",ConvMethod="&amp;$BL$145&amp;",NA=0")</f>
        <v>2127</v>
      </c>
      <c r="I254" s="6" cm="1">
        <f t="array" ref="I254">_xll.SNL.Clients.Office.Excel.Functions.SPG(I$249,$E254,I$250,I$251,"Options:Curr="&amp;$BL$52&amp;",Mag="&amp;$BK$135&amp;",ConvMethod="&amp;$BL$145&amp;",NA=0")</f>
        <v>2461</v>
      </c>
      <c r="J254" s="6" cm="1">
        <f t="array" ref="J254">_xll.SNL.Clients.Office.Excel.Functions.SPG(J$249,$E254,J$250,J$251,"Options:Curr="&amp;$BL$52&amp;",Mag="&amp;$BK$135&amp;",ConvMethod="&amp;$BL$145&amp;",NA=0")</f>
        <v>2875</v>
      </c>
      <c r="K254" s="6" cm="1">
        <f t="array" ref="K254">_xll.SNL.Clients.Office.Excel.Functions.SPG(K$249,$E254,K$250,K$251,"Options:Curr="&amp;$BL$52&amp;",Mag="&amp;$BK$135&amp;",ConvMethod="&amp;$BL$145&amp;",NA=0")</f>
        <v>3555</v>
      </c>
      <c r="L254" s="6" cm="1">
        <f t="array" ref="L254">_xll.SNL.Clients.Office.Excel.Functions.SPG(L$249,$E254,L$250,L$251,"Options:Curr="&amp;$BL$52&amp;",Mag="&amp;$BK$135&amp;",ConvMethod="&amp;$BL$145&amp;",NA=0")</f>
        <v>5524</v>
      </c>
      <c r="M254" s="6" cm="1">
        <f t="array" ref="M254">_xll.SNL.Clients.Office.Excel.Functions.SPG(M$249,$E254,M$250,M$251,"Options:Curr="&amp;$BL$52&amp;",Mag="&amp;$BK$135&amp;",ConvMethod="&amp;$BL$145&amp;",NA=0")</f>
        <v>6968</v>
      </c>
      <c r="AK254" s="392"/>
      <c r="AL254" s="392"/>
      <c r="AM254" s="392"/>
      <c r="AN254" s="3"/>
      <c r="AO254" s="2"/>
      <c r="AP254" s="3"/>
      <c r="AQ254" s="2"/>
      <c r="AY254" s="392"/>
      <c r="AZ254" s="3"/>
      <c r="BA254" s="2"/>
      <c r="BB254" s="3"/>
      <c r="BC254" s="2"/>
    </row>
    <row r="255" spans="2:55" hidden="1" outlineLevel="1" x14ac:dyDescent="0.2">
      <c r="B255" t="s">
        <v>4181</v>
      </c>
      <c r="E255" s="34" t="s">
        <v>501</v>
      </c>
      <c r="G255" s="6" cm="1">
        <f t="array" ref="G255">_xll.SNL.Clients.Office.Excel.Functions.SPG(G$249,$E255,G$250,G$251,"Options:Curr="&amp;$BL$52&amp;",Mag="&amp;$BK$135&amp;",ConvMethod="&amp;$BL$145&amp;",NA=0")</f>
        <v>-15441</v>
      </c>
      <c r="H255" s="6" cm="1">
        <f t="array" ref="H255">_xll.SNL.Clients.Office.Excel.Functions.SPG(H$249,$E255,H$250,H$251,"Options:Curr="&amp;$BL$52&amp;",Mag="&amp;$BK$135&amp;",ConvMethod="&amp;$BL$145&amp;",NA=0")</f>
        <v>-20622</v>
      </c>
      <c r="I255" s="6" cm="1">
        <f t="array" ref="I255">_xll.SNL.Clients.Office.Excel.Functions.SPG(I$249,$E255,I$250,I$251,"Options:Curr="&amp;$BL$52&amp;",Mag="&amp;$BK$135&amp;",ConvMethod="&amp;$BL$145&amp;",NA=0")</f>
        <v>-23886</v>
      </c>
      <c r="J255" s="6" cm="1">
        <f t="array" ref="J255">_xll.SNL.Clients.Office.Excel.Functions.SPG(J$249,$E255,J$250,J$251,"Options:Curr="&amp;$BL$52&amp;",Mag="&amp;$BK$135&amp;",ConvMethod="&amp;$BL$145&amp;",NA=0")</f>
        <v>-28107</v>
      </c>
      <c r="K255" s="6" cm="1">
        <f t="array" ref="K255">_xll.SNL.Clients.Office.Excel.Functions.SPG(K$249,$E255,K$250,K$251,"Options:Curr="&amp;$BL$52&amp;",Mag="&amp;$BK$135&amp;",ConvMethod="&amp;$BL$145&amp;",NA=0")</f>
        <v>-44477</v>
      </c>
      <c r="L255" s="6" cm="1">
        <f t="array" ref="L255">_xll.SNL.Clients.Office.Excel.Functions.SPG(L$249,$E255,L$250,L$251,"Options:Curr="&amp;$BL$52&amp;",Mag="&amp;$BK$135&amp;",ConvMethod="&amp;$BL$145&amp;",NA=0")</f>
        <v>-64551</v>
      </c>
      <c r="M255" s="6" cm="1">
        <f t="array" ref="M255">_xll.SNL.Clients.Office.Excel.Functions.SPG(M$249,$E255,M$250,M$251,"Options:Curr="&amp;$BL$52&amp;",Mag="&amp;$BK$135&amp;",ConvMethod="&amp;$BL$145&amp;",NA=0")</f>
        <v>-115948</v>
      </c>
      <c r="AK255" s="392"/>
      <c r="AL255" s="392"/>
      <c r="AM255" s="392"/>
      <c r="AN255" s="3"/>
      <c r="AO255" s="2"/>
      <c r="AP255" s="3"/>
      <c r="AQ255" s="2"/>
      <c r="AY255" s="392"/>
      <c r="AZ255" s="3"/>
      <c r="BA255" s="2"/>
      <c r="BB255" s="3"/>
      <c r="BC255" s="2"/>
    </row>
    <row r="256" spans="2:55" hidden="1" outlineLevel="1" x14ac:dyDescent="0.2">
      <c r="B256" t="s">
        <v>4182</v>
      </c>
      <c r="E256" s="34" t="s">
        <v>4178</v>
      </c>
      <c r="G256" s="6" cm="1">
        <f t="array" ref="G256">_xll.SNL.Clients.Office.Excel.Functions.SPG(G$249,$E256,G$250,G$251,"Options:Curr="&amp;$BL$52&amp;",Mag="&amp;$BK$135&amp;",ConvMethod="&amp;$BL$145&amp;",NA=0")</f>
        <v>0</v>
      </c>
      <c r="H256" s="6" cm="1">
        <f t="array" ref="H256">_xll.SNL.Clients.Office.Excel.Functions.SPG(H$249,$E256,H$250,H$251,"Options:Curr="&amp;$BL$52&amp;",Mag="&amp;$BK$135&amp;",ConvMethod="&amp;$BL$145&amp;",NA=0")</f>
        <v>0</v>
      </c>
      <c r="I256" s="6" cm="1">
        <f t="array" ref="I256">_xll.SNL.Clients.Office.Excel.Functions.SPG(I$249,$E256,I$250,I$251,"Options:Curr="&amp;$BL$52&amp;",Mag="&amp;$BK$135&amp;",ConvMethod="&amp;$BL$145&amp;",NA=0")</f>
        <v>0</v>
      </c>
      <c r="J256" s="6" cm="1">
        <f t="array" ref="J256">_xll.SNL.Clients.Office.Excel.Functions.SPG(J$249,$E256,J$250,J$251,"Options:Curr="&amp;$BL$52&amp;",Mag="&amp;$BK$135&amp;",ConvMethod="&amp;$BL$145&amp;",NA=0")</f>
        <v>0</v>
      </c>
      <c r="K256" s="6" cm="1">
        <f t="array" ref="K256">_xll.SNL.Clients.Office.Excel.Functions.SPG(K$249,$E256,K$250,K$251,"Options:Curr="&amp;$BL$52&amp;",Mag="&amp;$BK$135&amp;",ConvMethod="&amp;$BL$145&amp;",NA=0")</f>
        <v>0</v>
      </c>
      <c r="L256" s="6" cm="1">
        <f t="array" ref="L256">_xll.SNL.Clients.Office.Excel.Functions.SPG(L$249,$E256,L$250,L$251,"Options:Curr="&amp;$BL$52&amp;",Mag="&amp;$BK$135&amp;",ConvMethod="&amp;$BL$145&amp;",NA=0")</f>
        <v>0</v>
      </c>
      <c r="M256" s="6" cm="1">
        <f t="array" ref="M256">_xll.SNL.Clients.Office.Excel.Functions.SPG(M$249,$E256,M$250,M$251,"Options:Curr="&amp;$BL$52&amp;",Mag="&amp;$BK$135&amp;",ConvMethod="&amp;$BL$145&amp;",NA=0")</f>
        <v>0</v>
      </c>
      <c r="AK256" s="392"/>
      <c r="AL256" s="392"/>
      <c r="AM256" s="392"/>
      <c r="AN256" s="3"/>
      <c r="AO256" s="2"/>
      <c r="AP256" s="3"/>
      <c r="AQ256" s="2"/>
      <c r="AY256" s="392"/>
      <c r="AZ256" s="3"/>
      <c r="BA256" s="2"/>
      <c r="BB256" s="3"/>
      <c r="BC256" s="2"/>
    </row>
    <row r="257" spans="2:55" hidden="1" outlineLevel="1" x14ac:dyDescent="0.2">
      <c r="B257" t="s">
        <v>4183</v>
      </c>
      <c r="E257" s="34" t="s">
        <v>4179</v>
      </c>
      <c r="G257" s="6" cm="1">
        <f t="array" ref="G257">_xll.SNL.Clients.Office.Excel.Functions.SPG(G$249,$E257,G$250,G$251,"Options:Curr="&amp;$BL$52&amp;",Mag="&amp;$BK$135&amp;",ConvMethod="&amp;$BL$145&amp;",NA=0")</f>
        <v>8753</v>
      </c>
      <c r="H257" s="6" cm="1">
        <f t="array" ref="H257">_xll.SNL.Clients.Office.Excel.Functions.SPG(H$249,$E257,H$250,H$251,"Options:Curr="&amp;$BL$52&amp;",Mag="&amp;$BK$135&amp;",ConvMethod="&amp;$BL$145&amp;",NA=0")</f>
        <v>11088</v>
      </c>
      <c r="I257" s="6" cm="1">
        <f t="array" ref="I257">_xll.SNL.Clients.Office.Excel.Functions.SPG(I$249,$E257,I$250,I$251,"Options:Curr="&amp;$BL$52&amp;",Mag="&amp;$BK$135&amp;",ConvMethod="&amp;$BL$145&amp;",NA=0")</f>
        <v>13148</v>
      </c>
      <c r="J257" s="6" cm="1">
        <f t="array" ref="J257">_xll.SNL.Clients.Office.Excel.Functions.SPG(J$249,$E257,J$250,J$251,"Options:Curr="&amp;$BL$52&amp;",Mag="&amp;$BK$135&amp;",ConvMethod="&amp;$BL$145&amp;",NA=0")</f>
        <v>14346</v>
      </c>
      <c r="K257" s="6" cm="1">
        <f t="array" ref="K257">_xll.SNL.Clients.Office.Excel.Functions.SPG(K$249,$E257,K$250,K$251,"Options:Curr="&amp;$BL$52&amp;",Mag="&amp;$BK$135&amp;",ConvMethod="&amp;$BL$145&amp;",NA=0")</f>
        <v>18961</v>
      </c>
      <c r="L257" s="6" cm="1">
        <f t="array" ref="L257">_xll.SNL.Clients.Office.Excel.Functions.SPG(L$249,$E257,L$250,L$251,"Options:Curr="&amp;$BL$52&amp;",Mag="&amp;$BK$135&amp;",ConvMethod="&amp;$BL$145&amp;",NA=0")</f>
        <v>24823</v>
      </c>
      <c r="M257" s="6" cm="1">
        <f t="array" ref="M257">_xll.SNL.Clients.Office.Excel.Functions.SPG(M$249,$E257,M$250,M$251,"Options:Curr="&amp;$BL$52&amp;",Mag="&amp;$BK$135&amp;",ConvMethod="&amp;$BL$145&amp;",NA=0")</f>
        <v>24177</v>
      </c>
      <c r="AK257" s="392"/>
      <c r="AL257" s="392"/>
      <c r="AM257" s="392"/>
      <c r="AN257" s="3"/>
      <c r="AO257" s="2"/>
      <c r="AP257" s="3"/>
      <c r="AQ257" s="2"/>
      <c r="AY257" s="392"/>
      <c r="AZ257" s="3"/>
      <c r="BA257" s="2"/>
      <c r="BB257" s="3"/>
      <c r="BC257" s="2"/>
    </row>
    <row r="258" spans="2:55" collapsed="1" x14ac:dyDescent="0.2">
      <c r="AO258" s="2"/>
      <c r="AP258" s="3"/>
      <c r="AQ258" s="2"/>
      <c r="AY258" s="2"/>
      <c r="AZ258" s="3"/>
      <c r="BA258" s="2"/>
      <c r="BB258" s="3"/>
      <c r="BC258" s="2"/>
    </row>
    <row r="259" spans="2:55" x14ac:dyDescent="0.2">
      <c r="AO259" s="2"/>
      <c r="AP259" s="3"/>
      <c r="AQ259" s="2"/>
      <c r="AY259" s="2"/>
      <c r="AZ259" s="3"/>
      <c r="BA259" s="2"/>
      <c r="BB259" s="3"/>
      <c r="BC259" s="2"/>
    </row>
    <row r="260" spans="2:55" x14ac:dyDescent="0.2">
      <c r="AO260" s="2"/>
      <c r="AP260" s="3"/>
      <c r="AQ260" s="2"/>
      <c r="AY260" s="2"/>
      <c r="AZ260" s="3"/>
      <c r="BA260" s="2"/>
      <c r="BB260" s="3"/>
      <c r="BC260" s="2"/>
    </row>
    <row r="261" spans="2:55" x14ac:dyDescent="0.2">
      <c r="AO261" s="2"/>
      <c r="AP261" s="3"/>
      <c r="AQ261" s="2"/>
      <c r="AY261" s="2"/>
      <c r="AZ261" s="3"/>
      <c r="BA261" s="2"/>
      <c r="BB261" s="3"/>
      <c r="BC261" s="2"/>
    </row>
    <row r="262" spans="2:55" x14ac:dyDescent="0.2">
      <c r="AO262" s="2"/>
      <c r="AP262" s="3"/>
      <c r="AQ262" s="2"/>
      <c r="AY262" s="2"/>
      <c r="AZ262" s="3"/>
      <c r="BA262" s="2"/>
      <c r="BB262" s="3"/>
      <c r="BC262" s="2"/>
    </row>
    <row r="263" spans="2:55" x14ac:dyDescent="0.2">
      <c r="AO263" s="2"/>
      <c r="AP263" s="3"/>
      <c r="AQ263" s="2"/>
      <c r="AY263" s="2"/>
      <c r="AZ263" s="3"/>
      <c r="BA263" s="2"/>
      <c r="BB263" s="3"/>
      <c r="BC263" s="2"/>
    </row>
    <row r="264" spans="2:55" x14ac:dyDescent="0.2">
      <c r="AO264" s="2"/>
      <c r="AP264" s="3"/>
      <c r="AQ264" s="2"/>
      <c r="AY264" s="2"/>
      <c r="AZ264" s="3"/>
      <c r="BA264" s="2"/>
      <c r="BB264" s="3"/>
      <c r="BC264" s="2"/>
    </row>
    <row r="265" spans="2:55" x14ac:dyDescent="0.2">
      <c r="AO265" s="2"/>
      <c r="AP265" s="3"/>
      <c r="AQ265" s="2"/>
      <c r="AY265" s="2"/>
      <c r="AZ265" s="3"/>
      <c r="BA265" s="2"/>
      <c r="BB265" s="3"/>
      <c r="BC265" s="2"/>
    </row>
    <row r="266" spans="2:55" x14ac:dyDescent="0.2">
      <c r="AO266" s="2"/>
      <c r="AP266" s="3"/>
      <c r="AQ266" s="2"/>
      <c r="AY266" s="2"/>
      <c r="AZ266" s="3"/>
      <c r="BA266" s="2"/>
      <c r="BB266" s="3"/>
      <c r="BC266" s="2"/>
    </row>
    <row r="267" spans="2:55" x14ac:dyDescent="0.2">
      <c r="AO267" s="2"/>
      <c r="AP267" s="3"/>
      <c r="AQ267" s="2"/>
      <c r="AY267" s="2"/>
      <c r="AZ267" s="3"/>
      <c r="BA267" s="2"/>
      <c r="BB267" s="3"/>
      <c r="BC267" s="2"/>
    </row>
    <row r="268" spans="2:55" x14ac:dyDescent="0.2">
      <c r="AO268" s="2"/>
      <c r="AP268" s="3"/>
      <c r="AQ268" s="2"/>
      <c r="AY268" s="2"/>
      <c r="AZ268" s="3"/>
      <c r="BA268" s="2"/>
      <c r="BB268" s="3"/>
      <c r="BC268" s="2"/>
    </row>
    <row r="269" spans="2:55" x14ac:dyDescent="0.2">
      <c r="AO269" s="2"/>
      <c r="AP269" s="3"/>
      <c r="AQ269" s="2"/>
      <c r="AY269" s="2"/>
      <c r="AZ269" s="3"/>
      <c r="BA269" s="2"/>
      <c r="BB269" s="3"/>
      <c r="BC269" s="2"/>
    </row>
    <row r="270" spans="2:55" x14ac:dyDescent="0.2">
      <c r="AO270" s="2"/>
      <c r="AP270" s="3"/>
      <c r="AQ270" s="2"/>
      <c r="AY270" s="2"/>
      <c r="AZ270" s="3"/>
      <c r="BA270" s="2"/>
      <c r="BB270" s="3"/>
      <c r="BC270" s="2"/>
    </row>
    <row r="271" spans="2:55" x14ac:dyDescent="0.2">
      <c r="AO271" s="2"/>
      <c r="AP271" s="3"/>
      <c r="AQ271" s="2"/>
      <c r="AY271" s="2"/>
      <c r="AZ271" s="3"/>
      <c r="BA271" s="2"/>
      <c r="BB271" s="3"/>
      <c r="BC271" s="2"/>
    </row>
    <row r="272" spans="2:55" x14ac:dyDescent="0.2">
      <c r="AO272" s="2"/>
      <c r="AP272" s="3"/>
      <c r="AQ272" s="2"/>
      <c r="AY272" s="2"/>
      <c r="AZ272" s="3"/>
      <c r="BA272" s="2"/>
      <c r="BB272" s="3"/>
      <c r="BC272" s="2"/>
    </row>
    <row r="273" spans="41:55" x14ac:dyDescent="0.2">
      <c r="AO273" s="2"/>
      <c r="AP273" s="3"/>
      <c r="AQ273" s="2"/>
      <c r="AY273" s="2"/>
      <c r="AZ273" s="3"/>
      <c r="BA273" s="2"/>
      <c r="BB273" s="3"/>
      <c r="BC273" s="2"/>
    </row>
    <row r="274" spans="41:55" x14ac:dyDescent="0.2">
      <c r="AO274" s="2"/>
      <c r="AP274" s="3"/>
      <c r="AQ274" s="2"/>
      <c r="AY274" s="2"/>
      <c r="AZ274" s="3"/>
      <c r="BA274" s="2"/>
      <c r="BB274" s="3"/>
      <c r="BC274" s="2"/>
    </row>
    <row r="275" spans="41:55" x14ac:dyDescent="0.2">
      <c r="AO275" s="2"/>
      <c r="AP275" s="3"/>
      <c r="AQ275" s="2"/>
      <c r="AY275" s="2"/>
      <c r="AZ275" s="3"/>
      <c r="BA275" s="2"/>
      <c r="BB275" s="3"/>
      <c r="BC275" s="2"/>
    </row>
    <row r="276" spans="41:55" x14ac:dyDescent="0.2">
      <c r="AO276" s="2"/>
      <c r="AP276" s="3"/>
      <c r="AQ276" s="2"/>
      <c r="AY276" s="2"/>
      <c r="AZ276" s="3"/>
      <c r="BA276" s="2"/>
      <c r="BB276" s="3"/>
      <c r="BC276" s="2"/>
    </row>
    <row r="277" spans="41:55" x14ac:dyDescent="0.2">
      <c r="AO277" s="2"/>
      <c r="AP277" s="3"/>
      <c r="AQ277" s="2"/>
      <c r="AY277" s="2"/>
      <c r="AZ277" s="3"/>
      <c r="BA277" s="2"/>
      <c r="BB277" s="3"/>
      <c r="BC277" s="2"/>
    </row>
    <row r="278" spans="41:55" x14ac:dyDescent="0.2">
      <c r="AO278" s="2"/>
      <c r="AP278" s="3"/>
      <c r="AQ278" s="2"/>
      <c r="AY278" s="2"/>
      <c r="AZ278" s="3"/>
      <c r="BA278" s="2"/>
      <c r="BB278" s="3"/>
      <c r="BC278" s="2"/>
    </row>
    <row r="279" spans="41:55" x14ac:dyDescent="0.2">
      <c r="AO279" s="2"/>
      <c r="AP279" s="3"/>
      <c r="AQ279" s="2"/>
      <c r="AY279" s="2"/>
      <c r="AZ279" s="3"/>
      <c r="BA279" s="2"/>
      <c r="BB279" s="3"/>
      <c r="BC279" s="2"/>
    </row>
    <row r="280" spans="41:55" x14ac:dyDescent="0.2">
      <c r="AO280" s="2"/>
      <c r="AP280" s="3"/>
      <c r="AQ280" s="2"/>
      <c r="AY280" s="2"/>
      <c r="AZ280" s="3"/>
      <c r="BA280" s="2"/>
      <c r="BB280" s="3"/>
      <c r="BC280" s="2"/>
    </row>
    <row r="281" spans="41:55" x14ac:dyDescent="0.2">
      <c r="AO281" s="2"/>
      <c r="AP281" s="3"/>
      <c r="AQ281" s="2"/>
      <c r="AY281" s="2"/>
      <c r="AZ281" s="3"/>
      <c r="BA281" s="2"/>
      <c r="BB281" s="3"/>
      <c r="BC281" s="2"/>
    </row>
    <row r="282" spans="41:55" x14ac:dyDescent="0.2">
      <c r="AO282" s="2"/>
      <c r="AP282" s="3"/>
      <c r="AQ282" s="2"/>
      <c r="AY282" s="2"/>
      <c r="AZ282" s="3"/>
      <c r="BA282" s="2"/>
      <c r="BB282" s="3"/>
      <c r="BC282" s="2"/>
    </row>
    <row r="283" spans="41:55" x14ac:dyDescent="0.2">
      <c r="AO283" s="2"/>
      <c r="AP283" s="3"/>
      <c r="AQ283" s="2"/>
      <c r="AY283" s="2"/>
      <c r="AZ283" s="3"/>
      <c r="BA283" s="2"/>
      <c r="BB283" s="3"/>
      <c r="BC283" s="2"/>
    </row>
    <row r="284" spans="41:55" x14ac:dyDescent="0.2">
      <c r="AO284" s="2"/>
      <c r="AP284" s="3"/>
      <c r="AQ284" s="2"/>
      <c r="AY284" s="2"/>
      <c r="AZ284" s="3"/>
      <c r="BA284" s="2"/>
      <c r="BB284" s="3"/>
      <c r="BC284" s="2"/>
    </row>
    <row r="285" spans="41:55" x14ac:dyDescent="0.2">
      <c r="AO285" s="2"/>
      <c r="AP285" s="3"/>
      <c r="AQ285" s="2"/>
      <c r="AY285" s="2"/>
      <c r="AZ285" s="3"/>
      <c r="BA285" s="2"/>
      <c r="BB285" s="3"/>
      <c r="BC285" s="2"/>
    </row>
    <row r="286" spans="41:55" x14ac:dyDescent="0.2">
      <c r="AO286" s="2"/>
      <c r="AP286" s="3"/>
      <c r="AQ286" s="2"/>
      <c r="AY286" s="2"/>
      <c r="AZ286" s="3"/>
      <c r="BA286" s="2"/>
      <c r="BB286" s="3"/>
      <c r="BC286" s="2"/>
    </row>
    <row r="287" spans="41:55" x14ac:dyDescent="0.2">
      <c r="AO287" s="2"/>
      <c r="AP287" s="3"/>
      <c r="AQ287" s="2"/>
      <c r="AY287" s="2"/>
      <c r="AZ287" s="3"/>
      <c r="BA287" s="2"/>
      <c r="BB287" s="3"/>
      <c r="BC287" s="2"/>
    </row>
    <row r="288" spans="41:55" x14ac:dyDescent="0.2">
      <c r="AO288" s="2"/>
      <c r="AP288" s="3"/>
      <c r="AQ288" s="2"/>
      <c r="AY288" s="2"/>
      <c r="AZ288" s="3"/>
      <c r="BA288" s="2"/>
      <c r="BB288" s="3"/>
      <c r="BC288" s="2"/>
    </row>
    <row r="289" spans="41:55" x14ac:dyDescent="0.2">
      <c r="AO289" s="2"/>
      <c r="AP289" s="3"/>
      <c r="AQ289" s="2"/>
      <c r="AY289" s="2"/>
      <c r="AZ289" s="3"/>
      <c r="BA289" s="2"/>
      <c r="BB289" s="3"/>
      <c r="BC289" s="2"/>
    </row>
    <row r="290" spans="41:55" x14ac:dyDescent="0.2">
      <c r="AO290" s="2"/>
      <c r="AP290" s="3"/>
      <c r="AQ290" s="2"/>
      <c r="AY290" s="2"/>
      <c r="AZ290" s="3"/>
      <c r="BA290" s="2"/>
      <c r="BB290" s="3"/>
      <c r="BC290" s="2"/>
    </row>
    <row r="291" spans="41:55" x14ac:dyDescent="0.2">
      <c r="AO291" s="2"/>
      <c r="AP291" s="3"/>
      <c r="AQ291" s="2"/>
      <c r="AY291" s="2"/>
      <c r="AZ291" s="3"/>
      <c r="BA291" s="2"/>
      <c r="BB291" s="3"/>
      <c r="BC291" s="2"/>
    </row>
    <row r="292" spans="41:55" x14ac:dyDescent="0.2">
      <c r="AO292" s="2"/>
      <c r="AP292" s="3"/>
      <c r="AQ292" s="2"/>
      <c r="AY292" s="2"/>
      <c r="AZ292" s="3"/>
      <c r="BA292" s="2"/>
      <c r="BB292" s="3"/>
      <c r="BC292" s="2"/>
    </row>
    <row r="293" spans="41:55" x14ac:dyDescent="0.2">
      <c r="AO293" s="2"/>
      <c r="AP293" s="3"/>
      <c r="AQ293" s="2"/>
      <c r="AY293" s="2"/>
      <c r="AZ293" s="3"/>
      <c r="BA293" s="2"/>
      <c r="BB293" s="3"/>
      <c r="BC293" s="2"/>
    </row>
    <row r="294" spans="41:55" x14ac:dyDescent="0.2">
      <c r="AO294" s="2"/>
      <c r="AP294" s="3"/>
      <c r="AQ294" s="2"/>
      <c r="AY294" s="2"/>
      <c r="AZ294" s="3"/>
      <c r="BA294" s="2"/>
      <c r="BB294" s="3"/>
      <c r="BC294" s="2"/>
    </row>
    <row r="295" spans="41:55" x14ac:dyDescent="0.2">
      <c r="AO295" s="2"/>
      <c r="AP295" s="3"/>
      <c r="AQ295" s="2"/>
      <c r="AY295" s="2"/>
      <c r="AZ295" s="3"/>
      <c r="BA295" s="2"/>
      <c r="BB295" s="3"/>
      <c r="BC295" s="2"/>
    </row>
    <row r="296" spans="41:55" x14ac:dyDescent="0.2">
      <c r="AO296" s="2"/>
      <c r="AP296" s="3"/>
      <c r="AQ296" s="2"/>
      <c r="AY296" s="2"/>
      <c r="AZ296" s="3"/>
      <c r="BA296" s="2"/>
      <c r="BB296" s="3"/>
      <c r="BC296" s="2"/>
    </row>
    <row r="297" spans="41:55" x14ac:dyDescent="0.2">
      <c r="AO297" s="2"/>
      <c r="AP297" s="3"/>
      <c r="AQ297" s="2"/>
      <c r="AY297" s="2"/>
      <c r="AZ297" s="3"/>
      <c r="BA297" s="2"/>
      <c r="BB297" s="3"/>
      <c r="BC297" s="2"/>
    </row>
    <row r="298" spans="41:55" x14ac:dyDescent="0.2">
      <c r="AO298" s="2"/>
      <c r="AP298" s="3"/>
      <c r="AQ298" s="2"/>
      <c r="AY298" s="2"/>
      <c r="AZ298" s="3"/>
      <c r="BA298" s="2"/>
      <c r="BB298" s="3"/>
      <c r="BC298" s="2"/>
    </row>
    <row r="299" spans="41:55" x14ac:dyDescent="0.2">
      <c r="AO299" s="2"/>
      <c r="AP299" s="3"/>
      <c r="AQ299" s="2"/>
      <c r="AY299" s="2"/>
      <c r="AZ299" s="3"/>
      <c r="BA299" s="2"/>
      <c r="BB299" s="3"/>
      <c r="BC299" s="2"/>
    </row>
    <row r="300" spans="41:55" x14ac:dyDescent="0.2">
      <c r="AO300" s="2"/>
      <c r="AP300" s="3"/>
      <c r="AQ300" s="2"/>
      <c r="AY300" s="2"/>
      <c r="AZ300" s="3"/>
      <c r="BA300" s="2"/>
      <c r="BB300" s="3"/>
      <c r="BC300" s="2"/>
    </row>
    <row r="301" spans="41:55" x14ac:dyDescent="0.2">
      <c r="AO301" s="2"/>
      <c r="AP301" s="3"/>
      <c r="AQ301" s="2"/>
      <c r="AY301" s="2"/>
      <c r="AZ301" s="3"/>
      <c r="BA301" s="2"/>
      <c r="BB301" s="3"/>
      <c r="BC301" s="2"/>
    </row>
    <row r="302" spans="41:55" x14ac:dyDescent="0.2">
      <c r="AO302" s="2"/>
      <c r="AP302" s="3"/>
      <c r="AQ302" s="2"/>
      <c r="AY302" s="2"/>
      <c r="AZ302" s="3"/>
      <c r="BA302" s="2"/>
      <c r="BB302" s="3"/>
      <c r="BC302" s="2"/>
    </row>
    <row r="303" spans="41:55" x14ac:dyDescent="0.2">
      <c r="AO303" s="2"/>
      <c r="AP303" s="3"/>
      <c r="AQ303" s="2"/>
      <c r="AY303" s="2"/>
      <c r="AZ303" s="3"/>
      <c r="BA303" s="2"/>
      <c r="BB303" s="3"/>
      <c r="BC303" s="2"/>
    </row>
    <row r="304" spans="41:55" x14ac:dyDescent="0.2">
      <c r="AO304" s="2"/>
      <c r="AP304" s="3"/>
      <c r="AQ304" s="2"/>
      <c r="AY304" s="2"/>
      <c r="AZ304" s="3"/>
      <c r="BA304" s="2"/>
      <c r="BB304" s="3"/>
      <c r="BC304" s="2"/>
    </row>
    <row r="305" spans="41:55" x14ac:dyDescent="0.2">
      <c r="AO305" s="2"/>
      <c r="AP305" s="3"/>
      <c r="AQ305" s="2"/>
      <c r="AY305" s="2"/>
      <c r="AZ305" s="3"/>
      <c r="BA305" s="2"/>
      <c r="BB305" s="3"/>
      <c r="BC305" s="2"/>
    </row>
    <row r="306" spans="41:55" x14ac:dyDescent="0.2">
      <c r="AO306" s="2"/>
      <c r="AP306" s="3"/>
      <c r="AQ306" s="2"/>
      <c r="AY306" s="2"/>
      <c r="AZ306" s="3"/>
      <c r="BA306" s="2"/>
      <c r="BB306" s="3"/>
      <c r="BC306" s="2"/>
    </row>
    <row r="307" spans="41:55" x14ac:dyDescent="0.2">
      <c r="AO307" s="2"/>
      <c r="AP307" s="3"/>
      <c r="AQ307" s="2"/>
      <c r="AY307" s="2"/>
      <c r="AZ307" s="3"/>
      <c r="BA307" s="2"/>
      <c r="BB307" s="3"/>
      <c r="BC307" s="2"/>
    </row>
    <row r="308" spans="41:55" x14ac:dyDescent="0.2">
      <c r="AO308" s="2"/>
      <c r="AP308" s="3"/>
      <c r="AQ308" s="2"/>
      <c r="AY308" s="2"/>
      <c r="AZ308" s="3"/>
      <c r="BA308" s="2"/>
      <c r="BB308" s="3"/>
      <c r="BC308" s="2"/>
    </row>
    <row r="309" spans="41:55" x14ac:dyDescent="0.2">
      <c r="AO309" s="2"/>
      <c r="AP309" s="3"/>
      <c r="AQ309" s="2"/>
      <c r="AY309" s="2"/>
      <c r="AZ309" s="3"/>
      <c r="BA309" s="2"/>
      <c r="BB309" s="3"/>
      <c r="BC309" s="2"/>
    </row>
    <row r="310" spans="41:55" x14ac:dyDescent="0.2">
      <c r="AO310" s="2"/>
      <c r="AP310" s="3"/>
      <c r="AQ310" s="2"/>
      <c r="AY310" s="2"/>
      <c r="AZ310" s="3"/>
      <c r="BA310" s="2"/>
      <c r="BB310" s="3"/>
      <c r="BC310" s="2"/>
    </row>
    <row r="311" spans="41:55" x14ac:dyDescent="0.2">
      <c r="AO311" s="2"/>
      <c r="AP311" s="3"/>
      <c r="AQ311" s="2"/>
      <c r="AY311" s="2"/>
      <c r="AZ311" s="3"/>
      <c r="BA311" s="2"/>
      <c r="BB311" s="3"/>
      <c r="BC311" s="2"/>
    </row>
    <row r="312" spans="41:55" x14ac:dyDescent="0.2">
      <c r="AO312" s="2"/>
      <c r="AP312" s="3"/>
      <c r="AQ312" s="2"/>
      <c r="AY312" s="2"/>
      <c r="AZ312" s="3"/>
      <c r="BA312" s="2"/>
      <c r="BB312" s="3"/>
      <c r="BC312" s="2"/>
    </row>
    <row r="313" spans="41:55" x14ac:dyDescent="0.2">
      <c r="AO313" s="2"/>
      <c r="AP313" s="3"/>
      <c r="AQ313" s="2"/>
      <c r="AY313" s="2"/>
      <c r="AZ313" s="3"/>
      <c r="BA313" s="2"/>
      <c r="BB313" s="3"/>
      <c r="BC313" s="2"/>
    </row>
    <row r="314" spans="41:55" x14ac:dyDescent="0.2">
      <c r="AO314" s="2"/>
      <c r="AP314" s="3"/>
      <c r="AQ314" s="2"/>
      <c r="AY314" s="2"/>
      <c r="AZ314" s="3"/>
      <c r="BA314" s="2"/>
      <c r="BB314" s="3"/>
      <c r="BC314" s="2"/>
    </row>
    <row r="315" spans="41:55" x14ac:dyDescent="0.2">
      <c r="AO315" s="2"/>
      <c r="AP315" s="3"/>
      <c r="AQ315" s="2"/>
      <c r="AY315" s="2"/>
      <c r="AZ315" s="3"/>
      <c r="BA315" s="2"/>
      <c r="BB315" s="3"/>
      <c r="BC315" s="2"/>
    </row>
    <row r="316" spans="41:55" x14ac:dyDescent="0.2">
      <c r="AO316" s="2"/>
      <c r="AP316" s="3"/>
      <c r="AQ316" s="2"/>
      <c r="AY316" s="2"/>
      <c r="AZ316" s="3"/>
      <c r="BA316" s="2"/>
      <c r="BB316" s="3"/>
      <c r="BC316" s="2"/>
    </row>
    <row r="317" spans="41:55" x14ac:dyDescent="0.2">
      <c r="AO317" s="2"/>
      <c r="AP317" s="3"/>
      <c r="AQ317" s="2"/>
      <c r="AY317" s="2"/>
      <c r="AZ317" s="3"/>
      <c r="BA317" s="2"/>
      <c r="BB317" s="3"/>
      <c r="BC317" s="2"/>
    </row>
    <row r="318" spans="41:55" x14ac:dyDescent="0.2">
      <c r="AO318" s="2"/>
      <c r="AP318" s="3"/>
      <c r="AQ318" s="2"/>
      <c r="AY318" s="2"/>
      <c r="AZ318" s="3"/>
      <c r="BA318" s="2"/>
      <c r="BB318" s="3"/>
      <c r="BC318" s="2"/>
    </row>
    <row r="319" spans="41:55" x14ac:dyDescent="0.2">
      <c r="AO319" s="2"/>
      <c r="AP319" s="3"/>
      <c r="AQ319" s="2"/>
      <c r="AY319" s="2"/>
      <c r="AZ319" s="3"/>
      <c r="BA319" s="2"/>
      <c r="BB319" s="3"/>
      <c r="BC319" s="2"/>
    </row>
    <row r="320" spans="41:55" x14ac:dyDescent="0.2">
      <c r="AO320" s="2"/>
      <c r="AP320" s="3"/>
      <c r="AQ320" s="2"/>
      <c r="AY320" s="2"/>
      <c r="AZ320" s="3"/>
      <c r="BA320" s="2"/>
      <c r="BB320" s="3"/>
      <c r="BC320" s="2"/>
    </row>
    <row r="321" spans="41:55" x14ac:dyDescent="0.2">
      <c r="AO321" s="2"/>
      <c r="AP321" s="3"/>
      <c r="AQ321" s="2"/>
      <c r="AY321" s="2"/>
      <c r="AZ321" s="3"/>
      <c r="BA321" s="2"/>
      <c r="BB321" s="3"/>
      <c r="BC321" s="2"/>
    </row>
    <row r="322" spans="41:55" x14ac:dyDescent="0.2">
      <c r="AO322" s="2"/>
      <c r="AP322" s="3"/>
      <c r="AQ322" s="2"/>
      <c r="AY322" s="2"/>
      <c r="AZ322" s="3"/>
      <c r="BA322" s="2"/>
      <c r="BB322" s="3"/>
      <c r="BC322" s="2"/>
    </row>
    <row r="323" spans="41:55" x14ac:dyDescent="0.2">
      <c r="AO323" s="2"/>
      <c r="AP323" s="3"/>
      <c r="AQ323" s="2"/>
      <c r="AY323" s="2"/>
      <c r="AZ323" s="3"/>
      <c r="BA323" s="2"/>
      <c r="BB323" s="3"/>
      <c r="BC323" s="2"/>
    </row>
    <row r="324" spans="41:55" x14ac:dyDescent="0.2">
      <c r="AO324" s="2"/>
      <c r="AP324" s="3"/>
      <c r="AQ324" s="2"/>
      <c r="AY324" s="2"/>
      <c r="AZ324" s="3"/>
      <c r="BA324" s="2"/>
      <c r="BB324" s="3"/>
      <c r="BC324" s="2"/>
    </row>
    <row r="325" spans="41:55" x14ac:dyDescent="0.2">
      <c r="AO325" s="2"/>
      <c r="AP325" s="3"/>
      <c r="AQ325" s="2"/>
      <c r="AY325" s="2"/>
      <c r="AZ325" s="3"/>
      <c r="BA325" s="2"/>
      <c r="BB325" s="3"/>
      <c r="BC325" s="2"/>
    </row>
    <row r="326" spans="41:55" x14ac:dyDescent="0.2">
      <c r="AO326" s="2"/>
      <c r="AP326" s="3"/>
      <c r="AQ326" s="2"/>
      <c r="AY326" s="2"/>
      <c r="AZ326" s="3"/>
      <c r="BA326" s="2"/>
      <c r="BB326" s="3"/>
      <c r="BC326" s="2"/>
    </row>
    <row r="327" spans="41:55" x14ac:dyDescent="0.2">
      <c r="AO327" s="2"/>
      <c r="AP327" s="3"/>
      <c r="AQ327" s="2"/>
      <c r="AY327" s="2"/>
      <c r="AZ327" s="3"/>
      <c r="BA327" s="2"/>
      <c r="BB327" s="3"/>
      <c r="BC327" s="2"/>
    </row>
    <row r="328" spans="41:55" x14ac:dyDescent="0.2">
      <c r="AO328" s="2"/>
      <c r="AP328" s="3"/>
      <c r="AQ328" s="2"/>
      <c r="AY328" s="2"/>
      <c r="AZ328" s="3"/>
      <c r="BA328" s="2"/>
      <c r="BB328" s="3"/>
      <c r="BC328" s="2"/>
    </row>
    <row r="329" spans="41:55" x14ac:dyDescent="0.2">
      <c r="AO329" s="2"/>
      <c r="AP329" s="3"/>
      <c r="AQ329" s="2"/>
      <c r="AY329" s="2"/>
      <c r="AZ329" s="3"/>
      <c r="BA329" s="2"/>
      <c r="BB329" s="3"/>
      <c r="BC329" s="2"/>
    </row>
    <row r="330" spans="41:55" x14ac:dyDescent="0.2">
      <c r="AO330" s="2"/>
      <c r="AP330" s="3"/>
      <c r="AQ330" s="2"/>
      <c r="AY330" s="2"/>
      <c r="AZ330" s="3"/>
      <c r="BA330" s="2"/>
      <c r="BB330" s="3"/>
      <c r="BC330" s="2"/>
    </row>
    <row r="331" spans="41:55" x14ac:dyDescent="0.2">
      <c r="AO331" s="2"/>
      <c r="AP331" s="3"/>
      <c r="AQ331" s="2"/>
      <c r="AY331" s="2"/>
      <c r="AZ331" s="3"/>
      <c r="BA331" s="2"/>
      <c r="BB331" s="3"/>
      <c r="BC331" s="2"/>
    </row>
    <row r="332" spans="41:55" x14ac:dyDescent="0.2">
      <c r="AO332" s="2"/>
      <c r="AP332" s="3"/>
      <c r="AQ332" s="2"/>
      <c r="AY332" s="2"/>
      <c r="AZ332" s="3"/>
      <c r="BA332" s="2"/>
      <c r="BB332" s="3"/>
      <c r="BC332" s="2"/>
    </row>
    <row r="333" spans="41:55" x14ac:dyDescent="0.2">
      <c r="AO333" s="2"/>
      <c r="AP333" s="3"/>
      <c r="AQ333" s="2"/>
      <c r="AY333" s="2"/>
      <c r="AZ333" s="3"/>
      <c r="BA333" s="2"/>
      <c r="BB333" s="3"/>
      <c r="BC333" s="2"/>
    </row>
    <row r="334" spans="41:55" x14ac:dyDescent="0.2">
      <c r="AO334" s="2"/>
      <c r="AP334" s="3"/>
      <c r="AQ334" s="2"/>
      <c r="AY334" s="2"/>
      <c r="AZ334" s="3"/>
      <c r="BA334" s="2"/>
      <c r="BB334" s="3"/>
      <c r="BC334" s="2"/>
    </row>
    <row r="335" spans="41:55" x14ac:dyDescent="0.2">
      <c r="AO335" s="2"/>
      <c r="AP335" s="3"/>
      <c r="AQ335" s="2"/>
      <c r="AY335" s="2"/>
      <c r="AZ335" s="3"/>
      <c r="BA335" s="2"/>
      <c r="BB335" s="3"/>
      <c r="BC335" s="2"/>
    </row>
    <row r="336" spans="41:55" x14ac:dyDescent="0.2">
      <c r="AO336" s="2"/>
      <c r="AP336" s="3"/>
      <c r="AQ336" s="2"/>
      <c r="AY336" s="2"/>
      <c r="AZ336" s="3"/>
      <c r="BA336" s="2"/>
      <c r="BB336" s="3"/>
      <c r="BC336" s="2"/>
    </row>
    <row r="337" spans="41:55" x14ac:dyDescent="0.2">
      <c r="AO337" s="2"/>
      <c r="AP337" s="3"/>
      <c r="AQ337" s="2"/>
      <c r="AY337" s="2"/>
      <c r="AZ337" s="3"/>
      <c r="BA337" s="2"/>
      <c r="BB337" s="3"/>
      <c r="BC337" s="2"/>
    </row>
    <row r="338" spans="41:55" x14ac:dyDescent="0.2">
      <c r="AO338" s="2"/>
      <c r="AP338" s="3"/>
      <c r="AQ338" s="2"/>
      <c r="AY338" s="2"/>
      <c r="AZ338" s="3"/>
      <c r="BA338" s="2"/>
      <c r="BB338" s="3"/>
      <c r="BC338" s="2"/>
    </row>
    <row r="339" spans="41:55" x14ac:dyDescent="0.2">
      <c r="AO339" s="2"/>
      <c r="AP339" s="3"/>
      <c r="AQ339" s="2"/>
      <c r="AY339" s="2"/>
      <c r="AZ339" s="3"/>
      <c r="BA339" s="2"/>
      <c r="BB339" s="3"/>
      <c r="BC339" s="2"/>
    </row>
    <row r="340" spans="41:55" x14ac:dyDescent="0.2">
      <c r="AO340" s="2"/>
      <c r="AP340" s="3"/>
      <c r="AQ340" s="2"/>
      <c r="AY340" s="2"/>
      <c r="AZ340" s="3"/>
      <c r="BA340" s="2"/>
      <c r="BB340" s="3"/>
      <c r="BC340" s="2"/>
    </row>
    <row r="341" spans="41:55" x14ac:dyDescent="0.2">
      <c r="AO341" s="2"/>
      <c r="AP341" s="3"/>
      <c r="AQ341" s="2"/>
      <c r="AY341" s="2"/>
      <c r="AZ341" s="3"/>
      <c r="BA341" s="2"/>
      <c r="BB341" s="3"/>
      <c r="BC341" s="2"/>
    </row>
    <row r="342" spans="41:55" x14ac:dyDescent="0.2">
      <c r="AO342" s="2"/>
      <c r="AP342" s="3"/>
      <c r="AQ342" s="2"/>
      <c r="AY342" s="2"/>
      <c r="AZ342" s="3"/>
      <c r="BA342" s="2"/>
      <c r="BB342" s="3"/>
      <c r="BC342" s="2"/>
    </row>
    <row r="343" spans="41:55" x14ac:dyDescent="0.2">
      <c r="AO343" s="2"/>
      <c r="AP343" s="3"/>
      <c r="AQ343" s="2"/>
      <c r="AY343" s="2"/>
      <c r="AZ343" s="3"/>
      <c r="BA343" s="2"/>
      <c r="BB343" s="3"/>
      <c r="BC343" s="2"/>
    </row>
    <row r="344" spans="41:55" x14ac:dyDescent="0.2">
      <c r="AO344" s="2"/>
      <c r="AP344" s="3"/>
      <c r="AQ344" s="2"/>
      <c r="AY344" s="2"/>
      <c r="AZ344" s="3"/>
      <c r="BA344" s="2"/>
      <c r="BB344" s="3"/>
      <c r="BC344" s="2"/>
    </row>
    <row r="345" spans="41:55" x14ac:dyDescent="0.2">
      <c r="AO345" s="2"/>
      <c r="AP345" s="3"/>
      <c r="AQ345" s="2"/>
      <c r="AY345" s="2"/>
      <c r="AZ345" s="3"/>
      <c r="BA345" s="2"/>
      <c r="BB345" s="3"/>
      <c r="BC345" s="2"/>
    </row>
    <row r="346" spans="41:55" x14ac:dyDescent="0.2">
      <c r="AO346" s="2"/>
      <c r="AP346" s="3"/>
      <c r="AQ346" s="2"/>
      <c r="AY346" s="2"/>
      <c r="AZ346" s="3"/>
      <c r="BA346" s="2"/>
      <c r="BB346" s="3"/>
      <c r="BC346" s="2"/>
    </row>
    <row r="347" spans="41:55" x14ac:dyDescent="0.2">
      <c r="AO347" s="2"/>
      <c r="AP347" s="3"/>
      <c r="AQ347" s="2"/>
      <c r="AY347" s="2"/>
      <c r="AZ347" s="3"/>
      <c r="BA347" s="2"/>
      <c r="BB347" s="3"/>
      <c r="BC347" s="2"/>
    </row>
    <row r="348" spans="41:55" x14ac:dyDescent="0.2">
      <c r="AO348" s="2"/>
      <c r="AP348" s="3"/>
      <c r="AQ348" s="2"/>
      <c r="AY348" s="2"/>
      <c r="AZ348" s="3"/>
      <c r="BA348" s="2"/>
      <c r="BB348" s="3"/>
      <c r="BC348" s="2"/>
    </row>
    <row r="349" spans="41:55" x14ac:dyDescent="0.2">
      <c r="AO349" s="2"/>
      <c r="AP349" s="3"/>
      <c r="AQ349" s="2"/>
      <c r="AY349" s="2"/>
      <c r="AZ349" s="3"/>
      <c r="BA349" s="2"/>
      <c r="BB349" s="3"/>
      <c r="BC349" s="2"/>
    </row>
    <row r="350" spans="41:55" x14ac:dyDescent="0.2">
      <c r="AO350" s="2"/>
      <c r="AP350" s="3"/>
      <c r="AQ350" s="2"/>
      <c r="AY350" s="2"/>
      <c r="AZ350" s="3"/>
      <c r="BA350" s="2"/>
      <c r="BB350" s="3"/>
      <c r="BC350" s="2"/>
    </row>
    <row r="351" spans="41:55" x14ac:dyDescent="0.2">
      <c r="AO351" s="2"/>
      <c r="AP351" s="3"/>
      <c r="AQ351" s="2"/>
      <c r="AY351" s="2"/>
      <c r="AZ351" s="3"/>
      <c r="BA351" s="2"/>
      <c r="BB351" s="3"/>
      <c r="BC351" s="2"/>
    </row>
    <row r="352" spans="41:55" x14ac:dyDescent="0.2">
      <c r="AO352" s="2"/>
      <c r="AP352" s="3"/>
      <c r="AQ352" s="2"/>
      <c r="AY352" s="2"/>
      <c r="AZ352" s="3"/>
      <c r="BA352" s="2"/>
      <c r="BB352" s="3"/>
      <c r="BC352" s="2"/>
    </row>
    <row r="353" spans="41:55" x14ac:dyDescent="0.2">
      <c r="AO353" s="2"/>
      <c r="AP353" s="3"/>
      <c r="AQ353" s="2"/>
      <c r="AY353" s="2"/>
      <c r="AZ353" s="3"/>
      <c r="BA353" s="2"/>
      <c r="BB353" s="3"/>
      <c r="BC353" s="2"/>
    </row>
    <row r="354" spans="41:55" x14ac:dyDescent="0.2">
      <c r="AO354" s="2"/>
      <c r="AP354" s="3"/>
      <c r="AQ354" s="2"/>
      <c r="AY354" s="2"/>
      <c r="AZ354" s="3"/>
      <c r="BA354" s="2"/>
      <c r="BB354" s="3"/>
      <c r="BC354" s="2"/>
    </row>
    <row r="355" spans="41:55" x14ac:dyDescent="0.2">
      <c r="AO355" s="2"/>
      <c r="AP355" s="3"/>
      <c r="AQ355" s="2"/>
      <c r="AY355" s="2"/>
      <c r="AZ355" s="3"/>
      <c r="BA355" s="2"/>
      <c r="BB355" s="3"/>
      <c r="BC355" s="2"/>
    </row>
    <row r="356" spans="41:55" x14ac:dyDescent="0.2">
      <c r="AO356" s="2"/>
      <c r="AP356" s="3"/>
      <c r="AQ356" s="2"/>
      <c r="AY356" s="2"/>
      <c r="AZ356" s="3"/>
      <c r="BA356" s="2"/>
      <c r="BB356" s="3"/>
      <c r="BC356" s="2"/>
    </row>
    <row r="357" spans="41:55" x14ac:dyDescent="0.2">
      <c r="AO357" s="2"/>
      <c r="AP357" s="3"/>
      <c r="AQ357" s="2"/>
      <c r="AY357" s="2"/>
      <c r="AZ357" s="3"/>
      <c r="BA357" s="2"/>
      <c r="BB357" s="3"/>
      <c r="BC357" s="2"/>
    </row>
    <row r="358" spans="41:55" x14ac:dyDescent="0.2">
      <c r="AO358" s="2"/>
      <c r="AP358" s="3"/>
      <c r="AQ358" s="2"/>
      <c r="AY358" s="2"/>
      <c r="AZ358" s="3"/>
      <c r="BA358" s="2"/>
      <c r="BB358" s="3"/>
      <c r="BC358" s="2"/>
    </row>
    <row r="359" spans="41:55" x14ac:dyDescent="0.2">
      <c r="AO359" s="2"/>
      <c r="AP359" s="3"/>
      <c r="AQ359" s="2"/>
      <c r="AY359" s="2"/>
      <c r="AZ359" s="3"/>
      <c r="BA359" s="2"/>
      <c r="BB359" s="3"/>
      <c r="BC359" s="2"/>
    </row>
    <row r="360" spans="41:55" x14ac:dyDescent="0.2">
      <c r="AO360" s="2"/>
      <c r="AP360" s="3"/>
      <c r="AQ360" s="2"/>
      <c r="AY360" s="2"/>
      <c r="AZ360" s="3"/>
      <c r="BA360" s="2"/>
      <c r="BB360" s="3"/>
      <c r="BC360" s="2"/>
    </row>
    <row r="361" spans="41:55" x14ac:dyDescent="0.2">
      <c r="AO361" s="2"/>
      <c r="AP361" s="3"/>
      <c r="AQ361" s="2"/>
      <c r="AY361" s="2"/>
      <c r="AZ361" s="3"/>
      <c r="BA361" s="2"/>
      <c r="BB361" s="3"/>
      <c r="BC361" s="2"/>
    </row>
    <row r="362" spans="41:55" x14ac:dyDescent="0.2">
      <c r="AO362" s="2"/>
      <c r="AP362" s="3"/>
      <c r="AQ362" s="2"/>
      <c r="AY362" s="2"/>
      <c r="AZ362" s="3"/>
      <c r="BA362" s="2"/>
      <c r="BB362" s="3"/>
      <c r="BC362" s="2"/>
    </row>
    <row r="363" spans="41:55" x14ac:dyDescent="0.2">
      <c r="AO363" s="2"/>
      <c r="AP363" s="3"/>
      <c r="AQ363" s="2"/>
      <c r="AY363" s="2"/>
      <c r="AZ363" s="3"/>
      <c r="BA363" s="2"/>
      <c r="BB363" s="3"/>
      <c r="BC363" s="2"/>
    </row>
    <row r="364" spans="41:55" x14ac:dyDescent="0.2">
      <c r="AO364" s="2"/>
      <c r="AP364" s="3"/>
      <c r="AQ364" s="2"/>
      <c r="AY364" s="2"/>
      <c r="AZ364" s="3"/>
      <c r="BA364" s="2"/>
      <c r="BB364" s="3"/>
      <c r="BC364" s="2"/>
    </row>
    <row r="365" spans="41:55" x14ac:dyDescent="0.2">
      <c r="AO365" s="2"/>
      <c r="AP365" s="3"/>
      <c r="AQ365" s="2"/>
      <c r="AY365" s="2"/>
      <c r="AZ365" s="3"/>
      <c r="BA365" s="2"/>
      <c r="BB365" s="3"/>
      <c r="BC365" s="2"/>
    </row>
    <row r="366" spans="41:55" x14ac:dyDescent="0.2">
      <c r="AO366" s="2"/>
      <c r="AP366" s="3"/>
      <c r="AQ366" s="2"/>
      <c r="AY366" s="2"/>
      <c r="AZ366" s="3"/>
      <c r="BA366" s="2"/>
      <c r="BB366" s="3"/>
      <c r="BC366" s="2"/>
    </row>
    <row r="367" spans="41:55" x14ac:dyDescent="0.2">
      <c r="AO367" s="2"/>
      <c r="AP367" s="3"/>
      <c r="AQ367" s="2"/>
      <c r="AY367" s="2"/>
      <c r="AZ367" s="3"/>
      <c r="BA367" s="2"/>
      <c r="BB367" s="3"/>
      <c r="BC367" s="2"/>
    </row>
    <row r="368" spans="41:55" x14ac:dyDescent="0.2">
      <c r="AO368" s="2"/>
      <c r="AP368" s="3"/>
      <c r="AQ368" s="2"/>
      <c r="AY368" s="2"/>
      <c r="AZ368" s="3"/>
      <c r="BA368" s="2"/>
      <c r="BB368" s="3"/>
      <c r="BC368" s="2"/>
    </row>
    <row r="369" spans="41:55" x14ac:dyDescent="0.2">
      <c r="AO369" s="2"/>
      <c r="AP369" s="3"/>
      <c r="AQ369" s="2"/>
      <c r="AY369" s="2"/>
      <c r="AZ369" s="3"/>
      <c r="BA369" s="2"/>
      <c r="BB369" s="3"/>
      <c r="BC369" s="2"/>
    </row>
    <row r="370" spans="41:55" x14ac:dyDescent="0.2">
      <c r="AO370" s="2"/>
      <c r="AP370" s="3"/>
      <c r="AQ370" s="2"/>
      <c r="AY370" s="2"/>
      <c r="AZ370" s="3"/>
      <c r="BA370" s="2"/>
      <c r="BB370" s="3"/>
      <c r="BC370" s="2"/>
    </row>
    <row r="371" spans="41:55" x14ac:dyDescent="0.2">
      <c r="AO371" s="2"/>
      <c r="AP371" s="3"/>
      <c r="AQ371" s="2"/>
      <c r="AY371" s="2"/>
      <c r="AZ371" s="3"/>
      <c r="BA371" s="2"/>
      <c r="BB371" s="3"/>
      <c r="BC371" s="2"/>
    </row>
    <row r="372" spans="41:55" x14ac:dyDescent="0.2">
      <c r="AO372" s="2"/>
      <c r="AP372" s="3"/>
      <c r="AQ372" s="2"/>
      <c r="AY372" s="2"/>
      <c r="AZ372" s="3"/>
      <c r="BA372" s="2"/>
      <c r="BB372" s="3"/>
      <c r="BC372" s="2"/>
    </row>
    <row r="373" spans="41:55" x14ac:dyDescent="0.2">
      <c r="AO373" s="2"/>
      <c r="AP373" s="3"/>
      <c r="AQ373" s="2"/>
      <c r="AY373" s="2"/>
      <c r="AZ373" s="3"/>
      <c r="BA373" s="2"/>
      <c r="BB373" s="3"/>
      <c r="BC373" s="2"/>
    </row>
    <row r="374" spans="41:55" x14ac:dyDescent="0.2">
      <c r="AO374" s="2"/>
      <c r="AP374" s="3"/>
      <c r="AQ374" s="2"/>
      <c r="AY374" s="2"/>
      <c r="AZ374" s="3"/>
      <c r="BA374" s="2"/>
      <c r="BB374" s="3"/>
      <c r="BC374" s="2"/>
    </row>
    <row r="375" spans="41:55" x14ac:dyDescent="0.2">
      <c r="AO375" s="2"/>
      <c r="AP375" s="3"/>
      <c r="AQ375" s="2"/>
      <c r="AY375" s="2"/>
      <c r="AZ375" s="3"/>
      <c r="BA375" s="2"/>
      <c r="BB375" s="3"/>
      <c r="BC375" s="2"/>
    </row>
    <row r="376" spans="41:55" x14ac:dyDescent="0.2">
      <c r="AO376" s="2"/>
      <c r="AP376" s="3"/>
      <c r="AQ376" s="2"/>
      <c r="AY376" s="2"/>
      <c r="AZ376" s="3"/>
      <c r="BA376" s="2"/>
      <c r="BB376" s="3"/>
      <c r="BC376" s="2"/>
    </row>
    <row r="377" spans="41:55" x14ac:dyDescent="0.2">
      <c r="AO377" s="2"/>
      <c r="AP377" s="3"/>
      <c r="AQ377" s="2"/>
      <c r="AY377" s="2"/>
      <c r="AZ377" s="3"/>
      <c r="BA377" s="2"/>
      <c r="BB377" s="3"/>
      <c r="BC377" s="2"/>
    </row>
    <row r="378" spans="41:55" x14ac:dyDescent="0.2">
      <c r="AO378" s="2"/>
      <c r="AP378" s="3"/>
      <c r="AQ378" s="2"/>
      <c r="AY378" s="2"/>
      <c r="AZ378" s="3"/>
      <c r="BA378" s="2"/>
      <c r="BB378" s="3"/>
      <c r="BC378" s="2"/>
    </row>
    <row r="379" spans="41:55" x14ac:dyDescent="0.2">
      <c r="AO379" s="2"/>
      <c r="AP379" s="3"/>
      <c r="AQ379" s="2"/>
      <c r="AY379" s="2"/>
      <c r="AZ379" s="3"/>
      <c r="BA379" s="2"/>
      <c r="BB379" s="3"/>
      <c r="BC379" s="2"/>
    </row>
    <row r="380" spans="41:55" x14ac:dyDescent="0.2">
      <c r="AO380" s="2"/>
      <c r="AP380" s="3"/>
      <c r="AQ380" s="2"/>
      <c r="AY380" s="2"/>
      <c r="AZ380" s="3"/>
      <c r="BA380" s="2"/>
      <c r="BB380" s="3"/>
      <c r="BC380" s="2"/>
    </row>
    <row r="381" spans="41:55" x14ac:dyDescent="0.2">
      <c r="AO381" s="2"/>
      <c r="AP381" s="3"/>
      <c r="AQ381" s="2"/>
      <c r="AY381" s="2"/>
      <c r="AZ381" s="3"/>
      <c r="BA381" s="2"/>
      <c r="BB381" s="3"/>
      <c r="BC381" s="2"/>
    </row>
    <row r="382" spans="41:55" x14ac:dyDescent="0.2">
      <c r="AO382" s="2"/>
      <c r="AP382" s="3"/>
      <c r="AQ382" s="2"/>
      <c r="AY382" s="2"/>
      <c r="AZ382" s="3"/>
      <c r="BA382" s="2"/>
      <c r="BB382" s="3"/>
      <c r="BC382" s="2"/>
    </row>
    <row r="383" spans="41:55" x14ac:dyDescent="0.2">
      <c r="AO383" s="2"/>
      <c r="AP383" s="3"/>
      <c r="AQ383" s="2"/>
      <c r="AY383" s="2"/>
      <c r="AZ383" s="3"/>
      <c r="BA383" s="2"/>
      <c r="BB383" s="3"/>
      <c r="BC383" s="2"/>
    </row>
    <row r="384" spans="41:55" x14ac:dyDescent="0.2">
      <c r="AO384" s="2"/>
      <c r="AP384" s="3"/>
      <c r="AQ384" s="2"/>
      <c r="AY384" s="2"/>
      <c r="AZ384" s="3"/>
      <c r="BA384" s="2"/>
      <c r="BB384" s="3"/>
      <c r="BC384" s="2"/>
    </row>
    <row r="385" spans="41:55" x14ac:dyDescent="0.2">
      <c r="AO385" s="2"/>
      <c r="AP385" s="3"/>
      <c r="AQ385" s="2"/>
      <c r="AY385" s="2"/>
      <c r="AZ385" s="3"/>
      <c r="BA385" s="2"/>
      <c r="BB385" s="3"/>
      <c r="BC385" s="2"/>
    </row>
    <row r="386" spans="41:55" x14ac:dyDescent="0.2">
      <c r="AO386" s="2"/>
      <c r="AP386" s="3"/>
      <c r="AQ386" s="2"/>
      <c r="AY386" s="2"/>
      <c r="AZ386" s="3"/>
      <c r="BA386" s="2"/>
      <c r="BB386" s="3"/>
      <c r="BC386" s="2"/>
    </row>
    <row r="387" spans="41:55" x14ac:dyDescent="0.2">
      <c r="AO387" s="2"/>
      <c r="AP387" s="3"/>
      <c r="AQ387" s="2"/>
      <c r="AY387" s="2"/>
      <c r="AZ387" s="3"/>
      <c r="BA387" s="2"/>
      <c r="BB387" s="3"/>
      <c r="BC387" s="2"/>
    </row>
    <row r="388" spans="41:55" x14ac:dyDescent="0.2">
      <c r="AO388" s="2"/>
      <c r="AP388" s="3"/>
      <c r="AQ388" s="2"/>
      <c r="AY388" s="2"/>
      <c r="AZ388" s="3"/>
      <c r="BA388" s="2"/>
      <c r="BB388" s="3"/>
      <c r="BC388" s="2"/>
    </row>
    <row r="389" spans="41:55" x14ac:dyDescent="0.2">
      <c r="AO389" s="2"/>
      <c r="AP389" s="3"/>
      <c r="AQ389" s="2"/>
      <c r="AY389" s="2"/>
      <c r="AZ389" s="3"/>
      <c r="BA389" s="2"/>
      <c r="BB389" s="3"/>
      <c r="BC389" s="2"/>
    </row>
    <row r="390" spans="41:55" x14ac:dyDescent="0.2">
      <c r="AO390" s="2"/>
      <c r="AP390" s="3"/>
      <c r="AQ390" s="2"/>
      <c r="AY390" s="2"/>
      <c r="AZ390" s="3"/>
      <c r="BA390" s="2"/>
      <c r="BB390" s="3"/>
      <c r="BC390" s="2"/>
    </row>
    <row r="391" spans="41:55" x14ac:dyDescent="0.2">
      <c r="AO391" s="2"/>
      <c r="AP391" s="3"/>
      <c r="AQ391" s="2"/>
      <c r="AY391" s="2"/>
      <c r="AZ391" s="3"/>
      <c r="BA391" s="2"/>
      <c r="BB391" s="3"/>
      <c r="BC391" s="2"/>
    </row>
    <row r="392" spans="41:55" x14ac:dyDescent="0.2">
      <c r="AO392" s="2"/>
      <c r="AP392" s="3"/>
      <c r="AQ392" s="2"/>
      <c r="AY392" s="2"/>
      <c r="AZ392" s="3"/>
      <c r="BA392" s="2"/>
      <c r="BB392" s="3"/>
      <c r="BC392" s="2"/>
    </row>
    <row r="393" spans="41:55" x14ac:dyDescent="0.2">
      <c r="AO393" s="2"/>
      <c r="AP393" s="3"/>
      <c r="AQ393" s="2"/>
      <c r="AY393" s="2"/>
      <c r="AZ393" s="3"/>
      <c r="BA393" s="2"/>
      <c r="BB393" s="3"/>
      <c r="BC393" s="2"/>
    </row>
    <row r="394" spans="41:55" x14ac:dyDescent="0.2">
      <c r="AO394" s="2"/>
      <c r="AP394" s="3"/>
      <c r="AQ394" s="2"/>
      <c r="AY394" s="2"/>
      <c r="AZ394" s="3"/>
      <c r="BA394" s="2"/>
      <c r="BB394" s="3"/>
      <c r="BC394" s="2"/>
    </row>
    <row r="395" spans="41:55" x14ac:dyDescent="0.2">
      <c r="AO395" s="2"/>
      <c r="AP395" s="3"/>
      <c r="AQ395" s="2"/>
      <c r="AY395" s="2"/>
      <c r="AZ395" s="3"/>
      <c r="BA395" s="2"/>
      <c r="BB395" s="3"/>
      <c r="BC395" s="2"/>
    </row>
    <row r="396" spans="41:55" x14ac:dyDescent="0.2">
      <c r="AO396" s="2"/>
      <c r="AP396" s="3"/>
      <c r="AQ396" s="2"/>
      <c r="AY396" s="2"/>
      <c r="AZ396" s="3"/>
      <c r="BA396" s="2"/>
      <c r="BB396" s="3"/>
      <c r="BC396" s="2"/>
    </row>
    <row r="397" spans="41:55" x14ac:dyDescent="0.2">
      <c r="AO397" s="2"/>
      <c r="AP397" s="3"/>
      <c r="AQ397" s="2"/>
      <c r="AY397" s="2"/>
      <c r="AZ397" s="3"/>
      <c r="BA397" s="2"/>
      <c r="BB397" s="3"/>
      <c r="BC397" s="2"/>
    </row>
    <row r="398" spans="41:55" x14ac:dyDescent="0.2">
      <c r="AO398" s="2"/>
      <c r="AP398" s="3"/>
      <c r="AQ398" s="2"/>
      <c r="AY398" s="2"/>
      <c r="AZ398" s="3"/>
      <c r="BA398" s="2"/>
      <c r="BB398" s="3"/>
      <c r="BC398" s="2"/>
    </row>
    <row r="399" spans="41:55" x14ac:dyDescent="0.2">
      <c r="AO399" s="2"/>
      <c r="AP399" s="3"/>
      <c r="AQ399" s="2"/>
      <c r="AY399" s="2"/>
      <c r="AZ399" s="3"/>
      <c r="BA399" s="2"/>
      <c r="BB399" s="3"/>
      <c r="BC399" s="2"/>
    </row>
    <row r="400" spans="41:55" x14ac:dyDescent="0.2">
      <c r="AO400" s="2"/>
      <c r="AP400" s="3"/>
      <c r="AQ400" s="2"/>
      <c r="AY400" s="2"/>
      <c r="AZ400" s="3"/>
      <c r="BA400" s="2"/>
      <c r="BB400" s="3"/>
      <c r="BC400" s="2"/>
    </row>
    <row r="401" spans="41:55" x14ac:dyDescent="0.2">
      <c r="AO401" s="2"/>
      <c r="AP401" s="3"/>
      <c r="AQ401" s="2"/>
      <c r="AY401" s="2"/>
      <c r="AZ401" s="3"/>
      <c r="BA401" s="2"/>
      <c r="BB401" s="3"/>
      <c r="BC401" s="2"/>
    </row>
    <row r="402" spans="41:55" x14ac:dyDescent="0.2">
      <c r="AO402" s="2"/>
      <c r="AP402" s="3"/>
      <c r="AQ402" s="2"/>
      <c r="AY402" s="2"/>
      <c r="AZ402" s="3"/>
      <c r="BA402" s="2"/>
      <c r="BB402" s="3"/>
      <c r="BC402" s="2"/>
    </row>
    <row r="403" spans="41:55" x14ac:dyDescent="0.2">
      <c r="AO403" s="2"/>
      <c r="AP403" s="3"/>
      <c r="AQ403" s="2"/>
      <c r="AY403" s="2"/>
      <c r="AZ403" s="3"/>
      <c r="BA403" s="2"/>
      <c r="BB403" s="3"/>
      <c r="BC403" s="2"/>
    </row>
    <row r="404" spans="41:55" x14ac:dyDescent="0.2">
      <c r="AO404" s="2"/>
      <c r="AP404" s="3"/>
      <c r="AQ404" s="2"/>
      <c r="AY404" s="2"/>
      <c r="AZ404" s="3"/>
      <c r="BA404" s="2"/>
      <c r="BB404" s="3"/>
      <c r="BC404" s="2"/>
    </row>
    <row r="405" spans="41:55" x14ac:dyDescent="0.2">
      <c r="AO405" s="2"/>
      <c r="AP405" s="3"/>
      <c r="AQ405" s="2"/>
      <c r="AY405" s="2"/>
      <c r="AZ405" s="3"/>
      <c r="BA405" s="2"/>
      <c r="BB405" s="3"/>
      <c r="BC405" s="2"/>
    </row>
    <row r="406" spans="41:55" x14ac:dyDescent="0.2">
      <c r="AO406" s="2"/>
      <c r="AP406" s="3"/>
      <c r="AQ406" s="2"/>
      <c r="AY406" s="2"/>
      <c r="AZ406" s="3"/>
      <c r="BA406" s="2"/>
      <c r="BB406" s="3"/>
      <c r="BC406" s="2"/>
    </row>
    <row r="407" spans="41:55" x14ac:dyDescent="0.2">
      <c r="AO407" s="2"/>
      <c r="AP407" s="3"/>
      <c r="AQ407" s="2"/>
      <c r="AY407" s="2"/>
      <c r="AZ407" s="3"/>
      <c r="BA407" s="2"/>
      <c r="BB407" s="3"/>
      <c r="BC407" s="2"/>
    </row>
    <row r="408" spans="41:55" x14ac:dyDescent="0.2">
      <c r="AO408" s="2"/>
      <c r="AP408" s="3"/>
      <c r="AQ408" s="2"/>
      <c r="AY408" s="2"/>
      <c r="AZ408" s="3"/>
      <c r="BA408" s="2"/>
      <c r="BB408" s="3"/>
      <c r="BC408" s="2"/>
    </row>
    <row r="409" spans="41:55" x14ac:dyDescent="0.2">
      <c r="AO409" s="2"/>
      <c r="AP409" s="3"/>
      <c r="AQ409" s="2"/>
      <c r="AY409" s="2"/>
      <c r="AZ409" s="3"/>
      <c r="BA409" s="2"/>
      <c r="BB409" s="3"/>
      <c r="BC409" s="2"/>
    </row>
    <row r="410" spans="41:55" x14ac:dyDescent="0.2">
      <c r="AO410" s="2"/>
      <c r="AP410" s="3"/>
      <c r="AQ410" s="2"/>
      <c r="AY410" s="2"/>
      <c r="AZ410" s="3"/>
      <c r="BA410" s="2"/>
      <c r="BB410" s="3"/>
      <c r="BC410" s="2"/>
    </row>
    <row r="411" spans="41:55" x14ac:dyDescent="0.2">
      <c r="AO411" s="2"/>
      <c r="AP411" s="3"/>
      <c r="AQ411" s="2"/>
      <c r="AY411" s="2"/>
      <c r="AZ411" s="3"/>
      <c r="BA411" s="2"/>
      <c r="BB411" s="3"/>
      <c r="BC411" s="2"/>
    </row>
    <row r="412" spans="41:55" x14ac:dyDescent="0.2">
      <c r="AO412" s="2"/>
      <c r="AP412" s="3"/>
      <c r="AQ412" s="2"/>
      <c r="AY412" s="2"/>
      <c r="AZ412" s="3"/>
      <c r="BA412" s="2"/>
      <c r="BB412" s="3"/>
      <c r="BC412" s="2"/>
    </row>
    <row r="413" spans="41:55" x14ac:dyDescent="0.2">
      <c r="AO413" s="2"/>
      <c r="AP413" s="3"/>
      <c r="AQ413" s="2"/>
      <c r="AY413" s="2"/>
      <c r="AZ413" s="3"/>
      <c r="BA413" s="2"/>
      <c r="BB413" s="3"/>
      <c r="BC413" s="2"/>
    </row>
    <row r="414" spans="41:55" x14ac:dyDescent="0.2">
      <c r="AO414" s="2"/>
      <c r="AP414" s="3"/>
      <c r="AQ414" s="2"/>
      <c r="AY414" s="2"/>
      <c r="AZ414" s="3"/>
      <c r="BA414" s="2"/>
      <c r="BB414" s="3"/>
      <c r="BC414" s="2"/>
    </row>
    <row r="415" spans="41:55" x14ac:dyDescent="0.2">
      <c r="AO415" s="2"/>
      <c r="AP415" s="3"/>
      <c r="AQ415" s="2"/>
      <c r="AY415" s="2"/>
      <c r="AZ415" s="3"/>
      <c r="BA415" s="2"/>
      <c r="BB415" s="3"/>
      <c r="BC415" s="2"/>
    </row>
    <row r="416" spans="41:55" x14ac:dyDescent="0.2">
      <c r="AO416" s="2"/>
      <c r="AP416" s="3"/>
      <c r="AQ416" s="2"/>
      <c r="AY416" s="2"/>
      <c r="AZ416" s="3"/>
      <c r="BA416" s="2"/>
      <c r="BB416" s="3"/>
      <c r="BC416" s="2"/>
    </row>
    <row r="417" spans="41:55" x14ac:dyDescent="0.2">
      <c r="AO417" s="2"/>
      <c r="AP417" s="3"/>
      <c r="AQ417" s="2"/>
      <c r="AY417" s="2"/>
      <c r="AZ417" s="3"/>
      <c r="BA417" s="2"/>
      <c r="BB417" s="3"/>
      <c r="BC417" s="2"/>
    </row>
    <row r="418" spans="41:55" x14ac:dyDescent="0.2">
      <c r="AO418" s="2"/>
      <c r="AP418" s="3"/>
      <c r="AQ418" s="2"/>
      <c r="AY418" s="2"/>
      <c r="AZ418" s="3"/>
      <c r="BA418" s="2"/>
      <c r="BB418" s="3"/>
      <c r="BC418" s="2"/>
    </row>
    <row r="419" spans="41:55" x14ac:dyDescent="0.2">
      <c r="AO419" s="2"/>
      <c r="AP419" s="3"/>
      <c r="AQ419" s="2"/>
      <c r="AY419" s="2"/>
      <c r="AZ419" s="3"/>
      <c r="BA419" s="2"/>
      <c r="BB419" s="3"/>
      <c r="BC419" s="2"/>
    </row>
    <row r="420" spans="41:55" x14ac:dyDescent="0.2">
      <c r="AO420" s="2"/>
      <c r="AP420" s="3"/>
      <c r="AQ420" s="2"/>
      <c r="AY420" s="2"/>
      <c r="AZ420" s="3"/>
      <c r="BA420" s="2"/>
      <c r="BB420" s="3"/>
      <c r="BC420" s="2"/>
    </row>
    <row r="421" spans="41:55" x14ac:dyDescent="0.2">
      <c r="AO421" s="2"/>
      <c r="AP421" s="3"/>
      <c r="AQ421" s="2"/>
      <c r="AY421" s="2"/>
      <c r="AZ421" s="3"/>
      <c r="BA421" s="2"/>
      <c r="BB421" s="3"/>
      <c r="BC421" s="2"/>
    </row>
    <row r="422" spans="41:55" x14ac:dyDescent="0.2">
      <c r="AO422" s="2"/>
      <c r="AP422" s="3"/>
      <c r="AQ422" s="2"/>
      <c r="AY422" s="2"/>
      <c r="AZ422" s="3"/>
      <c r="BA422" s="2"/>
      <c r="BB422" s="3"/>
      <c r="BC422" s="2"/>
    </row>
    <row r="423" spans="41:55" x14ac:dyDescent="0.2">
      <c r="AO423" s="2"/>
      <c r="AP423" s="3"/>
      <c r="AQ423" s="2"/>
      <c r="AY423" s="2"/>
      <c r="AZ423" s="3"/>
      <c r="BA423" s="2"/>
      <c r="BB423" s="3"/>
      <c r="BC423" s="2"/>
    </row>
    <row r="424" spans="41:55" x14ac:dyDescent="0.2">
      <c r="AO424" s="2"/>
      <c r="AP424" s="3"/>
      <c r="AQ424" s="2"/>
      <c r="AY424" s="2"/>
      <c r="AZ424" s="3"/>
      <c r="BA424" s="2"/>
      <c r="BB424" s="3"/>
      <c r="BC424" s="2"/>
    </row>
    <row r="425" spans="41:55" x14ac:dyDescent="0.2">
      <c r="AO425" s="2"/>
      <c r="AP425" s="3"/>
      <c r="AQ425" s="2"/>
      <c r="AY425" s="2"/>
      <c r="AZ425" s="3"/>
      <c r="BA425" s="2"/>
      <c r="BB425" s="3"/>
      <c r="BC425" s="2"/>
    </row>
    <row r="426" spans="41:55" x14ac:dyDescent="0.2">
      <c r="AO426" s="2"/>
      <c r="AP426" s="3"/>
      <c r="AQ426" s="2"/>
      <c r="AY426" s="2"/>
      <c r="AZ426" s="3"/>
      <c r="BA426" s="2"/>
      <c r="BB426" s="3"/>
      <c r="BC426" s="2"/>
    </row>
    <row r="427" spans="41:55" x14ac:dyDescent="0.2">
      <c r="AO427" s="2"/>
      <c r="AP427" s="3"/>
      <c r="AQ427" s="2"/>
      <c r="AY427" s="2"/>
      <c r="AZ427" s="3"/>
      <c r="BA427" s="2"/>
      <c r="BB427" s="3"/>
      <c r="BC427" s="2"/>
    </row>
    <row r="428" spans="41:55" x14ac:dyDescent="0.2">
      <c r="AO428" s="2"/>
      <c r="AP428" s="3"/>
      <c r="AQ428" s="2"/>
      <c r="AY428" s="2"/>
      <c r="AZ428" s="3"/>
      <c r="BA428" s="2"/>
      <c r="BB428" s="3"/>
      <c r="BC428" s="2"/>
    </row>
    <row r="429" spans="41:55" x14ac:dyDescent="0.2">
      <c r="AO429" s="2"/>
      <c r="AP429" s="3"/>
      <c r="AQ429" s="2"/>
      <c r="AY429" s="2"/>
      <c r="AZ429" s="3"/>
      <c r="BA429" s="2"/>
      <c r="BB429" s="3"/>
      <c r="BC429" s="2"/>
    </row>
    <row r="430" spans="41:55" x14ac:dyDescent="0.2">
      <c r="AO430" s="2"/>
      <c r="AP430" s="3"/>
      <c r="AQ430" s="2"/>
      <c r="AY430" s="2"/>
      <c r="AZ430" s="3"/>
      <c r="BA430" s="2"/>
      <c r="BB430" s="3"/>
      <c r="BC430" s="2"/>
    </row>
    <row r="431" spans="41:55" x14ac:dyDescent="0.2">
      <c r="AO431" s="2"/>
      <c r="AP431" s="3"/>
      <c r="AQ431" s="2"/>
      <c r="AY431" s="2"/>
      <c r="AZ431" s="3"/>
      <c r="BA431" s="2"/>
      <c r="BB431" s="3"/>
      <c r="BC431" s="2"/>
    </row>
    <row r="432" spans="41:55" x14ac:dyDescent="0.2">
      <c r="AO432" s="2"/>
      <c r="AP432" s="3"/>
      <c r="AQ432" s="2"/>
      <c r="AY432" s="2"/>
      <c r="AZ432" s="3"/>
      <c r="BA432" s="2"/>
      <c r="BB432" s="3"/>
      <c r="BC432" s="2"/>
    </row>
    <row r="433" spans="41:55" x14ac:dyDescent="0.2">
      <c r="AO433" s="2"/>
      <c r="AP433" s="3"/>
      <c r="AQ433" s="2"/>
      <c r="AY433" s="2"/>
      <c r="AZ433" s="3"/>
      <c r="BA433" s="2"/>
      <c r="BB433" s="3"/>
      <c r="BC433" s="2"/>
    </row>
    <row r="434" spans="41:55" x14ac:dyDescent="0.2">
      <c r="AO434" s="2"/>
      <c r="AP434" s="3"/>
      <c r="AQ434" s="2"/>
      <c r="AY434" s="2"/>
      <c r="AZ434" s="3"/>
      <c r="BA434" s="2"/>
      <c r="BB434" s="3"/>
      <c r="BC434" s="2"/>
    </row>
    <row r="435" spans="41:55" x14ac:dyDescent="0.2">
      <c r="AO435" s="2"/>
      <c r="AP435" s="3"/>
      <c r="AQ435" s="2"/>
      <c r="AY435" s="2"/>
      <c r="AZ435" s="3"/>
      <c r="BA435" s="2"/>
      <c r="BB435" s="3"/>
      <c r="BC435" s="2"/>
    </row>
    <row r="436" spans="41:55" x14ac:dyDescent="0.2">
      <c r="AO436" s="2"/>
      <c r="AP436" s="3"/>
      <c r="AQ436" s="2"/>
      <c r="AY436" s="2"/>
      <c r="AZ436" s="3"/>
      <c r="BA436" s="2"/>
      <c r="BB436" s="3"/>
      <c r="BC436" s="2"/>
    </row>
    <row r="437" spans="41:55" x14ac:dyDescent="0.2">
      <c r="AO437" s="2"/>
      <c r="AP437" s="3"/>
      <c r="AQ437" s="2"/>
      <c r="AY437" s="2"/>
      <c r="AZ437" s="3"/>
      <c r="BA437" s="2"/>
      <c r="BB437" s="3"/>
      <c r="BC437" s="2"/>
    </row>
    <row r="438" spans="41:55" x14ac:dyDescent="0.2">
      <c r="AO438" s="2"/>
      <c r="AP438" s="3"/>
      <c r="AQ438" s="2"/>
      <c r="AY438" s="2"/>
      <c r="AZ438" s="3"/>
      <c r="BA438" s="2"/>
      <c r="BB438" s="3"/>
      <c r="BC438" s="2"/>
    </row>
    <row r="439" spans="41:55" x14ac:dyDescent="0.2">
      <c r="AO439" s="2"/>
      <c r="AP439" s="3"/>
      <c r="AQ439" s="2"/>
      <c r="AY439" s="2"/>
      <c r="AZ439" s="3"/>
      <c r="BA439" s="2"/>
      <c r="BB439" s="3"/>
      <c r="BC439" s="2"/>
    </row>
    <row r="440" spans="41:55" x14ac:dyDescent="0.2">
      <c r="AO440" s="2"/>
      <c r="AP440" s="3"/>
      <c r="AQ440" s="2"/>
      <c r="AY440" s="2"/>
      <c r="AZ440" s="3"/>
      <c r="BA440" s="2"/>
      <c r="BB440" s="3"/>
      <c r="BC440" s="2"/>
    </row>
    <row r="441" spans="41:55" x14ac:dyDescent="0.2">
      <c r="AO441" s="2"/>
      <c r="AP441" s="3"/>
      <c r="AQ441" s="2"/>
      <c r="AY441" s="2"/>
      <c r="AZ441" s="3"/>
      <c r="BA441" s="2"/>
      <c r="BB441" s="3"/>
      <c r="BC441" s="2"/>
    </row>
    <row r="442" spans="41:55" x14ac:dyDescent="0.2">
      <c r="AO442" s="2"/>
      <c r="AP442" s="3"/>
      <c r="AQ442" s="2"/>
      <c r="AY442" s="2"/>
      <c r="AZ442" s="3"/>
      <c r="BA442" s="2"/>
      <c r="BB442" s="3"/>
      <c r="BC442" s="2"/>
    </row>
    <row r="443" spans="41:55" x14ac:dyDescent="0.2">
      <c r="AO443" s="2"/>
      <c r="AP443" s="3"/>
      <c r="AQ443" s="2"/>
      <c r="AY443" s="2"/>
      <c r="AZ443" s="3"/>
      <c r="BA443" s="2"/>
      <c r="BB443" s="3"/>
      <c r="BC443" s="2"/>
    </row>
    <row r="444" spans="41:55" x14ac:dyDescent="0.2">
      <c r="AO444" s="2"/>
      <c r="AP444" s="3"/>
      <c r="AQ444" s="2"/>
      <c r="AY444" s="2"/>
      <c r="AZ444" s="3"/>
      <c r="BA444" s="2"/>
      <c r="BB444" s="3"/>
      <c r="BC444" s="2"/>
    </row>
    <row r="445" spans="41:55" x14ac:dyDescent="0.2">
      <c r="AO445" s="2"/>
      <c r="AP445" s="3"/>
      <c r="AQ445" s="2"/>
      <c r="AY445" s="2"/>
      <c r="AZ445" s="3"/>
      <c r="BA445" s="2"/>
      <c r="BB445" s="3"/>
      <c r="BC445" s="2"/>
    </row>
    <row r="446" spans="41:55" x14ac:dyDescent="0.2">
      <c r="AO446" s="2"/>
      <c r="AP446" s="3"/>
      <c r="AQ446" s="2"/>
      <c r="AY446" s="2"/>
      <c r="AZ446" s="3"/>
      <c r="BA446" s="2"/>
      <c r="BB446" s="3"/>
      <c r="BC446" s="2"/>
    </row>
    <row r="447" spans="41:55" x14ac:dyDescent="0.2">
      <c r="AO447" s="2"/>
      <c r="AP447" s="3"/>
      <c r="AQ447" s="2"/>
      <c r="AY447" s="2"/>
      <c r="AZ447" s="3"/>
      <c r="BA447" s="2"/>
      <c r="BB447" s="3"/>
      <c r="BC447" s="2"/>
    </row>
    <row r="448" spans="41:55" x14ac:dyDescent="0.2">
      <c r="AO448" s="2"/>
      <c r="AP448" s="3"/>
      <c r="AQ448" s="2"/>
      <c r="AY448" s="2"/>
      <c r="AZ448" s="3"/>
      <c r="BA448" s="2"/>
      <c r="BB448" s="3"/>
      <c r="BC448" s="2"/>
    </row>
    <row r="449" spans="41:55" x14ac:dyDescent="0.2">
      <c r="AO449" s="2"/>
      <c r="AP449" s="3"/>
      <c r="AQ449" s="2"/>
      <c r="AY449" s="2"/>
      <c r="AZ449" s="3"/>
      <c r="BA449" s="2"/>
      <c r="BB449" s="3"/>
      <c r="BC449" s="2"/>
    </row>
    <row r="450" spans="41:55" x14ac:dyDescent="0.2">
      <c r="AO450" s="2"/>
      <c r="AP450" s="3"/>
      <c r="AQ450" s="2"/>
      <c r="AY450" s="2"/>
      <c r="AZ450" s="3"/>
      <c r="BA450" s="2"/>
      <c r="BB450" s="3"/>
      <c r="BC450" s="2"/>
    </row>
    <row r="451" spans="41:55" x14ac:dyDescent="0.2">
      <c r="AO451" s="2"/>
      <c r="AP451" s="3"/>
      <c r="AQ451" s="2"/>
      <c r="AY451" s="2"/>
      <c r="AZ451" s="3"/>
      <c r="BA451" s="2"/>
      <c r="BB451" s="3"/>
      <c r="BC451" s="2"/>
    </row>
    <row r="452" spans="41:55" x14ac:dyDescent="0.2">
      <c r="AO452" s="2"/>
      <c r="AP452" s="3"/>
      <c r="AQ452" s="2"/>
      <c r="AY452" s="2"/>
      <c r="AZ452" s="3"/>
      <c r="BA452" s="2"/>
      <c r="BB452" s="3"/>
      <c r="BC452" s="2"/>
    </row>
    <row r="453" spans="41:55" x14ac:dyDescent="0.2">
      <c r="AO453" s="2"/>
      <c r="AP453" s="3"/>
      <c r="AQ453" s="2"/>
      <c r="AY453" s="2"/>
      <c r="AZ453" s="3"/>
      <c r="BA453" s="2"/>
      <c r="BB453" s="3"/>
      <c r="BC453" s="2"/>
    </row>
    <row r="454" spans="41:55" x14ac:dyDescent="0.2">
      <c r="AO454" s="2"/>
      <c r="AP454" s="3"/>
      <c r="AQ454" s="2"/>
      <c r="AY454" s="2"/>
      <c r="AZ454" s="3"/>
      <c r="BA454" s="2"/>
      <c r="BB454" s="3"/>
      <c r="BC454" s="2"/>
    </row>
    <row r="455" spans="41:55" x14ac:dyDescent="0.2">
      <c r="AO455" s="2"/>
      <c r="AP455" s="3"/>
      <c r="AQ455" s="2"/>
      <c r="AY455" s="2"/>
      <c r="AZ455" s="3"/>
      <c r="BA455" s="2"/>
      <c r="BB455" s="3"/>
      <c r="BC455" s="2"/>
    </row>
    <row r="456" spans="41:55" x14ac:dyDescent="0.2">
      <c r="AO456" s="2"/>
      <c r="AP456" s="3"/>
      <c r="AQ456" s="2"/>
      <c r="AY456" s="2"/>
      <c r="AZ456" s="3"/>
      <c r="BA456" s="2"/>
      <c r="BB456" s="3"/>
      <c r="BC456" s="2"/>
    </row>
    <row r="457" spans="41:55" x14ac:dyDescent="0.2">
      <c r="AO457" s="2"/>
      <c r="AP457" s="3"/>
      <c r="AQ457" s="2"/>
      <c r="AY457" s="2"/>
      <c r="AZ457" s="3"/>
      <c r="BA457" s="2"/>
      <c r="BB457" s="3"/>
      <c r="BC457" s="2"/>
    </row>
    <row r="458" spans="41:55" x14ac:dyDescent="0.2">
      <c r="AO458" s="2"/>
      <c r="AP458" s="3"/>
      <c r="AQ458" s="2"/>
      <c r="AY458" s="2"/>
      <c r="AZ458" s="3"/>
      <c r="BA458" s="2"/>
      <c r="BB458" s="3"/>
      <c r="BC458" s="2"/>
    </row>
    <row r="459" spans="41:55" x14ac:dyDescent="0.2">
      <c r="AO459" s="2"/>
      <c r="AP459" s="3"/>
      <c r="AQ459" s="2"/>
      <c r="AY459" s="2"/>
      <c r="AZ459" s="3"/>
      <c r="BA459" s="2"/>
      <c r="BB459" s="3"/>
      <c r="BC459" s="2"/>
    </row>
    <row r="460" spans="41:55" x14ac:dyDescent="0.2">
      <c r="AO460" s="2"/>
      <c r="AP460" s="3"/>
      <c r="AQ460" s="2"/>
      <c r="AY460" s="2"/>
      <c r="AZ460" s="3"/>
      <c r="BA460" s="2"/>
      <c r="BB460" s="3"/>
      <c r="BC460" s="2"/>
    </row>
    <row r="461" spans="41:55" x14ac:dyDescent="0.2">
      <c r="AO461" s="2"/>
      <c r="AP461" s="3"/>
      <c r="AQ461" s="2"/>
      <c r="AY461" s="2"/>
      <c r="AZ461" s="3"/>
      <c r="BA461" s="2"/>
      <c r="BB461" s="3"/>
      <c r="BC461" s="2"/>
    </row>
    <row r="462" spans="41:55" x14ac:dyDescent="0.2">
      <c r="AO462" s="2"/>
      <c r="AP462" s="3"/>
      <c r="AQ462" s="2"/>
      <c r="AY462" s="2"/>
      <c r="AZ462" s="3"/>
      <c r="BA462" s="2"/>
      <c r="BB462" s="3"/>
      <c r="BC462" s="2"/>
    </row>
    <row r="463" spans="41:55" x14ac:dyDescent="0.2">
      <c r="AO463" s="2"/>
      <c r="AP463" s="3"/>
      <c r="AQ463" s="2"/>
      <c r="AY463" s="2"/>
      <c r="AZ463" s="3"/>
      <c r="BA463" s="2"/>
      <c r="BB463" s="3"/>
      <c r="BC463" s="2"/>
    </row>
    <row r="464" spans="41:55" x14ac:dyDescent="0.2">
      <c r="AO464" s="2"/>
      <c r="AP464" s="3"/>
      <c r="AQ464" s="2"/>
      <c r="AY464" s="2"/>
      <c r="AZ464" s="3"/>
      <c r="BA464" s="2"/>
      <c r="BB464" s="3"/>
      <c r="BC464" s="2"/>
    </row>
    <row r="465" spans="41:55" x14ac:dyDescent="0.2">
      <c r="AO465" s="2"/>
      <c r="AP465" s="3"/>
      <c r="AQ465" s="2"/>
      <c r="AY465" s="2"/>
      <c r="AZ465" s="3"/>
      <c r="BA465" s="2"/>
      <c r="BB465" s="3"/>
      <c r="BC465" s="2"/>
    </row>
    <row r="466" spans="41:55" x14ac:dyDescent="0.2">
      <c r="AO466" s="2"/>
      <c r="AP466" s="3"/>
      <c r="AQ466" s="2"/>
      <c r="AY466" s="2"/>
      <c r="AZ466" s="3"/>
      <c r="BA466" s="2"/>
      <c r="BB466" s="3"/>
      <c r="BC466" s="2"/>
    </row>
    <row r="467" spans="41:55" x14ac:dyDescent="0.2">
      <c r="AO467" s="2"/>
      <c r="AP467" s="3"/>
      <c r="AQ467" s="2"/>
      <c r="AY467" s="2"/>
      <c r="AZ467" s="3"/>
      <c r="BA467" s="2"/>
      <c r="BB467" s="3"/>
      <c r="BC467" s="2"/>
    </row>
    <row r="468" spans="41:55" x14ac:dyDescent="0.2">
      <c r="AO468" s="2"/>
      <c r="AP468" s="3"/>
      <c r="AQ468" s="2"/>
      <c r="AY468" s="2"/>
      <c r="AZ468" s="3"/>
      <c r="BA468" s="2"/>
      <c r="BB468" s="3"/>
      <c r="BC468" s="2"/>
    </row>
    <row r="469" spans="41:55" x14ac:dyDescent="0.2">
      <c r="AO469" s="2"/>
      <c r="AP469" s="3"/>
      <c r="AQ469" s="2"/>
      <c r="AY469" s="2"/>
      <c r="AZ469" s="3"/>
      <c r="BA469" s="2"/>
      <c r="BB469" s="3"/>
      <c r="BC469" s="2"/>
    </row>
    <row r="470" spans="41:55" x14ac:dyDescent="0.2">
      <c r="AO470" s="2"/>
      <c r="AP470" s="3"/>
      <c r="AQ470" s="2"/>
      <c r="AY470" s="2"/>
      <c r="AZ470" s="3"/>
      <c r="BA470" s="2"/>
      <c r="BB470" s="3"/>
      <c r="BC470" s="2"/>
    </row>
    <row r="471" spans="41:55" x14ac:dyDescent="0.2">
      <c r="AO471" s="2"/>
      <c r="AP471" s="3"/>
      <c r="AQ471" s="2"/>
      <c r="AY471" s="2"/>
      <c r="AZ471" s="3"/>
      <c r="BA471" s="2"/>
      <c r="BB471" s="3"/>
      <c r="BC471" s="2"/>
    </row>
    <row r="472" spans="41:55" x14ac:dyDescent="0.2">
      <c r="AO472" s="2"/>
      <c r="AP472" s="3"/>
      <c r="AQ472" s="2"/>
      <c r="AY472" s="2"/>
      <c r="AZ472" s="3"/>
      <c r="BA472" s="2"/>
      <c r="BB472" s="3"/>
      <c r="BC472" s="2"/>
    </row>
    <row r="473" spans="41:55" x14ac:dyDescent="0.2">
      <c r="AO473" s="2"/>
      <c r="AP473" s="3"/>
      <c r="AQ473" s="2"/>
      <c r="AY473" s="2"/>
      <c r="AZ473" s="3"/>
      <c r="BA473" s="2"/>
      <c r="BB473" s="3"/>
      <c r="BC473" s="2"/>
    </row>
    <row r="474" spans="41:55" x14ac:dyDescent="0.2">
      <c r="AO474" s="2"/>
      <c r="AP474" s="3"/>
      <c r="AQ474" s="2"/>
      <c r="AY474" s="2"/>
      <c r="AZ474" s="3"/>
      <c r="BA474" s="2"/>
      <c r="BB474" s="3"/>
      <c r="BC474" s="2"/>
    </row>
    <row r="475" spans="41:55" x14ac:dyDescent="0.2">
      <c r="AO475" s="2"/>
      <c r="AP475" s="3"/>
      <c r="AQ475" s="2"/>
      <c r="AY475" s="2"/>
      <c r="AZ475" s="3"/>
      <c r="BA475" s="2"/>
      <c r="BB475" s="3"/>
      <c r="BC475" s="2"/>
    </row>
    <row r="476" spans="41:55" x14ac:dyDescent="0.2">
      <c r="AO476" s="2"/>
      <c r="AP476" s="3"/>
      <c r="AQ476" s="2"/>
      <c r="AY476" s="2"/>
      <c r="AZ476" s="3"/>
      <c r="BA476" s="2"/>
      <c r="BB476" s="3"/>
      <c r="BC476" s="2"/>
    </row>
    <row r="477" spans="41:55" x14ac:dyDescent="0.2">
      <c r="AO477" s="2"/>
      <c r="AP477" s="3"/>
      <c r="AQ477" s="2"/>
      <c r="AY477" s="2"/>
      <c r="AZ477" s="3"/>
      <c r="BA477" s="2"/>
      <c r="BB477" s="3"/>
      <c r="BC477" s="2"/>
    </row>
    <row r="478" spans="41:55" x14ac:dyDescent="0.2">
      <c r="AO478" s="2"/>
      <c r="AP478" s="3"/>
      <c r="AQ478" s="2"/>
      <c r="AY478" s="2"/>
      <c r="AZ478" s="3"/>
      <c r="BA478" s="2"/>
      <c r="BB478" s="3"/>
      <c r="BC478" s="2"/>
    </row>
    <row r="479" spans="41:55" x14ac:dyDescent="0.2">
      <c r="AO479" s="2"/>
      <c r="AP479" s="3"/>
      <c r="AQ479" s="2"/>
      <c r="AY479" s="2"/>
      <c r="AZ479" s="3"/>
      <c r="BA479" s="2"/>
      <c r="BB479" s="3"/>
      <c r="BC479" s="2"/>
    </row>
    <row r="480" spans="41:55" x14ac:dyDescent="0.2">
      <c r="AO480" s="2"/>
      <c r="AP480" s="3"/>
      <c r="AQ480" s="2"/>
      <c r="AY480" s="2"/>
      <c r="AZ480" s="3"/>
      <c r="BA480" s="2"/>
      <c r="BB480" s="3"/>
      <c r="BC480" s="2"/>
    </row>
    <row r="481" spans="41:55" x14ac:dyDescent="0.2">
      <c r="AO481" s="2"/>
      <c r="AP481" s="3"/>
      <c r="AQ481" s="2"/>
      <c r="AY481" s="2"/>
      <c r="AZ481" s="3"/>
      <c r="BA481" s="2"/>
      <c r="BB481" s="3"/>
      <c r="BC481" s="2"/>
    </row>
    <row r="482" spans="41:55" x14ac:dyDescent="0.2">
      <c r="AO482" s="2"/>
      <c r="AP482" s="3"/>
      <c r="AQ482" s="2"/>
      <c r="AY482" s="2"/>
      <c r="AZ482" s="3"/>
      <c r="BA482" s="2"/>
      <c r="BB482" s="3"/>
      <c r="BC482" s="2"/>
    </row>
    <row r="483" spans="41:55" x14ac:dyDescent="0.2">
      <c r="AO483" s="2"/>
      <c r="AP483" s="3"/>
      <c r="AQ483" s="2"/>
      <c r="AY483" s="2"/>
      <c r="AZ483" s="3"/>
      <c r="BA483" s="2"/>
      <c r="BB483" s="3"/>
      <c r="BC483" s="2"/>
    </row>
    <row r="484" spans="41:55" x14ac:dyDescent="0.2">
      <c r="AO484" s="2"/>
      <c r="AP484" s="3"/>
      <c r="AQ484" s="2"/>
      <c r="AY484" s="2"/>
      <c r="AZ484" s="3"/>
      <c r="BA484" s="2"/>
      <c r="BB484" s="3"/>
      <c r="BC484" s="2"/>
    </row>
    <row r="485" spans="41:55" x14ac:dyDescent="0.2">
      <c r="AO485" s="2"/>
      <c r="AP485" s="3"/>
      <c r="AQ485" s="2"/>
      <c r="AY485" s="2"/>
      <c r="AZ485" s="3"/>
      <c r="BA485" s="2"/>
      <c r="BB485" s="3"/>
      <c r="BC485" s="2"/>
    </row>
    <row r="486" spans="41:55" x14ac:dyDescent="0.2">
      <c r="AO486" s="2"/>
      <c r="AP486" s="3"/>
      <c r="AQ486" s="2"/>
      <c r="AY486" s="2"/>
      <c r="AZ486" s="3"/>
      <c r="BA486" s="2"/>
      <c r="BB486" s="3"/>
      <c r="BC486" s="2"/>
    </row>
    <row r="487" spans="41:55" x14ac:dyDescent="0.2">
      <c r="AO487" s="2"/>
      <c r="AP487" s="3"/>
      <c r="AQ487" s="2"/>
      <c r="AY487" s="2"/>
      <c r="AZ487" s="3"/>
      <c r="BA487" s="2"/>
      <c r="BB487" s="3"/>
      <c r="BC487" s="2"/>
    </row>
    <row r="488" spans="41:55" x14ac:dyDescent="0.2">
      <c r="AO488" s="2"/>
      <c r="AP488" s="3"/>
      <c r="AQ488" s="2"/>
      <c r="AY488" s="2"/>
      <c r="AZ488" s="3"/>
      <c r="BA488" s="2"/>
      <c r="BB488" s="3"/>
      <c r="BC488" s="2"/>
    </row>
    <row r="489" spans="41:55" x14ac:dyDescent="0.2">
      <c r="AO489" s="2"/>
      <c r="AP489" s="3"/>
      <c r="AQ489" s="2"/>
      <c r="AY489" s="2"/>
      <c r="AZ489" s="3"/>
      <c r="BA489" s="2"/>
      <c r="BB489" s="3"/>
      <c r="BC489" s="2"/>
    </row>
    <row r="490" spans="41:55" x14ac:dyDescent="0.2">
      <c r="AO490" s="2"/>
      <c r="AP490" s="3"/>
      <c r="AQ490" s="2"/>
      <c r="AY490" s="2"/>
      <c r="AZ490" s="3"/>
      <c r="BA490" s="2"/>
      <c r="BB490" s="3"/>
      <c r="BC490" s="2"/>
    </row>
    <row r="491" spans="41:55" x14ac:dyDescent="0.2">
      <c r="AO491" s="2"/>
      <c r="AP491" s="3"/>
      <c r="AQ491" s="2"/>
      <c r="AY491" s="2"/>
      <c r="AZ491" s="3"/>
      <c r="BA491" s="2"/>
      <c r="BB491" s="3"/>
      <c r="BC491" s="2"/>
    </row>
    <row r="492" spans="41:55" x14ac:dyDescent="0.2">
      <c r="AO492" s="2"/>
      <c r="AP492" s="3"/>
      <c r="AQ492" s="2"/>
      <c r="AY492" s="2"/>
      <c r="AZ492" s="3"/>
      <c r="BA492" s="2"/>
      <c r="BB492" s="3"/>
      <c r="BC492" s="2"/>
    </row>
    <row r="493" spans="41:55" x14ac:dyDescent="0.2">
      <c r="AO493" s="2"/>
      <c r="AP493" s="3"/>
      <c r="AQ493" s="2"/>
      <c r="AY493" s="2"/>
      <c r="AZ493" s="3"/>
      <c r="BA493" s="2"/>
      <c r="BB493" s="3"/>
      <c r="BC493" s="2"/>
    </row>
    <row r="494" spans="41:55" x14ac:dyDescent="0.2">
      <c r="AO494" s="2"/>
      <c r="AP494" s="3"/>
      <c r="AQ494" s="2"/>
      <c r="AY494" s="2"/>
      <c r="AZ494" s="3"/>
      <c r="BA494" s="2"/>
      <c r="BB494" s="3"/>
      <c r="BC494" s="2"/>
    </row>
    <row r="495" spans="41:55" x14ac:dyDescent="0.2">
      <c r="AO495" s="2"/>
      <c r="AP495" s="3"/>
      <c r="AQ495" s="2"/>
      <c r="AY495" s="2"/>
      <c r="AZ495" s="3"/>
      <c r="BA495" s="2"/>
      <c r="BB495" s="3"/>
      <c r="BC495" s="2"/>
    </row>
    <row r="496" spans="41:55" x14ac:dyDescent="0.2">
      <c r="AO496" s="2"/>
      <c r="AP496" s="3"/>
      <c r="AQ496" s="2"/>
      <c r="AY496" s="2"/>
      <c r="AZ496" s="3"/>
      <c r="BA496" s="2"/>
      <c r="BB496" s="3"/>
      <c r="BC496" s="2"/>
    </row>
    <row r="497" spans="41:55" x14ac:dyDescent="0.2">
      <c r="AO497" s="2"/>
      <c r="AP497" s="3"/>
      <c r="AQ497" s="2"/>
      <c r="AY497" s="2"/>
      <c r="AZ497" s="3"/>
      <c r="BA497" s="2"/>
      <c r="BB497" s="3"/>
      <c r="BC497" s="2"/>
    </row>
    <row r="498" spans="41:55" x14ac:dyDescent="0.2">
      <c r="AO498" s="2"/>
      <c r="AP498" s="3"/>
      <c r="AQ498" s="2"/>
      <c r="AY498" s="2"/>
      <c r="AZ498" s="3"/>
      <c r="BA498" s="2"/>
      <c r="BB498" s="3"/>
      <c r="BC498" s="2"/>
    </row>
    <row r="499" spans="41:55" x14ac:dyDescent="0.2">
      <c r="AO499" s="2"/>
      <c r="AP499" s="3"/>
      <c r="AQ499" s="2"/>
      <c r="AY499" s="2"/>
      <c r="AZ499" s="3"/>
      <c r="BA499" s="2"/>
      <c r="BB499" s="3"/>
      <c r="BC499" s="2"/>
    </row>
    <row r="500" spans="41:55" x14ac:dyDescent="0.2">
      <c r="AO500" s="2"/>
      <c r="AP500" s="3"/>
      <c r="AQ500" s="2"/>
      <c r="AY500" s="2"/>
      <c r="AZ500" s="3"/>
      <c r="BA500" s="2"/>
      <c r="BB500" s="3"/>
      <c r="BC500" s="2"/>
    </row>
    <row r="501" spans="41:55" x14ac:dyDescent="0.2">
      <c r="AO501" s="2"/>
      <c r="AP501" s="3"/>
      <c r="AQ501" s="2"/>
      <c r="AY501" s="2"/>
      <c r="AZ501" s="3"/>
      <c r="BA501" s="2"/>
      <c r="BB501" s="3"/>
      <c r="BC501" s="2"/>
    </row>
    <row r="502" spans="41:55" x14ac:dyDescent="0.2">
      <c r="AO502" s="2"/>
      <c r="AP502" s="3"/>
      <c r="AQ502" s="2"/>
      <c r="AY502" s="2"/>
      <c r="AZ502" s="3"/>
      <c r="BA502" s="2"/>
      <c r="BB502" s="3"/>
      <c r="BC502" s="2"/>
    </row>
    <row r="503" spans="41:55" x14ac:dyDescent="0.2">
      <c r="AO503" s="2"/>
      <c r="AP503" s="3"/>
      <c r="AQ503" s="2"/>
      <c r="AY503" s="2"/>
      <c r="AZ503" s="3"/>
      <c r="BA503" s="2"/>
      <c r="BB503" s="3"/>
      <c r="BC503" s="2"/>
    </row>
    <row r="504" spans="41:55" x14ac:dyDescent="0.2">
      <c r="AO504" s="2"/>
      <c r="AP504" s="3"/>
      <c r="AQ504" s="2"/>
      <c r="AY504" s="2"/>
      <c r="AZ504" s="3"/>
      <c r="BA504" s="2"/>
      <c r="BB504" s="3"/>
      <c r="BC504" s="2"/>
    </row>
    <row r="505" spans="41:55" x14ac:dyDescent="0.2">
      <c r="AO505" s="2"/>
      <c r="AP505" s="3"/>
      <c r="AQ505" s="2"/>
      <c r="AY505" s="2"/>
      <c r="AZ505" s="3"/>
      <c r="BA505" s="2"/>
      <c r="BB505" s="3"/>
      <c r="BC505" s="2"/>
    </row>
    <row r="506" spans="41:55" x14ac:dyDescent="0.2">
      <c r="AO506" s="2"/>
      <c r="AP506" s="3"/>
      <c r="AQ506" s="2"/>
      <c r="AY506" s="2"/>
      <c r="AZ506" s="3"/>
      <c r="BA506" s="2"/>
      <c r="BB506" s="3"/>
      <c r="BC506" s="2"/>
    </row>
    <row r="507" spans="41:55" x14ac:dyDescent="0.2">
      <c r="AO507" s="2"/>
      <c r="AP507" s="3"/>
      <c r="AQ507" s="2"/>
      <c r="AY507" s="2"/>
      <c r="AZ507" s="3"/>
      <c r="BA507" s="2"/>
      <c r="BB507" s="3"/>
      <c r="BC507" s="2"/>
    </row>
    <row r="508" spans="41:55" x14ac:dyDescent="0.2">
      <c r="AO508" s="2"/>
      <c r="AP508" s="3"/>
      <c r="AQ508" s="2"/>
      <c r="AY508" s="2"/>
      <c r="AZ508" s="3"/>
      <c r="BA508" s="2"/>
      <c r="BB508" s="3"/>
      <c r="BC508" s="2"/>
    </row>
    <row r="509" spans="41:55" x14ac:dyDescent="0.2">
      <c r="AO509" s="2"/>
      <c r="AP509" s="3"/>
      <c r="AQ509" s="2"/>
      <c r="AY509" s="2"/>
      <c r="AZ509" s="3"/>
      <c r="BA509" s="2"/>
      <c r="BB509" s="3"/>
      <c r="BC509" s="2"/>
    </row>
    <row r="510" spans="41:55" x14ac:dyDescent="0.2">
      <c r="AO510" s="2"/>
      <c r="AP510" s="3"/>
      <c r="AQ510" s="2"/>
      <c r="AY510" s="2"/>
      <c r="AZ510" s="3"/>
      <c r="BA510" s="2"/>
      <c r="BB510" s="3"/>
      <c r="BC510" s="2"/>
    </row>
    <row r="511" spans="41:55" x14ac:dyDescent="0.2">
      <c r="AO511" s="2"/>
      <c r="AP511" s="3"/>
      <c r="AQ511" s="2"/>
      <c r="AY511" s="2"/>
      <c r="AZ511" s="3"/>
      <c r="BA511" s="2"/>
      <c r="BB511" s="3"/>
      <c r="BC511" s="2"/>
    </row>
    <row r="512" spans="41:55" x14ac:dyDescent="0.2">
      <c r="AO512" s="2"/>
      <c r="AP512" s="3"/>
      <c r="AQ512" s="2"/>
      <c r="AY512" s="2"/>
      <c r="AZ512" s="3"/>
      <c r="BA512" s="2"/>
      <c r="BB512" s="3"/>
      <c r="BC512" s="2"/>
    </row>
    <row r="513" spans="41:55" x14ac:dyDescent="0.2">
      <c r="AO513" s="2"/>
      <c r="AP513" s="3"/>
      <c r="AQ513" s="2"/>
      <c r="AY513" s="2"/>
      <c r="AZ513" s="3"/>
      <c r="BA513" s="2"/>
      <c r="BB513" s="3"/>
      <c r="BC513" s="2"/>
    </row>
    <row r="514" spans="41:55" x14ac:dyDescent="0.2">
      <c r="AO514" s="2"/>
      <c r="AP514" s="3"/>
      <c r="AQ514" s="2"/>
      <c r="AY514" s="2"/>
      <c r="AZ514" s="3"/>
      <c r="BA514" s="2"/>
      <c r="BB514" s="3"/>
      <c r="BC514" s="2"/>
    </row>
    <row r="515" spans="41:55" x14ac:dyDescent="0.2">
      <c r="AO515" s="2"/>
      <c r="AP515" s="3"/>
      <c r="AQ515" s="2"/>
      <c r="AY515" s="2"/>
      <c r="AZ515" s="3"/>
      <c r="BA515" s="2"/>
      <c r="BB515" s="3"/>
      <c r="BC515" s="2"/>
    </row>
    <row r="516" spans="41:55" x14ac:dyDescent="0.2">
      <c r="AO516" s="2"/>
      <c r="AP516" s="3"/>
      <c r="AQ516" s="2"/>
      <c r="AY516" s="2"/>
      <c r="AZ516" s="3"/>
      <c r="BA516" s="2"/>
      <c r="BB516" s="3"/>
      <c r="BC516" s="2"/>
    </row>
    <row r="517" spans="41:55" x14ac:dyDescent="0.2">
      <c r="AO517" s="2"/>
      <c r="AP517" s="3"/>
      <c r="AQ517" s="2"/>
      <c r="AY517" s="2"/>
      <c r="AZ517" s="3"/>
      <c r="BA517" s="2"/>
      <c r="BB517" s="3"/>
      <c r="BC517" s="2"/>
    </row>
    <row r="518" spans="41:55" x14ac:dyDescent="0.2">
      <c r="AO518" s="2"/>
      <c r="AP518" s="3"/>
      <c r="AQ518" s="2"/>
      <c r="AY518" s="2"/>
      <c r="AZ518" s="3"/>
      <c r="BA518" s="2"/>
      <c r="BB518" s="3"/>
      <c r="BC518" s="2"/>
    </row>
    <row r="519" spans="41:55" x14ac:dyDescent="0.2">
      <c r="AO519" s="2"/>
      <c r="AP519" s="3"/>
      <c r="AQ519" s="2"/>
      <c r="AY519" s="2"/>
      <c r="AZ519" s="3"/>
      <c r="BA519" s="2"/>
      <c r="BB519" s="3"/>
      <c r="BC519" s="2"/>
    </row>
    <row r="520" spans="41:55" x14ac:dyDescent="0.2">
      <c r="AO520" s="2"/>
      <c r="AP520" s="3"/>
      <c r="AQ520" s="2"/>
      <c r="AY520" s="2"/>
      <c r="AZ520" s="3"/>
      <c r="BA520" s="2"/>
      <c r="BB520" s="3"/>
      <c r="BC520" s="2"/>
    </row>
    <row r="521" spans="41:55" x14ac:dyDescent="0.2">
      <c r="AO521" s="2"/>
      <c r="AP521" s="3"/>
      <c r="AQ521" s="2"/>
      <c r="AY521" s="2"/>
      <c r="AZ521" s="3"/>
      <c r="BA521" s="2"/>
      <c r="BB521" s="3"/>
      <c r="BC521" s="2"/>
    </row>
    <row r="522" spans="41:55" x14ac:dyDescent="0.2">
      <c r="AO522" s="2"/>
      <c r="AP522" s="3"/>
      <c r="AQ522" s="2"/>
      <c r="AY522" s="2"/>
      <c r="AZ522" s="3"/>
      <c r="BA522" s="2"/>
      <c r="BB522" s="3"/>
      <c r="BC522" s="2"/>
    </row>
    <row r="523" spans="41:55" x14ac:dyDescent="0.2">
      <c r="AO523" s="2"/>
      <c r="AP523" s="3"/>
      <c r="AQ523" s="2"/>
      <c r="AY523" s="2"/>
      <c r="AZ523" s="3"/>
      <c r="BA523" s="2"/>
      <c r="BB523" s="3"/>
      <c r="BC523" s="2"/>
    </row>
    <row r="524" spans="41:55" x14ac:dyDescent="0.2">
      <c r="AO524" s="2"/>
      <c r="AP524" s="3"/>
      <c r="AQ524" s="2"/>
      <c r="AY524" s="2"/>
      <c r="AZ524" s="3"/>
      <c r="BA524" s="2"/>
      <c r="BB524" s="3"/>
      <c r="BC524" s="2"/>
    </row>
    <row r="525" spans="41:55" x14ac:dyDescent="0.2">
      <c r="AO525" s="2"/>
      <c r="AP525" s="3"/>
      <c r="AQ525" s="2"/>
      <c r="AY525" s="2"/>
      <c r="AZ525" s="3"/>
      <c r="BA525" s="2"/>
      <c r="BB525" s="3"/>
      <c r="BC525" s="2"/>
    </row>
    <row r="526" spans="41:55" x14ac:dyDescent="0.2">
      <c r="AO526" s="2"/>
      <c r="AP526" s="3"/>
      <c r="AQ526" s="2"/>
      <c r="AY526" s="2"/>
      <c r="AZ526" s="3"/>
      <c r="BA526" s="2"/>
      <c r="BB526" s="3"/>
      <c r="BC526" s="2"/>
    </row>
    <row r="527" spans="41:55" x14ac:dyDescent="0.2">
      <c r="AO527" s="2"/>
      <c r="AP527" s="3"/>
      <c r="AQ527" s="2"/>
      <c r="AY527" s="2"/>
      <c r="AZ527" s="3"/>
      <c r="BA527" s="2"/>
      <c r="BB527" s="3"/>
      <c r="BC527" s="2"/>
    </row>
    <row r="528" spans="41:55" x14ac:dyDescent="0.2">
      <c r="AO528" s="2"/>
      <c r="AP528" s="3"/>
      <c r="AQ528" s="2"/>
      <c r="AY528" s="2"/>
      <c r="AZ528" s="3"/>
      <c r="BA528" s="2"/>
      <c r="BB528" s="3"/>
      <c r="BC528" s="2"/>
    </row>
    <row r="529" spans="41:55" x14ac:dyDescent="0.2">
      <c r="AO529" s="2"/>
      <c r="AP529" s="3"/>
      <c r="AQ529" s="2"/>
      <c r="AY529" s="2"/>
      <c r="AZ529" s="3"/>
      <c r="BA529" s="2"/>
      <c r="BB529" s="3"/>
      <c r="BC529" s="2"/>
    </row>
    <row r="530" spans="41:55" x14ac:dyDescent="0.2">
      <c r="AO530" s="2"/>
      <c r="AP530" s="3"/>
      <c r="AQ530" s="2"/>
      <c r="AY530" s="2"/>
      <c r="AZ530" s="3"/>
      <c r="BA530" s="2"/>
      <c r="BB530" s="3"/>
      <c r="BC530" s="2"/>
    </row>
    <row r="531" spans="41:55" x14ac:dyDescent="0.2">
      <c r="AO531" s="2"/>
      <c r="AP531" s="3"/>
      <c r="AQ531" s="2"/>
      <c r="AY531" s="2"/>
      <c r="AZ531" s="3"/>
      <c r="BA531" s="2"/>
      <c r="BB531" s="3"/>
      <c r="BC531" s="2"/>
    </row>
    <row r="532" spans="41:55" x14ac:dyDescent="0.2">
      <c r="AO532" s="2"/>
      <c r="AP532" s="3"/>
      <c r="AQ532" s="2"/>
      <c r="AY532" s="2"/>
      <c r="AZ532" s="3"/>
      <c r="BA532" s="2"/>
      <c r="BB532" s="3"/>
      <c r="BC532" s="2"/>
    </row>
    <row r="533" spans="41:55" x14ac:dyDescent="0.2">
      <c r="AO533" s="2"/>
      <c r="AP533" s="3"/>
      <c r="AQ533" s="2"/>
      <c r="AY533" s="2"/>
      <c r="AZ533" s="3"/>
      <c r="BA533" s="2"/>
      <c r="BB533" s="3"/>
      <c r="BC533" s="2"/>
    </row>
    <row r="534" spans="41:55" x14ac:dyDescent="0.2">
      <c r="AO534" s="2"/>
      <c r="AP534" s="3"/>
      <c r="AQ534" s="2"/>
      <c r="AY534" s="2"/>
      <c r="AZ534" s="3"/>
      <c r="BA534" s="2"/>
      <c r="BB534" s="3"/>
      <c r="BC534" s="2"/>
    </row>
    <row r="535" spans="41:55" x14ac:dyDescent="0.2">
      <c r="AO535" s="2"/>
      <c r="AP535" s="3"/>
      <c r="AQ535" s="2"/>
      <c r="AY535" s="2"/>
      <c r="AZ535" s="3"/>
      <c r="BA535" s="2"/>
      <c r="BB535" s="3"/>
      <c r="BC535" s="2"/>
    </row>
    <row r="536" spans="41:55" x14ac:dyDescent="0.2">
      <c r="AO536" s="2"/>
      <c r="AP536" s="3"/>
      <c r="AQ536" s="2"/>
      <c r="AY536" s="2"/>
      <c r="AZ536" s="3"/>
      <c r="BA536" s="2"/>
      <c r="BB536" s="3"/>
      <c r="BC536" s="2"/>
    </row>
    <row r="537" spans="41:55" x14ac:dyDescent="0.2">
      <c r="AO537" s="2"/>
      <c r="AP537" s="3"/>
      <c r="AQ537" s="2"/>
      <c r="AY537" s="2"/>
      <c r="AZ537" s="3"/>
      <c r="BA537" s="2"/>
      <c r="BB537" s="3"/>
      <c r="BC537" s="2"/>
    </row>
    <row r="538" spans="41:55" x14ac:dyDescent="0.2">
      <c r="AO538" s="2"/>
      <c r="AP538" s="3"/>
      <c r="AQ538" s="2"/>
      <c r="AY538" s="2"/>
      <c r="AZ538" s="3"/>
      <c r="BA538" s="2"/>
      <c r="BB538" s="3"/>
      <c r="BC538" s="2"/>
    </row>
    <row r="539" spans="41:55" x14ac:dyDescent="0.2">
      <c r="AO539" s="2"/>
      <c r="AP539" s="3"/>
      <c r="AQ539" s="2"/>
      <c r="AY539" s="2"/>
      <c r="AZ539" s="3"/>
      <c r="BA539" s="2"/>
      <c r="BB539" s="3"/>
      <c r="BC539" s="2"/>
    </row>
    <row r="540" spans="41:55" x14ac:dyDescent="0.2">
      <c r="AO540" s="2"/>
      <c r="AP540" s="3"/>
      <c r="AQ540" s="2"/>
      <c r="AY540" s="2"/>
      <c r="AZ540" s="3"/>
      <c r="BA540" s="2"/>
      <c r="BB540" s="3"/>
      <c r="BC540" s="2"/>
    </row>
    <row r="541" spans="41:55" x14ac:dyDescent="0.2">
      <c r="AO541" s="2"/>
      <c r="AP541" s="3"/>
      <c r="AQ541" s="2"/>
      <c r="AY541" s="2"/>
      <c r="AZ541" s="3"/>
      <c r="BA541" s="2"/>
      <c r="BB541" s="3"/>
      <c r="BC541" s="2"/>
    </row>
    <row r="542" spans="41:55" x14ac:dyDescent="0.2">
      <c r="AO542" s="2"/>
      <c r="AP542" s="3"/>
      <c r="AQ542" s="2"/>
      <c r="AY542" s="2"/>
      <c r="AZ542" s="3"/>
      <c r="BA542" s="2"/>
      <c r="BB542" s="3"/>
      <c r="BC542" s="2"/>
    </row>
    <row r="543" spans="41:55" x14ac:dyDescent="0.2">
      <c r="AO543" s="2"/>
      <c r="AP543" s="3"/>
      <c r="AQ543" s="2"/>
      <c r="AY543" s="2"/>
      <c r="AZ543" s="3"/>
      <c r="BA543" s="2"/>
      <c r="BB543" s="3"/>
      <c r="BC543" s="2"/>
    </row>
    <row r="544" spans="41:55" x14ac:dyDescent="0.2">
      <c r="AO544" s="2"/>
      <c r="AP544" s="3"/>
      <c r="AQ544" s="2"/>
      <c r="AY544" s="2"/>
      <c r="AZ544" s="3"/>
      <c r="BA544" s="2"/>
      <c r="BB544" s="3"/>
      <c r="BC544" s="2"/>
    </row>
    <row r="545" spans="41:55" x14ac:dyDescent="0.2">
      <c r="AO545" s="2"/>
      <c r="AP545" s="3"/>
      <c r="AQ545" s="2"/>
      <c r="AY545" s="2"/>
      <c r="AZ545" s="3"/>
      <c r="BA545" s="2"/>
      <c r="BB545" s="3"/>
      <c r="BC545" s="2"/>
    </row>
    <row r="546" spans="41:55" x14ac:dyDescent="0.2">
      <c r="AO546" s="2"/>
      <c r="AP546" s="3"/>
      <c r="AQ546" s="2"/>
      <c r="AY546" s="2"/>
      <c r="AZ546" s="3"/>
      <c r="BA546" s="2"/>
      <c r="BB546" s="3"/>
      <c r="BC546" s="2"/>
    </row>
    <row r="547" spans="41:55" x14ac:dyDescent="0.2">
      <c r="AO547" s="2"/>
      <c r="AP547" s="3"/>
      <c r="AQ547" s="2"/>
      <c r="AY547" s="2"/>
      <c r="AZ547" s="3"/>
      <c r="BA547" s="2"/>
      <c r="BB547" s="3"/>
      <c r="BC547" s="2"/>
    </row>
    <row r="548" spans="41:55" x14ac:dyDescent="0.2">
      <c r="AO548" s="2"/>
      <c r="AP548" s="3"/>
      <c r="AQ548" s="2"/>
      <c r="AY548" s="2"/>
      <c r="AZ548" s="3"/>
      <c r="BA548" s="2"/>
      <c r="BB548" s="3"/>
      <c r="BC548" s="2"/>
    </row>
    <row r="549" spans="41:55" x14ac:dyDescent="0.2">
      <c r="AO549" s="2"/>
      <c r="AP549" s="3"/>
      <c r="AQ549" s="2"/>
      <c r="AY549" s="2"/>
      <c r="AZ549" s="3"/>
      <c r="BA549" s="2"/>
      <c r="BB549" s="3"/>
      <c r="BC549" s="2"/>
    </row>
    <row r="550" spans="41:55" x14ac:dyDescent="0.2">
      <c r="AO550" s="2"/>
      <c r="AP550" s="3"/>
      <c r="AQ550" s="2"/>
      <c r="AY550" s="2"/>
      <c r="AZ550" s="3"/>
      <c r="BA550" s="2"/>
      <c r="BB550" s="3"/>
      <c r="BC550" s="2"/>
    </row>
    <row r="551" spans="41:55" x14ac:dyDescent="0.2">
      <c r="AO551" s="2"/>
      <c r="AP551" s="3"/>
      <c r="AQ551" s="2"/>
      <c r="AY551" s="2"/>
      <c r="AZ551" s="3"/>
      <c r="BA551" s="2"/>
      <c r="BB551" s="3"/>
      <c r="BC551" s="2"/>
    </row>
    <row r="552" spans="41:55" x14ac:dyDescent="0.2">
      <c r="AO552" s="2"/>
      <c r="AP552" s="3"/>
      <c r="AQ552" s="2"/>
      <c r="AY552" s="2"/>
      <c r="AZ552" s="3"/>
      <c r="BA552" s="2"/>
      <c r="BB552" s="3"/>
      <c r="BC552" s="2"/>
    </row>
    <row r="553" spans="41:55" x14ac:dyDescent="0.2">
      <c r="AO553" s="2"/>
      <c r="AP553" s="3"/>
      <c r="AQ553" s="2"/>
      <c r="AY553" s="2"/>
      <c r="AZ553" s="3"/>
      <c r="BA553" s="2"/>
      <c r="BB553" s="3"/>
      <c r="BC553" s="2"/>
    </row>
    <row r="554" spans="41:55" x14ac:dyDescent="0.2">
      <c r="AO554" s="2"/>
      <c r="AP554" s="3"/>
      <c r="AQ554" s="2"/>
      <c r="AY554" s="2"/>
      <c r="AZ554" s="3"/>
      <c r="BA554" s="2"/>
      <c r="BB554" s="3"/>
      <c r="BC554" s="2"/>
    </row>
    <row r="555" spans="41:55" x14ac:dyDescent="0.2">
      <c r="AO555" s="2"/>
      <c r="AP555" s="3"/>
      <c r="AQ555" s="2"/>
      <c r="AY555" s="2"/>
      <c r="AZ555" s="3"/>
      <c r="BA555" s="2"/>
      <c r="BB555" s="3"/>
      <c r="BC555" s="2"/>
    </row>
    <row r="556" spans="41:55" x14ac:dyDescent="0.2">
      <c r="AO556" s="2"/>
      <c r="AP556" s="3"/>
      <c r="AQ556" s="2"/>
      <c r="AY556" s="2"/>
      <c r="AZ556" s="3"/>
      <c r="BA556" s="2"/>
      <c r="BB556" s="3"/>
      <c r="BC556" s="2"/>
    </row>
    <row r="557" spans="41:55" x14ac:dyDescent="0.2">
      <c r="AO557" s="2"/>
      <c r="AP557" s="3"/>
      <c r="AQ557" s="2"/>
      <c r="AY557" s="2"/>
      <c r="AZ557" s="3"/>
      <c r="BA557" s="2"/>
      <c r="BB557" s="3"/>
      <c r="BC557" s="2"/>
    </row>
    <row r="558" spans="41:55" x14ac:dyDescent="0.2">
      <c r="AY558" s="389"/>
      <c r="AZ558" s="388"/>
    </row>
    <row r="559" spans="41:55" x14ac:dyDescent="0.2">
      <c r="AY559" s="389"/>
      <c r="AZ559" s="388"/>
    </row>
    <row r="560" spans="41:55" x14ac:dyDescent="0.2">
      <c r="AY560" s="389"/>
      <c r="AZ560" s="388"/>
    </row>
    <row r="561" spans="51:52" x14ac:dyDescent="0.2">
      <c r="AY561" s="389"/>
      <c r="AZ561" s="388"/>
    </row>
    <row r="562" spans="51:52" x14ac:dyDescent="0.2">
      <c r="AY562" s="389"/>
      <c r="AZ562" s="388"/>
    </row>
    <row r="563" spans="51:52" x14ac:dyDescent="0.2">
      <c r="AY563" s="389"/>
      <c r="AZ563" s="388"/>
    </row>
    <row r="564" spans="51:52" x14ac:dyDescent="0.2">
      <c r="AY564" s="389"/>
      <c r="AZ564" s="388"/>
    </row>
    <row r="565" spans="51:52" x14ac:dyDescent="0.2">
      <c r="AY565" s="389"/>
      <c r="AZ565" s="388"/>
    </row>
    <row r="566" spans="51:52" x14ac:dyDescent="0.2">
      <c r="AY566" s="389"/>
      <c r="AZ566" s="388"/>
    </row>
    <row r="567" spans="51:52" x14ac:dyDescent="0.2">
      <c r="AY567" s="389"/>
      <c r="AZ567" s="388"/>
    </row>
    <row r="568" spans="51:52" x14ac:dyDescent="0.2">
      <c r="AY568" s="389"/>
      <c r="AZ568" s="388"/>
    </row>
    <row r="569" spans="51:52" x14ac:dyDescent="0.2">
      <c r="AY569" s="389"/>
      <c r="AZ569" s="388"/>
    </row>
    <row r="570" spans="51:52" x14ac:dyDescent="0.2">
      <c r="AY570" s="389"/>
      <c r="AZ570" s="388"/>
    </row>
    <row r="571" spans="51:52" x14ac:dyDescent="0.2">
      <c r="AY571" s="389"/>
      <c r="AZ571" s="388"/>
    </row>
    <row r="572" spans="51:52" x14ac:dyDescent="0.2">
      <c r="AY572" s="389"/>
      <c r="AZ572" s="388"/>
    </row>
    <row r="573" spans="51:52" x14ac:dyDescent="0.2">
      <c r="AY573" s="389"/>
      <c r="AZ573" s="388"/>
    </row>
    <row r="574" spans="51:52" x14ac:dyDescent="0.2">
      <c r="AY574" s="389"/>
      <c r="AZ574" s="388"/>
    </row>
    <row r="575" spans="51:52" x14ac:dyDescent="0.2">
      <c r="AY575" s="389"/>
      <c r="AZ575" s="388"/>
    </row>
    <row r="576" spans="51:52" x14ac:dyDescent="0.2">
      <c r="AY576" s="389"/>
      <c r="AZ576" s="388"/>
    </row>
    <row r="577" spans="51:52" x14ac:dyDescent="0.2">
      <c r="AY577" s="389"/>
      <c r="AZ577" s="388"/>
    </row>
    <row r="578" spans="51:52" x14ac:dyDescent="0.2">
      <c r="AY578" s="389"/>
      <c r="AZ578" s="388"/>
    </row>
    <row r="579" spans="51:52" x14ac:dyDescent="0.2">
      <c r="AY579" s="389"/>
      <c r="AZ579" s="388"/>
    </row>
    <row r="580" spans="51:52" x14ac:dyDescent="0.2">
      <c r="AY580" s="389"/>
      <c r="AZ580" s="388"/>
    </row>
    <row r="581" spans="51:52" x14ac:dyDescent="0.2">
      <c r="AY581" s="389"/>
      <c r="AZ581" s="388"/>
    </row>
    <row r="582" spans="51:52" x14ac:dyDescent="0.2">
      <c r="AY582" s="389"/>
      <c r="AZ582" s="388"/>
    </row>
    <row r="583" spans="51:52" x14ac:dyDescent="0.2">
      <c r="AY583" s="389"/>
      <c r="AZ583" s="388"/>
    </row>
    <row r="584" spans="51:52" x14ac:dyDescent="0.2">
      <c r="AY584" s="389"/>
      <c r="AZ584" s="388"/>
    </row>
    <row r="585" spans="51:52" x14ac:dyDescent="0.2">
      <c r="AY585" s="389"/>
      <c r="AZ585" s="388"/>
    </row>
    <row r="586" spans="51:52" x14ac:dyDescent="0.2">
      <c r="AY586" s="389"/>
      <c r="AZ586" s="388"/>
    </row>
    <row r="587" spans="51:52" x14ac:dyDescent="0.2">
      <c r="AY587" s="389"/>
      <c r="AZ587" s="388"/>
    </row>
    <row r="588" spans="51:52" x14ac:dyDescent="0.2">
      <c r="AY588" s="389"/>
      <c r="AZ588" s="388"/>
    </row>
    <row r="589" spans="51:52" x14ac:dyDescent="0.2">
      <c r="AY589" s="389"/>
      <c r="AZ589" s="388"/>
    </row>
    <row r="590" spans="51:52" x14ac:dyDescent="0.2">
      <c r="AY590" s="389"/>
      <c r="AZ590" s="388"/>
    </row>
    <row r="591" spans="51:52" x14ac:dyDescent="0.2">
      <c r="AY591" s="389"/>
      <c r="AZ591" s="388"/>
    </row>
    <row r="592" spans="51:52" x14ac:dyDescent="0.2">
      <c r="AY592" s="389"/>
      <c r="AZ592" s="388"/>
    </row>
    <row r="593" spans="51:52" x14ac:dyDescent="0.2">
      <c r="AY593" s="389"/>
      <c r="AZ593" s="388"/>
    </row>
    <row r="594" spans="51:52" x14ac:dyDescent="0.2">
      <c r="AY594" s="389"/>
      <c r="AZ594" s="388"/>
    </row>
    <row r="595" spans="51:52" x14ac:dyDescent="0.2">
      <c r="AY595" s="389"/>
      <c r="AZ595" s="388"/>
    </row>
    <row r="596" spans="51:52" x14ac:dyDescent="0.2">
      <c r="AY596" s="389"/>
      <c r="AZ596" s="388"/>
    </row>
    <row r="597" spans="51:52" x14ac:dyDescent="0.2">
      <c r="AY597" s="389"/>
      <c r="AZ597" s="388"/>
    </row>
    <row r="598" spans="51:52" x14ac:dyDescent="0.2">
      <c r="AY598" s="389"/>
      <c r="AZ598" s="388"/>
    </row>
    <row r="599" spans="51:52" x14ac:dyDescent="0.2">
      <c r="AY599" s="389"/>
      <c r="AZ599" s="388"/>
    </row>
    <row r="600" spans="51:52" x14ac:dyDescent="0.2">
      <c r="AY600" s="389"/>
      <c r="AZ600" s="388"/>
    </row>
    <row r="601" spans="51:52" x14ac:dyDescent="0.2">
      <c r="AY601" s="389"/>
      <c r="AZ601" s="388"/>
    </row>
    <row r="602" spans="51:52" x14ac:dyDescent="0.2">
      <c r="AY602" s="389"/>
      <c r="AZ602" s="388"/>
    </row>
    <row r="603" spans="51:52" x14ac:dyDescent="0.2">
      <c r="AY603" s="389"/>
      <c r="AZ603" s="388"/>
    </row>
    <row r="604" spans="51:52" x14ac:dyDescent="0.2">
      <c r="AY604" s="389"/>
      <c r="AZ604" s="388"/>
    </row>
    <row r="605" spans="51:52" x14ac:dyDescent="0.2">
      <c r="AY605" s="389"/>
      <c r="AZ605" s="388"/>
    </row>
    <row r="606" spans="51:52" x14ac:dyDescent="0.2">
      <c r="AY606" s="389"/>
      <c r="AZ606" s="388"/>
    </row>
    <row r="607" spans="51:52" x14ac:dyDescent="0.2">
      <c r="AY607" s="389"/>
      <c r="AZ607" s="388"/>
    </row>
    <row r="608" spans="51:52" x14ac:dyDescent="0.2">
      <c r="AY608" s="389"/>
      <c r="AZ608" s="388"/>
    </row>
    <row r="609" spans="51:52" x14ac:dyDescent="0.2">
      <c r="AY609" s="389"/>
      <c r="AZ609" s="388"/>
    </row>
    <row r="610" spans="51:52" x14ac:dyDescent="0.2">
      <c r="AY610" s="389"/>
      <c r="AZ610" s="388"/>
    </row>
    <row r="611" spans="51:52" x14ac:dyDescent="0.2">
      <c r="AY611" s="389"/>
      <c r="AZ611" s="388"/>
    </row>
    <row r="612" spans="51:52" x14ac:dyDescent="0.2">
      <c r="AY612" s="389"/>
      <c r="AZ612" s="388"/>
    </row>
    <row r="613" spans="51:52" x14ac:dyDescent="0.2">
      <c r="AY613" s="389"/>
      <c r="AZ613" s="388"/>
    </row>
    <row r="614" spans="51:52" x14ac:dyDescent="0.2">
      <c r="AY614" s="389"/>
      <c r="AZ614" s="388"/>
    </row>
    <row r="615" spans="51:52" x14ac:dyDescent="0.2">
      <c r="AY615" s="389"/>
      <c r="AZ615" s="388"/>
    </row>
    <row r="616" spans="51:52" x14ac:dyDescent="0.2">
      <c r="AY616" s="389"/>
      <c r="AZ616" s="388"/>
    </row>
    <row r="617" spans="51:52" x14ac:dyDescent="0.2">
      <c r="AY617" s="389"/>
      <c r="AZ617" s="388"/>
    </row>
    <row r="618" spans="51:52" x14ac:dyDescent="0.2">
      <c r="AY618" s="389"/>
      <c r="AZ618" s="388"/>
    </row>
    <row r="619" spans="51:52" x14ac:dyDescent="0.2">
      <c r="AY619" s="389"/>
      <c r="AZ619" s="388"/>
    </row>
    <row r="620" spans="51:52" x14ac:dyDescent="0.2">
      <c r="AY620" s="389"/>
      <c r="AZ620" s="388"/>
    </row>
    <row r="621" spans="51:52" x14ac:dyDescent="0.2">
      <c r="AY621" s="389"/>
      <c r="AZ621" s="388"/>
    </row>
    <row r="622" spans="51:52" x14ac:dyDescent="0.2">
      <c r="AY622" s="389"/>
      <c r="AZ622" s="388"/>
    </row>
    <row r="623" spans="51:52" x14ac:dyDescent="0.2">
      <c r="AY623" s="389"/>
      <c r="AZ623" s="388"/>
    </row>
    <row r="624" spans="51:52" x14ac:dyDescent="0.2">
      <c r="AY624" s="389"/>
      <c r="AZ624" s="388"/>
    </row>
    <row r="625" spans="51:52" x14ac:dyDescent="0.2">
      <c r="AY625" s="389"/>
      <c r="AZ625" s="388"/>
    </row>
    <row r="626" spans="51:52" x14ac:dyDescent="0.2">
      <c r="AY626" s="389"/>
      <c r="AZ626" s="388"/>
    </row>
    <row r="627" spans="51:52" x14ac:dyDescent="0.2">
      <c r="AY627" s="389"/>
      <c r="AZ627" s="388"/>
    </row>
    <row r="628" spans="51:52" x14ac:dyDescent="0.2">
      <c r="AY628" s="389"/>
      <c r="AZ628" s="388"/>
    </row>
    <row r="629" spans="51:52" x14ac:dyDescent="0.2">
      <c r="AY629" s="389"/>
      <c r="AZ629" s="388"/>
    </row>
    <row r="630" spans="51:52" x14ac:dyDescent="0.2">
      <c r="AY630" s="389"/>
      <c r="AZ630" s="388"/>
    </row>
    <row r="631" spans="51:52" x14ac:dyDescent="0.2">
      <c r="AY631" s="389"/>
      <c r="AZ631" s="388"/>
    </row>
    <row r="632" spans="51:52" x14ac:dyDescent="0.2">
      <c r="AY632" s="389"/>
      <c r="AZ632" s="388"/>
    </row>
    <row r="633" spans="51:52" x14ac:dyDescent="0.2">
      <c r="AY633" s="389"/>
      <c r="AZ633" s="388"/>
    </row>
    <row r="634" spans="51:52" x14ac:dyDescent="0.2">
      <c r="AY634" s="389"/>
      <c r="AZ634" s="388"/>
    </row>
    <row r="635" spans="51:52" x14ac:dyDescent="0.2">
      <c r="AY635" s="389"/>
      <c r="AZ635" s="388"/>
    </row>
    <row r="636" spans="51:52" x14ac:dyDescent="0.2">
      <c r="AY636" s="389"/>
      <c r="AZ636" s="388"/>
    </row>
    <row r="637" spans="51:52" x14ac:dyDescent="0.2">
      <c r="AY637" s="389"/>
      <c r="AZ637" s="388"/>
    </row>
    <row r="638" spans="51:52" x14ac:dyDescent="0.2">
      <c r="AY638" s="389"/>
      <c r="AZ638" s="388"/>
    </row>
    <row r="639" spans="51:52" x14ac:dyDescent="0.2">
      <c r="AY639" s="389"/>
      <c r="AZ639" s="388"/>
    </row>
    <row r="640" spans="51:52" x14ac:dyDescent="0.2">
      <c r="AY640" s="389"/>
      <c r="AZ640" s="388"/>
    </row>
    <row r="641" spans="51:52" x14ac:dyDescent="0.2">
      <c r="AY641" s="389"/>
      <c r="AZ641" s="388"/>
    </row>
    <row r="642" spans="51:52" x14ac:dyDescent="0.2">
      <c r="AY642" s="389"/>
      <c r="AZ642" s="388"/>
    </row>
    <row r="643" spans="51:52" x14ac:dyDescent="0.2">
      <c r="AY643" s="389"/>
      <c r="AZ643" s="388"/>
    </row>
    <row r="644" spans="51:52" x14ac:dyDescent="0.2">
      <c r="AY644" s="389"/>
      <c r="AZ644" s="388"/>
    </row>
    <row r="645" spans="51:52" x14ac:dyDescent="0.2">
      <c r="AY645" s="389"/>
      <c r="AZ645" s="388"/>
    </row>
    <row r="646" spans="51:52" x14ac:dyDescent="0.2">
      <c r="AY646" s="389"/>
      <c r="AZ646" s="388"/>
    </row>
    <row r="647" spans="51:52" x14ac:dyDescent="0.2">
      <c r="AY647" s="389"/>
      <c r="AZ647" s="388"/>
    </row>
    <row r="648" spans="51:52" x14ac:dyDescent="0.2">
      <c r="AY648" s="389"/>
      <c r="AZ648" s="388"/>
    </row>
    <row r="649" spans="51:52" x14ac:dyDescent="0.2">
      <c r="AY649" s="389"/>
      <c r="AZ649" s="388"/>
    </row>
    <row r="650" spans="51:52" x14ac:dyDescent="0.2">
      <c r="AY650" s="389"/>
      <c r="AZ650" s="388"/>
    </row>
    <row r="651" spans="51:52" x14ac:dyDescent="0.2">
      <c r="AY651" s="389"/>
      <c r="AZ651" s="388"/>
    </row>
    <row r="652" spans="51:52" x14ac:dyDescent="0.2">
      <c r="AY652" s="389"/>
      <c r="AZ652" s="388"/>
    </row>
    <row r="653" spans="51:52" x14ac:dyDescent="0.2">
      <c r="AY653" s="389"/>
      <c r="AZ653" s="388"/>
    </row>
    <row r="654" spans="51:52" x14ac:dyDescent="0.2">
      <c r="AY654" s="389"/>
      <c r="AZ654" s="388"/>
    </row>
    <row r="655" spans="51:52" x14ac:dyDescent="0.2">
      <c r="AY655" s="389"/>
      <c r="AZ655" s="388"/>
    </row>
    <row r="656" spans="51:52" x14ac:dyDescent="0.2">
      <c r="AY656" s="389"/>
      <c r="AZ656" s="388"/>
    </row>
    <row r="657" spans="51:52" x14ac:dyDescent="0.2">
      <c r="AY657" s="389"/>
      <c r="AZ657" s="388"/>
    </row>
    <row r="658" spans="51:52" x14ac:dyDescent="0.2">
      <c r="AY658" s="389"/>
      <c r="AZ658" s="388"/>
    </row>
    <row r="659" spans="51:52" x14ac:dyDescent="0.2">
      <c r="AY659" s="389"/>
      <c r="AZ659" s="388"/>
    </row>
    <row r="660" spans="51:52" x14ac:dyDescent="0.2">
      <c r="AY660" s="389"/>
      <c r="AZ660" s="388"/>
    </row>
    <row r="661" spans="51:52" x14ac:dyDescent="0.2">
      <c r="AY661" s="389"/>
      <c r="AZ661" s="388"/>
    </row>
    <row r="662" spans="51:52" x14ac:dyDescent="0.2">
      <c r="AY662" s="389"/>
      <c r="AZ662" s="388"/>
    </row>
    <row r="663" spans="51:52" x14ac:dyDescent="0.2">
      <c r="AY663" s="389"/>
      <c r="AZ663" s="388"/>
    </row>
    <row r="664" spans="51:52" x14ac:dyDescent="0.2">
      <c r="AY664" s="389"/>
      <c r="AZ664" s="388"/>
    </row>
    <row r="665" spans="51:52" x14ac:dyDescent="0.2">
      <c r="AY665" s="389"/>
      <c r="AZ665" s="388"/>
    </row>
    <row r="666" spans="51:52" x14ac:dyDescent="0.2">
      <c r="AY666" s="389"/>
      <c r="AZ666" s="388"/>
    </row>
    <row r="667" spans="51:52" x14ac:dyDescent="0.2">
      <c r="AY667" s="389"/>
      <c r="AZ667" s="388"/>
    </row>
    <row r="668" spans="51:52" x14ac:dyDescent="0.2">
      <c r="AY668" s="389"/>
      <c r="AZ668" s="388"/>
    </row>
    <row r="669" spans="51:52" x14ac:dyDescent="0.2">
      <c r="AY669" s="389"/>
      <c r="AZ669" s="388"/>
    </row>
    <row r="670" spans="51:52" x14ac:dyDescent="0.2">
      <c r="AY670" s="389"/>
      <c r="AZ670" s="388"/>
    </row>
    <row r="671" spans="51:52" x14ac:dyDescent="0.2">
      <c r="AY671" s="389"/>
      <c r="AZ671" s="388"/>
    </row>
    <row r="672" spans="51:52" x14ac:dyDescent="0.2">
      <c r="AY672" s="389"/>
      <c r="AZ672" s="388"/>
    </row>
    <row r="673" spans="51:52" x14ac:dyDescent="0.2">
      <c r="AY673" s="389"/>
      <c r="AZ673" s="388"/>
    </row>
    <row r="674" spans="51:52" x14ac:dyDescent="0.2">
      <c r="AY674" s="389"/>
      <c r="AZ674" s="388"/>
    </row>
    <row r="675" spans="51:52" x14ac:dyDescent="0.2">
      <c r="AY675" s="389"/>
      <c r="AZ675" s="388"/>
    </row>
    <row r="676" spans="51:52" x14ac:dyDescent="0.2">
      <c r="AY676" s="389"/>
      <c r="AZ676" s="388"/>
    </row>
    <row r="677" spans="51:52" x14ac:dyDescent="0.2">
      <c r="AY677" s="389"/>
      <c r="AZ677" s="388"/>
    </row>
    <row r="678" spans="51:52" x14ac:dyDescent="0.2">
      <c r="AY678" s="389"/>
      <c r="AZ678" s="388"/>
    </row>
    <row r="679" spans="51:52" x14ac:dyDescent="0.2">
      <c r="AY679" s="389"/>
      <c r="AZ679" s="388"/>
    </row>
    <row r="680" spans="51:52" x14ac:dyDescent="0.2">
      <c r="AY680" s="389"/>
      <c r="AZ680" s="388"/>
    </row>
    <row r="681" spans="51:52" x14ac:dyDescent="0.2">
      <c r="AY681" s="389"/>
      <c r="AZ681" s="388"/>
    </row>
    <row r="682" spans="51:52" x14ac:dyDescent="0.2">
      <c r="AY682" s="389"/>
      <c r="AZ682" s="388"/>
    </row>
    <row r="683" spans="51:52" x14ac:dyDescent="0.2">
      <c r="AY683" s="389"/>
      <c r="AZ683" s="388"/>
    </row>
    <row r="684" spans="51:52" x14ac:dyDescent="0.2">
      <c r="AY684" s="389"/>
      <c r="AZ684" s="388"/>
    </row>
    <row r="685" spans="51:52" x14ac:dyDescent="0.2">
      <c r="AY685" s="389"/>
      <c r="AZ685" s="388"/>
    </row>
    <row r="686" spans="51:52" x14ac:dyDescent="0.2">
      <c r="AY686" s="389"/>
      <c r="AZ686" s="388"/>
    </row>
    <row r="687" spans="51:52" x14ac:dyDescent="0.2">
      <c r="AY687" s="389"/>
      <c r="AZ687" s="388"/>
    </row>
    <row r="688" spans="51:52" x14ac:dyDescent="0.2">
      <c r="AY688" s="389"/>
      <c r="AZ688" s="388"/>
    </row>
    <row r="689" spans="51:52" x14ac:dyDescent="0.2">
      <c r="AY689" s="389"/>
      <c r="AZ689" s="388"/>
    </row>
    <row r="690" spans="51:52" x14ac:dyDescent="0.2">
      <c r="AY690" s="389"/>
      <c r="AZ690" s="388"/>
    </row>
    <row r="691" spans="51:52" x14ac:dyDescent="0.2">
      <c r="AY691" s="389"/>
      <c r="AZ691" s="388"/>
    </row>
    <row r="692" spans="51:52" x14ac:dyDescent="0.2">
      <c r="AY692" s="389"/>
      <c r="AZ692" s="388"/>
    </row>
    <row r="693" spans="51:52" x14ac:dyDescent="0.2">
      <c r="AY693" s="389"/>
      <c r="AZ693" s="388"/>
    </row>
    <row r="694" spans="51:52" x14ac:dyDescent="0.2">
      <c r="AY694" s="389"/>
      <c r="AZ694" s="388"/>
    </row>
    <row r="695" spans="51:52" x14ac:dyDescent="0.2">
      <c r="AY695" s="389"/>
      <c r="AZ695" s="388"/>
    </row>
    <row r="696" spans="51:52" x14ac:dyDescent="0.2">
      <c r="AY696" s="389"/>
      <c r="AZ696" s="388"/>
    </row>
    <row r="697" spans="51:52" x14ac:dyDescent="0.2">
      <c r="AY697" s="389"/>
      <c r="AZ697" s="388"/>
    </row>
    <row r="698" spans="51:52" x14ac:dyDescent="0.2">
      <c r="AY698" s="389"/>
      <c r="AZ698" s="388"/>
    </row>
    <row r="699" spans="51:52" x14ac:dyDescent="0.2">
      <c r="AY699" s="389"/>
      <c r="AZ699" s="388"/>
    </row>
    <row r="700" spans="51:52" x14ac:dyDescent="0.2">
      <c r="AY700" s="389"/>
      <c r="AZ700" s="388"/>
    </row>
    <row r="701" spans="51:52" x14ac:dyDescent="0.2">
      <c r="AY701" s="389"/>
      <c r="AZ701" s="388"/>
    </row>
    <row r="702" spans="51:52" x14ac:dyDescent="0.2">
      <c r="AY702" s="389"/>
      <c r="AZ702" s="388"/>
    </row>
    <row r="703" spans="51:52" x14ac:dyDescent="0.2">
      <c r="AY703" s="389"/>
      <c r="AZ703" s="388"/>
    </row>
    <row r="704" spans="51:52" x14ac:dyDescent="0.2">
      <c r="AY704" s="389"/>
      <c r="AZ704" s="388"/>
    </row>
    <row r="705" spans="51:52" x14ac:dyDescent="0.2">
      <c r="AY705" s="389"/>
      <c r="AZ705" s="388"/>
    </row>
    <row r="706" spans="51:52" x14ac:dyDescent="0.2">
      <c r="AY706" s="389"/>
      <c r="AZ706" s="388"/>
    </row>
    <row r="707" spans="51:52" x14ac:dyDescent="0.2">
      <c r="AY707" s="389"/>
      <c r="AZ707" s="388"/>
    </row>
    <row r="708" spans="51:52" x14ac:dyDescent="0.2">
      <c r="AY708" s="389"/>
      <c r="AZ708" s="388"/>
    </row>
    <row r="709" spans="51:52" x14ac:dyDescent="0.2">
      <c r="AY709" s="389"/>
      <c r="AZ709" s="388"/>
    </row>
    <row r="710" spans="51:52" x14ac:dyDescent="0.2">
      <c r="AY710" s="389"/>
      <c r="AZ710" s="388"/>
    </row>
    <row r="711" spans="51:52" x14ac:dyDescent="0.2">
      <c r="AY711" s="389"/>
      <c r="AZ711" s="388"/>
    </row>
    <row r="712" spans="51:52" x14ac:dyDescent="0.2">
      <c r="AY712" s="389"/>
      <c r="AZ712" s="388"/>
    </row>
    <row r="713" spans="51:52" x14ac:dyDescent="0.2">
      <c r="AY713" s="389"/>
      <c r="AZ713" s="388"/>
    </row>
    <row r="714" spans="51:52" x14ac:dyDescent="0.2">
      <c r="AY714" s="389"/>
      <c r="AZ714" s="388"/>
    </row>
    <row r="715" spans="51:52" x14ac:dyDescent="0.2">
      <c r="AY715" s="389"/>
      <c r="AZ715" s="388"/>
    </row>
    <row r="716" spans="51:52" x14ac:dyDescent="0.2">
      <c r="AY716" s="389"/>
      <c r="AZ716" s="388"/>
    </row>
    <row r="717" spans="51:52" x14ac:dyDescent="0.2">
      <c r="AY717" s="389"/>
      <c r="AZ717" s="388"/>
    </row>
    <row r="718" spans="51:52" x14ac:dyDescent="0.2">
      <c r="AY718" s="389"/>
      <c r="AZ718" s="388"/>
    </row>
    <row r="719" spans="51:52" x14ac:dyDescent="0.2">
      <c r="AY719" s="389"/>
      <c r="AZ719" s="388"/>
    </row>
    <row r="720" spans="51:52" x14ac:dyDescent="0.2">
      <c r="AY720" s="389"/>
      <c r="AZ720" s="388"/>
    </row>
    <row r="721" spans="51:52" x14ac:dyDescent="0.2">
      <c r="AY721" s="389"/>
      <c r="AZ721" s="388"/>
    </row>
    <row r="722" spans="51:52" x14ac:dyDescent="0.2">
      <c r="AY722" s="389"/>
      <c r="AZ722" s="388"/>
    </row>
    <row r="723" spans="51:52" x14ac:dyDescent="0.2">
      <c r="AY723" s="389"/>
      <c r="AZ723" s="388"/>
    </row>
    <row r="724" spans="51:52" x14ac:dyDescent="0.2">
      <c r="AY724" s="389"/>
      <c r="AZ724" s="388"/>
    </row>
    <row r="725" spans="51:52" x14ac:dyDescent="0.2">
      <c r="AY725" s="389"/>
      <c r="AZ725" s="388"/>
    </row>
    <row r="726" spans="51:52" x14ac:dyDescent="0.2">
      <c r="AY726" s="389"/>
      <c r="AZ726" s="388"/>
    </row>
    <row r="727" spans="51:52" x14ac:dyDescent="0.2">
      <c r="AY727" s="389"/>
      <c r="AZ727" s="388"/>
    </row>
    <row r="728" spans="51:52" x14ac:dyDescent="0.2">
      <c r="AY728" s="389"/>
      <c r="AZ728" s="388"/>
    </row>
    <row r="729" spans="51:52" x14ac:dyDescent="0.2">
      <c r="AY729" s="389"/>
      <c r="AZ729" s="388"/>
    </row>
    <row r="730" spans="51:52" x14ac:dyDescent="0.2">
      <c r="AY730" s="389"/>
      <c r="AZ730" s="388"/>
    </row>
    <row r="731" spans="51:52" x14ac:dyDescent="0.2">
      <c r="AY731" s="389"/>
      <c r="AZ731" s="388"/>
    </row>
    <row r="732" spans="51:52" x14ac:dyDescent="0.2">
      <c r="AY732" s="389"/>
      <c r="AZ732" s="388"/>
    </row>
    <row r="733" spans="51:52" x14ac:dyDescent="0.2">
      <c r="AY733" s="389"/>
      <c r="AZ733" s="388"/>
    </row>
    <row r="734" spans="51:52" x14ac:dyDescent="0.2">
      <c r="AY734" s="389"/>
      <c r="AZ734" s="388"/>
    </row>
    <row r="735" spans="51:52" x14ac:dyDescent="0.2">
      <c r="AY735" s="389"/>
      <c r="AZ735" s="388"/>
    </row>
    <row r="736" spans="51:52" x14ac:dyDescent="0.2">
      <c r="AY736" s="389"/>
      <c r="AZ736" s="388"/>
    </row>
    <row r="737" spans="51:52" x14ac:dyDescent="0.2">
      <c r="AY737" s="389"/>
      <c r="AZ737" s="388"/>
    </row>
    <row r="738" spans="51:52" x14ac:dyDescent="0.2">
      <c r="AY738" s="389"/>
      <c r="AZ738" s="388"/>
    </row>
    <row r="739" spans="51:52" x14ac:dyDescent="0.2">
      <c r="AY739" s="389"/>
      <c r="AZ739" s="388"/>
    </row>
    <row r="740" spans="51:52" x14ac:dyDescent="0.2">
      <c r="AY740" s="389"/>
      <c r="AZ740" s="388"/>
    </row>
    <row r="741" spans="51:52" x14ac:dyDescent="0.2">
      <c r="AY741" s="389"/>
      <c r="AZ741" s="388"/>
    </row>
    <row r="742" spans="51:52" x14ac:dyDescent="0.2">
      <c r="AY742" s="389"/>
      <c r="AZ742" s="388"/>
    </row>
    <row r="743" spans="51:52" x14ac:dyDescent="0.2">
      <c r="AY743" s="389"/>
      <c r="AZ743" s="388"/>
    </row>
    <row r="744" spans="51:52" x14ac:dyDescent="0.2">
      <c r="AY744" s="389"/>
      <c r="AZ744" s="388"/>
    </row>
    <row r="745" spans="51:52" x14ac:dyDescent="0.2">
      <c r="AY745" s="389"/>
      <c r="AZ745" s="388"/>
    </row>
    <row r="746" spans="51:52" x14ac:dyDescent="0.2">
      <c r="AY746" s="389"/>
      <c r="AZ746" s="388"/>
    </row>
    <row r="747" spans="51:52" x14ac:dyDescent="0.2">
      <c r="AY747" s="389"/>
      <c r="AZ747" s="388"/>
    </row>
    <row r="748" spans="51:52" x14ac:dyDescent="0.2">
      <c r="AY748" s="389"/>
      <c r="AZ748" s="388"/>
    </row>
    <row r="749" spans="51:52" x14ac:dyDescent="0.2">
      <c r="AY749" s="389"/>
      <c r="AZ749" s="388"/>
    </row>
    <row r="750" spans="51:52" x14ac:dyDescent="0.2">
      <c r="AY750" s="389"/>
      <c r="AZ750" s="388"/>
    </row>
    <row r="751" spans="51:52" x14ac:dyDescent="0.2">
      <c r="AY751" s="389"/>
      <c r="AZ751" s="388"/>
    </row>
    <row r="752" spans="51:52" x14ac:dyDescent="0.2">
      <c r="AY752" s="389"/>
      <c r="AZ752" s="388"/>
    </row>
    <row r="753" spans="51:52" x14ac:dyDescent="0.2">
      <c r="AY753" s="389"/>
      <c r="AZ753" s="388"/>
    </row>
    <row r="754" spans="51:52" x14ac:dyDescent="0.2">
      <c r="AY754" s="389"/>
      <c r="AZ754" s="388"/>
    </row>
    <row r="755" spans="51:52" x14ac:dyDescent="0.2">
      <c r="AY755" s="389"/>
      <c r="AZ755" s="388"/>
    </row>
    <row r="756" spans="51:52" x14ac:dyDescent="0.2">
      <c r="AY756" s="389"/>
      <c r="AZ756" s="388"/>
    </row>
    <row r="757" spans="51:52" x14ac:dyDescent="0.2">
      <c r="AY757" s="389"/>
      <c r="AZ757" s="388"/>
    </row>
    <row r="758" spans="51:52" x14ac:dyDescent="0.2">
      <c r="AY758" s="389"/>
      <c r="AZ758" s="388"/>
    </row>
    <row r="759" spans="51:52" x14ac:dyDescent="0.2">
      <c r="AY759" s="389"/>
      <c r="AZ759" s="388"/>
    </row>
    <row r="760" spans="51:52" x14ac:dyDescent="0.2">
      <c r="AY760" s="389"/>
      <c r="AZ760" s="388"/>
    </row>
    <row r="761" spans="51:52" x14ac:dyDescent="0.2">
      <c r="AY761" s="389"/>
      <c r="AZ761" s="388"/>
    </row>
    <row r="762" spans="51:52" x14ac:dyDescent="0.2">
      <c r="AY762" s="389"/>
      <c r="AZ762" s="388"/>
    </row>
    <row r="763" spans="51:52" x14ac:dyDescent="0.2">
      <c r="AY763" s="389"/>
      <c r="AZ763" s="388"/>
    </row>
    <row r="764" spans="51:52" x14ac:dyDescent="0.2">
      <c r="AY764" s="389"/>
      <c r="AZ764" s="388"/>
    </row>
    <row r="765" spans="51:52" x14ac:dyDescent="0.2">
      <c r="AY765" s="389"/>
      <c r="AZ765" s="388"/>
    </row>
    <row r="766" spans="51:52" x14ac:dyDescent="0.2">
      <c r="AY766" s="389"/>
      <c r="AZ766" s="388"/>
    </row>
    <row r="767" spans="51:52" x14ac:dyDescent="0.2">
      <c r="AY767" s="389"/>
      <c r="AZ767" s="388"/>
    </row>
    <row r="768" spans="51:52" x14ac:dyDescent="0.2">
      <c r="AY768" s="389"/>
      <c r="AZ768" s="388"/>
    </row>
    <row r="769" spans="51:52" x14ac:dyDescent="0.2">
      <c r="AY769" s="389"/>
      <c r="AZ769" s="388"/>
    </row>
    <row r="770" spans="51:52" x14ac:dyDescent="0.2">
      <c r="AY770" s="389"/>
      <c r="AZ770" s="388"/>
    </row>
    <row r="771" spans="51:52" x14ac:dyDescent="0.2">
      <c r="AY771" s="389"/>
      <c r="AZ771" s="388"/>
    </row>
    <row r="772" spans="51:52" x14ac:dyDescent="0.2">
      <c r="AY772" s="389"/>
      <c r="AZ772" s="388"/>
    </row>
    <row r="773" spans="51:52" x14ac:dyDescent="0.2">
      <c r="AY773" s="389"/>
      <c r="AZ773" s="388"/>
    </row>
    <row r="774" spans="51:52" x14ac:dyDescent="0.2">
      <c r="AY774" s="389"/>
      <c r="AZ774" s="388"/>
    </row>
    <row r="775" spans="51:52" x14ac:dyDescent="0.2">
      <c r="AY775" s="389"/>
      <c r="AZ775" s="388"/>
    </row>
    <row r="776" spans="51:52" x14ac:dyDescent="0.2">
      <c r="AY776" s="389"/>
      <c r="AZ776" s="388"/>
    </row>
    <row r="777" spans="51:52" x14ac:dyDescent="0.2">
      <c r="AY777" s="389"/>
      <c r="AZ777" s="388"/>
    </row>
    <row r="778" spans="51:52" x14ac:dyDescent="0.2">
      <c r="AY778" s="389"/>
      <c r="AZ778" s="388"/>
    </row>
    <row r="779" spans="51:52" x14ac:dyDescent="0.2">
      <c r="AY779" s="389"/>
      <c r="AZ779" s="388"/>
    </row>
    <row r="780" spans="51:52" x14ac:dyDescent="0.2">
      <c r="AY780" s="389"/>
      <c r="AZ780" s="388"/>
    </row>
    <row r="781" spans="51:52" x14ac:dyDescent="0.2">
      <c r="AY781" s="389"/>
      <c r="AZ781" s="388"/>
    </row>
    <row r="782" spans="51:52" x14ac:dyDescent="0.2">
      <c r="AY782" s="389"/>
      <c r="AZ782" s="388"/>
    </row>
    <row r="783" spans="51:52" x14ac:dyDescent="0.2">
      <c r="AY783" s="389"/>
      <c r="AZ783" s="388"/>
    </row>
    <row r="784" spans="51:52" x14ac:dyDescent="0.2">
      <c r="AY784" s="389"/>
      <c r="AZ784" s="388"/>
    </row>
    <row r="785" spans="51:52" x14ac:dyDescent="0.2">
      <c r="AY785" s="389"/>
      <c r="AZ785" s="388"/>
    </row>
    <row r="786" spans="51:52" x14ac:dyDescent="0.2">
      <c r="AY786" s="389"/>
      <c r="AZ786" s="388"/>
    </row>
    <row r="787" spans="51:52" x14ac:dyDescent="0.2">
      <c r="AY787" s="389"/>
      <c r="AZ787" s="388"/>
    </row>
    <row r="788" spans="51:52" x14ac:dyDescent="0.2">
      <c r="AY788" s="389"/>
      <c r="AZ788" s="388"/>
    </row>
    <row r="789" spans="51:52" x14ac:dyDescent="0.2">
      <c r="AY789" s="389"/>
      <c r="AZ789" s="388"/>
    </row>
    <row r="790" spans="51:52" x14ac:dyDescent="0.2">
      <c r="AY790" s="389"/>
      <c r="AZ790" s="388"/>
    </row>
    <row r="791" spans="51:52" x14ac:dyDescent="0.2">
      <c r="AY791" s="389"/>
      <c r="AZ791" s="388"/>
    </row>
    <row r="792" spans="51:52" x14ac:dyDescent="0.2">
      <c r="AY792" s="389"/>
      <c r="AZ792" s="388"/>
    </row>
    <row r="793" spans="51:52" x14ac:dyDescent="0.2">
      <c r="AY793" s="389"/>
      <c r="AZ793" s="388"/>
    </row>
    <row r="794" spans="51:52" x14ac:dyDescent="0.2">
      <c r="AY794" s="389"/>
      <c r="AZ794" s="388"/>
    </row>
    <row r="795" spans="51:52" x14ac:dyDescent="0.2">
      <c r="AY795" s="389"/>
      <c r="AZ795" s="388"/>
    </row>
    <row r="796" spans="51:52" x14ac:dyDescent="0.2">
      <c r="AY796" s="389"/>
      <c r="AZ796" s="388"/>
    </row>
    <row r="797" spans="51:52" x14ac:dyDescent="0.2">
      <c r="AY797" s="389"/>
      <c r="AZ797" s="388"/>
    </row>
    <row r="798" spans="51:52" x14ac:dyDescent="0.2">
      <c r="AY798" s="389"/>
      <c r="AZ798" s="388"/>
    </row>
    <row r="799" spans="51:52" x14ac:dyDescent="0.2">
      <c r="AY799" s="389"/>
      <c r="AZ799" s="388"/>
    </row>
    <row r="800" spans="51:52" x14ac:dyDescent="0.2">
      <c r="AY800" s="389"/>
      <c r="AZ800" s="388"/>
    </row>
    <row r="801" spans="51:52" x14ac:dyDescent="0.2">
      <c r="AY801" s="389"/>
      <c r="AZ801" s="388"/>
    </row>
    <row r="802" spans="51:52" x14ac:dyDescent="0.2">
      <c r="AY802" s="389"/>
      <c r="AZ802" s="388"/>
    </row>
    <row r="803" spans="51:52" x14ac:dyDescent="0.2">
      <c r="AY803" s="389"/>
      <c r="AZ803" s="388"/>
    </row>
    <row r="804" spans="51:52" x14ac:dyDescent="0.2">
      <c r="AY804" s="389"/>
      <c r="AZ804" s="388"/>
    </row>
    <row r="805" spans="51:52" x14ac:dyDescent="0.2">
      <c r="AY805" s="389"/>
      <c r="AZ805" s="388"/>
    </row>
    <row r="806" spans="51:52" x14ac:dyDescent="0.2">
      <c r="AY806" s="389"/>
      <c r="AZ806" s="388"/>
    </row>
    <row r="807" spans="51:52" x14ac:dyDescent="0.2">
      <c r="AY807" s="389"/>
      <c r="AZ807" s="388"/>
    </row>
    <row r="808" spans="51:52" x14ac:dyDescent="0.2">
      <c r="AY808" s="389"/>
      <c r="AZ808" s="388"/>
    </row>
    <row r="809" spans="51:52" x14ac:dyDescent="0.2">
      <c r="AY809" s="389"/>
      <c r="AZ809" s="388"/>
    </row>
    <row r="810" spans="51:52" x14ac:dyDescent="0.2">
      <c r="AY810" s="389"/>
      <c r="AZ810" s="388"/>
    </row>
    <row r="811" spans="51:52" x14ac:dyDescent="0.2">
      <c r="AY811" s="389"/>
      <c r="AZ811" s="388"/>
    </row>
    <row r="812" spans="51:52" x14ac:dyDescent="0.2">
      <c r="AY812" s="389"/>
      <c r="AZ812" s="388"/>
    </row>
    <row r="813" spans="51:52" x14ac:dyDescent="0.2">
      <c r="AY813" s="389"/>
      <c r="AZ813" s="388"/>
    </row>
    <row r="814" spans="51:52" x14ac:dyDescent="0.2">
      <c r="AY814" s="389"/>
      <c r="AZ814" s="388"/>
    </row>
    <row r="815" spans="51:52" x14ac:dyDescent="0.2">
      <c r="AY815" s="389"/>
      <c r="AZ815" s="388"/>
    </row>
    <row r="816" spans="51:52" x14ac:dyDescent="0.2">
      <c r="AY816" s="389"/>
      <c r="AZ816" s="388"/>
    </row>
    <row r="817" spans="51:52" x14ac:dyDescent="0.2">
      <c r="AY817" s="389"/>
      <c r="AZ817" s="388"/>
    </row>
    <row r="818" spans="51:52" x14ac:dyDescent="0.2">
      <c r="AY818" s="389"/>
      <c r="AZ818" s="388"/>
    </row>
    <row r="819" spans="51:52" x14ac:dyDescent="0.2">
      <c r="AY819" s="389"/>
      <c r="AZ819" s="388"/>
    </row>
    <row r="820" spans="51:52" x14ac:dyDescent="0.2">
      <c r="AY820" s="389"/>
      <c r="AZ820" s="388"/>
    </row>
    <row r="821" spans="51:52" x14ac:dyDescent="0.2">
      <c r="AY821" s="389"/>
      <c r="AZ821" s="388"/>
    </row>
    <row r="822" spans="51:52" x14ac:dyDescent="0.2">
      <c r="AY822" s="389"/>
      <c r="AZ822" s="388"/>
    </row>
    <row r="823" spans="51:52" x14ac:dyDescent="0.2">
      <c r="AY823" s="389"/>
      <c r="AZ823" s="388"/>
    </row>
    <row r="824" spans="51:52" x14ac:dyDescent="0.2">
      <c r="AY824" s="389"/>
      <c r="AZ824" s="388"/>
    </row>
    <row r="825" spans="51:52" x14ac:dyDescent="0.2">
      <c r="AY825" s="389"/>
      <c r="AZ825" s="388"/>
    </row>
    <row r="826" spans="51:52" x14ac:dyDescent="0.2">
      <c r="AY826" s="389"/>
      <c r="AZ826" s="388"/>
    </row>
    <row r="827" spans="51:52" x14ac:dyDescent="0.2">
      <c r="AY827" s="389"/>
      <c r="AZ827" s="388"/>
    </row>
    <row r="828" spans="51:52" x14ac:dyDescent="0.2">
      <c r="AY828" s="389"/>
      <c r="AZ828" s="388"/>
    </row>
    <row r="829" spans="51:52" x14ac:dyDescent="0.2">
      <c r="AY829" s="389"/>
      <c r="AZ829" s="388"/>
    </row>
    <row r="830" spans="51:52" x14ac:dyDescent="0.2">
      <c r="AY830" s="389"/>
      <c r="AZ830" s="388"/>
    </row>
    <row r="831" spans="51:52" x14ac:dyDescent="0.2">
      <c r="AY831" s="389"/>
      <c r="AZ831" s="388"/>
    </row>
    <row r="832" spans="51:52" x14ac:dyDescent="0.2">
      <c r="AY832" s="389"/>
      <c r="AZ832" s="388"/>
    </row>
    <row r="833" spans="51:52" x14ac:dyDescent="0.2">
      <c r="AY833" s="389"/>
      <c r="AZ833" s="388"/>
    </row>
    <row r="834" spans="51:52" x14ac:dyDescent="0.2">
      <c r="AY834" s="389"/>
      <c r="AZ834" s="388"/>
    </row>
    <row r="835" spans="51:52" x14ac:dyDescent="0.2">
      <c r="AY835" s="389"/>
      <c r="AZ835" s="388"/>
    </row>
    <row r="836" spans="51:52" x14ac:dyDescent="0.2">
      <c r="AY836" s="389"/>
      <c r="AZ836" s="388"/>
    </row>
    <row r="837" spans="51:52" x14ac:dyDescent="0.2">
      <c r="AY837" s="389"/>
      <c r="AZ837" s="388"/>
    </row>
    <row r="838" spans="51:52" x14ac:dyDescent="0.2">
      <c r="AY838" s="389"/>
      <c r="AZ838" s="388"/>
    </row>
    <row r="839" spans="51:52" x14ac:dyDescent="0.2">
      <c r="AY839" s="389"/>
      <c r="AZ839" s="388"/>
    </row>
    <row r="840" spans="51:52" x14ac:dyDescent="0.2">
      <c r="AY840" s="389"/>
      <c r="AZ840" s="388"/>
    </row>
    <row r="841" spans="51:52" x14ac:dyDescent="0.2">
      <c r="AY841" s="389"/>
      <c r="AZ841" s="388"/>
    </row>
    <row r="842" spans="51:52" x14ac:dyDescent="0.2">
      <c r="AY842" s="389"/>
      <c r="AZ842" s="388"/>
    </row>
    <row r="843" spans="51:52" x14ac:dyDescent="0.2">
      <c r="AY843" s="389"/>
      <c r="AZ843" s="388"/>
    </row>
    <row r="844" spans="51:52" x14ac:dyDescent="0.2">
      <c r="AY844" s="389"/>
      <c r="AZ844" s="388"/>
    </row>
    <row r="845" spans="51:52" x14ac:dyDescent="0.2">
      <c r="AY845" s="389"/>
      <c r="AZ845" s="388"/>
    </row>
    <row r="846" spans="51:52" x14ac:dyDescent="0.2">
      <c r="AY846" s="389"/>
      <c r="AZ846" s="388"/>
    </row>
    <row r="847" spans="51:52" x14ac:dyDescent="0.2">
      <c r="AY847" s="389"/>
      <c r="AZ847" s="388"/>
    </row>
    <row r="848" spans="51:52" x14ac:dyDescent="0.2">
      <c r="AY848" s="389"/>
      <c r="AZ848" s="388"/>
    </row>
    <row r="849" spans="51:52" x14ac:dyDescent="0.2">
      <c r="AY849" s="389"/>
      <c r="AZ849" s="388"/>
    </row>
    <row r="850" spans="51:52" x14ac:dyDescent="0.2">
      <c r="AY850" s="389"/>
      <c r="AZ850" s="388"/>
    </row>
    <row r="851" spans="51:52" x14ac:dyDescent="0.2">
      <c r="AY851" s="389"/>
      <c r="AZ851" s="388"/>
    </row>
    <row r="852" spans="51:52" x14ac:dyDescent="0.2">
      <c r="AY852" s="389"/>
      <c r="AZ852" s="388"/>
    </row>
    <row r="853" spans="51:52" x14ac:dyDescent="0.2">
      <c r="AY853" s="389"/>
      <c r="AZ853" s="388"/>
    </row>
    <row r="854" spans="51:52" x14ac:dyDescent="0.2">
      <c r="AY854" s="389"/>
      <c r="AZ854" s="388"/>
    </row>
    <row r="855" spans="51:52" x14ac:dyDescent="0.2">
      <c r="AY855" s="389"/>
      <c r="AZ855" s="388"/>
    </row>
    <row r="856" spans="51:52" x14ac:dyDescent="0.2">
      <c r="AY856" s="389"/>
      <c r="AZ856" s="388"/>
    </row>
    <row r="857" spans="51:52" x14ac:dyDescent="0.2">
      <c r="AY857" s="389"/>
      <c r="AZ857" s="388"/>
    </row>
    <row r="858" spans="51:52" x14ac:dyDescent="0.2">
      <c r="AY858" s="389"/>
      <c r="AZ858" s="388"/>
    </row>
    <row r="859" spans="51:52" x14ac:dyDescent="0.2">
      <c r="AY859" s="389"/>
      <c r="AZ859" s="388"/>
    </row>
    <row r="860" spans="51:52" x14ac:dyDescent="0.2">
      <c r="AY860" s="389"/>
      <c r="AZ860" s="388"/>
    </row>
    <row r="861" spans="51:52" x14ac:dyDescent="0.2">
      <c r="AY861" s="389"/>
      <c r="AZ861" s="388"/>
    </row>
    <row r="862" spans="51:52" x14ac:dyDescent="0.2">
      <c r="AY862" s="389"/>
      <c r="AZ862" s="388"/>
    </row>
    <row r="863" spans="51:52" x14ac:dyDescent="0.2">
      <c r="AY863" s="389"/>
      <c r="AZ863" s="388"/>
    </row>
    <row r="864" spans="51:52" x14ac:dyDescent="0.2">
      <c r="AY864" s="389"/>
      <c r="AZ864" s="388"/>
    </row>
    <row r="865" spans="51:52" x14ac:dyDescent="0.2">
      <c r="AY865" s="389"/>
      <c r="AZ865" s="388"/>
    </row>
    <row r="866" spans="51:52" x14ac:dyDescent="0.2">
      <c r="AY866" s="389"/>
      <c r="AZ866" s="388"/>
    </row>
    <row r="867" spans="51:52" x14ac:dyDescent="0.2">
      <c r="AY867" s="389"/>
      <c r="AZ867" s="388"/>
    </row>
    <row r="868" spans="51:52" x14ac:dyDescent="0.2">
      <c r="AY868" s="389"/>
      <c r="AZ868" s="388"/>
    </row>
    <row r="869" spans="51:52" x14ac:dyDescent="0.2">
      <c r="AY869" s="389"/>
      <c r="AZ869" s="388"/>
    </row>
    <row r="870" spans="51:52" x14ac:dyDescent="0.2">
      <c r="AY870" s="389"/>
      <c r="AZ870" s="388"/>
    </row>
    <row r="871" spans="51:52" x14ac:dyDescent="0.2">
      <c r="AY871" s="389"/>
      <c r="AZ871" s="388"/>
    </row>
    <row r="872" spans="51:52" x14ac:dyDescent="0.2">
      <c r="AY872" s="389"/>
      <c r="AZ872" s="388"/>
    </row>
    <row r="873" spans="51:52" x14ac:dyDescent="0.2">
      <c r="AY873" s="389"/>
      <c r="AZ873" s="388"/>
    </row>
    <row r="874" spans="51:52" x14ac:dyDescent="0.2">
      <c r="AY874" s="389"/>
      <c r="AZ874" s="388"/>
    </row>
    <row r="875" spans="51:52" x14ac:dyDescent="0.2">
      <c r="AY875" s="389"/>
      <c r="AZ875" s="388"/>
    </row>
    <row r="876" spans="51:52" x14ac:dyDescent="0.2">
      <c r="AY876" s="389"/>
      <c r="AZ876" s="388"/>
    </row>
    <row r="877" spans="51:52" x14ac:dyDescent="0.2">
      <c r="AY877" s="389"/>
      <c r="AZ877" s="388"/>
    </row>
    <row r="878" spans="51:52" x14ac:dyDescent="0.2">
      <c r="AY878" s="389"/>
      <c r="AZ878" s="388"/>
    </row>
    <row r="879" spans="51:52" x14ac:dyDescent="0.2">
      <c r="AY879" s="389"/>
      <c r="AZ879" s="388"/>
    </row>
    <row r="880" spans="51:52" x14ac:dyDescent="0.2">
      <c r="AY880" s="389"/>
      <c r="AZ880" s="388"/>
    </row>
    <row r="881" spans="51:52" x14ac:dyDescent="0.2">
      <c r="AY881" s="389"/>
      <c r="AZ881" s="388"/>
    </row>
    <row r="882" spans="51:52" x14ac:dyDescent="0.2">
      <c r="AY882" s="389"/>
      <c r="AZ882" s="388"/>
    </row>
    <row r="883" spans="51:52" x14ac:dyDescent="0.2">
      <c r="AY883" s="389"/>
      <c r="AZ883" s="388"/>
    </row>
    <row r="884" spans="51:52" x14ac:dyDescent="0.2">
      <c r="AY884" s="389"/>
      <c r="AZ884" s="388"/>
    </row>
    <row r="885" spans="51:52" x14ac:dyDescent="0.2">
      <c r="AY885" s="389"/>
      <c r="AZ885" s="388"/>
    </row>
    <row r="886" spans="51:52" x14ac:dyDescent="0.2">
      <c r="AY886" s="389"/>
      <c r="AZ886" s="388"/>
    </row>
    <row r="887" spans="51:52" x14ac:dyDescent="0.2">
      <c r="AY887" s="389"/>
      <c r="AZ887" s="388"/>
    </row>
    <row r="888" spans="51:52" x14ac:dyDescent="0.2">
      <c r="AY888" s="389"/>
      <c r="AZ888" s="388"/>
    </row>
    <row r="889" spans="51:52" x14ac:dyDescent="0.2">
      <c r="AY889" s="389"/>
      <c r="AZ889" s="388"/>
    </row>
    <row r="890" spans="51:52" x14ac:dyDescent="0.2">
      <c r="AY890" s="389"/>
      <c r="AZ890" s="388"/>
    </row>
    <row r="891" spans="51:52" x14ac:dyDescent="0.2">
      <c r="AY891" s="389"/>
      <c r="AZ891" s="388"/>
    </row>
    <row r="892" spans="51:52" x14ac:dyDescent="0.2">
      <c r="AY892" s="389"/>
      <c r="AZ892" s="388"/>
    </row>
    <row r="893" spans="51:52" x14ac:dyDescent="0.2">
      <c r="AY893" s="389"/>
      <c r="AZ893" s="388"/>
    </row>
    <row r="894" spans="51:52" x14ac:dyDescent="0.2">
      <c r="AY894" s="389"/>
      <c r="AZ894" s="388"/>
    </row>
    <row r="895" spans="51:52" x14ac:dyDescent="0.2">
      <c r="AY895" s="389"/>
      <c r="AZ895" s="388"/>
    </row>
    <row r="896" spans="51:52" x14ac:dyDescent="0.2">
      <c r="AY896" s="389"/>
      <c r="AZ896" s="388"/>
    </row>
    <row r="897" spans="51:52" x14ac:dyDescent="0.2">
      <c r="AY897" s="389"/>
      <c r="AZ897" s="388"/>
    </row>
    <row r="898" spans="51:52" x14ac:dyDescent="0.2">
      <c r="AY898" s="389"/>
      <c r="AZ898" s="388"/>
    </row>
    <row r="899" spans="51:52" x14ac:dyDescent="0.2">
      <c r="AY899" s="389"/>
      <c r="AZ899" s="388"/>
    </row>
    <row r="900" spans="51:52" x14ac:dyDescent="0.2">
      <c r="AY900" s="389"/>
      <c r="AZ900" s="388"/>
    </row>
    <row r="901" spans="51:52" x14ac:dyDescent="0.2">
      <c r="AY901" s="389"/>
      <c r="AZ901" s="388"/>
    </row>
    <row r="902" spans="51:52" x14ac:dyDescent="0.2">
      <c r="AY902" s="389"/>
      <c r="AZ902" s="388"/>
    </row>
    <row r="903" spans="51:52" x14ac:dyDescent="0.2">
      <c r="AY903" s="389"/>
      <c r="AZ903" s="388"/>
    </row>
    <row r="904" spans="51:52" x14ac:dyDescent="0.2">
      <c r="AY904" s="389"/>
      <c r="AZ904" s="388"/>
    </row>
    <row r="905" spans="51:52" x14ac:dyDescent="0.2">
      <c r="AY905" s="389"/>
      <c r="AZ905" s="388"/>
    </row>
    <row r="906" spans="51:52" x14ac:dyDescent="0.2">
      <c r="AY906" s="389"/>
      <c r="AZ906" s="388"/>
    </row>
    <row r="907" spans="51:52" x14ac:dyDescent="0.2">
      <c r="AY907" s="389"/>
      <c r="AZ907" s="388"/>
    </row>
    <row r="908" spans="51:52" x14ac:dyDescent="0.2">
      <c r="AY908" s="389"/>
      <c r="AZ908" s="388"/>
    </row>
    <row r="909" spans="51:52" x14ac:dyDescent="0.2">
      <c r="AY909" s="389"/>
      <c r="AZ909" s="388"/>
    </row>
    <row r="910" spans="51:52" x14ac:dyDescent="0.2">
      <c r="AY910" s="389"/>
      <c r="AZ910" s="388"/>
    </row>
    <row r="911" spans="51:52" x14ac:dyDescent="0.2">
      <c r="AY911" s="389"/>
      <c r="AZ911" s="388"/>
    </row>
    <row r="912" spans="51:52" x14ac:dyDescent="0.2">
      <c r="AY912" s="389"/>
      <c r="AZ912" s="388"/>
    </row>
    <row r="913" spans="51:52" x14ac:dyDescent="0.2">
      <c r="AY913" s="389"/>
      <c r="AZ913" s="388"/>
    </row>
    <row r="914" spans="51:52" x14ac:dyDescent="0.2">
      <c r="AY914" s="389"/>
      <c r="AZ914" s="388"/>
    </row>
    <row r="915" spans="51:52" x14ac:dyDescent="0.2">
      <c r="AY915" s="389"/>
      <c r="AZ915" s="388"/>
    </row>
    <row r="916" spans="51:52" x14ac:dyDescent="0.2">
      <c r="AY916" s="389"/>
      <c r="AZ916" s="388"/>
    </row>
    <row r="917" spans="51:52" x14ac:dyDescent="0.2">
      <c r="AY917" s="389"/>
      <c r="AZ917" s="388"/>
    </row>
    <row r="918" spans="51:52" x14ac:dyDescent="0.2">
      <c r="AY918" s="389"/>
      <c r="AZ918" s="388"/>
    </row>
    <row r="919" spans="51:52" x14ac:dyDescent="0.2">
      <c r="AY919" s="389"/>
      <c r="AZ919" s="388"/>
    </row>
    <row r="920" spans="51:52" x14ac:dyDescent="0.2">
      <c r="AY920" s="389"/>
      <c r="AZ920" s="388"/>
    </row>
    <row r="921" spans="51:52" x14ac:dyDescent="0.2">
      <c r="AY921" s="389"/>
      <c r="AZ921" s="388"/>
    </row>
    <row r="922" spans="51:52" x14ac:dyDescent="0.2">
      <c r="AY922" s="389"/>
      <c r="AZ922" s="388"/>
    </row>
    <row r="923" spans="51:52" x14ac:dyDescent="0.2">
      <c r="AY923" s="389"/>
      <c r="AZ923" s="388"/>
    </row>
    <row r="924" spans="51:52" x14ac:dyDescent="0.2">
      <c r="AY924" s="389"/>
      <c r="AZ924" s="388"/>
    </row>
    <row r="925" spans="51:52" x14ac:dyDescent="0.2">
      <c r="AY925" s="389"/>
      <c r="AZ925" s="388"/>
    </row>
    <row r="926" spans="51:52" x14ac:dyDescent="0.2">
      <c r="AY926" s="389"/>
      <c r="AZ926" s="388"/>
    </row>
    <row r="927" spans="51:52" x14ac:dyDescent="0.2">
      <c r="AY927" s="389"/>
      <c r="AZ927" s="388"/>
    </row>
    <row r="928" spans="51:52" x14ac:dyDescent="0.2">
      <c r="AY928" s="389"/>
      <c r="AZ928" s="388"/>
    </row>
    <row r="929" spans="51:52" x14ac:dyDescent="0.2">
      <c r="AY929" s="389"/>
      <c r="AZ929" s="388"/>
    </row>
    <row r="930" spans="51:52" x14ac:dyDescent="0.2">
      <c r="AY930" s="389"/>
      <c r="AZ930" s="388"/>
    </row>
    <row r="931" spans="51:52" x14ac:dyDescent="0.2">
      <c r="AY931" s="389"/>
      <c r="AZ931" s="388"/>
    </row>
    <row r="932" spans="51:52" x14ac:dyDescent="0.2">
      <c r="AY932" s="389"/>
      <c r="AZ932" s="388"/>
    </row>
    <row r="933" spans="51:52" x14ac:dyDescent="0.2">
      <c r="AY933" s="389"/>
      <c r="AZ933" s="388"/>
    </row>
    <row r="934" spans="51:52" x14ac:dyDescent="0.2">
      <c r="AY934" s="389"/>
      <c r="AZ934" s="388"/>
    </row>
    <row r="935" spans="51:52" x14ac:dyDescent="0.2">
      <c r="AY935" s="389"/>
      <c r="AZ935" s="388"/>
    </row>
    <row r="936" spans="51:52" x14ac:dyDescent="0.2">
      <c r="AY936" s="389"/>
      <c r="AZ936" s="388"/>
    </row>
    <row r="937" spans="51:52" x14ac:dyDescent="0.2">
      <c r="AY937" s="389"/>
      <c r="AZ937" s="388"/>
    </row>
    <row r="938" spans="51:52" x14ac:dyDescent="0.2">
      <c r="AY938" s="389"/>
      <c r="AZ938" s="388"/>
    </row>
    <row r="939" spans="51:52" x14ac:dyDescent="0.2">
      <c r="AY939" s="389"/>
      <c r="AZ939" s="388"/>
    </row>
    <row r="940" spans="51:52" x14ac:dyDescent="0.2">
      <c r="AY940" s="389"/>
      <c r="AZ940" s="388"/>
    </row>
    <row r="941" spans="51:52" x14ac:dyDescent="0.2">
      <c r="AY941" s="389"/>
      <c r="AZ941" s="388"/>
    </row>
    <row r="942" spans="51:52" x14ac:dyDescent="0.2">
      <c r="AY942" s="389"/>
      <c r="AZ942" s="388"/>
    </row>
    <row r="943" spans="51:52" x14ac:dyDescent="0.2">
      <c r="AY943" s="389"/>
      <c r="AZ943" s="388"/>
    </row>
    <row r="944" spans="51:52" x14ac:dyDescent="0.2">
      <c r="AY944" s="389"/>
      <c r="AZ944" s="388"/>
    </row>
    <row r="945" spans="51:52" x14ac:dyDescent="0.2">
      <c r="AY945" s="389"/>
      <c r="AZ945" s="388"/>
    </row>
    <row r="946" spans="51:52" x14ac:dyDescent="0.2">
      <c r="AY946" s="389"/>
      <c r="AZ946" s="388"/>
    </row>
    <row r="947" spans="51:52" x14ac:dyDescent="0.2">
      <c r="AY947" s="389"/>
      <c r="AZ947" s="388"/>
    </row>
    <row r="948" spans="51:52" x14ac:dyDescent="0.2">
      <c r="AY948" s="389"/>
      <c r="AZ948" s="388"/>
    </row>
    <row r="949" spans="51:52" x14ac:dyDescent="0.2">
      <c r="AY949" s="389"/>
      <c r="AZ949" s="388"/>
    </row>
    <row r="950" spans="51:52" x14ac:dyDescent="0.2">
      <c r="AY950" s="389"/>
      <c r="AZ950" s="388"/>
    </row>
    <row r="951" spans="51:52" x14ac:dyDescent="0.2">
      <c r="AY951" s="389"/>
      <c r="AZ951" s="388"/>
    </row>
    <row r="952" spans="51:52" x14ac:dyDescent="0.2">
      <c r="AY952" s="389"/>
      <c r="AZ952" s="388"/>
    </row>
    <row r="953" spans="51:52" x14ac:dyDescent="0.2">
      <c r="AY953" s="389"/>
      <c r="AZ953" s="388"/>
    </row>
    <row r="954" spans="51:52" x14ac:dyDescent="0.2">
      <c r="AY954" s="389"/>
      <c r="AZ954" s="388"/>
    </row>
    <row r="955" spans="51:52" x14ac:dyDescent="0.2">
      <c r="AY955" s="389"/>
      <c r="AZ955" s="388"/>
    </row>
    <row r="956" spans="51:52" x14ac:dyDescent="0.2">
      <c r="AY956" s="389"/>
      <c r="AZ956" s="388"/>
    </row>
    <row r="957" spans="51:52" x14ac:dyDescent="0.2">
      <c r="AY957" s="389"/>
      <c r="AZ957" s="388"/>
    </row>
    <row r="958" spans="51:52" x14ac:dyDescent="0.2">
      <c r="AY958" s="389"/>
      <c r="AZ958" s="388"/>
    </row>
    <row r="959" spans="51:52" x14ac:dyDescent="0.2">
      <c r="AY959" s="389"/>
      <c r="AZ959" s="388"/>
    </row>
    <row r="960" spans="51:52" x14ac:dyDescent="0.2">
      <c r="AY960" s="389"/>
      <c r="AZ960" s="388"/>
    </row>
    <row r="961" spans="51:52" x14ac:dyDescent="0.2">
      <c r="AY961" s="389"/>
      <c r="AZ961" s="388"/>
    </row>
    <row r="962" spans="51:52" x14ac:dyDescent="0.2">
      <c r="AY962" s="389"/>
      <c r="AZ962" s="388"/>
    </row>
    <row r="963" spans="51:52" x14ac:dyDescent="0.2">
      <c r="AY963" s="389"/>
      <c r="AZ963" s="388"/>
    </row>
    <row r="964" spans="51:52" x14ac:dyDescent="0.2">
      <c r="AY964" s="389"/>
      <c r="AZ964" s="388"/>
    </row>
    <row r="965" spans="51:52" x14ac:dyDescent="0.2">
      <c r="AY965" s="389"/>
      <c r="AZ965" s="388"/>
    </row>
    <row r="966" spans="51:52" x14ac:dyDescent="0.2">
      <c r="AY966" s="389"/>
      <c r="AZ966" s="388"/>
    </row>
    <row r="967" spans="51:52" x14ac:dyDescent="0.2">
      <c r="AY967" s="389"/>
      <c r="AZ967" s="388"/>
    </row>
    <row r="968" spans="51:52" x14ac:dyDescent="0.2">
      <c r="AY968" s="389"/>
      <c r="AZ968" s="388"/>
    </row>
    <row r="969" spans="51:52" x14ac:dyDescent="0.2">
      <c r="AY969" s="389"/>
      <c r="AZ969" s="388"/>
    </row>
    <row r="970" spans="51:52" x14ac:dyDescent="0.2">
      <c r="AY970" s="389"/>
      <c r="AZ970" s="388"/>
    </row>
    <row r="971" spans="51:52" x14ac:dyDescent="0.2">
      <c r="AY971" s="389"/>
      <c r="AZ971" s="388"/>
    </row>
    <row r="972" spans="51:52" x14ac:dyDescent="0.2">
      <c r="AY972" s="389"/>
      <c r="AZ972" s="388"/>
    </row>
    <row r="973" spans="51:52" x14ac:dyDescent="0.2">
      <c r="AY973" s="389"/>
      <c r="AZ973" s="388"/>
    </row>
    <row r="974" spans="51:52" x14ac:dyDescent="0.2">
      <c r="AY974" s="389"/>
      <c r="AZ974" s="388"/>
    </row>
    <row r="975" spans="51:52" x14ac:dyDescent="0.2">
      <c r="AY975" s="389"/>
      <c r="AZ975" s="388"/>
    </row>
    <row r="976" spans="51:52" x14ac:dyDescent="0.2">
      <c r="AY976" s="389"/>
      <c r="AZ976" s="388"/>
    </row>
    <row r="977" spans="51:52" x14ac:dyDescent="0.2">
      <c r="AY977" s="389"/>
      <c r="AZ977" s="388"/>
    </row>
    <row r="978" spans="51:52" x14ac:dyDescent="0.2">
      <c r="AY978" s="389"/>
      <c r="AZ978" s="388"/>
    </row>
    <row r="979" spans="51:52" x14ac:dyDescent="0.2">
      <c r="AY979" s="389"/>
      <c r="AZ979" s="388"/>
    </row>
    <row r="980" spans="51:52" x14ac:dyDescent="0.2">
      <c r="AY980" s="389"/>
      <c r="AZ980" s="388"/>
    </row>
    <row r="981" spans="51:52" x14ac:dyDescent="0.2">
      <c r="AY981" s="389"/>
      <c r="AZ981" s="388"/>
    </row>
    <row r="982" spans="51:52" x14ac:dyDescent="0.2">
      <c r="AY982" s="389"/>
      <c r="AZ982" s="388"/>
    </row>
    <row r="983" spans="51:52" x14ac:dyDescent="0.2">
      <c r="AY983" s="389"/>
      <c r="AZ983" s="388"/>
    </row>
    <row r="984" spans="51:52" x14ac:dyDescent="0.2">
      <c r="AY984" s="389"/>
      <c r="AZ984" s="388"/>
    </row>
    <row r="985" spans="51:52" x14ac:dyDescent="0.2">
      <c r="AY985" s="389"/>
      <c r="AZ985" s="388"/>
    </row>
    <row r="986" spans="51:52" x14ac:dyDescent="0.2">
      <c r="AY986" s="389"/>
      <c r="AZ986" s="388"/>
    </row>
    <row r="987" spans="51:52" x14ac:dyDescent="0.2">
      <c r="AY987" s="389"/>
      <c r="AZ987" s="388"/>
    </row>
    <row r="988" spans="51:52" x14ac:dyDescent="0.2">
      <c r="AY988" s="389"/>
      <c r="AZ988" s="388"/>
    </row>
    <row r="989" spans="51:52" x14ac:dyDescent="0.2">
      <c r="AY989" s="389"/>
      <c r="AZ989" s="388"/>
    </row>
    <row r="990" spans="51:52" x14ac:dyDescent="0.2">
      <c r="AY990" s="389"/>
      <c r="AZ990" s="388"/>
    </row>
    <row r="991" spans="51:52" x14ac:dyDescent="0.2">
      <c r="AY991" s="389"/>
      <c r="AZ991" s="388"/>
    </row>
    <row r="992" spans="51:52" x14ac:dyDescent="0.2">
      <c r="AY992" s="389"/>
      <c r="AZ992" s="388"/>
    </row>
    <row r="993" spans="51:52" x14ac:dyDescent="0.2">
      <c r="AY993" s="389"/>
      <c r="AZ993" s="388"/>
    </row>
    <row r="994" spans="51:52" x14ac:dyDescent="0.2">
      <c r="AY994" s="389"/>
      <c r="AZ994" s="388"/>
    </row>
    <row r="995" spans="51:52" x14ac:dyDescent="0.2">
      <c r="AY995" s="389"/>
      <c r="AZ995" s="388"/>
    </row>
    <row r="996" spans="51:52" x14ac:dyDescent="0.2">
      <c r="AY996" s="389"/>
      <c r="AZ996" s="388"/>
    </row>
    <row r="997" spans="51:52" x14ac:dyDescent="0.2">
      <c r="AY997" s="389"/>
      <c r="AZ997" s="388"/>
    </row>
    <row r="998" spans="51:52" x14ac:dyDescent="0.2">
      <c r="AY998" s="389"/>
      <c r="AZ998" s="388"/>
    </row>
    <row r="999" spans="51:52" x14ac:dyDescent="0.2">
      <c r="AY999" s="389"/>
      <c r="AZ999" s="388"/>
    </row>
    <row r="1000" spans="51:52" x14ac:dyDescent="0.2">
      <c r="AY1000" s="389"/>
      <c r="AZ1000" s="388"/>
    </row>
    <row r="1001" spans="51:52" x14ac:dyDescent="0.2">
      <c r="AY1001" s="389"/>
      <c r="AZ1001" s="388"/>
    </row>
    <row r="1002" spans="51:52" x14ac:dyDescent="0.2">
      <c r="AY1002" s="389"/>
      <c r="AZ1002" s="388"/>
    </row>
    <row r="1003" spans="51:52" x14ac:dyDescent="0.2">
      <c r="AY1003" s="389"/>
      <c r="AZ1003" s="388"/>
    </row>
    <row r="1004" spans="51:52" x14ac:dyDescent="0.2">
      <c r="AY1004" s="389"/>
      <c r="AZ1004" s="388"/>
    </row>
    <row r="1005" spans="51:52" x14ac:dyDescent="0.2">
      <c r="AY1005" s="389"/>
      <c r="AZ1005" s="388"/>
    </row>
    <row r="1006" spans="51:52" x14ac:dyDescent="0.2">
      <c r="AY1006" s="389"/>
      <c r="AZ1006" s="388"/>
    </row>
    <row r="1007" spans="51:52" x14ac:dyDescent="0.2">
      <c r="AY1007" s="389"/>
      <c r="AZ1007" s="388"/>
    </row>
    <row r="1008" spans="51:52" x14ac:dyDescent="0.2">
      <c r="AY1008" s="389"/>
      <c r="AZ1008" s="388"/>
    </row>
    <row r="1009" spans="51:52" x14ac:dyDescent="0.2">
      <c r="AY1009" s="389"/>
      <c r="AZ1009" s="388"/>
    </row>
    <row r="1010" spans="51:52" x14ac:dyDescent="0.2">
      <c r="AY1010" s="389"/>
      <c r="AZ1010" s="388"/>
    </row>
    <row r="1011" spans="51:52" x14ac:dyDescent="0.2">
      <c r="AY1011" s="389"/>
      <c r="AZ1011" s="388"/>
    </row>
    <row r="1012" spans="51:52" x14ac:dyDescent="0.2">
      <c r="AY1012" s="389"/>
      <c r="AZ1012" s="388"/>
    </row>
    <row r="1013" spans="51:52" x14ac:dyDescent="0.2">
      <c r="AY1013" s="389"/>
      <c r="AZ1013" s="388"/>
    </row>
    <row r="1014" spans="51:52" x14ac:dyDescent="0.2">
      <c r="AY1014" s="389"/>
      <c r="AZ1014" s="388"/>
    </row>
    <row r="1015" spans="51:52" x14ac:dyDescent="0.2">
      <c r="AY1015" s="389"/>
      <c r="AZ1015" s="388"/>
    </row>
    <row r="1016" spans="51:52" x14ac:dyDescent="0.2">
      <c r="AY1016" s="389"/>
      <c r="AZ1016" s="388"/>
    </row>
    <row r="1017" spans="51:52" x14ac:dyDescent="0.2">
      <c r="AY1017" s="389"/>
      <c r="AZ1017" s="388"/>
    </row>
    <row r="1018" spans="51:52" x14ac:dyDescent="0.2">
      <c r="AY1018" s="389"/>
      <c r="AZ1018" s="388"/>
    </row>
    <row r="1019" spans="51:52" x14ac:dyDescent="0.2">
      <c r="AY1019" s="389"/>
      <c r="AZ1019" s="388"/>
    </row>
    <row r="1020" spans="51:52" x14ac:dyDescent="0.2">
      <c r="AY1020" s="389"/>
      <c r="AZ1020" s="388"/>
    </row>
    <row r="1021" spans="51:52" x14ac:dyDescent="0.2">
      <c r="AY1021" s="389"/>
      <c r="AZ1021" s="388"/>
    </row>
    <row r="1022" spans="51:52" x14ac:dyDescent="0.2">
      <c r="AY1022" s="389"/>
      <c r="AZ1022" s="388"/>
    </row>
    <row r="1023" spans="51:52" x14ac:dyDescent="0.2">
      <c r="AY1023" s="389"/>
      <c r="AZ1023" s="388"/>
    </row>
    <row r="1024" spans="51:52" x14ac:dyDescent="0.2">
      <c r="AY1024" s="389"/>
      <c r="AZ1024" s="388"/>
    </row>
    <row r="1025" spans="51:52" x14ac:dyDescent="0.2">
      <c r="AY1025" s="389"/>
      <c r="AZ1025" s="388"/>
    </row>
    <row r="1026" spans="51:52" x14ac:dyDescent="0.2">
      <c r="AY1026" s="389"/>
      <c r="AZ1026" s="388"/>
    </row>
    <row r="1027" spans="51:52" x14ac:dyDescent="0.2">
      <c r="AY1027" s="389"/>
      <c r="AZ1027" s="388"/>
    </row>
    <row r="1028" spans="51:52" x14ac:dyDescent="0.2">
      <c r="AY1028" s="389"/>
      <c r="AZ1028" s="388"/>
    </row>
    <row r="1029" spans="51:52" x14ac:dyDescent="0.2">
      <c r="AY1029" s="389"/>
      <c r="AZ1029" s="388"/>
    </row>
    <row r="1030" spans="51:52" x14ac:dyDescent="0.2">
      <c r="AY1030" s="389"/>
      <c r="AZ1030" s="388"/>
    </row>
    <row r="1031" spans="51:52" x14ac:dyDescent="0.2">
      <c r="AY1031" s="389"/>
      <c r="AZ1031" s="388"/>
    </row>
    <row r="1032" spans="51:52" x14ac:dyDescent="0.2">
      <c r="AY1032" s="389"/>
      <c r="AZ1032" s="388"/>
    </row>
    <row r="1033" spans="51:52" x14ac:dyDescent="0.2">
      <c r="AY1033" s="389"/>
      <c r="AZ1033" s="388"/>
    </row>
    <row r="1034" spans="51:52" x14ac:dyDescent="0.2">
      <c r="AY1034" s="389"/>
      <c r="AZ1034" s="388"/>
    </row>
    <row r="1035" spans="51:52" x14ac:dyDescent="0.2">
      <c r="AY1035" s="389"/>
      <c r="AZ1035" s="388"/>
    </row>
    <row r="1036" spans="51:52" x14ac:dyDescent="0.2">
      <c r="AY1036" s="389"/>
      <c r="AZ1036" s="388"/>
    </row>
    <row r="1037" spans="51:52" x14ac:dyDescent="0.2">
      <c r="AY1037" s="389"/>
      <c r="AZ1037" s="388"/>
    </row>
    <row r="1038" spans="51:52" x14ac:dyDescent="0.2">
      <c r="AY1038" s="389"/>
      <c r="AZ1038" s="388"/>
    </row>
    <row r="1039" spans="51:52" x14ac:dyDescent="0.2">
      <c r="AY1039" s="389"/>
      <c r="AZ1039" s="388"/>
    </row>
    <row r="1040" spans="51:52" x14ac:dyDescent="0.2">
      <c r="AY1040" s="389"/>
      <c r="AZ1040" s="388"/>
    </row>
    <row r="1041" spans="51:52" x14ac:dyDescent="0.2">
      <c r="AY1041" s="389"/>
      <c r="AZ1041" s="388"/>
    </row>
    <row r="1042" spans="51:52" x14ac:dyDescent="0.2">
      <c r="AY1042" s="389"/>
      <c r="AZ1042" s="388"/>
    </row>
    <row r="1043" spans="51:52" x14ac:dyDescent="0.2">
      <c r="AY1043" s="389"/>
      <c r="AZ1043" s="388"/>
    </row>
    <row r="1044" spans="51:52" x14ac:dyDescent="0.2">
      <c r="AY1044" s="389"/>
      <c r="AZ1044" s="388"/>
    </row>
    <row r="1045" spans="51:52" x14ac:dyDescent="0.2">
      <c r="AY1045" s="389"/>
      <c r="AZ1045" s="388"/>
    </row>
    <row r="1046" spans="51:52" x14ac:dyDescent="0.2">
      <c r="AY1046" s="389"/>
      <c r="AZ1046" s="388"/>
    </row>
    <row r="1047" spans="51:52" x14ac:dyDescent="0.2">
      <c r="AY1047" s="389"/>
      <c r="AZ1047" s="388"/>
    </row>
    <row r="1048" spans="51:52" x14ac:dyDescent="0.2">
      <c r="AY1048" s="389"/>
      <c r="AZ1048" s="388"/>
    </row>
    <row r="1049" spans="51:52" x14ac:dyDescent="0.2">
      <c r="AY1049" s="389"/>
      <c r="AZ1049" s="388"/>
    </row>
    <row r="1050" spans="51:52" x14ac:dyDescent="0.2">
      <c r="AY1050" s="389"/>
      <c r="AZ1050" s="388"/>
    </row>
    <row r="1051" spans="51:52" x14ac:dyDescent="0.2">
      <c r="AY1051" s="389"/>
      <c r="AZ1051" s="388"/>
    </row>
    <row r="1052" spans="51:52" x14ac:dyDescent="0.2">
      <c r="AY1052" s="389"/>
      <c r="AZ1052" s="388"/>
    </row>
    <row r="1053" spans="51:52" x14ac:dyDescent="0.2">
      <c r="AY1053" s="389"/>
      <c r="AZ1053" s="388"/>
    </row>
    <row r="1054" spans="51:52" x14ac:dyDescent="0.2">
      <c r="AY1054" s="389"/>
      <c r="AZ1054" s="388"/>
    </row>
    <row r="1055" spans="51:52" x14ac:dyDescent="0.2">
      <c r="AY1055" s="389"/>
      <c r="AZ1055" s="388"/>
    </row>
    <row r="1056" spans="51:52" x14ac:dyDescent="0.2">
      <c r="AY1056" s="389"/>
      <c r="AZ1056" s="388"/>
    </row>
    <row r="1057" spans="51:52" x14ac:dyDescent="0.2">
      <c r="AY1057" s="389"/>
      <c r="AZ1057" s="388"/>
    </row>
    <row r="1058" spans="51:52" x14ac:dyDescent="0.2">
      <c r="AY1058" s="389"/>
      <c r="AZ1058" s="388"/>
    </row>
    <row r="1059" spans="51:52" x14ac:dyDescent="0.2">
      <c r="AY1059" s="389"/>
      <c r="AZ1059" s="388"/>
    </row>
    <row r="1060" spans="51:52" x14ac:dyDescent="0.2">
      <c r="AY1060" s="389"/>
      <c r="AZ1060" s="388"/>
    </row>
    <row r="1061" spans="51:52" x14ac:dyDescent="0.2">
      <c r="AY1061" s="389"/>
      <c r="AZ1061" s="388"/>
    </row>
    <row r="1062" spans="51:52" x14ac:dyDescent="0.2">
      <c r="AY1062" s="389"/>
      <c r="AZ1062" s="388"/>
    </row>
    <row r="1063" spans="51:52" x14ac:dyDescent="0.2">
      <c r="AY1063" s="389"/>
      <c r="AZ1063" s="388"/>
    </row>
    <row r="1064" spans="51:52" x14ac:dyDescent="0.2">
      <c r="AY1064" s="389"/>
      <c r="AZ1064" s="388"/>
    </row>
    <row r="1065" spans="51:52" x14ac:dyDescent="0.2">
      <c r="AY1065" s="389"/>
      <c r="AZ1065" s="388"/>
    </row>
    <row r="1066" spans="51:52" x14ac:dyDescent="0.2">
      <c r="AY1066" s="389"/>
      <c r="AZ1066" s="388"/>
    </row>
    <row r="1067" spans="51:52" x14ac:dyDescent="0.2">
      <c r="AY1067" s="389"/>
      <c r="AZ1067" s="388"/>
    </row>
    <row r="1068" spans="51:52" x14ac:dyDescent="0.2">
      <c r="AY1068" s="389"/>
      <c r="AZ1068" s="388"/>
    </row>
    <row r="1069" spans="51:52" x14ac:dyDescent="0.2">
      <c r="AY1069" s="389"/>
      <c r="AZ1069" s="388"/>
    </row>
    <row r="1070" spans="51:52" x14ac:dyDescent="0.2">
      <c r="AY1070" s="389"/>
      <c r="AZ1070" s="388"/>
    </row>
    <row r="1071" spans="51:52" x14ac:dyDescent="0.2">
      <c r="AY1071" s="389"/>
      <c r="AZ1071" s="388"/>
    </row>
    <row r="1072" spans="51:52" x14ac:dyDescent="0.2">
      <c r="AY1072" s="389"/>
      <c r="AZ1072" s="388"/>
    </row>
    <row r="1073" spans="51:52" x14ac:dyDescent="0.2">
      <c r="AY1073" s="389"/>
      <c r="AZ1073" s="388"/>
    </row>
    <row r="1074" spans="51:52" x14ac:dyDescent="0.2">
      <c r="AY1074" s="389"/>
      <c r="AZ1074" s="388"/>
    </row>
    <row r="1075" spans="51:52" x14ac:dyDescent="0.2">
      <c r="AY1075" s="389"/>
      <c r="AZ1075" s="388"/>
    </row>
    <row r="1076" spans="51:52" x14ac:dyDescent="0.2">
      <c r="AY1076" s="389"/>
      <c r="AZ1076" s="388"/>
    </row>
    <row r="1077" spans="51:52" x14ac:dyDescent="0.2">
      <c r="AY1077" s="389"/>
      <c r="AZ1077" s="388"/>
    </row>
    <row r="1078" spans="51:52" x14ac:dyDescent="0.2">
      <c r="AY1078" s="389"/>
      <c r="AZ1078" s="388"/>
    </row>
    <row r="1079" spans="51:52" x14ac:dyDescent="0.2">
      <c r="AY1079" s="389"/>
      <c r="AZ1079" s="388"/>
    </row>
    <row r="1080" spans="51:52" x14ac:dyDescent="0.2">
      <c r="AY1080" s="389"/>
      <c r="AZ1080" s="388"/>
    </row>
    <row r="1081" spans="51:52" x14ac:dyDescent="0.2">
      <c r="AY1081" s="389"/>
      <c r="AZ1081" s="388"/>
    </row>
    <row r="1082" spans="51:52" x14ac:dyDescent="0.2">
      <c r="AY1082" s="389"/>
      <c r="AZ1082" s="388"/>
    </row>
    <row r="1083" spans="51:52" x14ac:dyDescent="0.2">
      <c r="AY1083" s="389"/>
      <c r="AZ1083" s="388"/>
    </row>
    <row r="1084" spans="51:52" x14ac:dyDescent="0.2">
      <c r="AY1084" s="389"/>
      <c r="AZ1084" s="388"/>
    </row>
    <row r="1085" spans="51:52" x14ac:dyDescent="0.2">
      <c r="AY1085" s="389"/>
      <c r="AZ1085" s="388"/>
    </row>
    <row r="1086" spans="51:52" x14ac:dyDescent="0.2">
      <c r="AY1086" s="389"/>
      <c r="AZ1086" s="388"/>
    </row>
    <row r="1087" spans="51:52" x14ac:dyDescent="0.2">
      <c r="AY1087" s="389"/>
      <c r="AZ1087" s="388"/>
    </row>
    <row r="1088" spans="51:52" x14ac:dyDescent="0.2">
      <c r="AY1088" s="389"/>
      <c r="AZ1088" s="388"/>
    </row>
    <row r="1089" spans="51:52" x14ac:dyDescent="0.2">
      <c r="AY1089" s="389"/>
      <c r="AZ1089" s="388"/>
    </row>
    <row r="1090" spans="51:52" x14ac:dyDescent="0.2">
      <c r="AY1090" s="389"/>
      <c r="AZ1090" s="388"/>
    </row>
    <row r="1091" spans="51:52" x14ac:dyDescent="0.2">
      <c r="AY1091" s="389"/>
      <c r="AZ1091" s="388"/>
    </row>
    <row r="1092" spans="51:52" x14ac:dyDescent="0.2">
      <c r="AY1092" s="389"/>
      <c r="AZ1092" s="388"/>
    </row>
    <row r="1093" spans="51:52" x14ac:dyDescent="0.2">
      <c r="AY1093" s="389"/>
      <c r="AZ1093" s="388"/>
    </row>
    <row r="1094" spans="51:52" x14ac:dyDescent="0.2">
      <c r="AY1094" s="389"/>
      <c r="AZ1094" s="388"/>
    </row>
    <row r="1095" spans="51:52" x14ac:dyDescent="0.2">
      <c r="AY1095" s="389"/>
      <c r="AZ1095" s="388"/>
    </row>
    <row r="1096" spans="51:52" x14ac:dyDescent="0.2">
      <c r="AY1096" s="389"/>
      <c r="AZ1096" s="388"/>
    </row>
    <row r="1097" spans="51:52" x14ac:dyDescent="0.2">
      <c r="AY1097" s="389"/>
      <c r="AZ1097" s="388"/>
    </row>
    <row r="1098" spans="51:52" x14ac:dyDescent="0.2">
      <c r="AY1098" s="389"/>
      <c r="AZ1098" s="388"/>
    </row>
    <row r="1099" spans="51:52" x14ac:dyDescent="0.2">
      <c r="AY1099" s="389"/>
      <c r="AZ1099" s="388"/>
    </row>
    <row r="1100" spans="51:52" x14ac:dyDescent="0.2">
      <c r="AY1100" s="389"/>
      <c r="AZ1100" s="388"/>
    </row>
    <row r="1101" spans="51:52" x14ac:dyDescent="0.2">
      <c r="AY1101" s="389"/>
      <c r="AZ1101" s="388"/>
    </row>
    <row r="1102" spans="51:52" x14ac:dyDescent="0.2">
      <c r="AY1102" s="389"/>
      <c r="AZ1102" s="388"/>
    </row>
    <row r="1103" spans="51:52" x14ac:dyDescent="0.2">
      <c r="AY1103" s="389"/>
      <c r="AZ1103" s="388"/>
    </row>
    <row r="1104" spans="51:52" x14ac:dyDescent="0.2">
      <c r="AY1104" s="389"/>
      <c r="AZ1104" s="388"/>
    </row>
    <row r="1105" spans="51:52" x14ac:dyDescent="0.2">
      <c r="AY1105" s="389"/>
      <c r="AZ1105" s="388"/>
    </row>
    <row r="1106" spans="51:52" x14ac:dyDescent="0.2">
      <c r="AY1106" s="389"/>
      <c r="AZ1106" s="388"/>
    </row>
    <row r="1107" spans="51:52" x14ac:dyDescent="0.2">
      <c r="AY1107" s="389"/>
      <c r="AZ1107" s="388"/>
    </row>
    <row r="1108" spans="51:52" x14ac:dyDescent="0.2">
      <c r="AY1108" s="389"/>
      <c r="AZ1108" s="388"/>
    </row>
    <row r="1109" spans="51:52" x14ac:dyDescent="0.2">
      <c r="AY1109" s="389"/>
      <c r="AZ1109" s="388"/>
    </row>
    <row r="1110" spans="51:52" x14ac:dyDescent="0.2">
      <c r="AY1110" s="389"/>
      <c r="AZ1110" s="388"/>
    </row>
    <row r="1111" spans="51:52" x14ac:dyDescent="0.2">
      <c r="AY1111" s="389"/>
      <c r="AZ1111" s="388"/>
    </row>
    <row r="1112" spans="51:52" x14ac:dyDescent="0.2">
      <c r="AY1112" s="389"/>
      <c r="AZ1112" s="388"/>
    </row>
    <row r="1113" spans="51:52" x14ac:dyDescent="0.2">
      <c r="AY1113" s="389"/>
      <c r="AZ1113" s="388"/>
    </row>
    <row r="1114" spans="51:52" x14ac:dyDescent="0.2">
      <c r="AY1114" s="389"/>
      <c r="AZ1114" s="388"/>
    </row>
    <row r="1115" spans="51:52" x14ac:dyDescent="0.2">
      <c r="AY1115" s="389"/>
      <c r="AZ1115" s="388"/>
    </row>
    <row r="1116" spans="51:52" x14ac:dyDescent="0.2">
      <c r="AY1116" s="389"/>
      <c r="AZ1116" s="388"/>
    </row>
    <row r="1117" spans="51:52" x14ac:dyDescent="0.2">
      <c r="AY1117" s="389"/>
      <c r="AZ1117" s="388"/>
    </row>
    <row r="1118" spans="51:52" x14ac:dyDescent="0.2">
      <c r="AY1118" s="389"/>
      <c r="AZ1118" s="388"/>
    </row>
    <row r="1119" spans="51:52" x14ac:dyDescent="0.2">
      <c r="AY1119" s="389"/>
      <c r="AZ1119" s="388"/>
    </row>
    <row r="1120" spans="51:52" x14ac:dyDescent="0.2">
      <c r="AY1120" s="389"/>
      <c r="AZ1120" s="388"/>
    </row>
    <row r="1121" spans="51:52" x14ac:dyDescent="0.2">
      <c r="AY1121" s="389"/>
      <c r="AZ1121" s="388"/>
    </row>
    <row r="1122" spans="51:52" x14ac:dyDescent="0.2">
      <c r="AY1122" s="389"/>
      <c r="AZ1122" s="388"/>
    </row>
    <row r="1123" spans="51:52" x14ac:dyDescent="0.2">
      <c r="AY1123" s="389"/>
      <c r="AZ1123" s="388"/>
    </row>
    <row r="1124" spans="51:52" x14ac:dyDescent="0.2">
      <c r="AY1124" s="389"/>
      <c r="AZ1124" s="388"/>
    </row>
    <row r="1125" spans="51:52" x14ac:dyDescent="0.2">
      <c r="AY1125" s="389"/>
      <c r="AZ1125" s="388"/>
    </row>
    <row r="1126" spans="51:52" x14ac:dyDescent="0.2">
      <c r="AY1126" s="389"/>
      <c r="AZ1126" s="388"/>
    </row>
    <row r="1127" spans="51:52" x14ac:dyDescent="0.2">
      <c r="AY1127" s="389"/>
      <c r="AZ1127" s="388"/>
    </row>
    <row r="1128" spans="51:52" x14ac:dyDescent="0.2">
      <c r="AY1128" s="389"/>
      <c r="AZ1128" s="388"/>
    </row>
    <row r="1129" spans="51:52" x14ac:dyDescent="0.2">
      <c r="AY1129" s="389"/>
      <c r="AZ1129" s="388"/>
    </row>
    <row r="1130" spans="51:52" x14ac:dyDescent="0.2">
      <c r="AY1130" s="389"/>
      <c r="AZ1130" s="388"/>
    </row>
    <row r="1131" spans="51:52" x14ac:dyDescent="0.2">
      <c r="AY1131" s="389"/>
      <c r="AZ1131" s="388"/>
    </row>
    <row r="1132" spans="51:52" x14ac:dyDescent="0.2">
      <c r="AY1132" s="389"/>
      <c r="AZ1132" s="388"/>
    </row>
    <row r="1133" spans="51:52" x14ac:dyDescent="0.2">
      <c r="AY1133" s="389"/>
      <c r="AZ1133" s="388"/>
    </row>
    <row r="1134" spans="51:52" x14ac:dyDescent="0.2">
      <c r="AY1134" s="389"/>
      <c r="AZ1134" s="388"/>
    </row>
    <row r="1135" spans="51:52" x14ac:dyDescent="0.2">
      <c r="AY1135" s="389"/>
      <c r="AZ1135" s="388"/>
    </row>
    <row r="1136" spans="51:52" x14ac:dyDescent="0.2">
      <c r="AY1136" s="389"/>
      <c r="AZ1136" s="388"/>
    </row>
    <row r="1137" spans="51:52" x14ac:dyDescent="0.2">
      <c r="AY1137" s="389"/>
      <c r="AZ1137" s="388"/>
    </row>
    <row r="1138" spans="51:52" x14ac:dyDescent="0.2">
      <c r="AY1138" s="389"/>
      <c r="AZ1138" s="388"/>
    </row>
    <row r="1139" spans="51:52" x14ac:dyDescent="0.2">
      <c r="AY1139" s="389"/>
      <c r="AZ1139" s="388"/>
    </row>
    <row r="1140" spans="51:52" x14ac:dyDescent="0.2">
      <c r="AY1140" s="389"/>
      <c r="AZ1140" s="388"/>
    </row>
    <row r="1141" spans="51:52" x14ac:dyDescent="0.2">
      <c r="AY1141" s="389"/>
      <c r="AZ1141" s="388"/>
    </row>
    <row r="1142" spans="51:52" x14ac:dyDescent="0.2">
      <c r="AY1142" s="389"/>
      <c r="AZ1142" s="388"/>
    </row>
    <row r="1143" spans="51:52" x14ac:dyDescent="0.2">
      <c r="AY1143" s="389"/>
      <c r="AZ1143" s="388"/>
    </row>
    <row r="1144" spans="51:52" x14ac:dyDescent="0.2">
      <c r="AY1144" s="389"/>
      <c r="AZ1144" s="388"/>
    </row>
    <row r="1145" spans="51:52" x14ac:dyDescent="0.2">
      <c r="AY1145" s="389"/>
      <c r="AZ1145" s="388"/>
    </row>
    <row r="1146" spans="51:52" x14ac:dyDescent="0.2">
      <c r="AY1146" s="389"/>
      <c r="AZ1146" s="388"/>
    </row>
    <row r="1147" spans="51:52" x14ac:dyDescent="0.2">
      <c r="AY1147" s="389"/>
      <c r="AZ1147" s="388"/>
    </row>
    <row r="1148" spans="51:52" x14ac:dyDescent="0.2">
      <c r="AY1148" s="389"/>
      <c r="AZ1148" s="388"/>
    </row>
    <row r="1149" spans="51:52" x14ac:dyDescent="0.2">
      <c r="AY1149" s="389"/>
      <c r="AZ1149" s="388"/>
    </row>
    <row r="1150" spans="51:52" x14ac:dyDescent="0.2">
      <c r="AY1150" s="389"/>
      <c r="AZ1150" s="388"/>
    </row>
    <row r="1151" spans="51:52" x14ac:dyDescent="0.2">
      <c r="AY1151" s="389"/>
      <c r="AZ1151" s="388"/>
    </row>
    <row r="1152" spans="51:52" x14ac:dyDescent="0.2">
      <c r="AY1152" s="389"/>
      <c r="AZ1152" s="388"/>
    </row>
    <row r="1153" spans="51:52" x14ac:dyDescent="0.2">
      <c r="AY1153" s="389"/>
      <c r="AZ1153" s="388"/>
    </row>
    <row r="1154" spans="51:52" x14ac:dyDescent="0.2">
      <c r="AY1154" s="389"/>
      <c r="AZ1154" s="388"/>
    </row>
    <row r="1155" spans="51:52" x14ac:dyDescent="0.2">
      <c r="AY1155" s="389"/>
      <c r="AZ1155" s="388"/>
    </row>
    <row r="1156" spans="51:52" x14ac:dyDescent="0.2">
      <c r="AY1156" s="389"/>
      <c r="AZ1156" s="388"/>
    </row>
    <row r="1157" spans="51:52" x14ac:dyDescent="0.2">
      <c r="AY1157" s="389"/>
      <c r="AZ1157" s="388"/>
    </row>
    <row r="1158" spans="51:52" x14ac:dyDescent="0.2">
      <c r="AY1158" s="389"/>
      <c r="AZ1158" s="388"/>
    </row>
    <row r="1159" spans="51:52" x14ac:dyDescent="0.2">
      <c r="AY1159" s="389"/>
      <c r="AZ1159" s="388"/>
    </row>
    <row r="1160" spans="51:52" x14ac:dyDescent="0.2">
      <c r="AY1160" s="389"/>
      <c r="AZ1160" s="388"/>
    </row>
    <row r="1161" spans="51:52" x14ac:dyDescent="0.2">
      <c r="AY1161" s="389"/>
      <c r="AZ1161" s="388"/>
    </row>
    <row r="1162" spans="51:52" x14ac:dyDescent="0.2">
      <c r="AY1162" s="389"/>
      <c r="AZ1162" s="388"/>
    </row>
    <row r="1163" spans="51:52" x14ac:dyDescent="0.2">
      <c r="AY1163" s="389"/>
      <c r="AZ1163" s="388"/>
    </row>
    <row r="1164" spans="51:52" x14ac:dyDescent="0.2">
      <c r="AY1164" s="389"/>
      <c r="AZ1164" s="388"/>
    </row>
    <row r="1165" spans="51:52" x14ac:dyDescent="0.2">
      <c r="AY1165" s="389"/>
      <c r="AZ1165" s="388"/>
    </row>
    <row r="1166" spans="51:52" x14ac:dyDescent="0.2">
      <c r="AY1166" s="389"/>
      <c r="AZ1166" s="388"/>
    </row>
    <row r="1167" spans="51:52" x14ac:dyDescent="0.2">
      <c r="AY1167" s="389"/>
      <c r="AZ1167" s="388"/>
    </row>
    <row r="1168" spans="51:52" x14ac:dyDescent="0.2">
      <c r="AY1168" s="389"/>
      <c r="AZ1168" s="388"/>
    </row>
    <row r="1169" spans="51:52" x14ac:dyDescent="0.2">
      <c r="AY1169" s="389"/>
      <c r="AZ1169" s="388"/>
    </row>
    <row r="1170" spans="51:52" x14ac:dyDescent="0.2">
      <c r="AY1170" s="389"/>
      <c r="AZ1170" s="388"/>
    </row>
    <row r="1171" spans="51:52" x14ac:dyDescent="0.2">
      <c r="AY1171" s="389"/>
      <c r="AZ1171" s="388"/>
    </row>
    <row r="1172" spans="51:52" x14ac:dyDescent="0.2">
      <c r="AY1172" s="389"/>
      <c r="AZ1172" s="388"/>
    </row>
    <row r="1173" spans="51:52" x14ac:dyDescent="0.2">
      <c r="AY1173" s="389"/>
      <c r="AZ1173" s="388"/>
    </row>
    <row r="1174" spans="51:52" x14ac:dyDescent="0.2">
      <c r="AY1174" s="389"/>
      <c r="AZ1174" s="388"/>
    </row>
    <row r="1175" spans="51:52" x14ac:dyDescent="0.2">
      <c r="AY1175" s="389"/>
      <c r="AZ1175" s="388"/>
    </row>
    <row r="1176" spans="51:52" x14ac:dyDescent="0.2">
      <c r="AY1176" s="389"/>
      <c r="AZ1176" s="388"/>
    </row>
    <row r="1177" spans="51:52" x14ac:dyDescent="0.2">
      <c r="AY1177" s="389"/>
      <c r="AZ1177" s="388"/>
    </row>
    <row r="1178" spans="51:52" x14ac:dyDescent="0.2">
      <c r="AY1178" s="389"/>
      <c r="AZ1178" s="388"/>
    </row>
    <row r="1179" spans="51:52" x14ac:dyDescent="0.2">
      <c r="AY1179" s="389"/>
      <c r="AZ1179" s="388"/>
    </row>
    <row r="1180" spans="51:52" x14ac:dyDescent="0.2">
      <c r="AY1180" s="389"/>
      <c r="AZ1180" s="388"/>
    </row>
    <row r="1181" spans="51:52" x14ac:dyDescent="0.2">
      <c r="AY1181" s="389"/>
      <c r="AZ1181" s="388"/>
    </row>
    <row r="1182" spans="51:52" x14ac:dyDescent="0.2">
      <c r="AY1182" s="389"/>
      <c r="AZ1182" s="388"/>
    </row>
    <row r="1183" spans="51:52" x14ac:dyDescent="0.2">
      <c r="AY1183" s="389"/>
      <c r="AZ1183" s="388"/>
    </row>
    <row r="1184" spans="51:52" x14ac:dyDescent="0.2">
      <c r="AY1184" s="389"/>
      <c r="AZ1184" s="388"/>
    </row>
    <row r="1185" spans="51:52" x14ac:dyDescent="0.2">
      <c r="AY1185" s="389"/>
      <c r="AZ1185" s="388"/>
    </row>
    <row r="1186" spans="51:52" x14ac:dyDescent="0.2">
      <c r="AY1186" s="389"/>
      <c r="AZ1186" s="388"/>
    </row>
    <row r="1187" spans="51:52" x14ac:dyDescent="0.2">
      <c r="AY1187" s="389"/>
      <c r="AZ1187" s="388"/>
    </row>
    <row r="1188" spans="51:52" x14ac:dyDescent="0.2">
      <c r="AY1188" s="389"/>
      <c r="AZ1188" s="388"/>
    </row>
    <row r="1189" spans="51:52" x14ac:dyDescent="0.2">
      <c r="AY1189" s="389"/>
      <c r="AZ1189" s="388"/>
    </row>
    <row r="1190" spans="51:52" x14ac:dyDescent="0.2">
      <c r="AY1190" s="389"/>
      <c r="AZ1190" s="388"/>
    </row>
    <row r="1191" spans="51:52" x14ac:dyDescent="0.2">
      <c r="AY1191" s="389"/>
      <c r="AZ1191" s="388"/>
    </row>
    <row r="1192" spans="51:52" x14ac:dyDescent="0.2">
      <c r="AY1192" s="389"/>
      <c r="AZ1192" s="388"/>
    </row>
    <row r="1193" spans="51:52" x14ac:dyDescent="0.2">
      <c r="AY1193" s="389"/>
      <c r="AZ1193" s="388"/>
    </row>
    <row r="1194" spans="51:52" x14ac:dyDescent="0.2">
      <c r="AY1194" s="389"/>
      <c r="AZ1194" s="388"/>
    </row>
    <row r="1195" spans="51:52" x14ac:dyDescent="0.2">
      <c r="AY1195" s="389"/>
      <c r="AZ1195" s="388"/>
    </row>
    <row r="1196" spans="51:52" x14ac:dyDescent="0.2">
      <c r="AY1196" s="389"/>
      <c r="AZ1196" s="388"/>
    </row>
    <row r="1197" spans="51:52" x14ac:dyDescent="0.2">
      <c r="AY1197" s="389"/>
      <c r="AZ1197" s="388"/>
    </row>
    <row r="1198" spans="51:52" x14ac:dyDescent="0.2">
      <c r="AY1198" s="389"/>
      <c r="AZ1198" s="388"/>
    </row>
    <row r="1199" spans="51:52" x14ac:dyDescent="0.2">
      <c r="AY1199" s="389"/>
      <c r="AZ1199" s="388"/>
    </row>
    <row r="1200" spans="51:52" x14ac:dyDescent="0.2">
      <c r="AY1200" s="389"/>
      <c r="AZ1200" s="388"/>
    </row>
    <row r="1201" spans="51:52" x14ac:dyDescent="0.2">
      <c r="AY1201" s="389"/>
      <c r="AZ1201" s="388"/>
    </row>
    <row r="1202" spans="51:52" x14ac:dyDescent="0.2">
      <c r="AY1202" s="389"/>
      <c r="AZ1202" s="388"/>
    </row>
    <row r="1203" spans="51:52" x14ac:dyDescent="0.2">
      <c r="AY1203" s="389"/>
      <c r="AZ1203" s="388"/>
    </row>
    <row r="1204" spans="51:52" x14ac:dyDescent="0.2">
      <c r="AY1204" s="389"/>
      <c r="AZ1204" s="388"/>
    </row>
    <row r="1205" spans="51:52" x14ac:dyDescent="0.2">
      <c r="AY1205" s="389"/>
      <c r="AZ1205" s="388"/>
    </row>
    <row r="1206" spans="51:52" x14ac:dyDescent="0.2">
      <c r="AY1206" s="389"/>
      <c r="AZ1206" s="388"/>
    </row>
    <row r="1207" spans="51:52" x14ac:dyDescent="0.2">
      <c r="AY1207" s="389"/>
      <c r="AZ1207" s="388"/>
    </row>
    <row r="1208" spans="51:52" x14ac:dyDescent="0.2">
      <c r="AY1208" s="389"/>
      <c r="AZ1208" s="388"/>
    </row>
    <row r="1209" spans="51:52" x14ac:dyDescent="0.2">
      <c r="AY1209" s="389"/>
      <c r="AZ1209" s="388"/>
    </row>
    <row r="1210" spans="51:52" x14ac:dyDescent="0.2">
      <c r="AY1210" s="389"/>
      <c r="AZ1210" s="388"/>
    </row>
    <row r="1211" spans="51:52" x14ac:dyDescent="0.2">
      <c r="AY1211" s="389"/>
      <c r="AZ1211" s="388"/>
    </row>
    <row r="1212" spans="51:52" x14ac:dyDescent="0.2">
      <c r="AY1212" s="389"/>
      <c r="AZ1212" s="388"/>
    </row>
    <row r="1213" spans="51:52" x14ac:dyDescent="0.2">
      <c r="AY1213" s="389"/>
      <c r="AZ1213" s="388"/>
    </row>
    <row r="1214" spans="51:52" x14ac:dyDescent="0.2">
      <c r="AY1214" s="389"/>
      <c r="AZ1214" s="388"/>
    </row>
    <row r="1215" spans="51:52" x14ac:dyDescent="0.2">
      <c r="AY1215" s="389"/>
      <c r="AZ1215" s="388"/>
    </row>
    <row r="1216" spans="51:52" x14ac:dyDescent="0.2">
      <c r="AY1216" s="389"/>
      <c r="AZ1216" s="388"/>
    </row>
    <row r="1217" spans="51:52" x14ac:dyDescent="0.2">
      <c r="AY1217" s="389"/>
      <c r="AZ1217" s="388"/>
    </row>
    <row r="1218" spans="51:52" x14ac:dyDescent="0.2">
      <c r="AY1218" s="389"/>
      <c r="AZ1218" s="388"/>
    </row>
    <row r="1219" spans="51:52" x14ac:dyDescent="0.2">
      <c r="AY1219" s="389"/>
      <c r="AZ1219" s="388"/>
    </row>
    <row r="1220" spans="51:52" x14ac:dyDescent="0.2">
      <c r="AY1220" s="389"/>
      <c r="AZ1220" s="388"/>
    </row>
    <row r="1221" spans="51:52" x14ac:dyDescent="0.2">
      <c r="AY1221" s="389"/>
      <c r="AZ1221" s="388"/>
    </row>
    <row r="1222" spans="51:52" x14ac:dyDescent="0.2">
      <c r="AY1222" s="389"/>
      <c r="AZ1222" s="388"/>
    </row>
    <row r="1223" spans="51:52" x14ac:dyDescent="0.2">
      <c r="AY1223" s="389"/>
      <c r="AZ1223" s="388"/>
    </row>
    <row r="1224" spans="51:52" x14ac:dyDescent="0.2">
      <c r="AY1224" s="389"/>
      <c r="AZ1224" s="388"/>
    </row>
    <row r="1225" spans="51:52" x14ac:dyDescent="0.2">
      <c r="AY1225" s="389"/>
      <c r="AZ1225" s="388"/>
    </row>
    <row r="1226" spans="51:52" x14ac:dyDescent="0.2">
      <c r="AY1226" s="389"/>
      <c r="AZ1226" s="388"/>
    </row>
    <row r="1227" spans="51:52" x14ac:dyDescent="0.2">
      <c r="AY1227" s="389"/>
      <c r="AZ1227" s="388"/>
    </row>
    <row r="1228" spans="51:52" x14ac:dyDescent="0.2">
      <c r="AY1228" s="389"/>
      <c r="AZ1228" s="388"/>
    </row>
    <row r="1229" spans="51:52" x14ac:dyDescent="0.2">
      <c r="AY1229" s="389"/>
      <c r="AZ1229" s="388"/>
    </row>
    <row r="1230" spans="51:52" x14ac:dyDescent="0.2">
      <c r="AY1230" s="389"/>
      <c r="AZ1230" s="388"/>
    </row>
    <row r="1231" spans="51:52" x14ac:dyDescent="0.2">
      <c r="AY1231" s="389"/>
      <c r="AZ1231" s="388"/>
    </row>
    <row r="1232" spans="51:52" x14ac:dyDescent="0.2">
      <c r="AY1232" s="389"/>
      <c r="AZ1232" s="388"/>
    </row>
    <row r="1233" spans="51:52" x14ac:dyDescent="0.2">
      <c r="AY1233" s="389"/>
      <c r="AZ1233" s="388"/>
    </row>
    <row r="1234" spans="51:52" x14ac:dyDescent="0.2">
      <c r="AY1234" s="389"/>
      <c r="AZ1234" s="388"/>
    </row>
    <row r="1235" spans="51:52" x14ac:dyDescent="0.2">
      <c r="AY1235" s="389"/>
      <c r="AZ1235" s="388"/>
    </row>
    <row r="1236" spans="51:52" x14ac:dyDescent="0.2">
      <c r="AY1236" s="389"/>
      <c r="AZ1236" s="388"/>
    </row>
    <row r="1237" spans="51:52" x14ac:dyDescent="0.2">
      <c r="AY1237" s="389"/>
      <c r="AZ1237" s="388"/>
    </row>
    <row r="1238" spans="51:52" x14ac:dyDescent="0.2">
      <c r="AY1238" s="389"/>
      <c r="AZ1238" s="388"/>
    </row>
    <row r="1239" spans="51:52" x14ac:dyDescent="0.2">
      <c r="AY1239" s="389"/>
      <c r="AZ1239" s="388"/>
    </row>
    <row r="1240" spans="51:52" x14ac:dyDescent="0.2">
      <c r="AY1240" s="389"/>
      <c r="AZ1240" s="388"/>
    </row>
    <row r="1241" spans="51:52" x14ac:dyDescent="0.2">
      <c r="AY1241" s="389"/>
      <c r="AZ1241" s="388"/>
    </row>
    <row r="1242" spans="51:52" x14ac:dyDescent="0.2">
      <c r="AY1242" s="389"/>
      <c r="AZ1242" s="388"/>
    </row>
    <row r="1243" spans="51:52" x14ac:dyDescent="0.2">
      <c r="AY1243" s="389"/>
      <c r="AZ1243" s="388"/>
    </row>
    <row r="1244" spans="51:52" x14ac:dyDescent="0.2">
      <c r="AY1244" s="389"/>
      <c r="AZ1244" s="388"/>
    </row>
    <row r="1245" spans="51:52" x14ac:dyDescent="0.2">
      <c r="AY1245" s="389"/>
      <c r="AZ1245" s="388"/>
    </row>
    <row r="1246" spans="51:52" x14ac:dyDescent="0.2">
      <c r="AY1246" s="389"/>
      <c r="AZ1246" s="388"/>
    </row>
    <row r="1247" spans="51:52" x14ac:dyDescent="0.2">
      <c r="AY1247" s="389"/>
      <c r="AZ1247" s="388"/>
    </row>
    <row r="1248" spans="51:52" x14ac:dyDescent="0.2">
      <c r="AY1248" s="389"/>
      <c r="AZ1248" s="388"/>
    </row>
    <row r="1249" spans="51:52" x14ac:dyDescent="0.2">
      <c r="AY1249" s="389"/>
      <c r="AZ1249" s="388"/>
    </row>
    <row r="1250" spans="51:52" x14ac:dyDescent="0.2">
      <c r="AY1250" s="389"/>
      <c r="AZ1250" s="388"/>
    </row>
    <row r="1251" spans="51:52" x14ac:dyDescent="0.2">
      <c r="AY1251" s="389"/>
      <c r="AZ1251" s="388"/>
    </row>
    <row r="1252" spans="51:52" x14ac:dyDescent="0.2">
      <c r="AY1252" s="389"/>
      <c r="AZ1252" s="388"/>
    </row>
    <row r="1253" spans="51:52" x14ac:dyDescent="0.2">
      <c r="AY1253" s="389"/>
      <c r="AZ1253" s="388"/>
    </row>
    <row r="1254" spans="51:52" x14ac:dyDescent="0.2">
      <c r="AY1254" s="389"/>
      <c r="AZ1254" s="388"/>
    </row>
    <row r="1255" spans="51:52" x14ac:dyDescent="0.2">
      <c r="AY1255" s="389"/>
      <c r="AZ1255" s="388"/>
    </row>
    <row r="1256" spans="51:52" x14ac:dyDescent="0.2">
      <c r="AY1256" s="389"/>
      <c r="AZ1256" s="388"/>
    </row>
    <row r="1257" spans="51:52" x14ac:dyDescent="0.2">
      <c r="AY1257" s="389"/>
      <c r="AZ1257" s="388"/>
    </row>
    <row r="1258" spans="51:52" x14ac:dyDescent="0.2">
      <c r="AY1258" s="389"/>
      <c r="AZ1258" s="388"/>
    </row>
    <row r="1259" spans="51:52" x14ac:dyDescent="0.2">
      <c r="AY1259" s="389"/>
      <c r="AZ1259" s="388"/>
    </row>
    <row r="1260" spans="51:52" x14ac:dyDescent="0.2">
      <c r="AY1260" s="389"/>
      <c r="AZ1260" s="388"/>
    </row>
    <row r="1261" spans="51:52" x14ac:dyDescent="0.2">
      <c r="AY1261" s="389"/>
      <c r="AZ1261" s="388"/>
    </row>
    <row r="1262" spans="51:52" x14ac:dyDescent="0.2">
      <c r="AY1262" s="389"/>
      <c r="AZ1262" s="388"/>
    </row>
    <row r="1263" spans="51:52" x14ac:dyDescent="0.2">
      <c r="AY1263" s="389"/>
      <c r="AZ1263" s="388"/>
    </row>
    <row r="1264" spans="51:52" x14ac:dyDescent="0.2">
      <c r="AY1264" s="389"/>
      <c r="AZ1264" s="388"/>
    </row>
    <row r="1265" spans="51:52" x14ac:dyDescent="0.2">
      <c r="AY1265" s="389"/>
      <c r="AZ1265" s="388"/>
    </row>
    <row r="1266" spans="51:52" x14ac:dyDescent="0.2">
      <c r="AY1266" s="389"/>
      <c r="AZ1266" s="388"/>
    </row>
    <row r="1267" spans="51:52" x14ac:dyDescent="0.2">
      <c r="AY1267" s="389"/>
      <c r="AZ1267" s="388"/>
    </row>
    <row r="1268" spans="51:52" x14ac:dyDescent="0.2">
      <c r="AY1268" s="389"/>
      <c r="AZ1268" s="388"/>
    </row>
    <row r="1269" spans="51:52" x14ac:dyDescent="0.2">
      <c r="AY1269" s="389"/>
      <c r="AZ1269" s="388"/>
    </row>
    <row r="1270" spans="51:52" x14ac:dyDescent="0.2">
      <c r="AY1270" s="389"/>
      <c r="AZ1270" s="388"/>
    </row>
    <row r="1271" spans="51:52" x14ac:dyDescent="0.2">
      <c r="AY1271" s="389"/>
      <c r="AZ1271" s="388"/>
    </row>
    <row r="1272" spans="51:52" x14ac:dyDescent="0.2">
      <c r="AY1272" s="389"/>
      <c r="AZ1272" s="388"/>
    </row>
    <row r="1273" spans="51:52" x14ac:dyDescent="0.2">
      <c r="AY1273" s="389"/>
      <c r="AZ1273" s="388"/>
    </row>
    <row r="1274" spans="51:52" x14ac:dyDescent="0.2">
      <c r="AY1274" s="389"/>
      <c r="AZ1274" s="388"/>
    </row>
    <row r="1275" spans="51:52" x14ac:dyDescent="0.2">
      <c r="AY1275" s="389"/>
      <c r="AZ1275" s="388"/>
    </row>
    <row r="1276" spans="51:52" x14ac:dyDescent="0.2">
      <c r="AY1276" s="389"/>
      <c r="AZ1276" s="388"/>
    </row>
    <row r="1277" spans="51:52" x14ac:dyDescent="0.2">
      <c r="AY1277" s="389"/>
      <c r="AZ1277" s="388"/>
    </row>
    <row r="1278" spans="51:52" x14ac:dyDescent="0.2">
      <c r="AY1278" s="389"/>
      <c r="AZ1278" s="388"/>
    </row>
    <row r="1279" spans="51:52" x14ac:dyDescent="0.2">
      <c r="AY1279" s="389"/>
      <c r="AZ1279" s="388"/>
    </row>
    <row r="1280" spans="51:52" x14ac:dyDescent="0.2">
      <c r="AY1280" s="389"/>
      <c r="AZ1280" s="388"/>
    </row>
    <row r="1281" spans="51:52" x14ac:dyDescent="0.2">
      <c r="AY1281" s="389"/>
      <c r="AZ1281" s="388"/>
    </row>
    <row r="1282" spans="51:52" x14ac:dyDescent="0.2">
      <c r="AY1282" s="389"/>
      <c r="AZ1282" s="388"/>
    </row>
    <row r="1283" spans="51:52" x14ac:dyDescent="0.2">
      <c r="AY1283" s="389"/>
      <c r="AZ1283" s="388"/>
    </row>
    <row r="1284" spans="51:52" x14ac:dyDescent="0.2">
      <c r="AY1284" s="389"/>
      <c r="AZ1284" s="388"/>
    </row>
    <row r="1285" spans="51:52" x14ac:dyDescent="0.2">
      <c r="AY1285" s="389"/>
      <c r="AZ1285" s="388"/>
    </row>
    <row r="1286" spans="51:52" x14ac:dyDescent="0.2">
      <c r="AY1286" s="389"/>
      <c r="AZ1286" s="388"/>
    </row>
    <row r="1287" spans="51:52" x14ac:dyDescent="0.2">
      <c r="AY1287" s="389"/>
      <c r="AZ1287" s="388"/>
    </row>
    <row r="1288" spans="51:52" x14ac:dyDescent="0.2">
      <c r="AY1288" s="389"/>
      <c r="AZ1288" s="388"/>
    </row>
    <row r="1289" spans="51:52" x14ac:dyDescent="0.2">
      <c r="AY1289" s="389"/>
      <c r="AZ1289" s="388"/>
    </row>
    <row r="1290" spans="51:52" x14ac:dyDescent="0.2">
      <c r="AY1290" s="389"/>
      <c r="AZ1290" s="388"/>
    </row>
    <row r="1291" spans="51:52" x14ac:dyDescent="0.2">
      <c r="AY1291" s="389"/>
      <c r="AZ1291" s="388"/>
    </row>
    <row r="1292" spans="51:52" x14ac:dyDescent="0.2">
      <c r="AY1292" s="389"/>
      <c r="AZ1292" s="388"/>
    </row>
    <row r="1293" spans="51:52" x14ac:dyDescent="0.2">
      <c r="AY1293" s="389"/>
      <c r="AZ1293" s="388"/>
    </row>
    <row r="1294" spans="51:52" x14ac:dyDescent="0.2">
      <c r="AY1294" s="389"/>
      <c r="AZ1294" s="388"/>
    </row>
    <row r="1295" spans="51:52" x14ac:dyDescent="0.2">
      <c r="AY1295" s="389"/>
      <c r="AZ1295" s="388"/>
    </row>
    <row r="1296" spans="51:52" x14ac:dyDescent="0.2">
      <c r="AY1296" s="389"/>
      <c r="AZ1296" s="388"/>
    </row>
    <row r="1297" spans="51:52" x14ac:dyDescent="0.2">
      <c r="AY1297" s="389"/>
      <c r="AZ1297" s="388"/>
    </row>
    <row r="1298" spans="51:52" x14ac:dyDescent="0.2">
      <c r="AY1298" s="389"/>
      <c r="AZ1298" s="388"/>
    </row>
    <row r="1299" spans="51:52" x14ac:dyDescent="0.2">
      <c r="AY1299" s="389"/>
      <c r="AZ1299" s="388"/>
    </row>
    <row r="1300" spans="51:52" x14ac:dyDescent="0.2">
      <c r="AY1300" s="389"/>
      <c r="AZ1300" s="388"/>
    </row>
    <row r="1301" spans="51:52" x14ac:dyDescent="0.2">
      <c r="AY1301" s="389"/>
      <c r="AZ1301" s="388"/>
    </row>
    <row r="1302" spans="51:52" x14ac:dyDescent="0.2">
      <c r="AY1302" s="389"/>
      <c r="AZ1302" s="388"/>
    </row>
    <row r="1303" spans="51:52" x14ac:dyDescent="0.2">
      <c r="AY1303" s="389"/>
      <c r="AZ1303" s="388"/>
    </row>
    <row r="1304" spans="51:52" x14ac:dyDescent="0.2">
      <c r="AY1304" s="389"/>
      <c r="AZ1304" s="388"/>
    </row>
    <row r="1305" spans="51:52" x14ac:dyDescent="0.2">
      <c r="AY1305" s="389"/>
      <c r="AZ1305" s="388"/>
    </row>
    <row r="1306" spans="51:52" x14ac:dyDescent="0.2">
      <c r="AY1306" s="389"/>
      <c r="AZ1306" s="388"/>
    </row>
    <row r="1307" spans="51:52" x14ac:dyDescent="0.2">
      <c r="AY1307" s="389"/>
      <c r="AZ1307" s="388"/>
    </row>
    <row r="1308" spans="51:52" x14ac:dyDescent="0.2">
      <c r="AY1308" s="389"/>
      <c r="AZ1308" s="388"/>
    </row>
    <row r="1309" spans="51:52" x14ac:dyDescent="0.2">
      <c r="AY1309" s="389"/>
      <c r="AZ1309" s="388"/>
    </row>
    <row r="1310" spans="51:52" x14ac:dyDescent="0.2">
      <c r="AY1310" s="389"/>
      <c r="AZ1310" s="388"/>
    </row>
    <row r="1311" spans="51:52" x14ac:dyDescent="0.2">
      <c r="AY1311" s="389"/>
      <c r="AZ1311" s="388"/>
    </row>
    <row r="1312" spans="51:52" x14ac:dyDescent="0.2">
      <c r="AY1312" s="389"/>
      <c r="AZ1312" s="388"/>
    </row>
    <row r="1313" spans="51:52" x14ac:dyDescent="0.2">
      <c r="AY1313" s="389"/>
      <c r="AZ1313" s="388"/>
    </row>
    <row r="1314" spans="51:52" x14ac:dyDescent="0.2">
      <c r="AY1314" s="389"/>
      <c r="AZ1314" s="388"/>
    </row>
    <row r="1315" spans="51:52" x14ac:dyDescent="0.2">
      <c r="AY1315" s="389"/>
      <c r="AZ1315" s="388"/>
    </row>
    <row r="1316" spans="51:52" x14ac:dyDescent="0.2">
      <c r="AY1316" s="389"/>
      <c r="AZ1316" s="388"/>
    </row>
    <row r="1317" spans="51:52" x14ac:dyDescent="0.2">
      <c r="AY1317" s="389"/>
      <c r="AZ1317" s="388"/>
    </row>
    <row r="1318" spans="51:52" x14ac:dyDescent="0.2">
      <c r="AY1318" s="389"/>
      <c r="AZ1318" s="388"/>
    </row>
    <row r="1319" spans="51:52" x14ac:dyDescent="0.2">
      <c r="AY1319" s="389"/>
      <c r="AZ1319" s="388"/>
    </row>
    <row r="1320" spans="51:52" x14ac:dyDescent="0.2">
      <c r="AY1320" s="389"/>
      <c r="AZ1320" s="388"/>
    </row>
    <row r="1321" spans="51:52" x14ac:dyDescent="0.2">
      <c r="AY1321" s="389"/>
      <c r="AZ1321" s="388"/>
    </row>
    <row r="1322" spans="51:52" x14ac:dyDescent="0.2">
      <c r="AY1322" s="389"/>
      <c r="AZ1322" s="388"/>
    </row>
    <row r="1323" spans="51:52" x14ac:dyDescent="0.2">
      <c r="AY1323" s="389"/>
      <c r="AZ1323" s="388"/>
    </row>
    <row r="1324" spans="51:52" x14ac:dyDescent="0.2">
      <c r="AY1324" s="389"/>
      <c r="AZ1324" s="388"/>
    </row>
    <row r="1325" spans="51:52" x14ac:dyDescent="0.2">
      <c r="AY1325" s="389"/>
      <c r="AZ1325" s="388"/>
    </row>
    <row r="1326" spans="51:52" x14ac:dyDescent="0.2">
      <c r="AY1326" s="389"/>
      <c r="AZ1326" s="388"/>
    </row>
    <row r="1327" spans="51:52" x14ac:dyDescent="0.2">
      <c r="AY1327" s="389"/>
      <c r="AZ1327" s="388"/>
    </row>
    <row r="1328" spans="51:52" x14ac:dyDescent="0.2">
      <c r="AY1328" s="389"/>
      <c r="AZ1328" s="388"/>
    </row>
    <row r="1329" spans="51:52" x14ac:dyDescent="0.2">
      <c r="AY1329" s="389"/>
      <c r="AZ1329" s="388"/>
    </row>
    <row r="1330" spans="51:52" x14ac:dyDescent="0.2">
      <c r="AY1330" s="389"/>
      <c r="AZ1330" s="388"/>
    </row>
    <row r="1331" spans="51:52" x14ac:dyDescent="0.2">
      <c r="AY1331" s="389"/>
      <c r="AZ1331" s="388"/>
    </row>
    <row r="1332" spans="51:52" x14ac:dyDescent="0.2">
      <c r="AY1332" s="389"/>
      <c r="AZ1332" s="388"/>
    </row>
    <row r="1333" spans="51:52" x14ac:dyDescent="0.2">
      <c r="AY1333" s="389"/>
      <c r="AZ1333" s="388"/>
    </row>
    <row r="1334" spans="51:52" x14ac:dyDescent="0.2">
      <c r="AY1334" s="389"/>
      <c r="AZ1334" s="388"/>
    </row>
    <row r="1335" spans="51:52" x14ac:dyDescent="0.2">
      <c r="AY1335" s="389"/>
      <c r="AZ1335" s="388"/>
    </row>
    <row r="1336" spans="51:52" x14ac:dyDescent="0.2">
      <c r="AY1336" s="389"/>
      <c r="AZ1336" s="388"/>
    </row>
    <row r="1337" spans="51:52" x14ac:dyDescent="0.2">
      <c r="AY1337" s="389"/>
      <c r="AZ1337" s="388"/>
    </row>
    <row r="1338" spans="51:52" x14ac:dyDescent="0.2">
      <c r="AY1338" s="389"/>
      <c r="AZ1338" s="388"/>
    </row>
    <row r="1339" spans="51:52" x14ac:dyDescent="0.2">
      <c r="AY1339" s="389"/>
      <c r="AZ1339" s="388"/>
    </row>
    <row r="1340" spans="51:52" x14ac:dyDescent="0.2">
      <c r="AY1340" s="389"/>
      <c r="AZ1340" s="388"/>
    </row>
    <row r="1341" spans="51:52" x14ac:dyDescent="0.2">
      <c r="AY1341" s="389"/>
      <c r="AZ1341" s="388"/>
    </row>
    <row r="1342" spans="51:52" x14ac:dyDescent="0.2">
      <c r="AY1342" s="389"/>
      <c r="AZ1342" s="388"/>
    </row>
    <row r="1343" spans="51:52" x14ac:dyDescent="0.2">
      <c r="AY1343" s="389"/>
      <c r="AZ1343" s="388"/>
    </row>
    <row r="1344" spans="51:52" x14ac:dyDescent="0.2">
      <c r="AY1344" s="389"/>
      <c r="AZ1344" s="388"/>
    </row>
    <row r="1345" spans="51:52" x14ac:dyDescent="0.2">
      <c r="AY1345" s="389"/>
      <c r="AZ1345" s="388"/>
    </row>
    <row r="1346" spans="51:52" x14ac:dyDescent="0.2">
      <c r="AY1346" s="389"/>
      <c r="AZ1346" s="388"/>
    </row>
    <row r="1347" spans="51:52" x14ac:dyDescent="0.2">
      <c r="AY1347" s="389"/>
      <c r="AZ1347" s="388"/>
    </row>
    <row r="1348" spans="51:52" x14ac:dyDescent="0.2">
      <c r="AY1348" s="389"/>
      <c r="AZ1348" s="388"/>
    </row>
    <row r="1349" spans="51:52" x14ac:dyDescent="0.2">
      <c r="AY1349" s="389"/>
      <c r="AZ1349" s="388"/>
    </row>
    <row r="1350" spans="51:52" x14ac:dyDescent="0.2">
      <c r="AY1350" s="389"/>
      <c r="AZ1350" s="388"/>
    </row>
    <row r="1351" spans="51:52" x14ac:dyDescent="0.2">
      <c r="AY1351" s="389"/>
      <c r="AZ1351" s="388"/>
    </row>
    <row r="1352" spans="51:52" x14ac:dyDescent="0.2">
      <c r="AY1352" s="389"/>
      <c r="AZ1352" s="388"/>
    </row>
    <row r="1353" spans="51:52" x14ac:dyDescent="0.2">
      <c r="AY1353" s="389"/>
      <c r="AZ1353" s="388"/>
    </row>
    <row r="1354" spans="51:52" x14ac:dyDescent="0.2">
      <c r="AY1354" s="389"/>
      <c r="AZ1354" s="388"/>
    </row>
    <row r="1355" spans="51:52" x14ac:dyDescent="0.2">
      <c r="AY1355" s="389"/>
      <c r="AZ1355" s="388"/>
    </row>
    <row r="1356" spans="51:52" x14ac:dyDescent="0.2">
      <c r="AY1356" s="389"/>
      <c r="AZ1356" s="388"/>
    </row>
    <row r="1357" spans="51:52" x14ac:dyDescent="0.2">
      <c r="AY1357" s="389"/>
      <c r="AZ1357" s="388"/>
    </row>
    <row r="1358" spans="51:52" x14ac:dyDescent="0.2">
      <c r="AY1358" s="389"/>
      <c r="AZ1358" s="388"/>
    </row>
    <row r="1359" spans="51:52" x14ac:dyDescent="0.2">
      <c r="AY1359" s="389"/>
      <c r="AZ1359" s="388"/>
    </row>
    <row r="1360" spans="51:52" x14ac:dyDescent="0.2">
      <c r="AY1360" s="389"/>
      <c r="AZ1360" s="388"/>
    </row>
    <row r="1361" spans="51:52" x14ac:dyDescent="0.2">
      <c r="AY1361" s="389"/>
      <c r="AZ1361" s="388"/>
    </row>
    <row r="1362" spans="51:52" x14ac:dyDescent="0.2">
      <c r="AY1362" s="389"/>
      <c r="AZ1362" s="388"/>
    </row>
    <row r="1363" spans="51:52" x14ac:dyDescent="0.2">
      <c r="AY1363" s="389"/>
      <c r="AZ1363" s="388"/>
    </row>
    <row r="1364" spans="51:52" x14ac:dyDescent="0.2">
      <c r="AY1364" s="389"/>
      <c r="AZ1364" s="388"/>
    </row>
    <row r="1365" spans="51:52" x14ac:dyDescent="0.2">
      <c r="AY1365" s="389"/>
      <c r="AZ1365" s="388"/>
    </row>
    <row r="1366" spans="51:52" x14ac:dyDescent="0.2">
      <c r="AY1366" s="389"/>
      <c r="AZ1366" s="388"/>
    </row>
    <row r="1367" spans="51:52" x14ac:dyDescent="0.2">
      <c r="AY1367" s="389"/>
      <c r="AZ1367" s="388"/>
    </row>
    <row r="1368" spans="51:52" x14ac:dyDescent="0.2">
      <c r="AY1368" s="389"/>
      <c r="AZ1368" s="388"/>
    </row>
    <row r="1369" spans="51:52" x14ac:dyDescent="0.2">
      <c r="AY1369" s="389"/>
      <c r="AZ1369" s="388"/>
    </row>
    <row r="1370" spans="51:52" x14ac:dyDescent="0.2">
      <c r="AY1370" s="389"/>
      <c r="AZ1370" s="388"/>
    </row>
    <row r="1371" spans="51:52" x14ac:dyDescent="0.2">
      <c r="AY1371" s="389"/>
      <c r="AZ1371" s="388"/>
    </row>
    <row r="1372" spans="51:52" x14ac:dyDescent="0.2">
      <c r="AY1372" s="389"/>
      <c r="AZ1372" s="388"/>
    </row>
    <row r="1373" spans="51:52" x14ac:dyDescent="0.2">
      <c r="AY1373" s="389"/>
      <c r="AZ1373" s="388"/>
    </row>
    <row r="1374" spans="51:52" x14ac:dyDescent="0.2">
      <c r="AY1374" s="389"/>
      <c r="AZ1374" s="388"/>
    </row>
    <row r="1375" spans="51:52" x14ac:dyDescent="0.2">
      <c r="AY1375" s="389"/>
      <c r="AZ1375" s="388"/>
    </row>
    <row r="1376" spans="51:52" x14ac:dyDescent="0.2">
      <c r="AY1376" s="389"/>
      <c r="AZ1376" s="388"/>
    </row>
    <row r="1377" spans="51:52" x14ac:dyDescent="0.2">
      <c r="AY1377" s="389"/>
      <c r="AZ1377" s="388"/>
    </row>
    <row r="1378" spans="51:52" x14ac:dyDescent="0.2">
      <c r="AY1378" s="389"/>
      <c r="AZ1378" s="388"/>
    </row>
    <row r="1379" spans="51:52" x14ac:dyDescent="0.2">
      <c r="AY1379" s="389"/>
      <c r="AZ1379" s="388"/>
    </row>
    <row r="1380" spans="51:52" x14ac:dyDescent="0.2">
      <c r="AY1380" s="389"/>
      <c r="AZ1380" s="388"/>
    </row>
    <row r="1381" spans="51:52" x14ac:dyDescent="0.2">
      <c r="AY1381" s="389"/>
      <c r="AZ1381" s="388"/>
    </row>
    <row r="1382" spans="51:52" x14ac:dyDescent="0.2">
      <c r="AY1382" s="389"/>
      <c r="AZ1382" s="388"/>
    </row>
    <row r="1383" spans="51:52" x14ac:dyDescent="0.2">
      <c r="AY1383" s="389"/>
      <c r="AZ1383" s="388"/>
    </row>
    <row r="1384" spans="51:52" x14ac:dyDescent="0.2">
      <c r="AY1384" s="389"/>
      <c r="AZ1384" s="388"/>
    </row>
    <row r="1385" spans="51:52" x14ac:dyDescent="0.2">
      <c r="AY1385" s="389"/>
      <c r="AZ1385" s="388"/>
    </row>
    <row r="1386" spans="51:52" x14ac:dyDescent="0.2">
      <c r="AY1386" s="389"/>
      <c r="AZ1386" s="388"/>
    </row>
    <row r="1387" spans="51:52" x14ac:dyDescent="0.2">
      <c r="AY1387" s="389"/>
      <c r="AZ1387" s="388"/>
    </row>
    <row r="1388" spans="51:52" x14ac:dyDescent="0.2">
      <c r="AY1388" s="389"/>
      <c r="AZ1388" s="388"/>
    </row>
    <row r="1389" spans="51:52" x14ac:dyDescent="0.2">
      <c r="AY1389" s="389"/>
      <c r="AZ1389" s="388"/>
    </row>
    <row r="1390" spans="51:52" x14ac:dyDescent="0.2">
      <c r="AY1390" s="389"/>
      <c r="AZ1390" s="388"/>
    </row>
    <row r="1391" spans="51:52" x14ac:dyDescent="0.2">
      <c r="AY1391" s="389"/>
      <c r="AZ1391" s="388"/>
    </row>
    <row r="1392" spans="51:52" x14ac:dyDescent="0.2">
      <c r="AY1392" s="389"/>
      <c r="AZ1392" s="388"/>
    </row>
    <row r="1393" spans="51:52" x14ac:dyDescent="0.2">
      <c r="AY1393" s="389"/>
      <c r="AZ1393" s="388"/>
    </row>
    <row r="1394" spans="51:52" x14ac:dyDescent="0.2">
      <c r="AY1394" s="389"/>
      <c r="AZ1394" s="388"/>
    </row>
    <row r="1395" spans="51:52" x14ac:dyDescent="0.2">
      <c r="AY1395" s="389"/>
      <c r="AZ1395" s="388"/>
    </row>
    <row r="1396" spans="51:52" x14ac:dyDescent="0.2">
      <c r="AY1396" s="389"/>
      <c r="AZ1396" s="388"/>
    </row>
    <row r="1397" spans="51:52" x14ac:dyDescent="0.2">
      <c r="AY1397" s="389"/>
      <c r="AZ1397" s="388"/>
    </row>
    <row r="1398" spans="51:52" x14ac:dyDescent="0.2">
      <c r="AY1398" s="389"/>
      <c r="AZ1398" s="388"/>
    </row>
    <row r="1399" spans="51:52" x14ac:dyDescent="0.2">
      <c r="AY1399" s="389"/>
      <c r="AZ1399" s="388"/>
    </row>
    <row r="1400" spans="51:52" x14ac:dyDescent="0.2">
      <c r="AY1400" s="389"/>
      <c r="AZ1400" s="388"/>
    </row>
    <row r="1401" spans="51:52" x14ac:dyDescent="0.2">
      <c r="AY1401" s="389"/>
      <c r="AZ1401" s="388"/>
    </row>
    <row r="1402" spans="51:52" x14ac:dyDescent="0.2">
      <c r="AY1402" s="389"/>
      <c r="AZ1402" s="388"/>
    </row>
    <row r="1403" spans="51:52" x14ac:dyDescent="0.2">
      <c r="AY1403" s="389"/>
      <c r="AZ1403" s="388"/>
    </row>
    <row r="1404" spans="51:52" x14ac:dyDescent="0.2">
      <c r="AY1404" s="389"/>
      <c r="AZ1404" s="388"/>
    </row>
    <row r="1405" spans="51:52" x14ac:dyDescent="0.2">
      <c r="AY1405" s="389"/>
      <c r="AZ1405" s="388"/>
    </row>
    <row r="1406" spans="51:52" x14ac:dyDescent="0.2">
      <c r="AY1406" s="389"/>
      <c r="AZ1406" s="388"/>
    </row>
    <row r="1407" spans="51:52" x14ac:dyDescent="0.2">
      <c r="AY1407" s="389"/>
      <c r="AZ1407" s="388"/>
    </row>
    <row r="1408" spans="51:52" x14ac:dyDescent="0.2">
      <c r="AY1408" s="389"/>
      <c r="AZ1408" s="388"/>
    </row>
    <row r="1409" spans="51:52" x14ac:dyDescent="0.2">
      <c r="AY1409" s="389"/>
      <c r="AZ1409" s="388"/>
    </row>
    <row r="1410" spans="51:52" x14ac:dyDescent="0.2">
      <c r="AY1410" s="389"/>
      <c r="AZ1410" s="388"/>
    </row>
    <row r="1411" spans="51:52" x14ac:dyDescent="0.2">
      <c r="AY1411" s="389"/>
      <c r="AZ1411" s="388"/>
    </row>
    <row r="1412" spans="51:52" x14ac:dyDescent="0.2">
      <c r="AY1412" s="389"/>
      <c r="AZ1412" s="388"/>
    </row>
    <row r="1413" spans="51:52" x14ac:dyDescent="0.2">
      <c r="AY1413" s="389"/>
      <c r="AZ1413" s="388"/>
    </row>
    <row r="1414" spans="51:52" x14ac:dyDescent="0.2">
      <c r="AY1414" s="389"/>
      <c r="AZ1414" s="388"/>
    </row>
    <row r="1415" spans="51:52" x14ac:dyDescent="0.2">
      <c r="AY1415" s="389"/>
      <c r="AZ1415" s="388"/>
    </row>
    <row r="1416" spans="51:52" x14ac:dyDescent="0.2">
      <c r="AY1416" s="389"/>
      <c r="AZ1416" s="388"/>
    </row>
    <row r="1417" spans="51:52" x14ac:dyDescent="0.2">
      <c r="AY1417" s="389"/>
      <c r="AZ1417" s="388"/>
    </row>
    <row r="1418" spans="51:52" x14ac:dyDescent="0.2">
      <c r="AY1418" s="389"/>
      <c r="AZ1418" s="388"/>
    </row>
    <row r="1419" spans="51:52" x14ac:dyDescent="0.2">
      <c r="AY1419" s="389"/>
      <c r="AZ1419" s="388"/>
    </row>
    <row r="1420" spans="51:52" x14ac:dyDescent="0.2">
      <c r="AY1420" s="389"/>
      <c r="AZ1420" s="388"/>
    </row>
    <row r="1421" spans="51:52" x14ac:dyDescent="0.2">
      <c r="AY1421" s="389"/>
      <c r="AZ1421" s="388"/>
    </row>
    <row r="1422" spans="51:52" x14ac:dyDescent="0.2">
      <c r="AY1422" s="389"/>
      <c r="AZ1422" s="388"/>
    </row>
    <row r="1423" spans="51:52" x14ac:dyDescent="0.2">
      <c r="AY1423" s="389"/>
      <c r="AZ1423" s="388"/>
    </row>
    <row r="1424" spans="51:52" x14ac:dyDescent="0.2">
      <c r="AY1424" s="389"/>
      <c r="AZ1424" s="388"/>
    </row>
    <row r="1425" spans="51:52" x14ac:dyDescent="0.2">
      <c r="AY1425" s="389"/>
      <c r="AZ1425" s="388"/>
    </row>
    <row r="1426" spans="51:52" x14ac:dyDescent="0.2">
      <c r="AY1426" s="389"/>
      <c r="AZ1426" s="388"/>
    </row>
    <row r="1427" spans="51:52" x14ac:dyDescent="0.2">
      <c r="AY1427" s="389"/>
      <c r="AZ1427" s="388"/>
    </row>
    <row r="1428" spans="51:52" x14ac:dyDescent="0.2">
      <c r="AY1428" s="389"/>
      <c r="AZ1428" s="388"/>
    </row>
    <row r="1429" spans="51:52" x14ac:dyDescent="0.2">
      <c r="AY1429" s="389"/>
      <c r="AZ1429" s="388"/>
    </row>
    <row r="1430" spans="51:52" x14ac:dyDescent="0.2">
      <c r="AY1430" s="389"/>
      <c r="AZ1430" s="388"/>
    </row>
    <row r="1431" spans="51:52" x14ac:dyDescent="0.2">
      <c r="AY1431" s="389"/>
      <c r="AZ1431" s="388"/>
    </row>
    <row r="1432" spans="51:52" x14ac:dyDescent="0.2">
      <c r="AY1432" s="389"/>
      <c r="AZ1432" s="388"/>
    </row>
    <row r="1433" spans="51:52" x14ac:dyDescent="0.2">
      <c r="AY1433" s="389"/>
      <c r="AZ1433" s="388"/>
    </row>
    <row r="1434" spans="51:52" x14ac:dyDescent="0.2">
      <c r="AY1434" s="389"/>
      <c r="AZ1434" s="388"/>
    </row>
    <row r="1435" spans="51:52" x14ac:dyDescent="0.2">
      <c r="AY1435" s="389"/>
      <c r="AZ1435" s="388"/>
    </row>
    <row r="1436" spans="51:52" x14ac:dyDescent="0.2">
      <c r="AY1436" s="389"/>
      <c r="AZ1436" s="388"/>
    </row>
    <row r="1437" spans="51:52" x14ac:dyDescent="0.2">
      <c r="AY1437" s="389"/>
      <c r="AZ1437" s="388"/>
    </row>
    <row r="1438" spans="51:52" x14ac:dyDescent="0.2">
      <c r="AY1438" s="389"/>
      <c r="AZ1438" s="388"/>
    </row>
    <row r="1439" spans="51:52" x14ac:dyDescent="0.2">
      <c r="AY1439" s="389"/>
      <c r="AZ1439" s="388"/>
    </row>
    <row r="1440" spans="51:52" x14ac:dyDescent="0.2">
      <c r="AY1440" s="389"/>
      <c r="AZ1440" s="388"/>
    </row>
    <row r="1441" spans="51:52" x14ac:dyDescent="0.2">
      <c r="AY1441" s="389"/>
      <c r="AZ1441" s="388"/>
    </row>
    <row r="1442" spans="51:52" x14ac:dyDescent="0.2">
      <c r="AY1442" s="389"/>
      <c r="AZ1442" s="388"/>
    </row>
    <row r="1443" spans="51:52" x14ac:dyDescent="0.2">
      <c r="AY1443" s="389"/>
      <c r="AZ1443" s="388"/>
    </row>
    <row r="1444" spans="51:52" x14ac:dyDescent="0.2">
      <c r="AY1444" s="389"/>
      <c r="AZ1444" s="388"/>
    </row>
    <row r="1445" spans="51:52" x14ac:dyDescent="0.2">
      <c r="AY1445" s="389"/>
      <c r="AZ1445" s="388"/>
    </row>
    <row r="1446" spans="51:52" x14ac:dyDescent="0.2">
      <c r="AY1446" s="389"/>
      <c r="AZ1446" s="388"/>
    </row>
    <row r="1447" spans="51:52" x14ac:dyDescent="0.2">
      <c r="AY1447" s="389"/>
      <c r="AZ1447" s="388"/>
    </row>
    <row r="1448" spans="51:52" x14ac:dyDescent="0.2">
      <c r="AY1448" s="389"/>
      <c r="AZ1448" s="388"/>
    </row>
    <row r="1449" spans="51:52" x14ac:dyDescent="0.2">
      <c r="AY1449" s="389"/>
      <c r="AZ1449" s="388"/>
    </row>
    <row r="1450" spans="51:52" x14ac:dyDescent="0.2">
      <c r="AY1450" s="389"/>
      <c r="AZ1450" s="388"/>
    </row>
    <row r="1451" spans="51:52" x14ac:dyDescent="0.2">
      <c r="AY1451" s="389"/>
      <c r="AZ1451" s="388"/>
    </row>
    <row r="1452" spans="51:52" x14ac:dyDescent="0.2">
      <c r="AY1452" s="389"/>
      <c r="AZ1452" s="388"/>
    </row>
    <row r="1453" spans="51:52" x14ac:dyDescent="0.2">
      <c r="AY1453" s="389"/>
      <c r="AZ1453" s="388"/>
    </row>
    <row r="1454" spans="51:52" x14ac:dyDescent="0.2">
      <c r="AY1454" s="389"/>
      <c r="AZ1454" s="388"/>
    </row>
    <row r="1455" spans="51:52" x14ac:dyDescent="0.2">
      <c r="AY1455" s="389"/>
      <c r="AZ1455" s="388"/>
    </row>
    <row r="1456" spans="51:52" x14ac:dyDescent="0.2">
      <c r="AY1456" s="389"/>
      <c r="AZ1456" s="388"/>
    </row>
    <row r="1457" spans="51:52" x14ac:dyDescent="0.2">
      <c r="AY1457" s="389"/>
      <c r="AZ1457" s="388"/>
    </row>
    <row r="1458" spans="51:52" x14ac:dyDescent="0.2">
      <c r="AY1458" s="389"/>
      <c r="AZ1458" s="388"/>
    </row>
    <row r="1459" spans="51:52" x14ac:dyDescent="0.2">
      <c r="AY1459" s="389"/>
      <c r="AZ1459" s="388"/>
    </row>
    <row r="1460" spans="51:52" x14ac:dyDescent="0.2">
      <c r="AY1460" s="389"/>
      <c r="AZ1460" s="388"/>
    </row>
    <row r="1461" spans="51:52" x14ac:dyDescent="0.2">
      <c r="AY1461" s="389"/>
      <c r="AZ1461" s="388"/>
    </row>
    <row r="1462" spans="51:52" x14ac:dyDescent="0.2">
      <c r="AY1462" s="389"/>
      <c r="AZ1462" s="388"/>
    </row>
    <row r="1463" spans="51:52" x14ac:dyDescent="0.2">
      <c r="AY1463" s="389"/>
      <c r="AZ1463" s="388"/>
    </row>
    <row r="1464" spans="51:52" x14ac:dyDescent="0.2">
      <c r="AY1464" s="389"/>
      <c r="AZ1464" s="388"/>
    </row>
    <row r="1465" spans="51:52" x14ac:dyDescent="0.2">
      <c r="AY1465" s="389"/>
      <c r="AZ1465" s="388"/>
    </row>
    <row r="1466" spans="51:52" x14ac:dyDescent="0.2">
      <c r="AY1466" s="389"/>
      <c r="AZ1466" s="388"/>
    </row>
    <row r="1467" spans="51:52" x14ac:dyDescent="0.2">
      <c r="AY1467" s="389"/>
      <c r="AZ1467" s="388"/>
    </row>
    <row r="1468" spans="51:52" x14ac:dyDescent="0.2">
      <c r="AY1468" s="389"/>
      <c r="AZ1468" s="388"/>
    </row>
    <row r="1469" spans="51:52" x14ac:dyDescent="0.2">
      <c r="AY1469" s="389"/>
      <c r="AZ1469" s="388"/>
    </row>
    <row r="1470" spans="51:52" x14ac:dyDescent="0.2">
      <c r="AY1470" s="389"/>
      <c r="AZ1470" s="388"/>
    </row>
    <row r="1471" spans="51:52" x14ac:dyDescent="0.2">
      <c r="AY1471" s="389"/>
      <c r="AZ1471" s="388"/>
    </row>
    <row r="1472" spans="51:52" x14ac:dyDescent="0.2">
      <c r="AY1472" s="389"/>
      <c r="AZ1472" s="388"/>
    </row>
    <row r="1473" spans="51:52" x14ac:dyDescent="0.2">
      <c r="AY1473" s="389"/>
      <c r="AZ1473" s="388"/>
    </row>
    <row r="1474" spans="51:52" x14ac:dyDescent="0.2">
      <c r="AY1474" s="389"/>
      <c r="AZ1474" s="388"/>
    </row>
    <row r="1475" spans="51:52" x14ac:dyDescent="0.2">
      <c r="AY1475" s="389"/>
      <c r="AZ1475" s="388"/>
    </row>
    <row r="1476" spans="51:52" x14ac:dyDescent="0.2">
      <c r="AY1476" s="389"/>
      <c r="AZ1476" s="388"/>
    </row>
    <row r="1477" spans="51:52" x14ac:dyDescent="0.2">
      <c r="AY1477" s="389"/>
      <c r="AZ1477" s="388"/>
    </row>
    <row r="1478" spans="51:52" x14ac:dyDescent="0.2">
      <c r="AY1478" s="389"/>
      <c r="AZ1478" s="388"/>
    </row>
    <row r="1479" spans="51:52" x14ac:dyDescent="0.2">
      <c r="AY1479" s="389"/>
      <c r="AZ1479" s="388"/>
    </row>
    <row r="1480" spans="51:52" x14ac:dyDescent="0.2">
      <c r="AY1480" s="389"/>
      <c r="AZ1480" s="388"/>
    </row>
    <row r="1481" spans="51:52" x14ac:dyDescent="0.2">
      <c r="AY1481" s="389"/>
      <c r="AZ1481" s="388"/>
    </row>
    <row r="1482" spans="51:52" x14ac:dyDescent="0.2">
      <c r="AY1482" s="389"/>
      <c r="AZ1482" s="388"/>
    </row>
    <row r="1483" spans="51:52" x14ac:dyDescent="0.2">
      <c r="AY1483" s="389"/>
      <c r="AZ1483" s="388"/>
    </row>
    <row r="1484" spans="51:52" x14ac:dyDescent="0.2">
      <c r="AY1484" s="389"/>
      <c r="AZ1484" s="388"/>
    </row>
    <row r="1485" spans="51:52" x14ac:dyDescent="0.2">
      <c r="AY1485" s="389"/>
      <c r="AZ1485" s="388"/>
    </row>
    <row r="1486" spans="51:52" x14ac:dyDescent="0.2">
      <c r="AY1486" s="389"/>
      <c r="AZ1486" s="388"/>
    </row>
    <row r="1487" spans="51:52" x14ac:dyDescent="0.2">
      <c r="AY1487" s="389"/>
      <c r="AZ1487" s="388"/>
    </row>
    <row r="1488" spans="51:52" x14ac:dyDescent="0.2">
      <c r="AY1488" s="389"/>
      <c r="AZ1488" s="388"/>
    </row>
    <row r="1489" spans="51:52" x14ac:dyDescent="0.2">
      <c r="AY1489" s="389"/>
      <c r="AZ1489" s="388"/>
    </row>
    <row r="1490" spans="51:52" x14ac:dyDescent="0.2">
      <c r="AY1490" s="389"/>
      <c r="AZ1490" s="388"/>
    </row>
    <row r="1491" spans="51:52" x14ac:dyDescent="0.2">
      <c r="AY1491" s="389"/>
      <c r="AZ1491" s="388"/>
    </row>
    <row r="1492" spans="51:52" x14ac:dyDescent="0.2">
      <c r="AY1492" s="389"/>
      <c r="AZ1492" s="388"/>
    </row>
    <row r="1493" spans="51:52" x14ac:dyDescent="0.2">
      <c r="AY1493" s="389"/>
      <c r="AZ1493" s="388"/>
    </row>
    <row r="1494" spans="51:52" x14ac:dyDescent="0.2">
      <c r="AY1494" s="389"/>
      <c r="AZ1494" s="388"/>
    </row>
    <row r="1495" spans="51:52" x14ac:dyDescent="0.2">
      <c r="AY1495" s="389"/>
      <c r="AZ1495" s="388"/>
    </row>
    <row r="1496" spans="51:52" x14ac:dyDescent="0.2">
      <c r="AY1496" s="389"/>
      <c r="AZ1496" s="388"/>
    </row>
    <row r="1497" spans="51:52" x14ac:dyDescent="0.2">
      <c r="AY1497" s="389"/>
      <c r="AZ1497" s="388"/>
    </row>
    <row r="1498" spans="51:52" x14ac:dyDescent="0.2">
      <c r="AY1498" s="389"/>
      <c r="AZ1498" s="388"/>
    </row>
    <row r="1499" spans="51:52" x14ac:dyDescent="0.2">
      <c r="AY1499" s="389"/>
      <c r="AZ1499" s="388"/>
    </row>
    <row r="1500" spans="51:52" x14ac:dyDescent="0.2">
      <c r="AY1500" s="389"/>
      <c r="AZ1500" s="388"/>
    </row>
    <row r="1501" spans="51:52" x14ac:dyDescent="0.2">
      <c r="AY1501" s="389"/>
      <c r="AZ1501" s="388"/>
    </row>
    <row r="1502" spans="51:52" x14ac:dyDescent="0.2">
      <c r="AY1502" s="389"/>
      <c r="AZ1502" s="388"/>
    </row>
    <row r="1503" spans="51:52" x14ac:dyDescent="0.2">
      <c r="AY1503" s="389"/>
      <c r="AZ1503" s="388"/>
    </row>
    <row r="1504" spans="51:52" x14ac:dyDescent="0.2">
      <c r="AY1504" s="389"/>
      <c r="AZ1504" s="388"/>
    </row>
    <row r="1505" spans="51:52" x14ac:dyDescent="0.2">
      <c r="AY1505" s="389"/>
      <c r="AZ1505" s="388"/>
    </row>
    <row r="1506" spans="51:52" x14ac:dyDescent="0.2">
      <c r="AY1506" s="389"/>
      <c r="AZ1506" s="388"/>
    </row>
    <row r="1507" spans="51:52" x14ac:dyDescent="0.2">
      <c r="AY1507" s="389"/>
      <c r="AZ1507" s="388"/>
    </row>
    <row r="1508" spans="51:52" x14ac:dyDescent="0.2">
      <c r="AY1508" s="389"/>
      <c r="AZ1508" s="388"/>
    </row>
    <row r="1509" spans="51:52" x14ac:dyDescent="0.2">
      <c r="AY1509" s="389"/>
      <c r="AZ1509" s="388"/>
    </row>
    <row r="1510" spans="51:52" x14ac:dyDescent="0.2">
      <c r="AY1510" s="389"/>
      <c r="AZ1510" s="388"/>
    </row>
    <row r="1511" spans="51:52" x14ac:dyDescent="0.2">
      <c r="AY1511" s="389"/>
      <c r="AZ1511" s="388"/>
    </row>
    <row r="1512" spans="51:52" x14ac:dyDescent="0.2">
      <c r="AY1512" s="389"/>
      <c r="AZ1512" s="388"/>
    </row>
    <row r="1513" spans="51:52" x14ac:dyDescent="0.2">
      <c r="AY1513" s="389"/>
      <c r="AZ1513" s="388"/>
    </row>
    <row r="1514" spans="51:52" x14ac:dyDescent="0.2">
      <c r="AY1514" s="389"/>
      <c r="AZ1514" s="388"/>
    </row>
    <row r="1515" spans="51:52" x14ac:dyDescent="0.2">
      <c r="AY1515" s="389"/>
      <c r="AZ1515" s="388"/>
    </row>
    <row r="1516" spans="51:52" x14ac:dyDescent="0.2">
      <c r="AY1516" s="389"/>
      <c r="AZ1516" s="388"/>
    </row>
    <row r="1517" spans="51:52" x14ac:dyDescent="0.2">
      <c r="AY1517" s="389"/>
      <c r="AZ1517" s="388"/>
    </row>
    <row r="1518" spans="51:52" x14ac:dyDescent="0.2">
      <c r="AY1518" s="389"/>
      <c r="AZ1518" s="388"/>
    </row>
    <row r="1519" spans="51:52" x14ac:dyDescent="0.2">
      <c r="AY1519" s="389"/>
      <c r="AZ1519" s="388"/>
    </row>
    <row r="1520" spans="51:52" x14ac:dyDescent="0.2">
      <c r="AY1520" s="389"/>
      <c r="AZ1520" s="388"/>
    </row>
    <row r="1521" spans="51:52" x14ac:dyDescent="0.2">
      <c r="AY1521" s="389"/>
      <c r="AZ1521" s="388"/>
    </row>
    <row r="1522" spans="51:52" x14ac:dyDescent="0.2">
      <c r="AY1522" s="389"/>
      <c r="AZ1522" s="388"/>
    </row>
    <row r="1523" spans="51:52" x14ac:dyDescent="0.2">
      <c r="AY1523" s="389"/>
      <c r="AZ1523" s="388"/>
    </row>
    <row r="1524" spans="51:52" x14ac:dyDescent="0.2">
      <c r="AY1524" s="389"/>
      <c r="AZ1524" s="388"/>
    </row>
    <row r="1525" spans="51:52" x14ac:dyDescent="0.2">
      <c r="AY1525" s="389"/>
      <c r="AZ1525" s="388"/>
    </row>
    <row r="1526" spans="51:52" x14ac:dyDescent="0.2">
      <c r="AY1526" s="389"/>
      <c r="AZ1526" s="388"/>
    </row>
    <row r="1527" spans="51:52" x14ac:dyDescent="0.2">
      <c r="AY1527" s="389"/>
      <c r="AZ1527" s="388"/>
    </row>
    <row r="1528" spans="51:52" x14ac:dyDescent="0.2">
      <c r="AY1528" s="389"/>
      <c r="AZ1528" s="388"/>
    </row>
    <row r="1529" spans="51:52" x14ac:dyDescent="0.2">
      <c r="AY1529" s="389"/>
      <c r="AZ1529" s="388"/>
    </row>
    <row r="1530" spans="51:52" x14ac:dyDescent="0.2">
      <c r="AY1530" s="389"/>
      <c r="AZ1530" s="388"/>
    </row>
    <row r="1531" spans="51:52" x14ac:dyDescent="0.2">
      <c r="AY1531" s="389"/>
      <c r="AZ1531" s="388"/>
    </row>
    <row r="1532" spans="51:52" x14ac:dyDescent="0.2">
      <c r="AY1532" s="389"/>
      <c r="AZ1532" s="388"/>
    </row>
    <row r="1533" spans="51:52" x14ac:dyDescent="0.2">
      <c r="AY1533" s="389"/>
      <c r="AZ1533" s="388"/>
    </row>
    <row r="1534" spans="51:52" x14ac:dyDescent="0.2">
      <c r="AY1534" s="389"/>
      <c r="AZ1534" s="388"/>
    </row>
    <row r="1535" spans="51:52" x14ac:dyDescent="0.2">
      <c r="AY1535" s="389"/>
      <c r="AZ1535" s="388"/>
    </row>
    <row r="1536" spans="51:52" x14ac:dyDescent="0.2">
      <c r="AY1536" s="389"/>
      <c r="AZ1536" s="388"/>
    </row>
    <row r="1537" spans="51:52" x14ac:dyDescent="0.2">
      <c r="AY1537" s="389"/>
      <c r="AZ1537" s="388"/>
    </row>
    <row r="1538" spans="51:52" x14ac:dyDescent="0.2">
      <c r="AY1538" s="389"/>
      <c r="AZ1538" s="388"/>
    </row>
    <row r="1539" spans="51:52" x14ac:dyDescent="0.2">
      <c r="AY1539" s="389"/>
      <c r="AZ1539" s="388"/>
    </row>
    <row r="1540" spans="51:52" x14ac:dyDescent="0.2">
      <c r="AY1540" s="389"/>
      <c r="AZ1540" s="388"/>
    </row>
    <row r="1541" spans="51:52" x14ac:dyDescent="0.2">
      <c r="AY1541" s="389"/>
      <c r="AZ1541" s="388"/>
    </row>
    <row r="1542" spans="51:52" x14ac:dyDescent="0.2">
      <c r="AY1542" s="389"/>
      <c r="AZ1542" s="388"/>
    </row>
    <row r="1543" spans="51:52" x14ac:dyDescent="0.2">
      <c r="AY1543" s="389"/>
      <c r="AZ1543" s="388"/>
    </row>
    <row r="1544" spans="51:52" x14ac:dyDescent="0.2">
      <c r="AY1544" s="389"/>
      <c r="AZ1544" s="388"/>
    </row>
    <row r="1545" spans="51:52" x14ac:dyDescent="0.2">
      <c r="AY1545" s="389"/>
      <c r="AZ1545" s="388"/>
    </row>
    <row r="1546" spans="51:52" x14ac:dyDescent="0.2">
      <c r="AY1546" s="389"/>
      <c r="AZ1546" s="388"/>
    </row>
    <row r="1547" spans="51:52" x14ac:dyDescent="0.2">
      <c r="AY1547" s="389"/>
      <c r="AZ1547" s="388"/>
    </row>
    <row r="1548" spans="51:52" x14ac:dyDescent="0.2">
      <c r="AY1548" s="389"/>
      <c r="AZ1548" s="388"/>
    </row>
    <row r="1549" spans="51:52" x14ac:dyDescent="0.2">
      <c r="AY1549" s="389"/>
      <c r="AZ1549" s="388"/>
    </row>
    <row r="1550" spans="51:52" x14ac:dyDescent="0.2">
      <c r="AY1550" s="389"/>
      <c r="AZ1550" s="388"/>
    </row>
    <row r="1551" spans="51:52" x14ac:dyDescent="0.2">
      <c r="AY1551" s="389"/>
      <c r="AZ1551" s="388"/>
    </row>
    <row r="1552" spans="51:52" x14ac:dyDescent="0.2">
      <c r="AY1552" s="389"/>
      <c r="AZ1552" s="388"/>
    </row>
    <row r="1553" spans="51:52" x14ac:dyDescent="0.2">
      <c r="AY1553" s="389"/>
      <c r="AZ1553" s="388"/>
    </row>
    <row r="1554" spans="51:52" x14ac:dyDescent="0.2">
      <c r="AY1554" s="389"/>
      <c r="AZ1554" s="388"/>
    </row>
    <row r="1555" spans="51:52" x14ac:dyDescent="0.2">
      <c r="AY1555" s="389"/>
      <c r="AZ1555" s="388"/>
    </row>
    <row r="1556" spans="51:52" x14ac:dyDescent="0.2">
      <c r="AY1556" s="389"/>
      <c r="AZ1556" s="388"/>
    </row>
    <row r="1557" spans="51:52" x14ac:dyDescent="0.2">
      <c r="AY1557" s="389"/>
      <c r="AZ1557" s="388"/>
    </row>
    <row r="1558" spans="51:52" x14ac:dyDescent="0.2">
      <c r="AY1558" s="389"/>
      <c r="AZ1558" s="388"/>
    </row>
    <row r="1559" spans="51:52" x14ac:dyDescent="0.2">
      <c r="AY1559" s="389"/>
      <c r="AZ1559" s="388"/>
    </row>
    <row r="1560" spans="51:52" x14ac:dyDescent="0.2">
      <c r="AY1560" s="389"/>
      <c r="AZ1560" s="388"/>
    </row>
    <row r="1561" spans="51:52" x14ac:dyDescent="0.2">
      <c r="AY1561" s="389"/>
      <c r="AZ1561" s="388"/>
    </row>
    <row r="1562" spans="51:52" x14ac:dyDescent="0.2">
      <c r="AY1562" s="389"/>
      <c r="AZ1562" s="388"/>
    </row>
    <row r="1563" spans="51:52" x14ac:dyDescent="0.2">
      <c r="AY1563" s="389"/>
      <c r="AZ1563" s="388"/>
    </row>
    <row r="1564" spans="51:52" x14ac:dyDescent="0.2">
      <c r="AY1564" s="389"/>
      <c r="AZ1564" s="388"/>
    </row>
    <row r="1565" spans="51:52" x14ac:dyDescent="0.2">
      <c r="AY1565" s="389"/>
      <c r="AZ1565" s="388"/>
    </row>
    <row r="1566" spans="51:52" x14ac:dyDescent="0.2">
      <c r="AY1566" s="389"/>
      <c r="AZ1566" s="388"/>
    </row>
    <row r="1567" spans="51:52" x14ac:dyDescent="0.2">
      <c r="AY1567" s="389"/>
      <c r="AZ1567" s="388"/>
    </row>
    <row r="1568" spans="51:52" x14ac:dyDescent="0.2">
      <c r="AY1568" s="389"/>
      <c r="AZ1568" s="388"/>
    </row>
    <row r="1569" spans="51:52" x14ac:dyDescent="0.2">
      <c r="AY1569" s="389"/>
      <c r="AZ1569" s="388"/>
    </row>
    <row r="1570" spans="51:52" x14ac:dyDescent="0.2">
      <c r="AY1570" s="389"/>
      <c r="AZ1570" s="388"/>
    </row>
    <row r="1571" spans="51:52" x14ac:dyDescent="0.2">
      <c r="AY1571" s="389"/>
      <c r="AZ1571" s="388"/>
    </row>
    <row r="1572" spans="51:52" x14ac:dyDescent="0.2">
      <c r="AY1572" s="389"/>
      <c r="AZ1572" s="388"/>
    </row>
    <row r="1573" spans="51:52" x14ac:dyDescent="0.2">
      <c r="AY1573" s="389"/>
      <c r="AZ1573" s="388"/>
    </row>
    <row r="1574" spans="51:52" x14ac:dyDescent="0.2">
      <c r="AY1574" s="389"/>
      <c r="AZ1574" s="388"/>
    </row>
    <row r="1575" spans="51:52" x14ac:dyDescent="0.2">
      <c r="AY1575" s="389"/>
      <c r="AZ1575" s="388"/>
    </row>
    <row r="1576" spans="51:52" x14ac:dyDescent="0.2">
      <c r="AY1576" s="389"/>
      <c r="AZ1576" s="388"/>
    </row>
    <row r="1577" spans="51:52" x14ac:dyDescent="0.2">
      <c r="AY1577" s="389"/>
      <c r="AZ1577" s="388"/>
    </row>
    <row r="1578" spans="51:52" x14ac:dyDescent="0.2">
      <c r="AY1578" s="389"/>
      <c r="AZ1578" s="388"/>
    </row>
    <row r="1579" spans="51:52" x14ac:dyDescent="0.2">
      <c r="AY1579" s="389"/>
      <c r="AZ1579" s="388"/>
    </row>
    <row r="1580" spans="51:52" x14ac:dyDescent="0.2">
      <c r="AY1580" s="389"/>
      <c r="AZ1580" s="388"/>
    </row>
    <row r="1581" spans="51:52" x14ac:dyDescent="0.2">
      <c r="AY1581" s="389"/>
      <c r="AZ1581" s="388"/>
    </row>
    <row r="1582" spans="51:52" x14ac:dyDescent="0.2">
      <c r="AY1582" s="389"/>
      <c r="AZ1582" s="388"/>
    </row>
    <row r="1583" spans="51:52" x14ac:dyDescent="0.2">
      <c r="AY1583" s="389"/>
      <c r="AZ1583" s="388"/>
    </row>
    <row r="1584" spans="51:52" x14ac:dyDescent="0.2">
      <c r="AY1584" s="389"/>
      <c r="AZ1584" s="388"/>
    </row>
    <row r="1585" spans="51:52" x14ac:dyDescent="0.2">
      <c r="AY1585" s="389"/>
      <c r="AZ1585" s="388"/>
    </row>
    <row r="1586" spans="51:52" x14ac:dyDescent="0.2">
      <c r="AY1586" s="389"/>
      <c r="AZ1586" s="388"/>
    </row>
    <row r="1587" spans="51:52" x14ac:dyDescent="0.2">
      <c r="AY1587" s="389"/>
      <c r="AZ1587" s="388"/>
    </row>
    <row r="1588" spans="51:52" x14ac:dyDescent="0.2">
      <c r="AY1588" s="389"/>
      <c r="AZ1588" s="388"/>
    </row>
    <row r="1589" spans="51:52" x14ac:dyDescent="0.2">
      <c r="AY1589" s="389"/>
      <c r="AZ1589" s="388"/>
    </row>
    <row r="1590" spans="51:52" x14ac:dyDescent="0.2">
      <c r="AY1590" s="389"/>
      <c r="AZ1590" s="388"/>
    </row>
    <row r="1591" spans="51:52" x14ac:dyDescent="0.2">
      <c r="AY1591" s="389"/>
      <c r="AZ1591" s="388"/>
    </row>
    <row r="1592" spans="51:52" x14ac:dyDescent="0.2">
      <c r="AY1592" s="389"/>
      <c r="AZ1592" s="388"/>
    </row>
    <row r="1593" spans="51:52" x14ac:dyDescent="0.2">
      <c r="AY1593" s="389"/>
      <c r="AZ1593" s="388"/>
    </row>
    <row r="1594" spans="51:52" x14ac:dyDescent="0.2">
      <c r="AY1594" s="389"/>
      <c r="AZ1594" s="388"/>
    </row>
    <row r="1595" spans="51:52" x14ac:dyDescent="0.2">
      <c r="AY1595" s="389"/>
      <c r="AZ1595" s="388"/>
    </row>
    <row r="1596" spans="51:52" x14ac:dyDescent="0.2">
      <c r="AY1596" s="389"/>
      <c r="AZ1596" s="388"/>
    </row>
    <row r="1597" spans="51:52" x14ac:dyDescent="0.2">
      <c r="AY1597" s="389"/>
      <c r="AZ1597" s="388"/>
    </row>
    <row r="1598" spans="51:52" x14ac:dyDescent="0.2">
      <c r="AY1598" s="389"/>
      <c r="AZ1598" s="388"/>
    </row>
    <row r="1599" spans="51:52" x14ac:dyDescent="0.2">
      <c r="AY1599" s="389"/>
      <c r="AZ1599" s="388"/>
    </row>
    <row r="1600" spans="51:52" x14ac:dyDescent="0.2">
      <c r="AY1600" s="389"/>
      <c r="AZ1600" s="388"/>
    </row>
    <row r="1601" spans="51:52" x14ac:dyDescent="0.2">
      <c r="AY1601" s="389"/>
      <c r="AZ1601" s="388"/>
    </row>
    <row r="1602" spans="51:52" x14ac:dyDescent="0.2">
      <c r="AY1602" s="389"/>
      <c r="AZ1602" s="388"/>
    </row>
    <row r="1603" spans="51:52" x14ac:dyDescent="0.2">
      <c r="AY1603" s="389"/>
      <c r="AZ1603" s="388"/>
    </row>
    <row r="1604" spans="51:52" x14ac:dyDescent="0.2">
      <c r="AY1604" s="389"/>
      <c r="AZ1604" s="388"/>
    </row>
    <row r="1605" spans="51:52" x14ac:dyDescent="0.2">
      <c r="AY1605" s="389"/>
      <c r="AZ1605" s="388"/>
    </row>
    <row r="1606" spans="51:52" x14ac:dyDescent="0.2">
      <c r="AY1606" s="389"/>
      <c r="AZ1606" s="388"/>
    </row>
    <row r="1607" spans="51:52" x14ac:dyDescent="0.2">
      <c r="AY1607" s="389"/>
      <c r="AZ1607" s="388"/>
    </row>
    <row r="1608" spans="51:52" x14ac:dyDescent="0.2">
      <c r="AY1608" s="389"/>
      <c r="AZ1608" s="388"/>
    </row>
    <row r="1609" spans="51:52" x14ac:dyDescent="0.2">
      <c r="AY1609" s="389"/>
      <c r="AZ1609" s="388"/>
    </row>
    <row r="1610" spans="51:52" x14ac:dyDescent="0.2">
      <c r="AY1610" s="389"/>
      <c r="AZ1610" s="388"/>
    </row>
    <row r="1611" spans="51:52" x14ac:dyDescent="0.2">
      <c r="AY1611" s="389"/>
      <c r="AZ1611" s="388"/>
    </row>
    <row r="1612" spans="51:52" x14ac:dyDescent="0.2">
      <c r="AY1612" s="389"/>
      <c r="AZ1612" s="388"/>
    </row>
    <row r="1613" spans="51:52" x14ac:dyDescent="0.2">
      <c r="AY1613" s="389"/>
      <c r="AZ1613" s="388"/>
    </row>
    <row r="1614" spans="51:52" x14ac:dyDescent="0.2">
      <c r="AY1614" s="389"/>
      <c r="AZ1614" s="388"/>
    </row>
    <row r="1615" spans="51:52" x14ac:dyDescent="0.2">
      <c r="AY1615" s="389"/>
      <c r="AZ1615" s="388"/>
    </row>
    <row r="1616" spans="51:52" x14ac:dyDescent="0.2">
      <c r="AY1616" s="389"/>
      <c r="AZ1616" s="388"/>
    </row>
    <row r="1617" spans="51:52" x14ac:dyDescent="0.2">
      <c r="AY1617" s="389"/>
      <c r="AZ1617" s="388"/>
    </row>
    <row r="1618" spans="51:52" x14ac:dyDescent="0.2">
      <c r="AY1618" s="389"/>
      <c r="AZ1618" s="388"/>
    </row>
    <row r="1619" spans="51:52" x14ac:dyDescent="0.2">
      <c r="AY1619" s="389"/>
      <c r="AZ1619" s="388"/>
    </row>
    <row r="1620" spans="51:52" x14ac:dyDescent="0.2">
      <c r="AY1620" s="389"/>
      <c r="AZ1620" s="388"/>
    </row>
    <row r="1621" spans="51:52" x14ac:dyDescent="0.2">
      <c r="AY1621" s="389"/>
      <c r="AZ1621" s="388"/>
    </row>
    <row r="1622" spans="51:52" x14ac:dyDescent="0.2">
      <c r="AY1622" s="389"/>
      <c r="AZ1622" s="388"/>
    </row>
    <row r="1623" spans="51:52" x14ac:dyDescent="0.2">
      <c r="AY1623" s="389"/>
      <c r="AZ1623" s="388"/>
    </row>
    <row r="1624" spans="51:52" x14ac:dyDescent="0.2">
      <c r="AY1624" s="389"/>
      <c r="AZ1624" s="388"/>
    </row>
    <row r="1625" spans="51:52" x14ac:dyDescent="0.2">
      <c r="AY1625" s="389"/>
      <c r="AZ1625" s="388"/>
    </row>
    <row r="1626" spans="51:52" x14ac:dyDescent="0.2">
      <c r="AY1626" s="389"/>
      <c r="AZ1626" s="388"/>
    </row>
    <row r="1627" spans="51:52" x14ac:dyDescent="0.2">
      <c r="AY1627" s="389"/>
      <c r="AZ1627" s="388"/>
    </row>
    <row r="1628" spans="51:52" x14ac:dyDescent="0.2">
      <c r="AY1628" s="389"/>
      <c r="AZ1628" s="388"/>
    </row>
    <row r="1629" spans="51:52" x14ac:dyDescent="0.2">
      <c r="AY1629" s="389"/>
      <c r="AZ1629" s="388"/>
    </row>
    <row r="1630" spans="51:52" x14ac:dyDescent="0.2">
      <c r="AY1630" s="389"/>
      <c r="AZ1630" s="388"/>
    </row>
    <row r="1631" spans="51:52" x14ac:dyDescent="0.2">
      <c r="AY1631" s="389"/>
      <c r="AZ1631" s="388"/>
    </row>
    <row r="1632" spans="51:52" x14ac:dyDescent="0.2">
      <c r="AY1632" s="389"/>
      <c r="AZ1632" s="388"/>
    </row>
    <row r="1633" spans="51:52" x14ac:dyDescent="0.2">
      <c r="AY1633" s="389"/>
      <c r="AZ1633" s="388"/>
    </row>
    <row r="1634" spans="51:52" x14ac:dyDescent="0.2">
      <c r="AY1634" s="389"/>
      <c r="AZ1634" s="388"/>
    </row>
    <row r="1635" spans="51:52" x14ac:dyDescent="0.2">
      <c r="AY1635" s="389"/>
      <c r="AZ1635" s="388"/>
    </row>
    <row r="1636" spans="51:52" x14ac:dyDescent="0.2">
      <c r="AY1636" s="389"/>
      <c r="AZ1636" s="388"/>
    </row>
    <row r="1637" spans="51:52" x14ac:dyDescent="0.2">
      <c r="AY1637" s="389"/>
      <c r="AZ1637" s="388"/>
    </row>
    <row r="1638" spans="51:52" x14ac:dyDescent="0.2">
      <c r="AY1638" s="389"/>
      <c r="AZ1638" s="388"/>
    </row>
    <row r="1639" spans="51:52" x14ac:dyDescent="0.2">
      <c r="AY1639" s="389"/>
      <c r="AZ1639" s="388"/>
    </row>
    <row r="1640" spans="51:52" x14ac:dyDescent="0.2">
      <c r="AY1640" s="389"/>
      <c r="AZ1640" s="388"/>
    </row>
    <row r="1641" spans="51:52" x14ac:dyDescent="0.2">
      <c r="AY1641" s="389"/>
      <c r="AZ1641" s="388"/>
    </row>
    <row r="1642" spans="51:52" x14ac:dyDescent="0.2">
      <c r="AY1642" s="389"/>
      <c r="AZ1642" s="388"/>
    </row>
    <row r="1643" spans="51:52" x14ac:dyDescent="0.2">
      <c r="AY1643" s="389"/>
      <c r="AZ1643" s="388"/>
    </row>
    <row r="1644" spans="51:52" x14ac:dyDescent="0.2">
      <c r="AY1644" s="389"/>
      <c r="AZ1644" s="388"/>
    </row>
    <row r="1645" spans="51:52" x14ac:dyDescent="0.2">
      <c r="AY1645" s="389"/>
      <c r="AZ1645" s="388"/>
    </row>
    <row r="1646" spans="51:52" x14ac:dyDescent="0.2">
      <c r="AY1646" s="389"/>
      <c r="AZ1646" s="388"/>
    </row>
    <row r="1647" spans="51:52" x14ac:dyDescent="0.2">
      <c r="AY1647" s="389"/>
      <c r="AZ1647" s="388"/>
    </row>
    <row r="1648" spans="51:52" x14ac:dyDescent="0.2">
      <c r="AY1648" s="389"/>
      <c r="AZ1648" s="388"/>
    </row>
    <row r="1649" spans="51:52" x14ac:dyDescent="0.2">
      <c r="AY1649" s="389"/>
      <c r="AZ1649" s="388"/>
    </row>
    <row r="1650" spans="51:52" x14ac:dyDescent="0.2">
      <c r="AY1650" s="389"/>
      <c r="AZ1650" s="388"/>
    </row>
    <row r="1651" spans="51:52" x14ac:dyDescent="0.2">
      <c r="AY1651" s="389"/>
      <c r="AZ1651" s="388"/>
    </row>
    <row r="1652" spans="51:52" x14ac:dyDescent="0.2">
      <c r="AY1652" s="389"/>
      <c r="AZ1652" s="388"/>
    </row>
    <row r="1653" spans="51:52" x14ac:dyDescent="0.2">
      <c r="AY1653" s="389"/>
      <c r="AZ1653" s="388"/>
    </row>
    <row r="1654" spans="51:52" x14ac:dyDescent="0.2">
      <c r="AY1654" s="389"/>
      <c r="AZ1654" s="388"/>
    </row>
    <row r="1655" spans="51:52" x14ac:dyDescent="0.2">
      <c r="AY1655" s="389"/>
      <c r="AZ1655" s="388"/>
    </row>
    <row r="1656" spans="51:52" x14ac:dyDescent="0.2">
      <c r="AY1656" s="389"/>
      <c r="AZ1656" s="388"/>
    </row>
    <row r="1657" spans="51:52" x14ac:dyDescent="0.2">
      <c r="AY1657" s="389"/>
      <c r="AZ1657" s="388"/>
    </row>
    <row r="1658" spans="51:52" x14ac:dyDescent="0.2">
      <c r="AY1658" s="389"/>
      <c r="AZ1658" s="388"/>
    </row>
    <row r="1659" spans="51:52" x14ac:dyDescent="0.2">
      <c r="AY1659" s="389"/>
      <c r="AZ1659" s="388"/>
    </row>
    <row r="1660" spans="51:52" x14ac:dyDescent="0.2">
      <c r="AY1660" s="389"/>
      <c r="AZ1660" s="388"/>
    </row>
    <row r="1661" spans="51:52" x14ac:dyDescent="0.2">
      <c r="AY1661" s="389"/>
      <c r="AZ1661" s="388"/>
    </row>
    <row r="1662" spans="51:52" x14ac:dyDescent="0.2">
      <c r="AY1662" s="389"/>
      <c r="AZ1662" s="388"/>
    </row>
    <row r="1663" spans="51:52" x14ac:dyDescent="0.2">
      <c r="AY1663" s="389"/>
      <c r="AZ1663" s="388"/>
    </row>
    <row r="1664" spans="51:52" x14ac:dyDescent="0.2">
      <c r="AY1664" s="389"/>
      <c r="AZ1664" s="388"/>
    </row>
    <row r="1665" spans="51:52" x14ac:dyDescent="0.2">
      <c r="AY1665" s="389"/>
      <c r="AZ1665" s="388"/>
    </row>
    <row r="1666" spans="51:52" x14ac:dyDescent="0.2">
      <c r="AY1666" s="389"/>
      <c r="AZ1666" s="388"/>
    </row>
  </sheetData>
  <sortState xmlns:xlrd2="http://schemas.microsoft.com/office/spreadsheetml/2017/richdata2" ref="AU57:AZ73">
    <sortCondition descending="1" ref="AZ1"/>
  </sortState>
  <mergeCells count="13">
    <mergeCell ref="AN56:AO56"/>
    <mergeCell ref="AP56:AQ56"/>
    <mergeCell ref="AZ56:BA56"/>
    <mergeCell ref="BB56:BC56"/>
    <mergeCell ref="K4:L4"/>
    <mergeCell ref="J18:L18"/>
    <mergeCell ref="J30:K30"/>
    <mergeCell ref="B11:I11"/>
    <mergeCell ref="B51:D51"/>
    <mergeCell ref="BK49:BL49"/>
    <mergeCell ref="BK50:BL50"/>
    <mergeCell ref="N36:S37"/>
    <mergeCell ref="B24:I25"/>
  </mergeCells>
  <dataValidations disablePrompts="1" count="5">
    <dataValidation type="list" operator="equal" allowBlank="1" showInputMessage="1" showErrorMessage="1" error="Period must be in quarterly format.  Example:  yyyyQq &gt;&gt; 2010Q2." sqref="L30" xr:uid="{00000000-0002-0000-0200-000000000000}">
      <formula1>Magnitude_List</formula1>
    </dataValidation>
    <dataValidation type="list" operator="equal" allowBlank="1" showInputMessage="1" showErrorMessage="1" error="Period must be in quarterly format.  Example:  yyyyQq &gt;&gt; 2010Q2." sqref="J30" xr:uid="{00000000-0002-0000-0200-000001000000}">
      <formula1>Currency_List</formula1>
    </dataValidation>
    <dataValidation type="list" allowBlank="1" showInputMessage="1" showErrorMessage="1" sqref="B51:D51" xr:uid="{00000000-0002-0000-0200-000003000000}">
      <formula1>$AC$76:$AC$157</formula1>
    </dataValidation>
    <dataValidation type="list" allowBlank="1" showInputMessage="1" showErrorMessage="1" sqref="F72" xr:uid="{FCECA856-A4EF-4A89-8E40-E5CCD284FAF9}">
      <formula1>$Y$35:$Y$36</formula1>
    </dataValidation>
    <dataValidation type="list" allowBlank="1" showInputMessage="1" showErrorMessage="1" sqref="J18:L18" xr:uid="{F8679B99-36D1-49A9-9960-499D7ED749E5}">
      <formula1>$BQ$55:$BQ$152</formula1>
    </dataValidation>
  </dataValidations>
  <hyperlinks>
    <hyperlink ref="O6" r:id="rId1" xr:uid="{470BB297-CF3E-409A-B209-8156734F738A}"/>
  </hyperlinks>
  <pageMargins left="0.25" right="0.25" top="0.25" bottom="0.25" header="0.25" footer="0.25"/>
  <pageSetup scale="67" fitToHeight="0" orientation="landscape" r:id="rId2"/>
  <rowBreaks count="3" manualBreakCount="3">
    <brk id="96" min="1" max="15" man="1"/>
    <brk id="162" min="1" max="15" man="1"/>
    <brk id="205" min="1" max="15" man="1"/>
  </rowBreaks>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Refresh_Template">
                <anchor moveWithCells="1" sizeWithCells="1">
                  <from>
                    <xdr:col>10</xdr:col>
                    <xdr:colOff>184150</xdr:colOff>
                    <xdr:row>39</xdr:row>
                    <xdr:rowOff>0</xdr:rowOff>
                  </from>
                  <to>
                    <xdr:col>12</xdr:col>
                    <xdr:colOff>31750</xdr:colOff>
                    <xdr:row>40</xdr:row>
                    <xdr:rowOff>69850</xdr:rowOff>
                  </to>
                </anchor>
              </controlPr>
            </control>
          </mc:Choice>
        </mc:AlternateContent>
        <mc:AlternateContent xmlns:mc="http://schemas.openxmlformats.org/markup-compatibility/2006">
          <mc:Choice Requires="x14">
            <control shapeId="2057" r:id="rId6" name="Button 9">
              <controlPr defaultSize="0" print="0" autoFill="0" autoPict="0" macro="[0]!Change_Language">
                <anchor moveWithCells="1" sizeWithCells="1">
                  <from>
                    <xdr:col>10</xdr:col>
                    <xdr:colOff>152400</xdr:colOff>
                    <xdr:row>4</xdr:row>
                    <xdr:rowOff>146050</xdr:rowOff>
                  </from>
                  <to>
                    <xdr:col>12</xdr:col>
                    <xdr:colOff>0</xdr:colOff>
                    <xdr:row>6</xdr:row>
                    <xdr:rowOff>69850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4000000}">
          <x14:formula1>
            <xm:f>Language_Index!$O$5:$O$15</xm:f>
          </x14:formula1>
          <xm:sqref>K4:L4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D5EFF-2000-4A57-9449-772C0406D26A}">
  <sheetPr codeName="Sheet7"/>
  <dimension ref="B2:AA29"/>
  <sheetViews>
    <sheetView showGridLines="0" zoomScaleNormal="100" workbookViewId="0"/>
  </sheetViews>
  <sheetFormatPr defaultRowHeight="10" x14ac:dyDescent="0.2"/>
  <cols>
    <col min="1" max="1" width="2.77734375" customWidth="1"/>
    <col min="2" max="2" width="11.77734375" customWidth="1"/>
  </cols>
  <sheetData>
    <row r="2" spans="2:27" ht="20.149999999999999" customHeight="1" x14ac:dyDescent="0.2">
      <c r="B2" s="460" t="str">
        <f>VLOOKUP("REVERSE DISCOUNTED CASH FLOWS OVERVEIW",Language_Data,Lookup_Column,FALSE)</f>
        <v>REVERSE DISCOUNTED CASH FLOWS OVERVEIW</v>
      </c>
      <c r="C2" s="15"/>
      <c r="D2" s="15"/>
      <c r="E2" s="15"/>
      <c r="F2" s="15"/>
      <c r="G2" s="15"/>
      <c r="H2" s="15"/>
      <c r="I2" s="15"/>
      <c r="J2" s="15"/>
      <c r="K2" s="15"/>
      <c r="L2" s="15"/>
      <c r="M2" s="15"/>
      <c r="N2" s="15"/>
    </row>
    <row r="3" spans="2:27" ht="7.4" customHeight="1" x14ac:dyDescent="0.2">
      <c r="B3" s="466"/>
    </row>
    <row r="4" spans="2:27" ht="10.5" x14ac:dyDescent="0.25">
      <c r="B4" s="465" t="str">
        <f>VLOOKUP("Reverse Discounted Cash Flows ",Language_Data,Lookup_Column,FALSE)</f>
        <v xml:space="preserve">Reverse Discounted Cash Flows </v>
      </c>
      <c r="C4" s="24"/>
      <c r="D4" s="24"/>
      <c r="E4" s="24"/>
      <c r="F4" s="24"/>
      <c r="G4" s="24"/>
      <c r="H4" s="24"/>
      <c r="I4" s="24"/>
      <c r="J4" s="24"/>
      <c r="K4" s="24"/>
      <c r="L4" s="24"/>
      <c r="M4" s="24"/>
      <c r="N4" s="25"/>
      <c r="P4" s="467"/>
    </row>
    <row r="5" spans="2:27" ht="35.15" customHeight="1" x14ac:dyDescent="0.2">
      <c r="B5" s="492" t="str">
        <f>VLOOKUP("Reverse DCF is a valuation approach used to estimate the growth rate implied by the current stock price.",Language_Data,Lookup_Column,FALSE)&amp;" "&amp;VLOOKUP("In simple terms, the growth rate or margins are derived by equating the implied valuation to the current market price, while a standard DCF gives the intrinsic value based on projected future cash flows.",Language_Data,Lookup_Column,FALSE)</f>
        <v>Reverse DCF is a valuation approach used to estimate the growth rate implied by the current stock price. In simple terms, the growth rate or margins are derived by equating the implied valuation to the current market price, while a standard DCF gives the intrinsic value based on projected future cash flows.</v>
      </c>
      <c r="C5" s="493"/>
      <c r="D5" s="493"/>
      <c r="E5" s="493"/>
      <c r="F5" s="493"/>
      <c r="G5" s="493"/>
      <c r="H5" s="493"/>
      <c r="I5" s="493"/>
      <c r="J5" s="493"/>
      <c r="K5" s="493"/>
      <c r="L5" s="493"/>
      <c r="M5" s="493"/>
      <c r="N5" s="494"/>
      <c r="O5" s="462"/>
      <c r="P5" s="462"/>
      <c r="Q5" s="462"/>
      <c r="R5" s="462"/>
      <c r="S5" s="462"/>
      <c r="T5" s="462"/>
      <c r="U5" s="462"/>
      <c r="V5" s="462"/>
      <c r="W5" s="462"/>
      <c r="X5" s="462"/>
      <c r="Y5" s="462"/>
      <c r="Z5" s="462"/>
      <c r="AA5" s="462"/>
    </row>
    <row r="6" spans="2:27" ht="10.4" customHeight="1" x14ac:dyDescent="0.2">
      <c r="B6" s="461"/>
      <c r="C6" s="461"/>
      <c r="D6" s="461"/>
      <c r="E6" s="461"/>
      <c r="F6" s="461"/>
      <c r="G6" s="461"/>
      <c r="H6" s="461"/>
      <c r="I6" s="461"/>
      <c r="J6" s="461"/>
      <c r="K6" s="461"/>
      <c r="L6" s="461"/>
      <c r="M6" s="461"/>
      <c r="N6" s="461"/>
      <c r="O6" s="462"/>
      <c r="P6" s="462"/>
      <c r="Q6" s="462"/>
      <c r="R6" s="462"/>
      <c r="S6" s="462"/>
      <c r="T6" s="462"/>
      <c r="U6" s="462"/>
      <c r="V6" s="462"/>
      <c r="W6" s="462"/>
      <c r="X6" s="462"/>
      <c r="Y6" s="462"/>
      <c r="Z6" s="462"/>
      <c r="AA6" s="462"/>
    </row>
    <row r="7" spans="2:27" ht="10.5" x14ac:dyDescent="0.25">
      <c r="B7" s="465" t="str">
        <f>VLOOKUP("Workings of Reverse DCF",Language_Data,Lookup_Column,FALSE)</f>
        <v>Workings of Reverse DCF</v>
      </c>
      <c r="C7" s="24"/>
      <c r="D7" s="24"/>
      <c r="E7" s="24"/>
      <c r="F7" s="24"/>
      <c r="G7" s="24"/>
      <c r="H7" s="24"/>
      <c r="I7" s="24"/>
      <c r="J7" s="24"/>
      <c r="K7" s="24"/>
      <c r="L7" s="24"/>
      <c r="M7" s="24"/>
      <c r="N7" s="25"/>
    </row>
    <row r="8" spans="2:27" x14ac:dyDescent="0.2">
      <c r="B8" s="26" t="str">
        <f>VLOOKUP("The growth rate updates based on the indicator selected.",Language_Data,Lookup_Column,FALSE)</f>
        <v>The growth rate updates based on the indicator selected.</v>
      </c>
      <c r="N8" s="27"/>
    </row>
    <row r="9" spans="2:27" x14ac:dyDescent="0.2">
      <c r="B9" s="26" t="str">
        <f>VLOOKUP("The indicators include-:a) Total Revenue % Growth ",Language_Data,Lookup_Column,FALSE)</f>
        <v xml:space="preserve">The indicators include-:a) Total Revenue % Growth </v>
      </c>
      <c r="N9" s="27"/>
    </row>
    <row r="10" spans="2:27" x14ac:dyDescent="0.2">
      <c r="B10" s="26" t="str">
        <f>VLOOKUP("                                     b) Operating Margin",Language_Data,Lookup_Column,FALSE)</f>
        <v xml:space="preserve">                                     b) Operating Margin</v>
      </c>
      <c r="N10" s="27"/>
    </row>
    <row r="11" spans="2:27" x14ac:dyDescent="0.2">
      <c r="B11" s="26" t="str">
        <f>VLOOKUP("                                     c) Capex as % of Sales ",Language_Data,Lookup_Column,FALSE)</f>
        <v xml:space="preserve">                                     c) Capex as % of Sales </v>
      </c>
      <c r="N11" s="27"/>
    </row>
    <row r="12" spans="2:27" ht="22.4" customHeight="1" x14ac:dyDescent="0.2">
      <c r="B12" s="492" t="str">
        <f t="shared" ref="B12:N12" si="0">VLOOKUP("After selection, the model automatically works out the implied value for that indicator. The Impute button runs a Goal Seek analysis to solve for the growth rate or margin implied by the current stock price.",Language_Data,Lookup_Column,FALSE)</f>
        <v>After selection, the model automatically works out the implied value for that indicator. The Impute button runs a Goal Seek analysis to solve for the growth rate or margin implied by the current stock price.</v>
      </c>
      <c r="C12" s="493" t="str">
        <f t="shared" si="0"/>
        <v>After selection, the model automatically works out the implied value for that indicator. The Impute button runs a Goal Seek analysis to solve for the growth rate or margin implied by the current stock price.</v>
      </c>
      <c r="D12" s="493" t="str">
        <f t="shared" si="0"/>
        <v>After selection, the model automatically works out the implied value for that indicator. The Impute button runs a Goal Seek analysis to solve for the growth rate or margin implied by the current stock price.</v>
      </c>
      <c r="E12" s="493" t="str">
        <f t="shared" si="0"/>
        <v>After selection, the model automatically works out the implied value for that indicator. The Impute button runs a Goal Seek analysis to solve for the growth rate or margin implied by the current stock price.</v>
      </c>
      <c r="F12" s="493" t="str">
        <f t="shared" si="0"/>
        <v>After selection, the model automatically works out the implied value for that indicator. The Impute button runs a Goal Seek analysis to solve for the growth rate or margin implied by the current stock price.</v>
      </c>
      <c r="G12" s="493" t="str">
        <f t="shared" si="0"/>
        <v>After selection, the model automatically works out the implied value for that indicator. The Impute button runs a Goal Seek analysis to solve for the growth rate or margin implied by the current stock price.</v>
      </c>
      <c r="H12" s="493" t="str">
        <f t="shared" si="0"/>
        <v>After selection, the model automatically works out the implied value for that indicator. The Impute button runs a Goal Seek analysis to solve for the growth rate or margin implied by the current stock price.</v>
      </c>
      <c r="I12" s="493" t="str">
        <f t="shared" si="0"/>
        <v>After selection, the model automatically works out the implied value for that indicator. The Impute button runs a Goal Seek analysis to solve for the growth rate or margin implied by the current stock price.</v>
      </c>
      <c r="J12" s="493" t="str">
        <f t="shared" si="0"/>
        <v>After selection, the model automatically works out the implied value for that indicator. The Impute button runs a Goal Seek analysis to solve for the growth rate or margin implied by the current stock price.</v>
      </c>
      <c r="K12" s="493" t="str">
        <f t="shared" si="0"/>
        <v>After selection, the model automatically works out the implied value for that indicator. The Impute button runs a Goal Seek analysis to solve for the growth rate or margin implied by the current stock price.</v>
      </c>
      <c r="L12" s="493" t="str">
        <f t="shared" si="0"/>
        <v>After selection, the model automatically works out the implied value for that indicator. The Impute button runs a Goal Seek analysis to solve for the growth rate or margin implied by the current stock price.</v>
      </c>
      <c r="M12" s="493" t="str">
        <f t="shared" si="0"/>
        <v>After selection, the model automatically works out the implied value for that indicator. The Impute button runs a Goal Seek analysis to solve for the growth rate or margin implied by the current stock price.</v>
      </c>
      <c r="N12" s="494" t="str">
        <f t="shared" si="0"/>
        <v>After selection, the model automatically works out the implied value for that indicator. The Impute button runs a Goal Seek analysis to solve for the growth rate or margin implied by the current stock price.</v>
      </c>
      <c r="O12" s="461"/>
      <c r="Q12" s="461"/>
      <c r="R12" s="461"/>
      <c r="S12" s="461"/>
      <c r="T12" s="461"/>
      <c r="U12" s="461"/>
      <c r="V12" s="461"/>
      <c r="W12" s="461"/>
    </row>
    <row r="13" spans="2:27" ht="11.25" customHeight="1" x14ac:dyDescent="0.2">
      <c r="B13" s="461"/>
      <c r="C13" s="461"/>
      <c r="D13" s="461"/>
      <c r="E13" s="461"/>
      <c r="F13" s="461"/>
      <c r="G13" s="461"/>
      <c r="H13" s="461"/>
      <c r="I13" s="461"/>
      <c r="J13" s="461"/>
      <c r="K13" s="461"/>
      <c r="L13" s="461"/>
      <c r="M13" s="461"/>
      <c r="N13" s="461"/>
      <c r="O13" s="461"/>
      <c r="P13" s="461"/>
      <c r="Q13" s="461"/>
      <c r="R13" s="461"/>
      <c r="S13" s="461"/>
      <c r="T13" s="461"/>
      <c r="U13" s="461"/>
      <c r="V13" s="461"/>
      <c r="W13" s="461"/>
    </row>
    <row r="14" spans="2:27" x14ac:dyDescent="0.2">
      <c r="B14" s="23" t="str">
        <f>VLOOKUP("The first step calculates the free cash flow as -",Language_Data,Lookup_Column,FALSE)</f>
        <v>The first step calculates the free cash flow as -</v>
      </c>
      <c r="C14" s="24"/>
      <c r="D14" s="24"/>
      <c r="E14" s="24"/>
      <c r="F14" s="24"/>
      <c r="G14" s="24"/>
      <c r="H14" s="24"/>
      <c r="I14" s="24"/>
      <c r="J14" s="24"/>
      <c r="K14" s="24"/>
      <c r="L14" s="24"/>
      <c r="M14" s="24"/>
      <c r="N14" s="25"/>
    </row>
    <row r="15" spans="2:27" x14ac:dyDescent="0.2">
      <c r="B15" s="26" t="str">
        <f>VLOOKUP("FCFF= NOPAT+ Depreciation &amp; Amortization- Capex-Change in Net working Capital.",Language_Data,Lookup_Column,FALSE)</f>
        <v>FCFF= NOPAT+ Depreciation &amp; Amortization- Capex-Change in Net working Capital.</v>
      </c>
      <c r="N15" s="27"/>
    </row>
    <row r="16" spans="2:27" x14ac:dyDescent="0.2">
      <c r="B16" s="26"/>
      <c r="N16" s="27"/>
    </row>
    <row r="17" spans="2:14" x14ac:dyDescent="0.2">
      <c r="B17" s="26" t="str">
        <f>VLOOKUP("Each year's FCFF is discounted using a discount factor :",Language_Data,Lookup_Column,FALSE)</f>
        <v>Each year's FCFF is discounted using a discount factor :</v>
      </c>
      <c r="N17" s="27"/>
    </row>
    <row r="18" spans="2:14" x14ac:dyDescent="0.2">
      <c r="B18" s="26" t="str">
        <f>VLOOKUP("Discount Factor = Prior Year Discounted Factor / (1 + WACC).",Language_Data,Lookup_Column,FALSE)</f>
        <v>Discount Factor = Prior Year Discounted Factor / (1 + WACC).</v>
      </c>
      <c r="N18" s="27"/>
    </row>
    <row r="19" spans="2:14" x14ac:dyDescent="0.2">
      <c r="B19" s="26"/>
      <c r="N19" s="27"/>
    </row>
    <row r="20" spans="2:14" x14ac:dyDescent="0.2">
      <c r="B20" s="26" t="str">
        <f>VLOOKUP("For the terminal value calculation, the model applies the perpetuity growth method: ",Language_Data,Lookup_Column,FALSE)</f>
        <v xml:space="preserve">For the terminal value calculation, the model applies the perpetuity growth method: </v>
      </c>
      <c r="N20" s="27"/>
    </row>
    <row r="21" spans="2:14" x14ac:dyDescent="0.2">
      <c r="B21" s="26" t="str">
        <f>VLOOKUP("Terminal FCFF:Final Year FCFF × (1 + Terminal Growth Rate) (Cell O24)",Language_Data,Lookup_Column,FALSE)</f>
        <v>Terminal FCFF:Final Year FCFF × (1 + Terminal Growth Rate) (Cell O24)</v>
      </c>
      <c r="N21" s="27"/>
    </row>
    <row r="22" spans="2:14" x14ac:dyDescent="0.2">
      <c r="B22" s="26"/>
      <c r="N22" s="27"/>
    </row>
    <row r="23" spans="2:14" x14ac:dyDescent="0.2">
      <c r="B23" s="26" t="str">
        <f>VLOOKUP("Terminal value in the final year = Terminal FCFF/ (WACC- FCFF terminal growth rate) (cell O25).",Language_Data,Lookup_Column,FALSE)</f>
        <v>Terminal value in the final year = Terminal FCFF/ (WACC- FCFF terminal growth rate) (cell O25).</v>
      </c>
      <c r="N23" s="27"/>
    </row>
    <row r="24" spans="2:14" x14ac:dyDescent="0.2">
      <c r="B24" s="26" t="str">
        <f>VLOOKUP("Present Value of Terminal Value = Terminal Value / (1 + WACC) ^ Discount Factor (cell O26)",Language_Data,Lookup_Column,FALSE)</f>
        <v>Present Value of Terminal Value = Terminal Value / (1 + WACC) ^ Discount Factor (cell O26)</v>
      </c>
      <c r="N24" s="27"/>
    </row>
    <row r="25" spans="2:14" x14ac:dyDescent="0.2">
      <c r="B25" s="26"/>
      <c r="N25" s="27"/>
    </row>
    <row r="26" spans="2:14" x14ac:dyDescent="0.2">
      <c r="B26" s="26" t="str">
        <f>VLOOKUP("Based on this:",Language_Data,Lookup_Column,FALSE)</f>
        <v>Based on this:</v>
      </c>
      <c r="N26" s="27"/>
    </row>
    <row r="27" spans="2:14" x14ac:dyDescent="0.2">
      <c r="B27" s="26" t="str">
        <f>VLOOKUP("Enterprise value = Present value of FCFFs+ Present value of Terminal value (Cell O27)",Language_Data,Lookup_Column,FALSE)</f>
        <v>Enterprise Value = Present value of FCFFs+ Present value of Terminal value (Cell O27)</v>
      </c>
      <c r="N27" s="27"/>
    </row>
    <row r="28" spans="2:14" x14ac:dyDescent="0.2">
      <c r="B28" s="26" t="str">
        <f>VLOOKUP("Equity value = Enterprise Value- Net Debt ( Cell O28)",Language_Data,Lookup_Column,FALSE)</f>
        <v>Equity Value = Enterprise Value- Net Debt ( Cell O28)</v>
      </c>
      <c r="N28" s="27"/>
    </row>
    <row r="29" spans="2:14" x14ac:dyDescent="0.2">
      <c r="B29" s="14" t="str">
        <f>VLOOKUP("Implied Share Price= Equity Value/ Outstanding Diluted shares ( Cell O34)",Language_Data,Lookup_Column,FALSE)</f>
        <v>Implied Share Price= Equity Value/ Outstanding Diluted shares ( Cell O34)</v>
      </c>
      <c r="C29" s="15"/>
      <c r="D29" s="15"/>
      <c r="E29" s="15"/>
      <c r="F29" s="15"/>
      <c r="G29" s="15"/>
      <c r="H29" s="15"/>
      <c r="I29" s="15"/>
      <c r="J29" s="15"/>
      <c r="K29" s="15"/>
      <c r="L29" s="15"/>
      <c r="M29" s="15"/>
      <c r="N29" s="28"/>
    </row>
  </sheetData>
  <mergeCells count="2">
    <mergeCell ref="B5:N5"/>
    <mergeCell ref="B12:N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E76C6-81DE-4646-9FE9-FD79BB689B5D}">
  <sheetPr codeName="Sheet6"/>
  <dimension ref="B2:BA84"/>
  <sheetViews>
    <sheetView showGridLines="0" workbookViewId="0"/>
  </sheetViews>
  <sheetFormatPr defaultRowHeight="10" outlineLevelRow="1" outlineLevelCol="1" x14ac:dyDescent="0.2"/>
  <cols>
    <col min="1" max="1" width="3.33203125" customWidth="1"/>
    <col min="2" max="2" width="36.77734375" customWidth="1"/>
    <col min="3" max="3" width="34.77734375" customWidth="1"/>
    <col min="4" max="4" width="12.77734375" customWidth="1"/>
    <col min="5" max="10" width="14.109375" customWidth="1"/>
    <col min="13" max="13" width="25" customWidth="1"/>
    <col min="15" max="15" width="11.44140625" customWidth="1"/>
    <col min="17" max="17" width="13.109375" customWidth="1"/>
    <col min="19" max="19" width="11.44140625" customWidth="1"/>
    <col min="42" max="42" width="22.109375" hidden="1" customWidth="1" outlineLevel="1"/>
    <col min="43" max="43" width="8.77734375" hidden="1" customWidth="1" outlineLevel="1"/>
    <col min="44" max="44" width="8.77734375" collapsed="1"/>
    <col min="48" max="48" width="29.33203125" customWidth="1"/>
    <col min="52" max="52" width="13.77734375" customWidth="1"/>
  </cols>
  <sheetData>
    <row r="2" spans="2:53" ht="30" customHeight="1" x14ac:dyDescent="0.2">
      <c r="B2" s="422" t="s">
        <v>4834</v>
      </c>
      <c r="C2" s="421"/>
      <c r="D2" s="421"/>
      <c r="E2" s="421"/>
      <c r="F2" s="421"/>
      <c r="G2" s="421"/>
      <c r="H2" s="421"/>
      <c r="I2" s="421"/>
      <c r="J2" s="421"/>
      <c r="K2" s="421"/>
      <c r="L2" s="421"/>
      <c r="M2" s="421"/>
      <c r="N2" s="421"/>
      <c r="O2" s="421"/>
      <c r="P2" s="473"/>
      <c r="Q2" s="473"/>
      <c r="R2" s="473"/>
      <c r="S2" s="473"/>
      <c r="T2" s="473"/>
      <c r="U2" s="473"/>
      <c r="V2" s="473"/>
      <c r="W2" s="473"/>
      <c r="X2" s="473"/>
      <c r="Y2" s="473"/>
      <c r="Z2" s="473"/>
      <c r="AA2" s="473"/>
      <c r="AB2" s="473"/>
    </row>
    <row r="3" spans="2:53" ht="11.5" x14ac:dyDescent="0.25">
      <c r="B3" s="295" t="s">
        <v>16</v>
      </c>
    </row>
    <row r="4" spans="2:53" ht="10.5" x14ac:dyDescent="0.25">
      <c r="AP4" s="399" t="str">
        <f>F7</f>
        <v>Total Revenue % Growth</v>
      </c>
      <c r="AQ4" s="452">
        <f>VLOOKUP($AP$4,$AP$5:$AQ$7,2,FALSE)</f>
        <v>0.69063518066142116</v>
      </c>
    </row>
    <row r="5" spans="2:53" ht="10.5" x14ac:dyDescent="0.25">
      <c r="B5" s="350" t="str">
        <f>VLOOKUP("Step 1: Modify the highlighted inputs below, as desired.",Language_Data,Lookup_Column,FALSE)</f>
        <v>Step 1: Modify the highlighted inputs below, as desired.</v>
      </c>
      <c r="AP5" s="423" t="str">
        <f>VLOOKUP("Total Revenue % Growth",Language_Data,Lookup_Column,FALSE)</f>
        <v>Total Revenue % Growth</v>
      </c>
      <c r="AQ5" s="447">
        <f>F16</f>
        <v>0.69063518066142116</v>
      </c>
      <c r="AV5" s="8"/>
      <c r="AW5" s="8"/>
      <c r="AX5" s="8"/>
      <c r="AZ5" s="399"/>
      <c r="BA5" s="399"/>
    </row>
    <row r="6" spans="2:53" x14ac:dyDescent="0.2">
      <c r="AP6" s="423" t="str">
        <f>VLOOKUP("Operating Margin",Language_Data,Lookup_Column,FALSE)</f>
        <v>Operating Margin</v>
      </c>
      <c r="AQ6" s="447">
        <f>F19</f>
        <v>0.47</v>
      </c>
      <c r="AV6" s="404"/>
      <c r="AW6" s="404"/>
      <c r="AX6" s="404"/>
      <c r="AZ6" s="423"/>
      <c r="BA6" s="472"/>
    </row>
    <row r="7" spans="2:53" x14ac:dyDescent="0.2">
      <c r="B7" s="350" t="str">
        <f>VLOOKUP("Step 2:Select Indicator to be Adjusted by Imputation and REFRESH in the DCF tab.",Language_Data,Lookup_Column,FALSE)</f>
        <v>Step 2:Select Indicator to be Adjusted by Imputation and REFRESH in the DCF tab.</v>
      </c>
      <c r="E7" s="424" t="s">
        <v>4833</v>
      </c>
      <c r="F7" s="495" t="s">
        <v>4830</v>
      </c>
      <c r="G7" s="495"/>
      <c r="AP7" s="423" t="str">
        <f>VLOOKUP("Capex as % Sales",Language_Data,Lookup_Column,FALSE)</f>
        <v>Capex as % Sales</v>
      </c>
      <c r="AQ7" s="447">
        <f>F25</f>
        <v>0.35</v>
      </c>
      <c r="AV7" s="404"/>
      <c r="AW7" s="404"/>
      <c r="AX7" s="404"/>
      <c r="AZ7" s="423"/>
      <c r="BA7" s="423"/>
    </row>
    <row r="8" spans="2:53" x14ac:dyDescent="0.2">
      <c r="AV8" s="404"/>
      <c r="AW8" s="404"/>
      <c r="AX8" s="404"/>
      <c r="AZ8" s="423"/>
      <c r="BA8" s="423"/>
    </row>
    <row r="9" spans="2:53" x14ac:dyDescent="0.2">
      <c r="B9" s="350" t="str">
        <f>VLOOKUP("Step 3: Click on the IMPUTE button to get the Growth Rate/Margin.",Language_Data,Lookup_Column,FALSE)</f>
        <v>Step 3: Click on the IMPUTE button to get the Growth Rate/Margin.</v>
      </c>
      <c r="S9" s="208"/>
      <c r="AV9" s="404"/>
      <c r="AW9" s="404"/>
      <c r="AX9" s="404"/>
      <c r="AZ9" s="423"/>
      <c r="BA9" s="423"/>
    </row>
    <row r="10" spans="2:53" ht="10.5" x14ac:dyDescent="0.25">
      <c r="B10" s="425"/>
      <c r="C10" s="425"/>
      <c r="D10" s="425"/>
      <c r="E10" s="425"/>
      <c r="F10" s="425"/>
      <c r="G10" s="425"/>
      <c r="H10" s="425"/>
      <c r="I10" s="425"/>
      <c r="J10" s="425"/>
      <c r="K10" s="425"/>
      <c r="L10" s="425"/>
      <c r="M10" s="425"/>
      <c r="N10" s="426"/>
      <c r="O10" s="425"/>
      <c r="P10" s="399"/>
      <c r="Q10" s="399"/>
      <c r="R10" s="399"/>
      <c r="S10" s="399"/>
      <c r="T10" s="399"/>
      <c r="U10" s="399"/>
      <c r="V10" s="399"/>
      <c r="W10" s="399"/>
      <c r="X10" s="399"/>
      <c r="Y10" s="399"/>
      <c r="Z10" s="399"/>
      <c r="AA10" s="399"/>
      <c r="AB10" s="399"/>
      <c r="AV10" s="404"/>
      <c r="AW10" s="404"/>
      <c r="AX10" s="404"/>
      <c r="AZ10" s="423"/>
      <c r="BA10" s="423"/>
    </row>
    <row r="11" spans="2:53" x14ac:dyDescent="0.2">
      <c r="AV11" s="404"/>
      <c r="AW11" s="404"/>
      <c r="AX11" s="404"/>
    </row>
    <row r="12" spans="2:53" ht="10.5" x14ac:dyDescent="0.2">
      <c r="B12" s="469" t="str">
        <f>VLOOKUP("Free Cash Flow - Calculation",Language_Data,Lookup_Column,FALSE)</f>
        <v>Free Cash Flow - Calculation</v>
      </c>
      <c r="C12" s="427"/>
      <c r="D12" s="438" t="str" cm="1">
        <f t="array" ref="D12">_xll.SNL.Clients.Office.Excel.Functions.SPG(DCF!$L$13,"IQ_FISCAL_Y",Reverse_DCF!D$13,DCF!$L$15,_xll.SNL.Clients.Office.Excel.Functions.SPGOPTIONS("NA",_xleta.NA))</f>
        <v>2025</v>
      </c>
      <c r="E12" s="438" t="str" cm="1">
        <f t="array" ref="E12">_xll.SNL.Clients.Office.Excel.Functions.SPG(DCF!$L$13,"IQ_FISCAL_Y",Reverse_DCF!E$13,DCF!$L$15,_xll.SNL.Clients.Office.Excel.Functions.SPGOPTIONS("NA",_xleta.NA))</f>
        <v>2026</v>
      </c>
      <c r="F12" s="429">
        <f>IFERROR(E12+1,"NA")</f>
        <v>2027</v>
      </c>
      <c r="G12" s="429">
        <f t="shared" ref="G12:J12" si="0">IFERROR(F12+1,"NA")</f>
        <v>2028</v>
      </c>
      <c r="H12" s="429">
        <f t="shared" si="0"/>
        <v>2029</v>
      </c>
      <c r="I12" s="429">
        <f t="shared" si="0"/>
        <v>2030</v>
      </c>
      <c r="J12" s="429">
        <f t="shared" si="0"/>
        <v>2031</v>
      </c>
      <c r="M12" s="496" t="str">
        <f>PROPER(VLOOKUP("Assumptions",Language_Data,Lookup_Column,FALSE))</f>
        <v>Assumptions</v>
      </c>
      <c r="N12" s="496"/>
      <c r="O12" s="496"/>
      <c r="P12" s="450"/>
      <c r="Q12" s="450"/>
      <c r="R12" s="450"/>
      <c r="AV12" s="404"/>
      <c r="AW12" s="404"/>
      <c r="AX12" s="404"/>
    </row>
    <row r="13" spans="2:53" hidden="1" outlineLevel="1" x14ac:dyDescent="0.2">
      <c r="D13" s="215" t="s">
        <v>4242</v>
      </c>
      <c r="E13" s="215" t="s">
        <v>4241</v>
      </c>
      <c r="F13" s="2"/>
      <c r="G13" s="2"/>
      <c r="H13" s="2"/>
      <c r="I13" s="2"/>
      <c r="J13" s="2"/>
      <c r="AV13" s="404"/>
      <c r="AW13" s="404"/>
      <c r="AX13" s="404"/>
    </row>
    <row r="14" spans="2:53" ht="10.5" collapsed="1" x14ac:dyDescent="0.25">
      <c r="B14" s="423" t="str">
        <f>VLOOKUP("Total Revenue",Language_Data,Lookup_Column,FALSE)</f>
        <v>Total Revenue</v>
      </c>
      <c r="D14" s="436">
        <f>DCF!L105</f>
        <v>281724</v>
      </c>
      <c r="E14" s="436">
        <f>DCF!M105</f>
        <v>331839</v>
      </c>
      <c r="F14" s="440">
        <f>IFERROR(E14*(1+F16),"NA")</f>
        <v>561018.68771550537</v>
      </c>
      <c r="G14" s="440">
        <f>IFERROR(F14*(1+G16),"NA")</f>
        <v>948477.93046033685</v>
      </c>
      <c r="H14" s="440">
        <f>IFERROR(G14*(1+H16),"NA")</f>
        <v>1603530.1573171825</v>
      </c>
      <c r="I14" s="440">
        <f>IFERROR(H14*(1+I16),"NA")</f>
        <v>2710984.4972119723</v>
      </c>
      <c r="J14" s="440">
        <f>IFERROR(I14*(1+J16),"NA")</f>
        <v>4583285.7652142746</v>
      </c>
      <c r="M14" t="str">
        <f>$F$7</f>
        <v>Total Revenue % Growth</v>
      </c>
      <c r="O14" s="452">
        <f>VLOOKUP($AP$4,$AP$5:$AQ$7,2,FALSE)</f>
        <v>0.69063518066142116</v>
      </c>
      <c r="AV14" s="404"/>
      <c r="AW14" s="404"/>
      <c r="AX14" s="404"/>
    </row>
    <row r="15" spans="2:53" x14ac:dyDescent="0.2">
      <c r="B15" s="423"/>
      <c r="D15" s="215"/>
      <c r="E15" s="215"/>
      <c r="F15" s="2"/>
      <c r="G15" s="2"/>
      <c r="H15" s="2"/>
      <c r="I15" s="2"/>
      <c r="J15" s="2"/>
      <c r="M15" s="449" t="str">
        <f>VLOOKUP("WACC Rate",Language_Data,Lookup_Column,FALSE)</f>
        <v>WACC Rate</v>
      </c>
      <c r="N15" s="423"/>
      <c r="O15" s="468">
        <v>0.1</v>
      </c>
      <c r="AV15" s="404"/>
      <c r="AW15" s="404"/>
      <c r="AX15" s="404"/>
    </row>
    <row r="16" spans="2:53" x14ac:dyDescent="0.2">
      <c r="B16" s="423" t="str">
        <f>VLOOKUP("Total Revenue % Growth",Language_Data,Lookup_Column,FALSE)</f>
        <v>Total Revenue % Growth</v>
      </c>
      <c r="C16" s="2"/>
      <c r="D16" s="215"/>
      <c r="E16" s="430" cm="1">
        <f t="array" ref="E16">IFERROR(_xll.SNL.Clients.Office.Excel.Functions.SPG(DCF!$L$13, "IQ_TOTAL_REV_1YR_ANN_GROWTH",Reverse_DCF!$E$13,DCF!$L$15)/100,"NA")</f>
        <v>0.17789000000000002</v>
      </c>
      <c r="F16" s="431">
        <v>0.69063518066142116</v>
      </c>
      <c r="G16" s="108">
        <f>F16</f>
        <v>0.69063518066142116</v>
      </c>
      <c r="H16" s="108">
        <f t="shared" ref="H16:J16" si="1">G16</f>
        <v>0.69063518066142116</v>
      </c>
      <c r="I16" s="108">
        <f t="shared" si="1"/>
        <v>0.69063518066142116</v>
      </c>
      <c r="J16" s="108">
        <f t="shared" si="1"/>
        <v>0.69063518066142116</v>
      </c>
      <c r="M16" s="423" t="str">
        <f>VLOOKUP("FCF Terminal Growth Rate",Language_Data,Lookup_Column,FALSE)</f>
        <v>FCF Terminal Growth Rate</v>
      </c>
      <c r="N16" s="423"/>
      <c r="O16" s="468">
        <v>0.05</v>
      </c>
      <c r="AV16" s="404"/>
      <c r="AW16" s="404"/>
      <c r="AX16" s="404"/>
    </row>
    <row r="17" spans="2:50" x14ac:dyDescent="0.2">
      <c r="B17" s="423"/>
      <c r="D17" s="215"/>
      <c r="E17" s="215"/>
      <c r="F17" s="2"/>
      <c r="G17" s="2"/>
      <c r="H17" s="2"/>
      <c r="I17" s="2"/>
      <c r="J17" s="2"/>
      <c r="AV17" s="404"/>
      <c r="AW17" s="404"/>
      <c r="AX17" s="404"/>
    </row>
    <row r="18" spans="2:50" ht="10.5" x14ac:dyDescent="0.2">
      <c r="B18" s="7" t="str">
        <f>VLOOKUP("Operating Income",Language_Data,Lookup_Column,FALSE)</f>
        <v>Operating Income</v>
      </c>
      <c r="D18" s="215"/>
      <c r="E18" s="436">
        <f>DCF!M114</f>
        <v>155237</v>
      </c>
      <c r="F18" s="440">
        <f>IFERROR(F14*F19,"NA")</f>
        <v>263678.78322628752</v>
      </c>
      <c r="G18" s="440">
        <f>IFERROR(G14*G19,"NA")</f>
        <v>445784.62731635827</v>
      </c>
      <c r="H18" s="440">
        <f>IFERROR(H14*H19,"NA")</f>
        <v>753659.17393907579</v>
      </c>
      <c r="I18" s="440">
        <f>IFERROR(I14*I19,"NA")</f>
        <v>1274162.7136896269</v>
      </c>
      <c r="J18" s="440">
        <f>IFERROR(J14*J19,"NA")</f>
        <v>2154144.3096507089</v>
      </c>
      <c r="M18" s="496" t="str">
        <f>VLOOKUP("Implied Share price - Calculation",Language_Data,Lookup_Column,FALSE)</f>
        <v>Implied Share price - Calculation</v>
      </c>
      <c r="N18" s="496"/>
      <c r="O18" s="496"/>
      <c r="P18" s="450"/>
      <c r="Q18" s="450"/>
      <c r="AV18" s="404"/>
      <c r="AW18" s="404"/>
      <c r="AX18" s="404"/>
    </row>
    <row r="19" spans="2:50" x14ac:dyDescent="0.2">
      <c r="B19" s="423" t="str">
        <f>VLOOKUP("Operating Margin",Language_Data,Lookup_Column,FALSE)</f>
        <v>Operating Margin</v>
      </c>
      <c r="D19" s="215"/>
      <c r="E19" s="430">
        <f>DCF!M116</f>
        <v>0.46780818408927222</v>
      </c>
      <c r="F19" s="431">
        <v>0.47</v>
      </c>
      <c r="G19" s="108">
        <f>F19</f>
        <v>0.47</v>
      </c>
      <c r="H19" s="108">
        <f t="shared" ref="H19:J19" si="2">G19</f>
        <v>0.47</v>
      </c>
      <c r="I19" s="108">
        <f t="shared" si="2"/>
        <v>0.47</v>
      </c>
      <c r="J19" s="108">
        <f t="shared" si="2"/>
        <v>0.47</v>
      </c>
      <c r="AV19" s="404"/>
      <c r="AW19" s="404"/>
      <c r="AX19" s="404"/>
    </row>
    <row r="20" spans="2:50" x14ac:dyDescent="0.2">
      <c r="B20" s="423" t="str">
        <f>VLOOKUP("Less:Taxes",Language_Data,Lookup_Column,FALSE)</f>
        <v>Less:Taxes</v>
      </c>
      <c r="D20" s="2"/>
      <c r="E20" s="437" cm="1">
        <f t="array" ref="E20">IFERROR(-_xll.SNL.Clients.Office.Excel.Functions.SPG(DCF!$L$13,"IQ_INC_TAX",Reverse_DCF!$E$13,DCF!$L$15,_xll.SNL.Clients.Office.Excel.Functions.SPGOPTIONS("Curr",DCF!$BL$52,"Mag",DCF!$L$30,"NA",0)),"NA")</f>
        <v>-32185</v>
      </c>
      <c r="F20" s="440">
        <f>IFERROR(F21*-F18,"NA")</f>
        <v>-50098.96881299463</v>
      </c>
      <c r="G20" s="440">
        <f>IFERROR(G21*-G18,"NA")</f>
        <v>-84699.079190108067</v>
      </c>
      <c r="H20" s="440">
        <f>IFERROR(H21*-H18,"NA")</f>
        <v>-143195.2430484244</v>
      </c>
      <c r="I20" s="440">
        <f>IFERROR(I21*-I18,"NA")</f>
        <v>-242090.91560102912</v>
      </c>
      <c r="J20" s="440">
        <f>IFERROR(J21*-J18,"NA")</f>
        <v>-409287.4188336347</v>
      </c>
      <c r="M20" s="423" t="str">
        <f>VLOOKUP("WACC",Language_Data,Lookup_Column,FALSE)</f>
        <v>WACC</v>
      </c>
      <c r="O20" s="208">
        <f>O15</f>
        <v>0.1</v>
      </c>
      <c r="AV20" s="404"/>
      <c r="AW20" s="404"/>
      <c r="AX20" s="404"/>
    </row>
    <row r="21" spans="2:50" x14ac:dyDescent="0.2">
      <c r="B21" s="423" t="str">
        <f>VLOOKUP("Tax Rate",Language_Data,Lookup_Column,FALSE)</f>
        <v>Tax Rate</v>
      </c>
      <c r="D21" s="2"/>
      <c r="E21" s="464" cm="1">
        <f t="array" ref="E21">IFERROR(_xll.SNL.Clients.Office.Excel.Functions.SPG(DCF!$L$13,"IQ_EFFECT_TAX_RATE",Reverse_DCF!$E$13,DCF!$L$15,_xll.SNL.Clients.Office.Excel.Functions.SPGOPTIONS("NA",0))/100,"0")</f>
        <v>0.19396000000000002</v>
      </c>
      <c r="F21" s="431">
        <v>0.19</v>
      </c>
      <c r="G21" s="108">
        <f>F21</f>
        <v>0.19</v>
      </c>
      <c r="H21" s="108">
        <f t="shared" ref="H21:J21" si="3">G21</f>
        <v>0.19</v>
      </c>
      <c r="I21" s="108">
        <f t="shared" si="3"/>
        <v>0.19</v>
      </c>
      <c r="J21" s="108">
        <f t="shared" si="3"/>
        <v>0.19</v>
      </c>
      <c r="M21" s="423" t="str">
        <f>VLOOKUP("Discount Factor",Language_Data,Lookup_Column,FALSE)</f>
        <v>Discount Factor</v>
      </c>
      <c r="O21" s="454">
        <f ca="1">OFFSET(E29,0,MATCH(MAX(E29:J29)+1,E29:J29,1)-1)</f>
        <v>0.62092132305915493</v>
      </c>
      <c r="S21" s="463"/>
      <c r="AV21" s="404"/>
      <c r="AW21" s="404"/>
      <c r="AX21" s="404"/>
    </row>
    <row r="22" spans="2:50" ht="10.5" x14ac:dyDescent="0.25">
      <c r="B22" s="399" t="str">
        <f>VLOOKUP("NOPAT",Language_Data,Lookup_Column,FALSE)</f>
        <v>NOPAT</v>
      </c>
      <c r="C22" s="445"/>
      <c r="D22" s="2"/>
      <c r="E22" s="440">
        <f t="shared" ref="E22:J22" si="4">IFERROR(SUM(E18,E20),"NA")</f>
        <v>123052</v>
      </c>
      <c r="F22" s="440">
        <f t="shared" si="4"/>
        <v>213579.81441329289</v>
      </c>
      <c r="G22" s="440">
        <f t="shared" si="4"/>
        <v>361085.54812625021</v>
      </c>
      <c r="H22" s="440">
        <f t="shared" si="4"/>
        <v>610463.93089065142</v>
      </c>
      <c r="I22" s="440">
        <f t="shared" si="4"/>
        <v>1032071.7980885978</v>
      </c>
      <c r="J22" s="440">
        <f t="shared" si="4"/>
        <v>1744856.8908170741</v>
      </c>
      <c r="M22" s="423" t="str">
        <f>VLOOKUP("Present Value",Language_Data,Lookup_Column,FALSE)</f>
        <v>Present Value</v>
      </c>
      <c r="O22" s="6">
        <f>IFERROR(SUM(E30:J30),"NA")</f>
        <v>444338.78483425884</v>
      </c>
      <c r="AV22" s="404"/>
      <c r="AW22" s="404"/>
      <c r="AX22" s="404"/>
    </row>
    <row r="23" spans="2:50" x14ac:dyDescent="0.2">
      <c r="B23" s="423" t="str">
        <f>VLOOKUP("D&amp;A % Capex",Language_Data,Lookup_Column,FALSE)</f>
        <v>D&amp;A % Capex</v>
      </c>
      <c r="D23" s="2"/>
      <c r="E23" s="107">
        <f>IFERROR(-E24/E26,"0")</f>
        <v>0.39645358264049402</v>
      </c>
      <c r="F23" s="431">
        <f>E23</f>
        <v>0.39645358264049402</v>
      </c>
      <c r="G23" s="108">
        <f>F23</f>
        <v>0.39645358264049402</v>
      </c>
      <c r="H23" s="108">
        <f>G23</f>
        <v>0.39645358264049402</v>
      </c>
      <c r="I23" s="108">
        <f>H23</f>
        <v>0.39645358264049402</v>
      </c>
      <c r="J23" s="108">
        <f>I23</f>
        <v>0.39645358264049402</v>
      </c>
      <c r="M23" s="423" t="str">
        <f>VLOOKUP("FCFF Terminal Growth Rate",Language_Data,Lookup_Column,FALSE)</f>
        <v>FCFF Terminal Growth Rate</v>
      </c>
      <c r="O23" s="208">
        <f>O16</f>
        <v>0.05</v>
      </c>
      <c r="AV23" s="404"/>
      <c r="AW23" s="404"/>
      <c r="AX23" s="404"/>
    </row>
    <row r="24" spans="2:50" x14ac:dyDescent="0.2">
      <c r="B24" s="423" t="str">
        <f>VLOOKUP("Plus: Depreciation and Amortization",Language_Data,Lookup_Column,FALSE)</f>
        <v>Plus: Depreciation and Amortization</v>
      </c>
      <c r="D24" s="2"/>
      <c r="E24" s="436">
        <f>DCF!M119</f>
        <v>45968</v>
      </c>
      <c r="F24" s="440">
        <f>-IFERROR(F26*F23,"NA")</f>
        <v>77846.254035578211</v>
      </c>
      <c r="G24" s="440">
        <f>-IFERROR(G26*G23,"NA")</f>
        <v>131609.61575525464</v>
      </c>
      <c r="H24" s="440">
        <f>-IFERROR(H26*H23,"NA")</f>
        <v>222503.84650916516</v>
      </c>
      <c r="I24" s="440">
        <f>-IFERROR(I26*I23,"NA")</f>
        <v>376172.83074088366</v>
      </c>
      <c r="J24" s="440">
        <f>-IFERROR(J26*J23,"NA")</f>
        <v>635971.02165953198</v>
      </c>
      <c r="M24" s="423" t="str">
        <f>VLOOKUP("Final Year FCF*(1+g)",Language_Data,Lookup_Column,FALSE)</f>
        <v>Final Year FCF*(1+g)</v>
      </c>
      <c r="O24" s="6">
        <f>IFERROR(J30*(1+O16),"NA")</f>
        <v>172155.91113235685</v>
      </c>
      <c r="AV24" s="404"/>
      <c r="AW24" s="404"/>
      <c r="AX24" s="404"/>
    </row>
    <row r="25" spans="2:50" x14ac:dyDescent="0.2">
      <c r="B25" s="423" t="str">
        <f>VLOOKUP("Capex as % Sales",Language_Data,Lookup_Column,FALSE)</f>
        <v>Capex as % Sales</v>
      </c>
      <c r="D25" s="2"/>
      <c r="E25" s="430" cm="1">
        <f t="array" ref="E25">IFERROR(_xll.SNL.Clients.Office.Excel.Functions.SPG(DCF!$L$13,"IQ_CAPEX_PCT_REV",$E$13,DCF!$L$15,"SPGOPTIONS","NA",0)/100,"0")</f>
        <v>0.34941</v>
      </c>
      <c r="F25" s="431">
        <v>0.35</v>
      </c>
      <c r="G25" s="107">
        <f>F25</f>
        <v>0.35</v>
      </c>
      <c r="H25" s="107">
        <f t="shared" ref="H25:J25" si="5">G25</f>
        <v>0.35</v>
      </c>
      <c r="I25" s="107">
        <f t="shared" si="5"/>
        <v>0.35</v>
      </c>
      <c r="J25" s="107">
        <f t="shared" si="5"/>
        <v>0.35</v>
      </c>
      <c r="M25" s="423" t="str">
        <f>VLOOKUP("Terminal Value",Language_Data,Lookup_Column,FALSE)</f>
        <v>Terminal Value</v>
      </c>
      <c r="O25" s="6">
        <f>IFERROR(O24/(O15-O16),"NA")</f>
        <v>3443118.222647137</v>
      </c>
      <c r="AV25" s="404"/>
      <c r="AW25" s="404"/>
      <c r="AX25" s="404"/>
    </row>
    <row r="26" spans="2:50" ht="10.5" x14ac:dyDescent="0.25">
      <c r="B26" s="423" t="str">
        <f>VLOOKUP("Less:Capex",Language_Data,Lookup_Column,FALSE)</f>
        <v>Less:Capex</v>
      </c>
      <c r="D26" s="2"/>
      <c r="E26" s="474" cm="1">
        <f t="array" ref="E26">_xll.SNL.Clients.Office.Excel.Functions.SPG(DCF!$L$13,"IQ_CAPEX",Reverse_DCF!$E$13,DCF!$L$15,_xll.SNL.Clients.Office.Excel.Functions.SPGOPTIONS("Curr",DCF!$BL$52,"Mag",DCF!$L$30,"NA",0))</f>
        <v>-115948</v>
      </c>
      <c r="F26" s="440">
        <f>-IFERROR(F14*F25,"NA")</f>
        <v>-196356.54070042688</v>
      </c>
      <c r="G26" s="440">
        <f>-IFERROR(G14*G25,"NA")</f>
        <v>-331967.27566111786</v>
      </c>
      <c r="H26" s="440">
        <f>-IFERROR(H14*H25,"NA")</f>
        <v>-561235.55506101379</v>
      </c>
      <c r="I26" s="440">
        <f>-IFERROR(I14*I25,"NA")</f>
        <v>-948844.57402419019</v>
      </c>
      <c r="J26" s="440">
        <f>-IFERROR(J14*J25,"NA")</f>
        <v>-1604150.017824996</v>
      </c>
      <c r="M26" s="399" t="str">
        <f>VLOOKUP("PV of terminal Value",Language_Data,Lookup_Column,FALSE)</f>
        <v>PV of terminal Value</v>
      </c>
      <c r="O26" s="470">
        <f ca="1">IFERROR(O25/(1+O15)^O21,"NA")</f>
        <v>3245266.2559336242</v>
      </c>
      <c r="AV26" s="404"/>
      <c r="AW26" s="404"/>
      <c r="AX26" s="404"/>
    </row>
    <row r="27" spans="2:50" ht="10.5" x14ac:dyDescent="0.25">
      <c r="B27" s="423" t="str">
        <f>VLOOKUP("Less: Increase in Net Working Capital",Language_Data,Lookup_Column,FALSE)</f>
        <v>Less: Increase in Net Working Capital</v>
      </c>
      <c r="D27" s="2" t="s">
        <v>4848</v>
      </c>
      <c r="E27" s="440">
        <f t="shared" ref="E27:J27" si="6">E53</f>
        <v>-23323</v>
      </c>
      <c r="F27" s="440">
        <f>F53</f>
        <v>-62747.659338993399</v>
      </c>
      <c r="G27" s="440">
        <f t="shared" si="6"/>
        <v>-106083.4003826605</v>
      </c>
      <c r="H27" s="440">
        <f t="shared" si="6"/>
        <v>-179348.32877111694</v>
      </c>
      <c r="I27" s="440">
        <f t="shared" si="6"/>
        <v>-303212.59421328176</v>
      </c>
      <c r="J27" s="440">
        <f t="shared" si="6"/>
        <v>-512621.8789965891</v>
      </c>
      <c r="M27" s="399" t="str">
        <f>VLOOKUP("Enterprise value",Language_Data,Lookup_Column,FALSE)</f>
        <v>Enterprise value</v>
      </c>
      <c r="O27" s="470">
        <f ca="1">IFERROR(SUM(O22,O26),"NA")</f>
        <v>3689605.040767883</v>
      </c>
      <c r="P27" s="6"/>
      <c r="AV27" s="404"/>
      <c r="AW27" s="404"/>
      <c r="AX27" s="404"/>
    </row>
    <row r="28" spans="2:50" ht="10.5" x14ac:dyDescent="0.25">
      <c r="B28" s="399" t="str">
        <f>VLOOKUP("Free Cash Flow",Language_Data,Lookup_Column,FALSE)</f>
        <v>Free Cash Flow</v>
      </c>
      <c r="C28" t="s">
        <v>4835</v>
      </c>
      <c r="D28" s="2"/>
      <c r="E28" s="440">
        <f t="shared" ref="E28:J28" si="7">IFERROR(SUM(E22,E24,E26,E27),"NA")</f>
        <v>29749</v>
      </c>
      <c r="F28" s="440">
        <f t="shared" si="7"/>
        <v>32321.868409450806</v>
      </c>
      <c r="G28" s="440">
        <f t="shared" si="7"/>
        <v>54644.487837726483</v>
      </c>
      <c r="H28" s="453">
        <f t="shared" si="7"/>
        <v>92383.893567685824</v>
      </c>
      <c r="I28" s="440">
        <f t="shared" si="7"/>
        <v>156187.46059200959</v>
      </c>
      <c r="J28" s="440">
        <f t="shared" si="7"/>
        <v>264056.01565502107</v>
      </c>
      <c r="M28" s="399" t="str">
        <f>VLOOKUP("Equity value",Language_Data,Lookup_Column,FALSE)</f>
        <v>Equity value</v>
      </c>
      <c r="O28" s="470">
        <f ca="1">IFERROR(O27-(O33),"NA")</f>
        <v>3637635.040767883</v>
      </c>
      <c r="AV28" s="404"/>
      <c r="AW28" s="404"/>
      <c r="AX28" s="404"/>
    </row>
    <row r="29" spans="2:50" ht="10.5" x14ac:dyDescent="0.2">
      <c r="B29" s="423" t="str">
        <f>VLOOKUP("Discount Factor",Language_Data,Lookup_Column,FALSE)</f>
        <v>Discount Factor</v>
      </c>
      <c r="D29" s="2"/>
      <c r="E29" s="441">
        <v>1</v>
      </c>
      <c r="F29" s="107">
        <f>IFERROR(+E29/(1+$O$15),"NA")</f>
        <v>0.90909090909090906</v>
      </c>
      <c r="G29" s="107">
        <f>IFERROR(+F29/(1+$O$15),"NA")</f>
        <v>0.82644628099173545</v>
      </c>
      <c r="H29" s="107">
        <f>IFERROR(+G29/(1+$O$15),"NA")</f>
        <v>0.75131480090157765</v>
      </c>
      <c r="I29" s="107">
        <f>IFERROR(+H29/(1+$O$15),"NA")</f>
        <v>0.68301345536507052</v>
      </c>
      <c r="J29" s="107">
        <f>IFERROR(+I29/(1+$O$15),"NA")</f>
        <v>0.62092132305915493</v>
      </c>
      <c r="M29" s="451" t="str">
        <f>VLOOKUP("Total Revenue",Language_Data,Lookup_Column,FALSE)</f>
        <v>Total Revenue</v>
      </c>
      <c r="O29" s="2"/>
      <c r="AV29" s="404"/>
      <c r="AW29" s="404"/>
      <c r="AX29" s="404"/>
    </row>
    <row r="30" spans="2:50" ht="10.5" x14ac:dyDescent="0.25">
      <c r="B30" s="399" t="str">
        <f>VLOOKUP("Present Value of Free Cash Flow",Language_Data,Lookup_Column,FALSE)</f>
        <v>Present Value of Free Cash Flow</v>
      </c>
      <c r="E30" s="432">
        <f t="shared" ref="E30:J30" si="8">IFERROR(E28*E29,"NA")</f>
        <v>29749</v>
      </c>
      <c r="F30" s="432">
        <f t="shared" si="8"/>
        <v>29383.516735864367</v>
      </c>
      <c r="G30" s="439">
        <f t="shared" si="8"/>
        <v>45160.733750187173</v>
      </c>
      <c r="H30" s="439">
        <f t="shared" si="8"/>
        <v>69409.386602318409</v>
      </c>
      <c r="I30" s="439">
        <f t="shared" si="8"/>
        <v>106678.13714364426</v>
      </c>
      <c r="J30" s="439">
        <f t="shared" si="8"/>
        <v>163958.01060224461</v>
      </c>
      <c r="M30" s="399" t="str">
        <f>VLOOKUP("Stock Price",Language_Data,Lookup_Column,FALSE)</f>
        <v>Stock Price</v>
      </c>
      <c r="O30" s="2">
        <f>IFERROR(O32/O31,"NA")</f>
        <v>495.4</v>
      </c>
      <c r="AV30" s="404"/>
      <c r="AW30" s="404"/>
      <c r="AX30" s="404"/>
    </row>
    <row r="31" spans="2:50" x14ac:dyDescent="0.2">
      <c r="M31" s="423" t="str">
        <f>VLOOKUP("Shares Outstanding",Language_Data,Lookup_Column,FALSE)</f>
        <v>Shares Outstanding</v>
      </c>
      <c r="O31" s="436" cm="1">
        <f t="array" ref="O31">IFERROR(_xll.SNL.Clients.Office.Excel.Functions.SPG(DCF!$L$13,"SP_SHARES_OUT",WORKDAY(DCF!$L$15,-1),_xll.SNL.Clients.Office.Excel.Functions.SPGOPTIONS("NA",0))/DCF!$BN$135,"NA")</f>
        <v>7425.5454909999999</v>
      </c>
      <c r="AV31" s="404"/>
      <c r="AW31" s="404"/>
      <c r="AX31" s="404"/>
    </row>
    <row r="32" spans="2:50" ht="10.5" x14ac:dyDescent="0.2">
      <c r="B32" s="469" t="str">
        <f>VLOOKUP("Change in Net Working Capital - Calculation",Language_Data,Lookup_Column,FALSE)</f>
        <v>Change in Net Working Capital - Calculation</v>
      </c>
      <c r="C32" s="427"/>
      <c r="D32" s="427"/>
      <c r="E32" s="428"/>
      <c r="F32" s="428"/>
      <c r="G32" s="428"/>
      <c r="H32" s="428"/>
      <c r="I32" s="428"/>
      <c r="J32" s="428"/>
      <c r="M32" s="423" t="str">
        <f>VLOOKUP("Market Capitalization",Language_Data,Lookup_Column,FALSE)</f>
        <v>Market Capitalization</v>
      </c>
      <c r="O32" s="436" cm="1">
        <f t="array" ref="O32">_xll.SNL.Clients.Office.Excel.Functions.SPG(DCF!$L$13,"SP_MARKETCAP",WORKDAY(DCF!$L$15,-1),_xll.SNL.Clients.Office.Excel.Functions.SPGOPTIONS("Curr",DCF!$BL$52,"Mag",DCF!$L$30,"NA",0))</f>
        <v>3678615.2362413998</v>
      </c>
      <c r="AV32" s="404"/>
      <c r="AW32" s="404"/>
      <c r="AX32" s="404"/>
    </row>
    <row r="33" spans="2:50" x14ac:dyDescent="0.2">
      <c r="M33" s="423" t="str">
        <f>VLOOKUP("Net Debt",Language_Data,Lookup_Column,FALSE)</f>
        <v>Net Debt</v>
      </c>
      <c r="O33" s="436" cm="1">
        <f t="array" ref="O33">_xll.SNL.Clients.Office.Excel.Functions.SPG(DCF!$L$13,"IQ_NET_DEBT",$E$13,DCF!$L$15,_xll.SNL.Clients.Office.Excel.Functions.SPGOPTIONS("Curr",DCF!$BL$52,"Mag",DCF!$L$30,"NA",0))</f>
        <v>51970</v>
      </c>
      <c r="AV33" s="404"/>
      <c r="AW33" s="404"/>
      <c r="AX33" s="404"/>
    </row>
    <row r="34" spans="2:50" ht="10.5" x14ac:dyDescent="0.25">
      <c r="B34" s="423" t="str">
        <f>VLOOKUP("Accounts Recievable",Language_Data,Lookup_Column,FALSE)</f>
        <v>Accounts Recievable</v>
      </c>
      <c r="C34" s="423"/>
      <c r="D34" s="224">
        <f>DCF!L217</f>
        <v>78105</v>
      </c>
      <c r="E34" s="224">
        <f>DCF!M217</f>
        <v>108676</v>
      </c>
      <c r="F34" s="432">
        <f>IFERROR(F14*F35/365,"NA")</f>
        <v>183731.46889356061</v>
      </c>
      <c r="G34" s="432">
        <f>IFERROR(G14*G35/365,"NA")</f>
        <v>310622.88510605315</v>
      </c>
      <c r="H34" s="432">
        <f>IFERROR(H14*H35/365,"NA")</f>
        <v>525149.977478844</v>
      </c>
      <c r="I34" s="432">
        <f>IFERROR(I14*I35/365,"NA")</f>
        <v>887837.02704928687</v>
      </c>
      <c r="J34" s="432">
        <f>IFERROR(J14*J35/365,"NA")</f>
        <v>1501008.5126233702</v>
      </c>
      <c r="M34" s="399" t="str">
        <f>VLOOKUP("Implied Share price",Language_Data,Lookup_Column,FALSE)</f>
        <v>Implied Share price</v>
      </c>
      <c r="O34" s="455">
        <f ca="1">IFERROR(O27/O31,"NA")</f>
        <v>496.87999962289678</v>
      </c>
      <c r="AV34" s="404"/>
      <c r="AW34" s="404"/>
      <c r="AX34" s="404"/>
    </row>
    <row r="35" spans="2:50" x14ac:dyDescent="0.2">
      <c r="B35" s="442" t="str">
        <f>VLOOKUP("Receivable Days ",Language_Data,Lookup_Column,FALSE)</f>
        <v xml:space="preserve">Receivable Days </v>
      </c>
      <c r="C35" s="423"/>
      <c r="D35" s="432">
        <f>IFERROR(D34/D14*365,"NA")</f>
        <v>101.19239042467095</v>
      </c>
      <c r="E35" s="432">
        <f>IFERROR(E34/E14*365,"NA")</f>
        <v>119.53610033781442</v>
      </c>
      <c r="F35" s="443">
        <f>E35</f>
        <v>119.53610033781442</v>
      </c>
      <c r="G35" s="432">
        <f>F35</f>
        <v>119.53610033781442</v>
      </c>
      <c r="H35" s="432">
        <f>G35</f>
        <v>119.53610033781442</v>
      </c>
      <c r="I35" s="432">
        <f>H35</f>
        <v>119.53610033781442</v>
      </c>
      <c r="J35" s="432">
        <f>I35</f>
        <v>119.53610033781442</v>
      </c>
      <c r="AV35" s="404"/>
      <c r="AW35" s="404"/>
      <c r="AX35" s="404"/>
    </row>
    <row r="36" spans="2:50" x14ac:dyDescent="0.2">
      <c r="B36" s="423" t="str">
        <f>VLOOKUP("COGS",Language_Data,Lookup_Column,FALSE)</f>
        <v>COGS</v>
      </c>
      <c r="C36" s="423"/>
      <c r="D36" s="436">
        <f>DCF!L215</f>
        <v>87831</v>
      </c>
      <c r="E36" s="436">
        <f>DCF!M215</f>
        <v>106374</v>
      </c>
      <c r="F36" s="432">
        <f>+IFERROR(F14*F37,"NA")</f>
        <v>179839.62670767802</v>
      </c>
      <c r="G36" s="432">
        <f>+IFERROR(G14*G37,"NA")</f>
        <v>304043.19978901779</v>
      </c>
      <c r="H36" s="432">
        <f>+IFERROR(H14*H37,"NA")</f>
        <v>514026.13000418269</v>
      </c>
      <c r="I36" s="432">
        <f>+IFERROR(I14*I37,"NA")</f>
        <v>869030.65916431264</v>
      </c>
      <c r="J36" s="432">
        <f>+IFERROR(J14*J37,"NA")</f>
        <v>1469213.8054565715</v>
      </c>
      <c r="AV36" s="404"/>
      <c r="AW36" s="404"/>
      <c r="AX36" s="404"/>
    </row>
    <row r="37" spans="2:50" x14ac:dyDescent="0.2">
      <c r="B37" s="442" t="str">
        <f>VLOOKUP("Margin",Language_Data,Lookup_Column,FALSE)</f>
        <v>Margin</v>
      </c>
      <c r="C37" s="423"/>
      <c r="D37" s="444">
        <f>IFERROR(D36/D14,"NA")</f>
        <v>0.31176257613834818</v>
      </c>
      <c r="E37" s="444">
        <f>IFERROR(E36/E14,"NA")</f>
        <v>0.32055906629419689</v>
      </c>
      <c r="F37" s="446">
        <f>E37</f>
        <v>0.32055906629419689</v>
      </c>
      <c r="G37" s="445">
        <f>F37</f>
        <v>0.32055906629419689</v>
      </c>
      <c r="H37" s="445">
        <f>G37</f>
        <v>0.32055906629419689</v>
      </c>
      <c r="I37" s="445">
        <f>H37</f>
        <v>0.32055906629419689</v>
      </c>
      <c r="J37" s="445">
        <f>I37</f>
        <v>0.32055906629419689</v>
      </c>
      <c r="AV37" s="404"/>
      <c r="AW37" s="404"/>
      <c r="AX37" s="404"/>
    </row>
    <row r="38" spans="2:50" x14ac:dyDescent="0.2">
      <c r="B38" s="423" t="str">
        <f>VLOOKUP("Inventory",Language_Data,Lookup_Column,FALSE)</f>
        <v>Inventory</v>
      </c>
      <c r="C38" s="423"/>
      <c r="D38" s="436">
        <f>DCF!L219</f>
        <v>938</v>
      </c>
      <c r="E38" s="436">
        <f>DCF!M219</f>
        <v>1397</v>
      </c>
      <c r="F38" s="432">
        <f>IFERROR(F36*F39/365,"NA")</f>
        <v>2361.8173473840052</v>
      </c>
      <c r="G38" s="432">
        <f>IFERROR(G36*G39/365,"NA")</f>
        <v>3992.9714977838366</v>
      </c>
      <c r="H38" s="432">
        <f>IFERROR(H36*H39/365,"NA")</f>
        <v>6750.6580895316829</v>
      </c>
      <c r="I38" s="432">
        <f>IFERROR(I36*I39/365,"NA")</f>
        <v>11412.900058778881</v>
      </c>
      <c r="J38" s="432">
        <f>IFERROR(J36*J39/365,"NA")</f>
        <v>19295.050352744376</v>
      </c>
      <c r="AV38" s="404"/>
      <c r="AW38" s="404"/>
      <c r="AX38" s="404"/>
    </row>
    <row r="39" spans="2:50" x14ac:dyDescent="0.2">
      <c r="B39" s="442" t="str">
        <f>VLOOKUP("Inventory Days",Language_Data,Lookup_Column,FALSE)</f>
        <v>Inventory Days</v>
      </c>
      <c r="C39" s="423"/>
      <c r="D39" s="432">
        <f>DCF!L220</f>
        <v>3.8980542177591055</v>
      </c>
      <c r="E39" s="432">
        <f>DCF!M220</f>
        <v>4.7935115723767083</v>
      </c>
      <c r="F39" s="443">
        <f>E39</f>
        <v>4.7935115723767083</v>
      </c>
      <c r="G39" s="432">
        <f>F39</f>
        <v>4.7935115723767083</v>
      </c>
      <c r="H39" s="432">
        <f>G39</f>
        <v>4.7935115723767083</v>
      </c>
      <c r="I39" s="432">
        <f>H39</f>
        <v>4.7935115723767083</v>
      </c>
      <c r="J39" s="432">
        <f>I39</f>
        <v>4.7935115723767083</v>
      </c>
      <c r="AV39" s="404"/>
      <c r="AW39" s="404"/>
      <c r="AX39" s="404"/>
    </row>
    <row r="40" spans="2:50" x14ac:dyDescent="0.2">
      <c r="B40" s="423" t="str">
        <f>VLOOKUP("Other Assets",Language_Data,Lookup_Column,FALSE)</f>
        <v>Other Assets</v>
      </c>
      <c r="C40" s="423"/>
      <c r="D40">
        <f>+IFERROR(D42-D34-D38,"NA")</f>
        <v>17523</v>
      </c>
      <c r="E40">
        <f>+IFERROR(E42-E34-E38,"NA")</f>
        <v>20794</v>
      </c>
      <c r="F40" s="432">
        <f>IFERROR(F14*F41,"NA")</f>
        <v>35155.067946673589</v>
      </c>
      <c r="G40" s="432">
        <f>IFERROR(G14*G41,"NA")</f>
        <v>59434.394649189046</v>
      </c>
      <c r="H40" s="432">
        <f>IFERROR(H14*H41,"NA")</f>
        <v>100481.87853523393</v>
      </c>
      <c r="I40" s="432">
        <f>IFERROR(I14*I41,"NA")</f>
        <v>169878.1988706142</v>
      </c>
      <c r="J40" s="432">
        <f>IFERROR(J14*J41,"NA")</f>
        <v>287202.05943805771</v>
      </c>
      <c r="AV40" s="404"/>
      <c r="AW40" s="404"/>
      <c r="AX40" s="404"/>
    </row>
    <row r="41" spans="2:50" x14ac:dyDescent="0.2">
      <c r="B41" s="423" t="str">
        <f>VLOOKUP("Margin",Language_Data,Lookup_Column,FALSE)</f>
        <v>Margin</v>
      </c>
      <c r="C41" s="423"/>
      <c r="D41" s="444">
        <f>IFERROR(D40/D14,"NA")</f>
        <v>6.2199173659326146E-2</v>
      </c>
      <c r="E41" s="444">
        <f>IFERROR(E40/E14,"NA")</f>
        <v>6.2662917860769829E-2</v>
      </c>
      <c r="F41" s="446">
        <f>E41</f>
        <v>6.2662917860769829E-2</v>
      </c>
      <c r="G41" s="445">
        <f>F41</f>
        <v>6.2662917860769829E-2</v>
      </c>
      <c r="H41" s="445">
        <f>G41</f>
        <v>6.2662917860769829E-2</v>
      </c>
      <c r="I41" s="445">
        <f>H41</f>
        <v>6.2662917860769829E-2</v>
      </c>
      <c r="J41" s="445">
        <f>I41</f>
        <v>6.2662917860769829E-2</v>
      </c>
      <c r="AV41" s="404"/>
      <c r="AW41" s="404"/>
      <c r="AX41" s="404"/>
    </row>
    <row r="42" spans="2:50" ht="10.5" x14ac:dyDescent="0.25">
      <c r="B42" s="399" t="str">
        <f>VLOOKUP("Total Non-Cash Current Assets",Language_Data,Lookup_Column,FALSE)</f>
        <v>Total Non-Cash Current Assets</v>
      </c>
      <c r="C42" s="423"/>
      <c r="D42" s="436" cm="1">
        <f t="array" ref="D42">IFERROR(_xll.SNL.Clients.Office.Excel.Functions.SPG(DCF!$L$13,"IQ_TOTAL_CA",D$13,DCF!$L$15,_xll.SNL.Clients.Office.Excel.Functions.SPGOPTIONS("Curr",DCF!$BL$52,"Mag",DCF!$L$30,"NA",0))-_xll.SNL.Clients.Office.Excel.Functions.SPG(DCF!$L$13,"IQ_CASH_ST_INVEST",Reverse_DCF!D$13,DCF!$L$15,_xll.SNL.Clients.Office.Excel.Functions.SPGOPTIONS("Curr",DCF!$BL$52,"Mag",DCF!$L$30,"NA",0)),"0")</f>
        <v>96566</v>
      </c>
      <c r="E42" s="436" cm="1">
        <f t="array" ref="E42">IFERROR(_xll.SNL.Clients.Office.Excel.Functions.SPG(DCF!$L$13,"IQ_TOTAL_CA",E$13,DCF!$L$15,_xll.SNL.Clients.Office.Excel.Functions.SPGOPTIONS("Curr",DCF!$BL$52,"Mag",DCF!$L$30,"NA",0))-_xll.SNL.Clients.Office.Excel.Functions.SPG(DCF!$L$13,"IQ_CASH_ST_INVEST",Reverse_DCF!E$13,DCF!$L$15,_xll.SNL.Clients.Office.Excel.Functions.SPGOPTIONS("Curr",DCF!$BL$52,"Mag",DCF!$L$30,"NA",0)),"0")</f>
        <v>130867</v>
      </c>
      <c r="F42" s="432">
        <f>IF(COUNT(F34,F38,F40)=0,"NA",SUM(F34,F38,F40))</f>
        <v>221248.35418761818</v>
      </c>
      <c r="G42" s="432">
        <f>IF(COUNT(G34,G38,G40)=0,"NA",SUM(G34,G38,G40))</f>
        <v>374050.25125302601</v>
      </c>
      <c r="H42" s="432">
        <f>IF(COUNT(H34,H38,H40)=0,"NA",SUM(H34,H38,H40))</f>
        <v>632382.5141036096</v>
      </c>
      <c r="I42" s="432">
        <f>IF(COUNT(I34,I38,I40)=0,"NA",SUM(I34,I38,I40))</f>
        <v>1069128.1259786801</v>
      </c>
      <c r="J42" s="432">
        <f>IF(COUNT(J34,J38,J40)=0,"NA",SUM(J34,J38,J40))</f>
        <v>1807505.6224141722</v>
      </c>
      <c r="AV42" s="404"/>
      <c r="AW42" s="404"/>
      <c r="AX42" s="404"/>
    </row>
    <row r="43" spans="2:50" ht="10.5" x14ac:dyDescent="0.25">
      <c r="B43" s="399"/>
      <c r="C43" s="423"/>
      <c r="AV43" s="404"/>
      <c r="AW43" s="404"/>
      <c r="AX43" s="404"/>
    </row>
    <row r="44" spans="2:50" x14ac:dyDescent="0.2">
      <c r="B44" s="423" t="str">
        <f>VLOOKUP("Accounts Payable",Language_Data,Lookup_Column,FALSE)</f>
        <v>Accounts Payable</v>
      </c>
      <c r="C44" s="423"/>
      <c r="D44" s="224">
        <f>DCF!L227</f>
        <v>27724</v>
      </c>
      <c r="E44" s="224">
        <f>DCF!M227</f>
        <v>42416</v>
      </c>
      <c r="F44" s="432">
        <f>IFERROR(F36*F45/365,"NA")</f>
        <v>71709.981822934846</v>
      </c>
      <c r="G44" s="432">
        <f>IFERROR(G36*G45/365,"NA")</f>
        <v>121235.41807444466</v>
      </c>
      <c r="H44" s="432">
        <f>IFERROR(H36*H45/365,"NA")</f>
        <v>204964.86293885173</v>
      </c>
      <c r="I44" s="432">
        <f>IFERROR(I36*I45/365,"NA")</f>
        <v>346520.80808386905</v>
      </c>
      <c r="J44" s="432">
        <f>IFERROR(J36*J45/365,"NA")</f>
        <v>585840.26897781354</v>
      </c>
      <c r="AV44" s="404"/>
      <c r="AW44" s="404"/>
      <c r="AX44" s="404"/>
    </row>
    <row r="45" spans="2:50" x14ac:dyDescent="0.2">
      <c r="B45" s="442" t="str">
        <f>VLOOKUP("Payable Days",Language_Data,Lookup_Column,FALSE)</f>
        <v>Payable Days</v>
      </c>
      <c r="C45" s="423"/>
      <c r="D45" s="432">
        <f>DCF!L228</f>
        <v>115.21285195432137</v>
      </c>
      <c r="E45" s="432">
        <f>DCF!M228</f>
        <v>145.54157970932746</v>
      </c>
      <c r="F45" s="443">
        <f>E45</f>
        <v>145.54157970932746</v>
      </c>
      <c r="G45" s="432">
        <f>F45</f>
        <v>145.54157970932746</v>
      </c>
      <c r="H45" s="432">
        <f>G45</f>
        <v>145.54157970932746</v>
      </c>
      <c r="I45" s="432">
        <f>H45</f>
        <v>145.54157970932746</v>
      </c>
      <c r="J45" s="432">
        <f>I45</f>
        <v>145.54157970932746</v>
      </c>
      <c r="AV45" s="404"/>
      <c r="AW45" s="404"/>
      <c r="AX45" s="404"/>
    </row>
    <row r="46" spans="2:50" x14ac:dyDescent="0.2">
      <c r="B46" s="423" t="str">
        <f>VLOOKUP("Accrued Liablities",Language_Data,Lookup_Column,FALSE)</f>
        <v>Accrued Liablities</v>
      </c>
      <c r="C46" s="423"/>
      <c r="D46" s="224">
        <f>DCF!L229</f>
        <v>13709</v>
      </c>
      <c r="E46" s="224">
        <f>DCF!M229</f>
        <v>14945</v>
      </c>
      <c r="F46" s="432">
        <f>IFERROR(F14*F47,"NA")</f>
        <v>25266.54277498494</v>
      </c>
      <c r="G46" s="432">
        <f>IFERROR(G14*G47,"NA")</f>
        <v>42716.506109076188</v>
      </c>
      <c r="H46" s="432">
        <f>IFERROR(H14*H47,"NA")</f>
        <v>72218.02802294273</v>
      </c>
      <c r="I46" s="432">
        <f>IFERROR(I14*I47,"NA")</f>
        <v>122094.33885357936</v>
      </c>
      <c r="J46" s="432">
        <f>IFERROR(J14*J47,"NA")</f>
        <v>206416.98462545793</v>
      </c>
      <c r="AV46" s="404"/>
      <c r="AW46" s="404"/>
      <c r="AX46" s="404"/>
    </row>
    <row r="47" spans="2:50" x14ac:dyDescent="0.2">
      <c r="B47" s="423" t="str">
        <f>VLOOKUP("Margin",Language_Data,Lookup_Column,FALSE)</f>
        <v>Margin</v>
      </c>
      <c r="C47" s="423"/>
      <c r="D47" s="444">
        <f>DCF!L230</f>
        <v>4.8661100935667535E-2</v>
      </c>
      <c r="E47" s="444">
        <f>DCF!M230</f>
        <v>4.5036900424603496E-2</v>
      </c>
      <c r="F47" s="446">
        <f>E47</f>
        <v>4.5036900424603496E-2</v>
      </c>
      <c r="G47" s="445">
        <f>F47</f>
        <v>4.5036900424603496E-2</v>
      </c>
      <c r="H47" s="445">
        <f>G47</f>
        <v>4.5036900424603496E-2</v>
      </c>
      <c r="I47" s="445">
        <f>H47</f>
        <v>4.5036900424603496E-2</v>
      </c>
      <c r="J47" s="445">
        <f>I47</f>
        <v>4.5036900424603496E-2</v>
      </c>
      <c r="AV47" s="404"/>
      <c r="AW47" s="404"/>
      <c r="AX47" s="404"/>
    </row>
    <row r="48" spans="2:50" x14ac:dyDescent="0.2">
      <c r="B48" s="423" t="str">
        <f>VLOOKUP("Other Liablities",Language_Data,Lookup_Column,FALSE)</f>
        <v>Other Liablities</v>
      </c>
      <c r="C48" s="423"/>
      <c r="D48" s="440">
        <f>IFERROR(D50-D44-D46,"NA")</f>
        <v>-12399</v>
      </c>
      <c r="E48" s="440">
        <f>IFERROR(E50-E44-E46,"NA")</f>
        <v>-17349</v>
      </c>
      <c r="F48" s="440">
        <f>IFERROR(F14*F49,"NA")</f>
        <v>-29330.829749294997</v>
      </c>
      <c r="G48" s="440">
        <f>IFERROR(G14*G49,"NA")</f>
        <v>-49587.732652148734</v>
      </c>
      <c r="H48" s="440">
        <f>IFERROR(H14*H49,"NA")</f>
        <v>-83834.765350955728</v>
      </c>
      <c r="I48" s="440">
        <f>IFERROR(I14*I49,"NA")</f>
        <v>-141734.00366482089</v>
      </c>
      <c r="J48" s="440">
        <f>IFERROR(J14*J49,"NA")</f>
        <v>-239620.49289174101</v>
      </c>
      <c r="AV48" s="404"/>
      <c r="AW48" s="404"/>
      <c r="AX48" s="404"/>
    </row>
    <row r="49" spans="2:50" x14ac:dyDescent="0.2">
      <c r="B49" s="423" t="str">
        <f>VLOOKUP("Margin",Language_Data,Lookup_Column,FALSE)</f>
        <v>Margin</v>
      </c>
      <c r="C49" s="423"/>
      <c r="D49" s="456">
        <f>IFERROR(D48/D14,"NA")</f>
        <v>-4.4011159858584996E-2</v>
      </c>
      <c r="E49" s="456">
        <f>IFERROR(E48/E14,"NA")</f>
        <v>-5.2281377414951223E-2</v>
      </c>
      <c r="F49" s="457">
        <f>E49</f>
        <v>-5.2281377414951223E-2</v>
      </c>
      <c r="G49" s="458">
        <f>F49</f>
        <v>-5.2281377414951223E-2</v>
      </c>
      <c r="H49" s="458">
        <f>G49</f>
        <v>-5.2281377414951223E-2</v>
      </c>
      <c r="I49" s="458">
        <f>H49</f>
        <v>-5.2281377414951223E-2</v>
      </c>
      <c r="J49" s="458">
        <f>I49</f>
        <v>-5.2281377414951223E-2</v>
      </c>
      <c r="AV49" s="404"/>
      <c r="AW49" s="404"/>
      <c r="AX49" s="404"/>
    </row>
    <row r="50" spans="2:50" ht="10.5" x14ac:dyDescent="0.25">
      <c r="B50" s="399" t="str">
        <f>VLOOKUP("Total Non-Debt Current Liablities",Language_Data,Lookup_Column,FALSE)</f>
        <v>Total Non-Debt Current Liablities</v>
      </c>
      <c r="C50" s="423"/>
      <c r="D50" s="440" cm="1">
        <f t="array" ref="D50">IFERROR(_xll.SNL.Clients.Office.Excel.Functions.SPG(DCF!$L$13,"IQ_TOTAL_CL",Reverse_DCF!D$13,DCF!$L$15,_xll.SNL.Clients.Office.Excel.Functions.SPGOPTIONS("Curr",DCF!$BL$52,"Mag",DCF!$L$30,"NA",0))-_xll.SNL.Clients.Office.Excel.Functions.SPG(DCF!$L$13,"IQ_TOTAL_DEBT",Reverse_DCF!D$13,DCF!$L$15,_xll.SNL.Clients.Office.Excel.Functions.SPGOPTIONS(_xll.SNL.Clients.Office.Excel.Functions.SPGOPTIONS("Curr",DCF!$BL$52,"Mag",DCF!$L$30,"NA",0))),"NA")</f>
        <v>29034</v>
      </c>
      <c r="E50" s="440" cm="1">
        <f t="array" ref="E50">IFERROR(_xll.SNL.Clients.Office.Excel.Functions.SPG(DCF!$L$13,"IQ_TOTAL_CL",Reverse_DCF!E$13,DCF!$L$15,_xll.SNL.Clients.Office.Excel.Functions.SPGOPTIONS("Curr",DCF!$BL$52,"Mag",DCF!$L$30,"NA",0))-_xll.SNL.Clients.Office.Excel.Functions.SPG(DCF!$L$13,"IQ_TOTAL_DEBT",Reverse_DCF!E$13,DCF!$L$15,_xll.SNL.Clients.Office.Excel.Functions.SPGOPTIONS(_xll.SNL.Clients.Office.Excel.Functions.SPGOPTIONS("Curr",DCF!$BL$52,"Mag",DCF!$L$30,"NA",0))),"NA")</f>
        <v>40012</v>
      </c>
      <c r="F50" s="440">
        <f>IF(COUNT(F44,F46,F48)=0,"NA",SUM(F44,F46,F48))</f>
        <v>67645.694848624786</v>
      </c>
      <c r="G50" s="440">
        <f>IF(COUNT(G44,G46,G48)=0,"NA",SUM(G44,G46,G48))</f>
        <v>114364.19153137211</v>
      </c>
      <c r="H50" s="440">
        <f>IF(COUNT(H44,H46,H48)=0,"NA",SUM(H44,H46,H48))</f>
        <v>193348.12561083876</v>
      </c>
      <c r="I50" s="440">
        <f>IF(COUNT(I44,I46,I48)=0,"NA",SUM(I44,I46,I48))</f>
        <v>326881.14327262749</v>
      </c>
      <c r="J50" s="440">
        <f>IF(COUNT(J44,J46,J48)=0,"NA",SUM(J44,J46,J48))</f>
        <v>552636.76071153046</v>
      </c>
      <c r="AV50" s="404"/>
      <c r="AW50" s="404"/>
      <c r="AX50" s="404"/>
    </row>
    <row r="51" spans="2:50" x14ac:dyDescent="0.2">
      <c r="B51" s="423"/>
      <c r="C51" s="423"/>
      <c r="AV51" s="404"/>
      <c r="AW51" s="404"/>
      <c r="AX51" s="404"/>
    </row>
    <row r="52" spans="2:50" ht="10.5" x14ac:dyDescent="0.25">
      <c r="B52" s="399" t="str">
        <f>VLOOKUP("Net Working Capital",Language_Data,Lookup_Column,FALSE)</f>
        <v>Net Working Capital</v>
      </c>
      <c r="C52" s="423"/>
      <c r="D52" s="448">
        <f t="shared" ref="D52:J52" si="9">IFERROR(SUM(D42)-SUM(D50),"NA")</f>
        <v>67532</v>
      </c>
      <c r="E52" s="448">
        <f t="shared" si="9"/>
        <v>90855</v>
      </c>
      <c r="F52" s="448">
        <f t="shared" si="9"/>
        <v>153602.6593389934</v>
      </c>
      <c r="G52" s="448">
        <f t="shared" si="9"/>
        <v>259686.0597216539</v>
      </c>
      <c r="H52" s="448">
        <f t="shared" si="9"/>
        <v>439034.38849277084</v>
      </c>
      <c r="I52" s="448">
        <f t="shared" si="9"/>
        <v>742246.9827060526</v>
      </c>
      <c r="J52" s="448">
        <f t="shared" si="9"/>
        <v>1254868.8617026417</v>
      </c>
      <c r="AV52" s="404"/>
      <c r="AW52" s="404"/>
      <c r="AX52" s="404"/>
    </row>
    <row r="53" spans="2:50" ht="10.5" x14ac:dyDescent="0.25">
      <c r="B53" s="399" t="str">
        <f>VLOOKUP("(Increase) / Decrease in Working Capital",Language_Data,Lookup_Column,FALSE)</f>
        <v>(Increase) / Decrease in Working Capital</v>
      </c>
      <c r="C53" s="423"/>
      <c r="D53" s="399"/>
      <c r="E53" s="459">
        <f t="shared" ref="E53:J53" si="10">IFERROR(D52-E52,"NA")</f>
        <v>-23323</v>
      </c>
      <c r="F53" s="459">
        <f t="shared" si="10"/>
        <v>-62747.659338993399</v>
      </c>
      <c r="G53" s="459">
        <f t="shared" si="10"/>
        <v>-106083.4003826605</v>
      </c>
      <c r="H53" s="459">
        <f t="shared" si="10"/>
        <v>-179348.32877111694</v>
      </c>
      <c r="I53" s="459">
        <f t="shared" si="10"/>
        <v>-303212.59421328176</v>
      </c>
      <c r="J53" s="459">
        <f t="shared" si="10"/>
        <v>-512621.8789965891</v>
      </c>
      <c r="AV53" s="404"/>
      <c r="AW53" s="404"/>
      <c r="AX53" s="404"/>
    </row>
    <row r="54" spans="2:50" x14ac:dyDescent="0.2">
      <c r="AV54" s="404"/>
      <c r="AW54" s="404"/>
      <c r="AX54" s="404"/>
    </row>
    <row r="55" spans="2:50" x14ac:dyDescent="0.2">
      <c r="AV55" s="404"/>
      <c r="AW55" s="404"/>
      <c r="AX55" s="404"/>
    </row>
    <row r="56" spans="2:50" x14ac:dyDescent="0.2">
      <c r="AV56" s="404"/>
      <c r="AW56" s="404"/>
      <c r="AX56" s="404"/>
    </row>
    <row r="57" spans="2:50" x14ac:dyDescent="0.2">
      <c r="AV57" s="404"/>
      <c r="AW57" s="404"/>
      <c r="AX57" s="404"/>
    </row>
    <row r="58" spans="2:50" x14ac:dyDescent="0.2">
      <c r="AV58" s="404"/>
      <c r="AW58" s="404"/>
      <c r="AX58" s="404"/>
    </row>
    <row r="59" spans="2:50" x14ac:dyDescent="0.2">
      <c r="AV59" s="404"/>
      <c r="AW59" s="404"/>
      <c r="AX59" s="404"/>
    </row>
    <row r="60" spans="2:50" x14ac:dyDescent="0.2">
      <c r="AV60" s="404"/>
      <c r="AW60" s="404"/>
      <c r="AX60" s="404"/>
    </row>
    <row r="61" spans="2:50" x14ac:dyDescent="0.2">
      <c r="AV61" s="404"/>
      <c r="AW61" s="404"/>
      <c r="AX61" s="404"/>
    </row>
    <row r="62" spans="2:50" x14ac:dyDescent="0.2">
      <c r="AV62" s="404"/>
      <c r="AW62" s="404"/>
      <c r="AX62" s="404"/>
    </row>
    <row r="63" spans="2:50" x14ac:dyDescent="0.2">
      <c r="AV63" s="404"/>
      <c r="AW63" s="404"/>
      <c r="AX63" s="404"/>
    </row>
    <row r="64" spans="2:50" x14ac:dyDescent="0.2">
      <c r="AV64" s="404"/>
      <c r="AW64" s="404"/>
      <c r="AX64" s="404"/>
    </row>
    <row r="65" spans="48:50" x14ac:dyDescent="0.2">
      <c r="AV65" s="404"/>
      <c r="AW65" s="404"/>
      <c r="AX65" s="404"/>
    </row>
    <row r="66" spans="48:50" x14ac:dyDescent="0.2">
      <c r="AV66" s="404"/>
      <c r="AW66" s="404"/>
      <c r="AX66" s="404"/>
    </row>
    <row r="67" spans="48:50" x14ac:dyDescent="0.2">
      <c r="AV67" s="404"/>
      <c r="AW67" s="404"/>
      <c r="AX67" s="406"/>
    </row>
    <row r="68" spans="48:50" x14ac:dyDescent="0.2">
      <c r="AV68" s="404"/>
      <c r="AW68" s="404"/>
      <c r="AX68" s="404"/>
    </row>
    <row r="69" spans="48:50" x14ac:dyDescent="0.2">
      <c r="AV69" s="404"/>
      <c r="AW69" s="404"/>
      <c r="AX69" s="404"/>
    </row>
    <row r="70" spans="48:50" x14ac:dyDescent="0.2">
      <c r="AV70" s="404"/>
      <c r="AW70" s="404"/>
      <c r="AX70" s="404"/>
    </row>
    <row r="71" spans="48:50" x14ac:dyDescent="0.2">
      <c r="AV71" s="404"/>
      <c r="AW71" s="404"/>
      <c r="AX71" s="404"/>
    </row>
    <row r="72" spans="48:50" x14ac:dyDescent="0.2">
      <c r="AV72" s="404"/>
      <c r="AW72" s="404"/>
      <c r="AX72" s="404"/>
    </row>
    <row r="73" spans="48:50" x14ac:dyDescent="0.2">
      <c r="AV73" s="404"/>
      <c r="AW73" s="404"/>
      <c r="AX73" s="404"/>
    </row>
    <row r="74" spans="48:50" x14ac:dyDescent="0.2">
      <c r="AV74" s="404"/>
      <c r="AW74" s="404"/>
      <c r="AX74" s="404"/>
    </row>
    <row r="75" spans="48:50" x14ac:dyDescent="0.2">
      <c r="AV75" s="404"/>
      <c r="AW75" s="404"/>
      <c r="AX75" s="404"/>
    </row>
    <row r="76" spans="48:50" x14ac:dyDescent="0.2">
      <c r="AV76" s="404"/>
      <c r="AW76" s="404"/>
      <c r="AX76" s="404"/>
    </row>
    <row r="77" spans="48:50" x14ac:dyDescent="0.2">
      <c r="AV77" s="404"/>
      <c r="AW77" s="404"/>
      <c r="AX77" s="404"/>
    </row>
    <row r="78" spans="48:50" x14ac:dyDescent="0.2">
      <c r="AV78" s="404"/>
      <c r="AW78" s="404"/>
      <c r="AX78" s="404"/>
    </row>
    <row r="79" spans="48:50" x14ac:dyDescent="0.2">
      <c r="AV79" s="404"/>
      <c r="AW79" s="404"/>
      <c r="AX79" s="404"/>
    </row>
    <row r="80" spans="48:50" x14ac:dyDescent="0.2">
      <c r="AV80" s="404"/>
      <c r="AW80" s="404"/>
      <c r="AX80" s="404"/>
    </row>
    <row r="81" spans="48:50" x14ac:dyDescent="0.2">
      <c r="AV81" s="404"/>
      <c r="AW81" s="404"/>
      <c r="AX81" s="404"/>
    </row>
    <row r="82" spans="48:50" x14ac:dyDescent="0.2">
      <c r="AV82" s="404"/>
      <c r="AW82" s="404"/>
      <c r="AX82" s="404"/>
    </row>
    <row r="83" spans="48:50" x14ac:dyDescent="0.2">
      <c r="AV83" s="404"/>
      <c r="AW83" s="404"/>
      <c r="AX83" s="406"/>
    </row>
    <row r="84" spans="48:50" x14ac:dyDescent="0.2">
      <c r="AV84" s="404"/>
      <c r="AW84" s="404"/>
      <c r="AX84" s="404"/>
    </row>
  </sheetData>
  <mergeCells count="3">
    <mergeCell ref="F7:G7"/>
    <mergeCell ref="M12:O12"/>
    <mergeCell ref="M18:O18"/>
  </mergeCells>
  <dataValidations count="1">
    <dataValidation type="list" allowBlank="1" showInputMessage="1" showErrorMessage="1" sqref="F7:G7" xr:uid="{6A670332-C70F-4141-8A80-AA438AE1047A}">
      <formula1>$AP$5:$AP$7</formula1>
    </dataValidation>
  </dataValidations>
  <pageMargins left="0.7" right="0.7" top="0.75" bottom="0.75" header="0.3" footer="0.3"/>
  <pageSetup orientation="portrait" r:id="rId1"/>
  <ignoredErrors>
    <ignoredError sqref="F36:J50 G20:J3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FindGrowthRate">
                <anchor moveWithCells="1" sizeWithCells="1">
                  <from>
                    <xdr:col>5</xdr:col>
                    <xdr:colOff>31750</xdr:colOff>
                    <xdr:row>8</xdr:row>
                    <xdr:rowOff>31750</xdr:rowOff>
                  </from>
                  <to>
                    <xdr:col>7</xdr:col>
                    <xdr:colOff>12700</xdr:colOff>
                    <xdr:row>9</xdr:row>
                    <xdr:rowOff>69850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P497"/>
  <sheetViews>
    <sheetView showGridLines="0" zoomScaleNormal="100" workbookViewId="0">
      <pane ySplit="5" topLeftCell="A6" activePane="bottomLeft" state="frozen"/>
      <selection pane="bottomLeft" activeCell="A6" sqref="A6"/>
    </sheetView>
  </sheetViews>
  <sheetFormatPr defaultRowHeight="10" x14ac:dyDescent="0.2"/>
  <cols>
    <col min="1" max="1" width="2.6640625" customWidth="1"/>
    <col min="2" max="13" width="22.6640625" customWidth="1"/>
    <col min="14" max="14" width="5.33203125" customWidth="1"/>
    <col min="15" max="15" width="18" customWidth="1"/>
    <col min="16" max="16" width="19.77734375" customWidth="1"/>
    <col min="17" max="18" width="18" customWidth="1"/>
  </cols>
  <sheetData>
    <row r="2" spans="2:16" ht="11.25" x14ac:dyDescent="0.2">
      <c r="B2" s="320">
        <v>1</v>
      </c>
      <c r="O2" s="418" t="str">
        <f>VLOOKUP(P2,N5:P15,2,FALSE)</f>
        <v>English</v>
      </c>
      <c r="P2" s="302">
        <f>Lookup_Column</f>
        <v>1</v>
      </c>
    </row>
    <row r="3" spans="2:16" ht="11.25" x14ac:dyDescent="0.2">
      <c r="O3" s="329" t="str">
        <f>Language_Option</f>
        <v>English</v>
      </c>
      <c r="P3" s="302">
        <f>VLOOKUP(O3,O5:P15,2,FALSE)</f>
        <v>1</v>
      </c>
    </row>
    <row r="4" spans="2:16" ht="11.25" x14ac:dyDescent="0.2">
      <c r="B4" s="310">
        <v>1</v>
      </c>
      <c r="C4" s="311">
        <v>2</v>
      </c>
      <c r="D4" s="311">
        <v>3</v>
      </c>
      <c r="E4" s="311">
        <v>4</v>
      </c>
      <c r="F4" s="311">
        <v>5</v>
      </c>
      <c r="G4" s="311">
        <v>6</v>
      </c>
      <c r="H4" s="311">
        <v>7</v>
      </c>
      <c r="I4" s="311">
        <v>8</v>
      </c>
      <c r="J4" s="311">
        <v>9</v>
      </c>
      <c r="K4" s="311">
        <v>10</v>
      </c>
      <c r="L4" s="312">
        <v>11</v>
      </c>
      <c r="M4" s="417"/>
    </row>
    <row r="5" spans="2:16" ht="10.5" x14ac:dyDescent="0.25">
      <c r="B5" s="313" t="s">
        <v>2961</v>
      </c>
      <c r="C5" s="314" t="s">
        <v>711</v>
      </c>
      <c r="D5" s="315" t="s">
        <v>712</v>
      </c>
      <c r="E5" s="315" t="s">
        <v>713</v>
      </c>
      <c r="F5" s="316" t="s">
        <v>714</v>
      </c>
      <c r="G5" s="315" t="s">
        <v>715</v>
      </c>
      <c r="H5" s="317" t="s">
        <v>716</v>
      </c>
      <c r="I5" s="317" t="s">
        <v>717</v>
      </c>
      <c r="J5" s="318" t="s">
        <v>718</v>
      </c>
      <c r="K5" s="318" t="s">
        <v>719</v>
      </c>
      <c r="L5" s="319" t="s">
        <v>720</v>
      </c>
      <c r="M5" s="319"/>
      <c r="N5" s="25">
        <v>1</v>
      </c>
      <c r="O5" s="23" t="str">
        <f>VLOOKUP("English",Language_Data,Lookup_Column,FALSE)</f>
        <v>English</v>
      </c>
      <c r="P5" s="25">
        <v>1</v>
      </c>
    </row>
    <row r="6" spans="2:16" ht="11.25" x14ac:dyDescent="0.2">
      <c r="B6" s="26" t="s">
        <v>394</v>
      </c>
      <c r="C6" s="328" t="s">
        <v>811</v>
      </c>
      <c r="D6" s="328" t="s">
        <v>812</v>
      </c>
      <c r="E6" s="328" t="s">
        <v>813</v>
      </c>
      <c r="F6" s="328" t="s">
        <v>814</v>
      </c>
      <c r="G6" s="328" t="s">
        <v>815</v>
      </c>
      <c r="H6" s="328" t="s">
        <v>816</v>
      </c>
      <c r="I6" s="328" t="s">
        <v>817</v>
      </c>
      <c r="J6" s="328" t="s">
        <v>818</v>
      </c>
      <c r="K6" s="328" t="s">
        <v>819</v>
      </c>
      <c r="L6" s="327" t="s">
        <v>2989</v>
      </c>
      <c r="M6" s="327"/>
      <c r="N6" s="27">
        <v>2</v>
      </c>
      <c r="O6" s="26" t="str">
        <f>VLOOKUP("Chinese - Simplified",Language_Data,Lookup_Column,FALSE)</f>
        <v>Chinese - Simplified</v>
      </c>
      <c r="P6" s="27">
        <v>2</v>
      </c>
    </row>
    <row r="7" spans="2:16" ht="11.25" x14ac:dyDescent="0.2">
      <c r="B7" s="26" t="s">
        <v>4144</v>
      </c>
      <c r="C7" s="328" t="s">
        <v>4145</v>
      </c>
      <c r="D7" s="328" t="s">
        <v>4146</v>
      </c>
      <c r="E7" s="328" t="s">
        <v>4147</v>
      </c>
      <c r="F7" s="328" t="s">
        <v>4148</v>
      </c>
      <c r="G7" s="328" t="s">
        <v>4149</v>
      </c>
      <c r="H7" s="328" t="s">
        <v>4150</v>
      </c>
      <c r="I7" s="328" t="s">
        <v>4154</v>
      </c>
      <c r="J7" s="328" t="s">
        <v>4151</v>
      </c>
      <c r="K7" s="328" t="s">
        <v>4152</v>
      </c>
      <c r="L7" s="327" t="s">
        <v>4153</v>
      </c>
      <c r="M7" s="327"/>
      <c r="N7" s="27">
        <v>3</v>
      </c>
      <c r="O7" s="26" t="str">
        <f>VLOOKUP("Chinese - Traditional",Language_Data,Lookup_Column,FALSE)</f>
        <v>Chinese - Traditional</v>
      </c>
      <c r="P7" s="27">
        <v>3</v>
      </c>
    </row>
    <row r="8" spans="2:16" ht="11.25" x14ac:dyDescent="0.2">
      <c r="B8" s="26" t="s">
        <v>4133</v>
      </c>
      <c r="C8" s="328" t="s">
        <v>4134</v>
      </c>
      <c r="D8" s="328" t="s">
        <v>4135</v>
      </c>
      <c r="E8" s="328" t="s">
        <v>4136</v>
      </c>
      <c r="F8" s="328" t="s">
        <v>4137</v>
      </c>
      <c r="G8" s="328" t="s">
        <v>4138</v>
      </c>
      <c r="H8" s="328" t="s">
        <v>4139</v>
      </c>
      <c r="I8" s="328" t="s">
        <v>4140</v>
      </c>
      <c r="J8" s="328" t="s">
        <v>4141</v>
      </c>
      <c r="K8" s="328" t="s">
        <v>4142</v>
      </c>
      <c r="L8" s="327" t="s">
        <v>4143</v>
      </c>
      <c r="M8" s="327"/>
      <c r="N8" s="27">
        <v>7</v>
      </c>
      <c r="O8" s="26" t="str">
        <f>VLOOKUP("French",Language_Data,Lookup_Column,FALSE)</f>
        <v>French</v>
      </c>
      <c r="P8" s="27">
        <v>7</v>
      </c>
    </row>
    <row r="9" spans="2:16" ht="11.25" x14ac:dyDescent="0.2">
      <c r="B9" s="26" t="s">
        <v>751</v>
      </c>
      <c r="C9" s="328" t="s">
        <v>820</v>
      </c>
      <c r="D9" s="328" t="s">
        <v>821</v>
      </c>
      <c r="E9" s="328" t="s">
        <v>822</v>
      </c>
      <c r="F9" s="328" t="s">
        <v>823</v>
      </c>
      <c r="G9" s="328" t="s">
        <v>824</v>
      </c>
      <c r="H9" s="328" t="s">
        <v>825</v>
      </c>
      <c r="I9" s="328" t="s">
        <v>826</v>
      </c>
      <c r="J9" s="328" t="s">
        <v>827</v>
      </c>
      <c r="K9" s="328" t="s">
        <v>828</v>
      </c>
      <c r="L9" s="327" t="s">
        <v>2990</v>
      </c>
      <c r="M9" s="327"/>
      <c r="N9" s="27">
        <v>6</v>
      </c>
      <c r="O9" s="26" t="str">
        <f>VLOOKUP("German",Language_Data,Lookup_Column,FALSE)</f>
        <v>German</v>
      </c>
      <c r="P9" s="27">
        <v>6</v>
      </c>
    </row>
    <row r="10" spans="2:16" ht="11.25" x14ac:dyDescent="0.2">
      <c r="B10" s="339" t="s">
        <v>4249</v>
      </c>
      <c r="C10" t="s">
        <v>4250</v>
      </c>
      <c r="D10" t="s">
        <v>4251</v>
      </c>
      <c r="E10" t="s">
        <v>4252</v>
      </c>
      <c r="F10" t="s">
        <v>4253</v>
      </c>
      <c r="G10" t="s">
        <v>4254</v>
      </c>
      <c r="H10" t="s">
        <v>4255</v>
      </c>
      <c r="I10" t="s">
        <v>4256</v>
      </c>
      <c r="J10" t="s">
        <v>4257</v>
      </c>
      <c r="K10" t="s">
        <v>4258</v>
      </c>
      <c r="L10" s="27" t="s">
        <v>4259</v>
      </c>
      <c r="M10" s="27"/>
      <c r="N10" s="27">
        <v>8</v>
      </c>
      <c r="O10" s="26" t="str">
        <f>VLOOKUP("Italian",Language_Data,Lookup_Column,FALSE)</f>
        <v>Italian</v>
      </c>
      <c r="P10" s="27">
        <v>8</v>
      </c>
    </row>
    <row r="11" spans="2:16" ht="11.25" x14ac:dyDescent="0.2">
      <c r="B11" s="26" t="s">
        <v>753</v>
      </c>
      <c r="C11" s="328" t="s">
        <v>829</v>
      </c>
      <c r="D11" s="328" t="s">
        <v>829</v>
      </c>
      <c r="E11" s="328" t="s">
        <v>830</v>
      </c>
      <c r="F11" s="328" t="s">
        <v>831</v>
      </c>
      <c r="G11" s="328" t="s">
        <v>832</v>
      </c>
      <c r="H11" s="328" t="s">
        <v>753</v>
      </c>
      <c r="I11" s="328" t="s">
        <v>831</v>
      </c>
      <c r="J11" s="328" t="s">
        <v>833</v>
      </c>
      <c r="K11" s="328" t="s">
        <v>834</v>
      </c>
      <c r="L11" s="327">
        <v>0</v>
      </c>
      <c r="M11" s="327"/>
      <c r="N11" s="27">
        <v>4</v>
      </c>
      <c r="O11" s="26" t="str">
        <f>VLOOKUP("Japanese",Language_Data,Lookup_Column,FALSE)</f>
        <v>Japanese</v>
      </c>
      <c r="P11" s="27">
        <v>4</v>
      </c>
    </row>
    <row r="12" spans="2:16" ht="11.25" x14ac:dyDescent="0.2">
      <c r="B12" s="26" t="s">
        <v>276</v>
      </c>
      <c r="C12" s="328" t="s">
        <v>835</v>
      </c>
      <c r="D12" s="328" t="s">
        <v>836</v>
      </c>
      <c r="E12" s="328" t="s">
        <v>837</v>
      </c>
      <c r="F12" s="328" t="s">
        <v>838</v>
      </c>
      <c r="G12" s="328" t="s">
        <v>839</v>
      </c>
      <c r="H12" s="328" t="s">
        <v>840</v>
      </c>
      <c r="I12" s="328" t="s">
        <v>841</v>
      </c>
      <c r="J12" s="328" t="s">
        <v>842</v>
      </c>
      <c r="K12" s="328" t="s">
        <v>843</v>
      </c>
      <c r="L12" s="327" t="s">
        <v>838</v>
      </c>
      <c r="M12" s="327"/>
      <c r="N12" s="27">
        <v>9</v>
      </c>
      <c r="O12" s="26" t="str">
        <f>VLOOKUP("Korean",Language_Data,Lookup_Column,FALSE)</f>
        <v>Korean</v>
      </c>
      <c r="P12" s="27">
        <v>9</v>
      </c>
    </row>
    <row r="13" spans="2:16" ht="11.25" x14ac:dyDescent="0.2">
      <c r="B13" s="26" t="s">
        <v>527</v>
      </c>
      <c r="C13" s="328" t="s">
        <v>844</v>
      </c>
      <c r="D13" s="328" t="s">
        <v>844</v>
      </c>
      <c r="E13" s="328" t="s">
        <v>845</v>
      </c>
      <c r="F13" s="328" t="s">
        <v>846</v>
      </c>
      <c r="G13" s="328" t="s">
        <v>847</v>
      </c>
      <c r="H13" s="328" t="s">
        <v>848</v>
      </c>
      <c r="I13" s="328" t="s">
        <v>849</v>
      </c>
      <c r="J13" s="328" t="s">
        <v>850</v>
      </c>
      <c r="K13" s="328" t="s">
        <v>851</v>
      </c>
      <c r="L13" s="327" t="s">
        <v>2991</v>
      </c>
      <c r="M13" s="327"/>
      <c r="N13" s="27">
        <v>11</v>
      </c>
      <c r="O13" s="26" t="str">
        <f>VLOOKUP("Portuguese",Language_Data,Lookup_Column,FALSE)</f>
        <v>Portuguese</v>
      </c>
      <c r="P13" s="27">
        <v>11</v>
      </c>
    </row>
    <row r="14" spans="2:16" ht="11.25" x14ac:dyDescent="0.2">
      <c r="B14" s="26" t="s">
        <v>4155</v>
      </c>
      <c r="C14" s="328" t="s">
        <v>4156</v>
      </c>
      <c r="D14" s="328" t="s">
        <v>4157</v>
      </c>
      <c r="E14" s="328" t="s">
        <v>4158</v>
      </c>
      <c r="F14" s="328" t="s">
        <v>4159</v>
      </c>
      <c r="G14" s="328" t="s">
        <v>4160</v>
      </c>
      <c r="H14" s="328" t="s">
        <v>4161</v>
      </c>
      <c r="I14" s="328" t="s">
        <v>4162</v>
      </c>
      <c r="J14" s="328" t="s">
        <v>852</v>
      </c>
      <c r="K14" s="328" t="s">
        <v>4163</v>
      </c>
      <c r="L14" s="327" t="s">
        <v>4164</v>
      </c>
      <c r="M14" s="327"/>
      <c r="N14" s="27">
        <v>10</v>
      </c>
      <c r="O14" s="26" t="str">
        <f>VLOOKUP("Russian",Language_Data,Lookup_Column,FALSE)</f>
        <v>Russian</v>
      </c>
      <c r="P14" s="27">
        <v>10</v>
      </c>
    </row>
    <row r="15" spans="2:16" ht="11.25" x14ac:dyDescent="0.2">
      <c r="B15" s="26" t="s">
        <v>277</v>
      </c>
      <c r="C15" s="328" t="s">
        <v>853</v>
      </c>
      <c r="D15" s="328" t="s">
        <v>854</v>
      </c>
      <c r="E15" s="328" t="s">
        <v>855</v>
      </c>
      <c r="F15" s="328" t="s">
        <v>856</v>
      </c>
      <c r="G15" s="328" t="s">
        <v>857</v>
      </c>
      <c r="H15" s="328" t="s">
        <v>858</v>
      </c>
      <c r="I15" s="328" t="s">
        <v>859</v>
      </c>
      <c r="J15" s="328" t="s">
        <v>860</v>
      </c>
      <c r="K15" s="328" t="s">
        <v>861</v>
      </c>
      <c r="L15" s="327" t="s">
        <v>2992</v>
      </c>
      <c r="M15" s="327"/>
      <c r="N15" s="28">
        <v>5</v>
      </c>
      <c r="O15" s="14" t="str">
        <f>VLOOKUP("Spanish",Language_Data,Lookup_Column,FALSE)</f>
        <v>Spanish</v>
      </c>
      <c r="P15" s="28">
        <v>5</v>
      </c>
    </row>
    <row r="16" spans="2:16" ht="11.25" x14ac:dyDescent="0.2">
      <c r="B16" s="26" t="s">
        <v>730</v>
      </c>
      <c r="C16" s="328" t="s">
        <v>862</v>
      </c>
      <c r="D16" s="328" t="s">
        <v>863</v>
      </c>
      <c r="E16" s="328" t="s">
        <v>864</v>
      </c>
      <c r="F16" s="328" t="s">
        <v>865</v>
      </c>
      <c r="G16" s="328" t="s">
        <v>866</v>
      </c>
      <c r="H16" s="328" t="s">
        <v>867</v>
      </c>
      <c r="I16" s="328" t="s">
        <v>868</v>
      </c>
      <c r="J16" s="328" t="s">
        <v>869</v>
      </c>
      <c r="K16" s="328" t="s">
        <v>870</v>
      </c>
      <c r="L16" s="327" t="s">
        <v>2993</v>
      </c>
      <c r="M16" s="328"/>
    </row>
    <row r="17" spans="2:16" ht="11.25" x14ac:dyDescent="0.2">
      <c r="B17" s="26" t="s">
        <v>316</v>
      </c>
      <c r="C17" s="328" t="s">
        <v>871</v>
      </c>
      <c r="D17" s="328" t="s">
        <v>872</v>
      </c>
      <c r="E17" s="328" t="s">
        <v>873</v>
      </c>
      <c r="F17" s="328" t="s">
        <v>874</v>
      </c>
      <c r="G17" s="328" t="s">
        <v>875</v>
      </c>
      <c r="H17" s="328" t="s">
        <v>876</v>
      </c>
      <c r="I17" s="328" t="s">
        <v>877</v>
      </c>
      <c r="J17" s="328" t="s">
        <v>878</v>
      </c>
      <c r="K17" s="328" t="s">
        <v>879</v>
      </c>
      <c r="L17" s="327" t="s">
        <v>2994</v>
      </c>
      <c r="M17" s="328"/>
      <c r="O17" s="23" t="s">
        <v>2962</v>
      </c>
      <c r="P17" s="25" t="str">
        <f>VLOOKUP("UPDATE TERMINOLOGY",Language_Data,Lookup_Column,FALSE)</f>
        <v>UPDATE TERMINOLOGY</v>
      </c>
    </row>
    <row r="18" spans="2:16" ht="11.25" x14ac:dyDescent="0.2">
      <c r="B18" s="26" t="s">
        <v>317</v>
      </c>
      <c r="C18" s="328" t="s">
        <v>880</v>
      </c>
      <c r="D18" s="328" t="s">
        <v>881</v>
      </c>
      <c r="E18" s="328" t="s">
        <v>882</v>
      </c>
      <c r="F18" s="328" t="s">
        <v>883</v>
      </c>
      <c r="G18" s="328" t="s">
        <v>884</v>
      </c>
      <c r="H18" s="328" t="s">
        <v>885</v>
      </c>
      <c r="I18" s="328" t="s">
        <v>886</v>
      </c>
      <c r="J18" s="328" t="s">
        <v>887</v>
      </c>
      <c r="K18" s="328" t="s">
        <v>888</v>
      </c>
      <c r="L18" s="327" t="s">
        <v>2995</v>
      </c>
      <c r="M18" s="328"/>
      <c r="O18" s="14" t="s">
        <v>2963</v>
      </c>
      <c r="P18" s="28" t="str">
        <f>VLOOKUP("Refresh Sheet",Language_Data,Lookup_Column,FALSE)</f>
        <v>REFRESH SHEET</v>
      </c>
    </row>
    <row r="19" spans="2:16" ht="11.25" x14ac:dyDescent="0.2">
      <c r="B19" s="26" t="s">
        <v>4240</v>
      </c>
      <c r="C19" s="328" t="s">
        <v>889</v>
      </c>
      <c r="D19" s="328" t="s">
        <v>890</v>
      </c>
      <c r="E19" s="328" t="s">
        <v>891</v>
      </c>
      <c r="F19" s="328" t="s">
        <v>892</v>
      </c>
      <c r="G19" s="328" t="s">
        <v>893</v>
      </c>
      <c r="H19" s="328" t="s">
        <v>894</v>
      </c>
      <c r="I19" s="328" t="s">
        <v>895</v>
      </c>
      <c r="J19" s="328" t="s">
        <v>896</v>
      </c>
      <c r="K19" s="328" t="s">
        <v>897</v>
      </c>
      <c r="L19" s="327" t="s">
        <v>2996</v>
      </c>
      <c r="M19" s="328"/>
    </row>
    <row r="20" spans="2:16" ht="11.25" x14ac:dyDescent="0.2">
      <c r="B20" s="26" t="s">
        <v>393</v>
      </c>
      <c r="C20" s="328" t="s">
        <v>898</v>
      </c>
      <c r="D20" s="328" t="s">
        <v>899</v>
      </c>
      <c r="E20" s="328" t="s">
        <v>900</v>
      </c>
      <c r="F20" s="328" t="s">
        <v>901</v>
      </c>
      <c r="G20" s="328" t="s">
        <v>902</v>
      </c>
      <c r="H20" s="328" t="s">
        <v>903</v>
      </c>
      <c r="I20" s="328" t="s">
        <v>904</v>
      </c>
      <c r="J20" s="328" t="s">
        <v>905</v>
      </c>
      <c r="K20" s="328" t="s">
        <v>906</v>
      </c>
      <c r="L20" s="327" t="s">
        <v>2997</v>
      </c>
      <c r="M20" s="328"/>
    </row>
    <row r="21" spans="2:16" ht="11.25" x14ac:dyDescent="0.2">
      <c r="B21" s="26" t="s">
        <v>782</v>
      </c>
      <c r="C21" s="328" t="s">
        <v>907</v>
      </c>
      <c r="D21" s="328" t="s">
        <v>908</v>
      </c>
      <c r="E21" s="328" t="s">
        <v>909</v>
      </c>
      <c r="F21" s="328" t="s">
        <v>910</v>
      </c>
      <c r="G21" s="328" t="s">
        <v>911</v>
      </c>
      <c r="H21" s="328" t="s">
        <v>912</v>
      </c>
      <c r="I21" s="328" t="s">
        <v>913</v>
      </c>
      <c r="J21" s="328" t="s">
        <v>914</v>
      </c>
      <c r="K21" s="328" t="s">
        <v>915</v>
      </c>
      <c r="L21" s="327" t="s">
        <v>2998</v>
      </c>
      <c r="M21" s="328"/>
    </row>
    <row r="22" spans="2:16" ht="11.25" x14ac:dyDescent="0.2">
      <c r="B22" s="26" t="s">
        <v>754</v>
      </c>
      <c r="C22" s="328" t="s">
        <v>916</v>
      </c>
      <c r="D22" s="328" t="s">
        <v>917</v>
      </c>
      <c r="E22" s="328" t="s">
        <v>918</v>
      </c>
      <c r="F22" s="328" t="s">
        <v>919</v>
      </c>
      <c r="G22" s="328" t="s">
        <v>920</v>
      </c>
      <c r="H22" s="328" t="s">
        <v>921</v>
      </c>
      <c r="I22" s="328" t="s">
        <v>922</v>
      </c>
      <c r="J22" s="328" t="s">
        <v>923</v>
      </c>
      <c r="K22" s="328" t="s">
        <v>924</v>
      </c>
      <c r="L22" s="327" t="s">
        <v>2999</v>
      </c>
      <c r="M22" s="328"/>
    </row>
    <row r="23" spans="2:16" ht="11.25" x14ac:dyDescent="0.2">
      <c r="B23" s="26" t="s">
        <v>755</v>
      </c>
      <c r="C23" s="328" t="s">
        <v>925</v>
      </c>
      <c r="D23" s="328" t="s">
        <v>926</v>
      </c>
      <c r="E23" s="328" t="s">
        <v>927</v>
      </c>
      <c r="F23" s="328" t="s">
        <v>928</v>
      </c>
      <c r="G23" s="328" t="s">
        <v>929</v>
      </c>
      <c r="H23" s="328" t="s">
        <v>930</v>
      </c>
      <c r="I23" s="328" t="s">
        <v>931</v>
      </c>
      <c r="J23" s="328" t="s">
        <v>932</v>
      </c>
      <c r="K23" s="328" t="s">
        <v>933</v>
      </c>
      <c r="L23" s="327" t="s">
        <v>3000</v>
      </c>
      <c r="M23" s="328"/>
    </row>
    <row r="24" spans="2:16" ht="11.25" x14ac:dyDescent="0.2">
      <c r="B24" s="26" t="s">
        <v>435</v>
      </c>
      <c r="C24" s="328" t="s">
        <v>934</v>
      </c>
      <c r="D24" s="328" t="s">
        <v>935</v>
      </c>
      <c r="E24" s="328" t="s">
        <v>936</v>
      </c>
      <c r="F24" s="328" t="s">
        <v>937</v>
      </c>
      <c r="G24" s="328" t="s">
        <v>938</v>
      </c>
      <c r="H24" s="328" t="s">
        <v>939</v>
      </c>
      <c r="I24" s="328" t="s">
        <v>940</v>
      </c>
      <c r="J24" s="328" t="s">
        <v>941</v>
      </c>
      <c r="K24" s="328" t="s">
        <v>942</v>
      </c>
      <c r="L24" s="327" t="s">
        <v>3001</v>
      </c>
      <c r="M24" s="328"/>
    </row>
    <row r="25" spans="2:16" ht="11.25" x14ac:dyDescent="0.2">
      <c r="B25" s="26" t="s">
        <v>756</v>
      </c>
      <c r="C25" s="328" t="s">
        <v>943</v>
      </c>
      <c r="D25" s="328" t="s">
        <v>944</v>
      </c>
      <c r="E25" s="328" t="s">
        <v>945</v>
      </c>
      <c r="F25" s="328" t="s">
        <v>946</v>
      </c>
      <c r="G25" s="328" t="s">
        <v>947</v>
      </c>
      <c r="H25" s="328" t="s">
        <v>948</v>
      </c>
      <c r="I25" s="328" t="s">
        <v>949</v>
      </c>
      <c r="J25" s="328" t="s">
        <v>950</v>
      </c>
      <c r="K25" s="328" t="s">
        <v>951</v>
      </c>
      <c r="L25" s="327" t="s">
        <v>3002</v>
      </c>
      <c r="M25" s="328"/>
    </row>
    <row r="26" spans="2:16" ht="11.25" x14ac:dyDescent="0.2">
      <c r="B26" s="26" t="s">
        <v>757</v>
      </c>
      <c r="C26" s="328" t="s">
        <v>952</v>
      </c>
      <c r="D26" s="328" t="s">
        <v>953</v>
      </c>
      <c r="E26" s="328" t="s">
        <v>954</v>
      </c>
      <c r="F26" s="328" t="s">
        <v>955</v>
      </c>
      <c r="G26" s="328" t="s">
        <v>956</v>
      </c>
      <c r="H26" s="328" t="s">
        <v>957</v>
      </c>
      <c r="I26" s="328" t="s">
        <v>958</v>
      </c>
      <c r="J26" s="328" t="s">
        <v>959</v>
      </c>
      <c r="K26" s="328" t="s">
        <v>960</v>
      </c>
      <c r="L26" s="327" t="s">
        <v>3003</v>
      </c>
      <c r="M26" s="328"/>
    </row>
    <row r="27" spans="2:16" ht="11.25" x14ac:dyDescent="0.2">
      <c r="B27" s="26" t="s">
        <v>758</v>
      </c>
      <c r="C27" s="328" t="s">
        <v>961</v>
      </c>
      <c r="D27" s="328" t="s">
        <v>962</v>
      </c>
      <c r="E27" s="328" t="s">
        <v>963</v>
      </c>
      <c r="F27" s="328" t="s">
        <v>964</v>
      </c>
      <c r="G27" s="328" t="s">
        <v>965</v>
      </c>
      <c r="H27" s="328" t="s">
        <v>966</v>
      </c>
      <c r="I27" s="328" t="s">
        <v>967</v>
      </c>
      <c r="J27" s="328" t="s">
        <v>968</v>
      </c>
      <c r="K27" s="328" t="s">
        <v>969</v>
      </c>
      <c r="L27" s="327" t="s">
        <v>4039</v>
      </c>
      <c r="M27" s="328"/>
    </row>
    <row r="28" spans="2:16" ht="11.25" x14ac:dyDescent="0.2">
      <c r="B28" s="26" t="s">
        <v>526</v>
      </c>
      <c r="C28" s="328" t="s">
        <v>970</v>
      </c>
      <c r="D28" s="328" t="s">
        <v>971</v>
      </c>
      <c r="E28" s="328" t="s">
        <v>972</v>
      </c>
      <c r="F28" s="328" t="s">
        <v>973</v>
      </c>
      <c r="G28" s="328" t="s">
        <v>974</v>
      </c>
      <c r="H28" s="328" t="s">
        <v>975</v>
      </c>
      <c r="I28" s="328" t="s">
        <v>976</v>
      </c>
      <c r="J28" s="328" t="s">
        <v>977</v>
      </c>
      <c r="K28" s="328" t="s">
        <v>978</v>
      </c>
      <c r="L28" s="327" t="s">
        <v>3004</v>
      </c>
      <c r="M28" s="328"/>
    </row>
    <row r="29" spans="2:16" ht="11.25" x14ac:dyDescent="0.2">
      <c r="B29" s="26" t="s">
        <v>436</v>
      </c>
      <c r="C29" s="328" t="s">
        <v>979</v>
      </c>
      <c r="D29" s="328" t="s">
        <v>980</v>
      </c>
      <c r="E29" s="328" t="s">
        <v>981</v>
      </c>
      <c r="F29" s="328" t="s">
        <v>982</v>
      </c>
      <c r="G29" s="328" t="s">
        <v>983</v>
      </c>
      <c r="H29" s="328" t="s">
        <v>984</v>
      </c>
      <c r="I29" s="328" t="s">
        <v>985</v>
      </c>
      <c r="J29" s="328" t="s">
        <v>986</v>
      </c>
      <c r="K29" s="328" t="s">
        <v>987</v>
      </c>
      <c r="L29" s="327" t="s">
        <v>3005</v>
      </c>
      <c r="M29" s="328"/>
    </row>
    <row r="30" spans="2:16" ht="11.25" x14ac:dyDescent="0.2">
      <c r="B30" s="26" t="s">
        <v>437</v>
      </c>
      <c r="C30" s="328" t="s">
        <v>988</v>
      </c>
      <c r="D30" s="328" t="s">
        <v>989</v>
      </c>
      <c r="E30" s="328" t="s">
        <v>990</v>
      </c>
      <c r="F30" s="328" t="s">
        <v>991</v>
      </c>
      <c r="G30" s="328" t="s">
        <v>992</v>
      </c>
      <c r="H30" s="328" t="s">
        <v>993</v>
      </c>
      <c r="I30" s="328" t="s">
        <v>994</v>
      </c>
      <c r="J30" s="328" t="s">
        <v>995</v>
      </c>
      <c r="K30" s="328" t="s">
        <v>996</v>
      </c>
      <c r="L30" s="327" t="s">
        <v>3006</v>
      </c>
      <c r="M30" s="328"/>
    </row>
    <row r="31" spans="2:16" ht="11.25" x14ac:dyDescent="0.2">
      <c r="B31" s="26" t="s">
        <v>759</v>
      </c>
      <c r="C31" s="328" t="s">
        <v>997</v>
      </c>
      <c r="D31" s="328" t="s">
        <v>998</v>
      </c>
      <c r="E31" s="328" t="s">
        <v>999</v>
      </c>
      <c r="F31" s="328" t="s">
        <v>1000</v>
      </c>
      <c r="G31" s="328" t="s">
        <v>1001</v>
      </c>
      <c r="H31" s="328" t="s">
        <v>1002</v>
      </c>
      <c r="I31" s="328" t="s">
        <v>1003</v>
      </c>
      <c r="J31" s="328" t="s">
        <v>1004</v>
      </c>
      <c r="K31" s="328" t="s">
        <v>1005</v>
      </c>
      <c r="L31" s="327" t="s">
        <v>4040</v>
      </c>
      <c r="M31" s="328"/>
    </row>
    <row r="32" spans="2:16" ht="11.25" x14ac:dyDescent="0.2">
      <c r="B32" s="26" t="s">
        <v>305</v>
      </c>
      <c r="C32" s="328" t="s">
        <v>1006</v>
      </c>
      <c r="D32" s="328" t="s">
        <v>1007</v>
      </c>
      <c r="E32" s="328" t="s">
        <v>1008</v>
      </c>
      <c r="F32" s="328" t="s">
        <v>1009</v>
      </c>
      <c r="G32" s="328" t="s">
        <v>1010</v>
      </c>
      <c r="H32" s="328" t="s">
        <v>1011</v>
      </c>
      <c r="I32" s="328" t="s">
        <v>1012</v>
      </c>
      <c r="J32" s="328" t="s">
        <v>1013</v>
      </c>
      <c r="K32" s="328" t="s">
        <v>1014</v>
      </c>
      <c r="L32" s="327" t="s">
        <v>3007</v>
      </c>
      <c r="M32" s="328"/>
    </row>
    <row r="33" spans="2:13" ht="11.25" x14ac:dyDescent="0.2">
      <c r="B33" s="26" t="s">
        <v>793</v>
      </c>
      <c r="C33" s="328" t="s">
        <v>1015</v>
      </c>
      <c r="D33" s="328" t="s">
        <v>1016</v>
      </c>
      <c r="E33" s="328" t="s">
        <v>1017</v>
      </c>
      <c r="F33" s="328" t="s">
        <v>793</v>
      </c>
      <c r="G33" s="328" t="s">
        <v>793</v>
      </c>
      <c r="H33" s="328" t="s">
        <v>1018</v>
      </c>
      <c r="I33" s="328" t="s">
        <v>793</v>
      </c>
      <c r="J33" s="328" t="s">
        <v>1019</v>
      </c>
      <c r="K33" s="328">
        <v>0</v>
      </c>
      <c r="L33" s="327" t="s">
        <v>793</v>
      </c>
      <c r="M33" s="328"/>
    </row>
    <row r="34" spans="2:13" ht="11.25" x14ac:dyDescent="0.2">
      <c r="B34" s="26" t="s">
        <v>14</v>
      </c>
      <c r="C34" s="328" t="s">
        <v>1020</v>
      </c>
      <c r="D34" s="328" t="s">
        <v>1021</v>
      </c>
      <c r="E34" s="328" t="s">
        <v>1022</v>
      </c>
      <c r="F34" s="328" t="s">
        <v>1023</v>
      </c>
      <c r="G34" s="328" t="s">
        <v>1024</v>
      </c>
      <c r="H34" s="328" t="s">
        <v>1025</v>
      </c>
      <c r="I34" s="328" t="s">
        <v>1026</v>
      </c>
      <c r="J34" s="328" t="s">
        <v>1027</v>
      </c>
      <c r="K34" s="328" t="s">
        <v>1028</v>
      </c>
      <c r="L34" s="327" t="s">
        <v>3008</v>
      </c>
      <c r="M34" s="328"/>
    </row>
    <row r="35" spans="2:13" ht="11.25" x14ac:dyDescent="0.2">
      <c r="B35" s="26" t="s">
        <v>281</v>
      </c>
      <c r="C35" s="328" t="s">
        <v>1029</v>
      </c>
      <c r="D35" s="328" t="s">
        <v>1030</v>
      </c>
      <c r="E35" s="328" t="s">
        <v>1031</v>
      </c>
      <c r="F35" s="328" t="s">
        <v>1032</v>
      </c>
      <c r="G35" s="328" t="s">
        <v>1033</v>
      </c>
      <c r="H35" s="328" t="s">
        <v>1034</v>
      </c>
      <c r="I35" s="328" t="s">
        <v>1035</v>
      </c>
      <c r="J35" s="328" t="s">
        <v>1036</v>
      </c>
      <c r="K35" s="328" t="s">
        <v>1037</v>
      </c>
      <c r="L35" s="327" t="s">
        <v>1032</v>
      </c>
      <c r="M35" s="328"/>
    </row>
    <row r="36" spans="2:13" ht="11.25" x14ac:dyDescent="0.2">
      <c r="B36" s="26" t="s">
        <v>306</v>
      </c>
      <c r="C36" s="328" t="s">
        <v>1038</v>
      </c>
      <c r="D36" s="328" t="s">
        <v>1039</v>
      </c>
      <c r="E36" s="328" t="s">
        <v>1040</v>
      </c>
      <c r="F36" s="328" t="s">
        <v>1041</v>
      </c>
      <c r="G36" s="328" t="s">
        <v>1042</v>
      </c>
      <c r="H36" s="328" t="s">
        <v>1043</v>
      </c>
      <c r="I36" s="328" t="s">
        <v>1044</v>
      </c>
      <c r="J36" s="328" t="s">
        <v>1045</v>
      </c>
      <c r="K36" s="328" t="s">
        <v>1046</v>
      </c>
      <c r="L36" s="327" t="s">
        <v>3009</v>
      </c>
      <c r="M36" s="328"/>
    </row>
    <row r="37" spans="2:13" ht="11.25" x14ac:dyDescent="0.2">
      <c r="B37" s="26" t="s">
        <v>721</v>
      </c>
      <c r="C37" s="328" t="s">
        <v>1047</v>
      </c>
      <c r="D37" s="328" t="s">
        <v>1048</v>
      </c>
      <c r="E37" s="328" t="s">
        <v>1049</v>
      </c>
      <c r="F37" s="328" t="s">
        <v>1050</v>
      </c>
      <c r="G37" s="328" t="s">
        <v>1051</v>
      </c>
      <c r="H37" s="328" t="s">
        <v>1052</v>
      </c>
      <c r="I37" s="328" t="s">
        <v>1053</v>
      </c>
      <c r="J37" s="328" t="s">
        <v>1054</v>
      </c>
      <c r="K37" s="328" t="s">
        <v>1055</v>
      </c>
      <c r="L37" s="327" t="s">
        <v>3010</v>
      </c>
      <c r="M37" s="328"/>
    </row>
    <row r="38" spans="2:13" ht="11.25" x14ac:dyDescent="0.2">
      <c r="B38" s="26" t="s">
        <v>790</v>
      </c>
      <c r="C38" s="328" t="s">
        <v>1056</v>
      </c>
      <c r="D38" s="328" t="s">
        <v>1057</v>
      </c>
      <c r="E38" s="328" t="s">
        <v>1058</v>
      </c>
      <c r="F38" s="328" t="s">
        <v>1059</v>
      </c>
      <c r="G38" s="328" t="s">
        <v>1060</v>
      </c>
      <c r="H38" s="328" t="s">
        <v>1061</v>
      </c>
      <c r="I38" s="328" t="s">
        <v>1062</v>
      </c>
      <c r="J38" s="328" t="s">
        <v>1063</v>
      </c>
      <c r="K38" s="328" t="s">
        <v>1064</v>
      </c>
      <c r="L38" s="327" t="s">
        <v>3011</v>
      </c>
      <c r="M38" s="328"/>
    </row>
    <row r="39" spans="2:13" ht="11.25" x14ac:dyDescent="0.2">
      <c r="B39" s="26" t="s">
        <v>791</v>
      </c>
      <c r="C39" s="328" t="s">
        <v>1065</v>
      </c>
      <c r="D39" s="328" t="s">
        <v>1066</v>
      </c>
      <c r="E39" s="328" t="s">
        <v>1067</v>
      </c>
      <c r="F39" s="328" t="s">
        <v>1068</v>
      </c>
      <c r="G39" s="328" t="s">
        <v>1069</v>
      </c>
      <c r="H39" s="328" t="s">
        <v>1070</v>
      </c>
      <c r="I39" s="328" t="s">
        <v>1071</v>
      </c>
      <c r="J39" s="328" t="s">
        <v>1072</v>
      </c>
      <c r="K39" s="328" t="s">
        <v>1073</v>
      </c>
      <c r="L39" s="327" t="s">
        <v>3012</v>
      </c>
      <c r="M39" s="328"/>
    </row>
    <row r="40" spans="2:13" ht="11.25" x14ac:dyDescent="0.2">
      <c r="B40" s="26" t="s">
        <v>785</v>
      </c>
      <c r="C40" s="328" t="s">
        <v>1074</v>
      </c>
      <c r="D40" s="328" t="s">
        <v>1075</v>
      </c>
      <c r="E40" s="328" t="s">
        <v>1076</v>
      </c>
      <c r="F40" s="328" t="s">
        <v>1077</v>
      </c>
      <c r="G40" s="328" t="s">
        <v>1078</v>
      </c>
      <c r="H40" s="328" t="s">
        <v>1077</v>
      </c>
      <c r="I40" s="328" t="s">
        <v>1079</v>
      </c>
      <c r="J40" s="328" t="s">
        <v>1080</v>
      </c>
      <c r="K40" s="328" t="s">
        <v>4041</v>
      </c>
      <c r="L40" s="327" t="s">
        <v>3013</v>
      </c>
      <c r="M40" s="328"/>
    </row>
    <row r="41" spans="2:13" ht="11.25" x14ac:dyDescent="0.2">
      <c r="B41" s="26" t="s">
        <v>792</v>
      </c>
      <c r="C41" s="328" t="s">
        <v>1081</v>
      </c>
      <c r="D41" s="328" t="s">
        <v>1082</v>
      </c>
      <c r="E41" s="328" t="s">
        <v>1083</v>
      </c>
      <c r="F41" s="328" t="s">
        <v>1084</v>
      </c>
      <c r="G41" s="328" t="s">
        <v>1085</v>
      </c>
      <c r="H41" s="328" t="s">
        <v>1086</v>
      </c>
      <c r="I41" s="328" t="s">
        <v>792</v>
      </c>
      <c r="J41" s="328" t="s">
        <v>1087</v>
      </c>
      <c r="K41" s="328" t="s">
        <v>1088</v>
      </c>
      <c r="L41" s="327" t="s">
        <v>3014</v>
      </c>
      <c r="M41" s="328"/>
    </row>
    <row r="42" spans="2:13" x14ac:dyDescent="0.2">
      <c r="B42" s="26" t="s">
        <v>307</v>
      </c>
      <c r="C42" s="328" t="s">
        <v>1089</v>
      </c>
      <c r="D42" s="328" t="s">
        <v>1090</v>
      </c>
      <c r="E42" s="328" t="s">
        <v>1091</v>
      </c>
      <c r="F42" s="328" t="s">
        <v>1092</v>
      </c>
      <c r="G42" s="328" t="s">
        <v>1093</v>
      </c>
      <c r="H42" s="328" t="s">
        <v>1094</v>
      </c>
      <c r="I42" s="328" t="s">
        <v>1095</v>
      </c>
      <c r="J42" s="328" t="s">
        <v>1096</v>
      </c>
      <c r="K42" s="328" t="s">
        <v>1097</v>
      </c>
      <c r="L42" s="327" t="s">
        <v>3015</v>
      </c>
      <c r="M42" s="328"/>
    </row>
    <row r="43" spans="2:13" x14ac:dyDescent="0.2">
      <c r="B43" s="26" t="s">
        <v>303</v>
      </c>
      <c r="C43" s="328" t="s">
        <v>303</v>
      </c>
      <c r="D43" s="328" t="s">
        <v>303</v>
      </c>
      <c r="E43" s="328" t="s">
        <v>1098</v>
      </c>
      <c r="F43" s="328" t="s">
        <v>1099</v>
      </c>
      <c r="G43" s="328" t="s">
        <v>1100</v>
      </c>
      <c r="H43" s="328" t="s">
        <v>1101</v>
      </c>
      <c r="I43" s="328" t="s">
        <v>303</v>
      </c>
      <c r="J43" s="328" t="s">
        <v>1102</v>
      </c>
      <c r="K43" s="328" t="s">
        <v>1103</v>
      </c>
      <c r="L43" s="327" t="s">
        <v>3016</v>
      </c>
      <c r="M43" s="328"/>
    </row>
    <row r="44" spans="2:13" x14ac:dyDescent="0.2">
      <c r="B44" s="26" t="s">
        <v>10</v>
      </c>
      <c r="C44" s="328" t="s">
        <v>1104</v>
      </c>
      <c r="D44" s="328" t="s">
        <v>1105</v>
      </c>
      <c r="E44" s="328" t="s">
        <v>1106</v>
      </c>
      <c r="F44" s="328" t="s">
        <v>1107</v>
      </c>
      <c r="G44" s="328" t="s">
        <v>1108</v>
      </c>
      <c r="H44" s="328" t="s">
        <v>1109</v>
      </c>
      <c r="I44" s="328" t="s">
        <v>1110</v>
      </c>
      <c r="J44" s="328" t="s">
        <v>1111</v>
      </c>
      <c r="K44" s="328" t="s">
        <v>1112</v>
      </c>
      <c r="L44" s="327" t="s">
        <v>3017</v>
      </c>
      <c r="M44" s="328"/>
    </row>
    <row r="45" spans="2:13" x14ac:dyDescent="0.2">
      <c r="B45" s="26" t="s">
        <v>667</v>
      </c>
      <c r="C45" s="328" t="s">
        <v>1113</v>
      </c>
      <c r="D45" s="328" t="s">
        <v>1114</v>
      </c>
      <c r="E45" s="328" t="s">
        <v>1115</v>
      </c>
      <c r="F45" s="328" t="s">
        <v>667</v>
      </c>
      <c r="G45" s="328" t="s">
        <v>1116</v>
      </c>
      <c r="H45" s="328" t="s">
        <v>1117</v>
      </c>
      <c r="I45" s="328" t="s">
        <v>667</v>
      </c>
      <c r="J45" s="328" t="s">
        <v>1118</v>
      </c>
      <c r="K45" s="328" t="s">
        <v>1119</v>
      </c>
      <c r="L45" s="327" t="s">
        <v>667</v>
      </c>
      <c r="M45" s="328"/>
    </row>
    <row r="46" spans="2:13" x14ac:dyDescent="0.2">
      <c r="B46" s="26" t="s">
        <v>15</v>
      </c>
      <c r="C46" s="328" t="s">
        <v>1120</v>
      </c>
      <c r="D46" s="328" t="s">
        <v>1121</v>
      </c>
      <c r="E46" s="328" t="s">
        <v>1122</v>
      </c>
      <c r="F46" s="328" t="s">
        <v>1123</v>
      </c>
      <c r="G46" s="328" t="s">
        <v>1124</v>
      </c>
      <c r="H46" s="328" t="s">
        <v>1125</v>
      </c>
      <c r="I46" s="328" t="s">
        <v>1126</v>
      </c>
      <c r="J46" s="328" t="s">
        <v>1127</v>
      </c>
      <c r="K46" s="328" t="s">
        <v>1128</v>
      </c>
      <c r="L46" s="327" t="s">
        <v>3018</v>
      </c>
      <c r="M46" s="328"/>
    </row>
    <row r="47" spans="2:13" x14ac:dyDescent="0.2">
      <c r="B47" s="26" t="s">
        <v>262</v>
      </c>
      <c r="C47" s="328" t="s">
        <v>1129</v>
      </c>
      <c r="D47" s="328" t="s">
        <v>1130</v>
      </c>
      <c r="E47" s="328" t="s">
        <v>1131</v>
      </c>
      <c r="F47" s="328" t="s">
        <v>1132</v>
      </c>
      <c r="G47" s="328" t="s">
        <v>1133</v>
      </c>
      <c r="H47" s="328" t="s">
        <v>1134</v>
      </c>
      <c r="I47" s="328" t="s">
        <v>1135</v>
      </c>
      <c r="J47" s="328" t="s">
        <v>1136</v>
      </c>
      <c r="K47" s="328" t="s">
        <v>1137</v>
      </c>
      <c r="L47" s="327" t="s">
        <v>3019</v>
      </c>
      <c r="M47" s="328"/>
    </row>
    <row r="48" spans="2:13" x14ac:dyDescent="0.2">
      <c r="B48" s="26" t="s">
        <v>263</v>
      </c>
      <c r="C48" s="328" t="s">
        <v>1138</v>
      </c>
      <c r="D48" s="328" t="s">
        <v>1139</v>
      </c>
      <c r="E48" s="328" t="s">
        <v>1140</v>
      </c>
      <c r="F48" s="328" t="s">
        <v>1141</v>
      </c>
      <c r="G48" s="328" t="s">
        <v>1142</v>
      </c>
      <c r="H48" s="328" t="s">
        <v>1143</v>
      </c>
      <c r="I48" s="328" t="s">
        <v>1144</v>
      </c>
      <c r="J48" s="328" t="s">
        <v>1145</v>
      </c>
      <c r="K48" s="328" t="s">
        <v>1146</v>
      </c>
      <c r="L48" s="327" t="s">
        <v>3020</v>
      </c>
      <c r="M48" s="328"/>
    </row>
    <row r="49" spans="2:13" x14ac:dyDescent="0.2">
      <c r="B49" s="26" t="s">
        <v>264</v>
      </c>
      <c r="C49" s="328" t="s">
        <v>1147</v>
      </c>
      <c r="D49" s="328" t="s">
        <v>1147</v>
      </c>
      <c r="E49" s="328" t="s">
        <v>1148</v>
      </c>
      <c r="F49" s="328" t="s">
        <v>1149</v>
      </c>
      <c r="G49" s="328" t="s">
        <v>1150</v>
      </c>
      <c r="H49" s="328" t="s">
        <v>1151</v>
      </c>
      <c r="I49" s="328" t="s">
        <v>1152</v>
      </c>
      <c r="J49" s="328" t="s">
        <v>1153</v>
      </c>
      <c r="K49" s="328" t="s">
        <v>1154</v>
      </c>
      <c r="L49" s="327" t="s">
        <v>3021</v>
      </c>
      <c r="M49" s="328"/>
    </row>
    <row r="50" spans="2:13" x14ac:dyDescent="0.2">
      <c r="B50" s="26" t="s">
        <v>265</v>
      </c>
      <c r="C50" s="328" t="s">
        <v>1155</v>
      </c>
      <c r="D50" s="328" t="s">
        <v>1155</v>
      </c>
      <c r="E50" s="328" t="s">
        <v>1156</v>
      </c>
      <c r="F50" s="328" t="s">
        <v>1157</v>
      </c>
      <c r="G50" s="328" t="s">
        <v>1158</v>
      </c>
      <c r="H50" s="328" t="s">
        <v>1159</v>
      </c>
      <c r="I50" s="328" t="s">
        <v>1160</v>
      </c>
      <c r="J50" s="328" t="s">
        <v>1161</v>
      </c>
      <c r="K50" s="328" t="s">
        <v>1162</v>
      </c>
      <c r="L50" s="327" t="s">
        <v>3022</v>
      </c>
      <c r="M50" s="328"/>
    </row>
    <row r="51" spans="2:13" x14ac:dyDescent="0.2">
      <c r="B51" s="26" t="s">
        <v>285</v>
      </c>
      <c r="C51" s="328" t="s">
        <v>1163</v>
      </c>
      <c r="D51" s="328" t="s">
        <v>1164</v>
      </c>
      <c r="E51" s="328" t="s">
        <v>1165</v>
      </c>
      <c r="F51" s="328" t="s">
        <v>1166</v>
      </c>
      <c r="G51" s="328" t="s">
        <v>1167</v>
      </c>
      <c r="H51" s="328" t="s">
        <v>1168</v>
      </c>
      <c r="I51" s="328" t="s">
        <v>1169</v>
      </c>
      <c r="J51" s="328" t="s">
        <v>1170</v>
      </c>
      <c r="K51" s="328" t="s">
        <v>1171</v>
      </c>
      <c r="L51" s="327" t="s">
        <v>3023</v>
      </c>
      <c r="M51" s="328"/>
    </row>
    <row r="52" spans="2:13" x14ac:dyDescent="0.2">
      <c r="B52" s="26" t="s">
        <v>299</v>
      </c>
      <c r="C52" s="328" t="s">
        <v>1172</v>
      </c>
      <c r="D52" s="328" t="s">
        <v>1173</v>
      </c>
      <c r="E52" s="328" t="s">
        <v>1174</v>
      </c>
      <c r="F52" s="328" t="s">
        <v>1175</v>
      </c>
      <c r="G52" s="328" t="s">
        <v>1176</v>
      </c>
      <c r="H52" s="328" t="s">
        <v>1177</v>
      </c>
      <c r="I52" s="328" t="s">
        <v>1178</v>
      </c>
      <c r="J52" s="328" t="s">
        <v>1179</v>
      </c>
      <c r="K52" s="328" t="s">
        <v>1180</v>
      </c>
      <c r="L52" s="327" t="s">
        <v>3024</v>
      </c>
      <c r="M52" s="328"/>
    </row>
    <row r="53" spans="2:13" x14ac:dyDescent="0.2">
      <c r="B53" s="26" t="s">
        <v>300</v>
      </c>
      <c r="C53" s="328" t="s">
        <v>1181</v>
      </c>
      <c r="D53" s="328" t="s">
        <v>1182</v>
      </c>
      <c r="E53" s="328" t="s">
        <v>1183</v>
      </c>
      <c r="F53" s="328" t="s">
        <v>1184</v>
      </c>
      <c r="G53" s="328" t="s">
        <v>1185</v>
      </c>
      <c r="H53" s="328" t="s">
        <v>1186</v>
      </c>
      <c r="I53" s="328" t="s">
        <v>1187</v>
      </c>
      <c r="J53" s="328" t="s">
        <v>1188</v>
      </c>
      <c r="K53" s="328" t="s">
        <v>1189</v>
      </c>
      <c r="L53" s="327" t="s">
        <v>3025</v>
      </c>
      <c r="M53" s="328"/>
    </row>
    <row r="54" spans="2:13" x14ac:dyDescent="0.2">
      <c r="B54" s="26" t="s">
        <v>301</v>
      </c>
      <c r="C54" s="328" t="s">
        <v>1190</v>
      </c>
      <c r="D54" s="328" t="s">
        <v>1191</v>
      </c>
      <c r="E54" s="328" t="s">
        <v>1192</v>
      </c>
      <c r="F54" s="328" t="s">
        <v>1193</v>
      </c>
      <c r="G54" s="328" t="s">
        <v>1194</v>
      </c>
      <c r="H54" s="328" t="s">
        <v>1195</v>
      </c>
      <c r="I54" s="328" t="s">
        <v>1196</v>
      </c>
      <c r="J54" s="328" t="s">
        <v>1197</v>
      </c>
      <c r="K54" s="328" t="s">
        <v>1198</v>
      </c>
      <c r="L54" s="327" t="s">
        <v>3026</v>
      </c>
      <c r="M54" s="328"/>
    </row>
    <row r="55" spans="2:13" x14ac:dyDescent="0.2">
      <c r="B55" s="26" t="s">
        <v>302</v>
      </c>
      <c r="C55" s="328" t="s">
        <v>1199</v>
      </c>
      <c r="D55" s="328" t="s">
        <v>1200</v>
      </c>
      <c r="E55" s="328" t="s">
        <v>1201</v>
      </c>
      <c r="F55" s="328" t="s">
        <v>1202</v>
      </c>
      <c r="G55" s="328" t="s">
        <v>1203</v>
      </c>
      <c r="H55" s="328" t="s">
        <v>1204</v>
      </c>
      <c r="I55" s="328" t="s">
        <v>1205</v>
      </c>
      <c r="J55" s="328" t="s">
        <v>1206</v>
      </c>
      <c r="K55" s="328" t="s">
        <v>1207</v>
      </c>
      <c r="L55" s="327" t="s">
        <v>3027</v>
      </c>
      <c r="M55" s="328"/>
    </row>
    <row r="56" spans="2:13" x14ac:dyDescent="0.2">
      <c r="B56" s="26" t="s">
        <v>286</v>
      </c>
      <c r="C56" s="328" t="s">
        <v>1208</v>
      </c>
      <c r="D56" s="328" t="s">
        <v>1209</v>
      </c>
      <c r="E56" s="328" t="s">
        <v>1210</v>
      </c>
      <c r="F56" s="328" t="s">
        <v>1211</v>
      </c>
      <c r="G56" s="328" t="s">
        <v>1212</v>
      </c>
      <c r="H56" s="328" t="s">
        <v>1213</v>
      </c>
      <c r="I56" s="328" t="s">
        <v>1214</v>
      </c>
      <c r="J56" s="328" t="s">
        <v>1215</v>
      </c>
      <c r="K56" s="328" t="s">
        <v>1216</v>
      </c>
      <c r="L56" s="327" t="s">
        <v>3028</v>
      </c>
      <c r="M56" s="328"/>
    </row>
    <row r="57" spans="2:13" x14ac:dyDescent="0.2">
      <c r="B57" s="26" t="s">
        <v>287</v>
      </c>
      <c r="C57" s="328" t="s">
        <v>1217</v>
      </c>
      <c r="D57" s="328" t="s">
        <v>1218</v>
      </c>
      <c r="E57" s="328" t="s">
        <v>1219</v>
      </c>
      <c r="F57" s="328" t="s">
        <v>1220</v>
      </c>
      <c r="G57" s="328" t="s">
        <v>1221</v>
      </c>
      <c r="H57" s="328" t="s">
        <v>1220</v>
      </c>
      <c r="I57" s="328" t="s">
        <v>1220</v>
      </c>
      <c r="J57" s="328" t="s">
        <v>287</v>
      </c>
      <c r="K57" s="328" t="s">
        <v>1222</v>
      </c>
      <c r="L57" s="327" t="s">
        <v>287</v>
      </c>
      <c r="M57" s="328"/>
    </row>
    <row r="58" spans="2:13" x14ac:dyDescent="0.2">
      <c r="B58" s="26" t="s">
        <v>288</v>
      </c>
      <c r="C58" s="328" t="s">
        <v>1223</v>
      </c>
      <c r="D58" s="328" t="s">
        <v>1224</v>
      </c>
      <c r="E58" s="328" t="s">
        <v>1225</v>
      </c>
      <c r="F58" s="328" t="s">
        <v>1226</v>
      </c>
      <c r="G58" s="328" t="s">
        <v>1227</v>
      </c>
      <c r="H58" s="328" t="s">
        <v>1228</v>
      </c>
      <c r="I58" s="328" t="s">
        <v>1229</v>
      </c>
      <c r="J58" s="328" t="s">
        <v>1230</v>
      </c>
      <c r="K58" s="328" t="s">
        <v>1231</v>
      </c>
      <c r="L58" s="327" t="s">
        <v>3029</v>
      </c>
      <c r="M58" s="328"/>
    </row>
    <row r="59" spans="2:13" x14ac:dyDescent="0.2">
      <c r="B59" s="26" t="s">
        <v>272</v>
      </c>
      <c r="C59" s="328" t="s">
        <v>1232</v>
      </c>
      <c r="D59" s="328" t="s">
        <v>1233</v>
      </c>
      <c r="E59" s="328" t="s">
        <v>1234</v>
      </c>
      <c r="F59" s="328" t="s">
        <v>1235</v>
      </c>
      <c r="G59" s="328" t="s">
        <v>1236</v>
      </c>
      <c r="H59" s="328" t="s">
        <v>1237</v>
      </c>
      <c r="I59" s="328" t="s">
        <v>1238</v>
      </c>
      <c r="J59" s="328" t="s">
        <v>1239</v>
      </c>
      <c r="K59" s="328" t="s">
        <v>1240</v>
      </c>
      <c r="L59" s="327" t="s">
        <v>3030</v>
      </c>
      <c r="M59" s="328"/>
    </row>
    <row r="60" spans="2:13" x14ac:dyDescent="0.2">
      <c r="B60" s="26" t="s">
        <v>0</v>
      </c>
      <c r="C60" s="328" t="s">
        <v>1241</v>
      </c>
      <c r="D60" s="328" t="s">
        <v>1242</v>
      </c>
      <c r="E60" s="328" t="s">
        <v>1243</v>
      </c>
      <c r="F60" s="328" t="s">
        <v>1244</v>
      </c>
      <c r="G60" s="328" t="s">
        <v>1245</v>
      </c>
      <c r="H60" s="328" t="s">
        <v>1246</v>
      </c>
      <c r="I60" s="328" t="s">
        <v>1247</v>
      </c>
      <c r="J60" s="328" t="s">
        <v>1248</v>
      </c>
      <c r="K60" s="328" t="s">
        <v>1249</v>
      </c>
      <c r="L60" s="327" t="s">
        <v>0</v>
      </c>
      <c r="M60" s="328"/>
    </row>
    <row r="61" spans="2:13" x14ac:dyDescent="0.2">
      <c r="B61" s="26" t="s">
        <v>275</v>
      </c>
      <c r="C61" s="328" t="s">
        <v>1250</v>
      </c>
      <c r="D61" s="328" t="s">
        <v>1251</v>
      </c>
      <c r="E61" s="328" t="s">
        <v>1252</v>
      </c>
      <c r="F61" s="328" t="s">
        <v>1253</v>
      </c>
      <c r="G61" s="328" t="s">
        <v>1254</v>
      </c>
      <c r="H61" s="328" t="s">
        <v>1255</v>
      </c>
      <c r="I61" s="328" t="s">
        <v>1256</v>
      </c>
      <c r="J61" s="328" t="s">
        <v>1257</v>
      </c>
      <c r="K61" s="328" t="s">
        <v>1258</v>
      </c>
      <c r="L61" s="327" t="s">
        <v>3031</v>
      </c>
      <c r="M61" s="328"/>
    </row>
    <row r="62" spans="2:13" x14ac:dyDescent="0.2">
      <c r="B62" s="26" t="s">
        <v>1</v>
      </c>
      <c r="C62" s="328" t="s">
        <v>1259</v>
      </c>
      <c r="D62" s="328" t="s">
        <v>1260</v>
      </c>
      <c r="E62" s="328" t="s">
        <v>1261</v>
      </c>
      <c r="F62" s="328" t="s">
        <v>1262</v>
      </c>
      <c r="G62" s="328" t="s">
        <v>1263</v>
      </c>
      <c r="H62" s="328" t="s">
        <v>1264</v>
      </c>
      <c r="I62" s="328" t="s">
        <v>1265</v>
      </c>
      <c r="J62" s="328" t="s">
        <v>1266</v>
      </c>
      <c r="K62" s="328" t="s">
        <v>1267</v>
      </c>
      <c r="L62" s="327" t="s">
        <v>3032</v>
      </c>
      <c r="M62" s="328"/>
    </row>
    <row r="63" spans="2:13" x14ac:dyDescent="0.2">
      <c r="B63" s="26" t="s">
        <v>520</v>
      </c>
      <c r="C63" s="328" t="s">
        <v>1268</v>
      </c>
      <c r="D63" s="328" t="s">
        <v>1269</v>
      </c>
      <c r="E63" s="328" t="s">
        <v>1270</v>
      </c>
      <c r="F63" s="328" t="s">
        <v>1271</v>
      </c>
      <c r="G63" s="328" t="s">
        <v>1272</v>
      </c>
      <c r="H63" s="328" t="s">
        <v>1273</v>
      </c>
      <c r="I63" s="328" t="s">
        <v>1274</v>
      </c>
      <c r="J63" s="328" t="s">
        <v>1275</v>
      </c>
      <c r="K63" s="328" t="s">
        <v>1276</v>
      </c>
      <c r="L63" s="327" t="s">
        <v>3033</v>
      </c>
      <c r="M63" s="328"/>
    </row>
    <row r="64" spans="2:13" x14ac:dyDescent="0.2">
      <c r="B64" s="26" t="s">
        <v>2</v>
      </c>
      <c r="C64" s="328" t="s">
        <v>1277</v>
      </c>
      <c r="D64" s="328" t="s">
        <v>1278</v>
      </c>
      <c r="E64" s="328" t="s">
        <v>1279</v>
      </c>
      <c r="F64" s="328" t="s">
        <v>1280</v>
      </c>
      <c r="G64" s="328" t="s">
        <v>1281</v>
      </c>
      <c r="H64" s="328" t="s">
        <v>1282</v>
      </c>
      <c r="I64" s="328" t="s">
        <v>1283</v>
      </c>
      <c r="J64" s="328" t="s">
        <v>1284</v>
      </c>
      <c r="K64" s="328" t="s">
        <v>1285</v>
      </c>
      <c r="L64" s="327" t="s">
        <v>3034</v>
      </c>
      <c r="M64" s="328"/>
    </row>
    <row r="65" spans="2:13" x14ac:dyDescent="0.2">
      <c r="B65" s="26" t="s">
        <v>9</v>
      </c>
      <c r="C65" s="328" t="s">
        <v>1286</v>
      </c>
      <c r="D65" s="328" t="s">
        <v>1287</v>
      </c>
      <c r="E65" s="328" t="s">
        <v>1288</v>
      </c>
      <c r="F65" s="328" t="s">
        <v>1289</v>
      </c>
      <c r="G65" s="328" t="s">
        <v>1290</v>
      </c>
      <c r="H65" s="328" t="s">
        <v>1291</v>
      </c>
      <c r="I65" s="328" t="s">
        <v>1292</v>
      </c>
      <c r="J65" s="328" t="s">
        <v>1293</v>
      </c>
      <c r="K65" s="328" t="s">
        <v>1294</v>
      </c>
      <c r="L65" s="327" t="s">
        <v>3035</v>
      </c>
      <c r="M65" s="328"/>
    </row>
    <row r="66" spans="2:13" x14ac:dyDescent="0.2">
      <c r="B66" s="26" t="s">
        <v>3</v>
      </c>
      <c r="C66" s="328" t="s">
        <v>1295</v>
      </c>
      <c r="D66" s="328" t="s">
        <v>1296</v>
      </c>
      <c r="E66" s="328" t="s">
        <v>1297</v>
      </c>
      <c r="F66" s="328" t="s">
        <v>1298</v>
      </c>
      <c r="G66" s="328" t="s">
        <v>1299</v>
      </c>
      <c r="H66" s="328" t="s">
        <v>1300</v>
      </c>
      <c r="I66" s="328" t="s">
        <v>1301</v>
      </c>
      <c r="J66" s="328" t="s">
        <v>1302</v>
      </c>
      <c r="K66" s="328" t="s">
        <v>1303</v>
      </c>
      <c r="L66" s="327" t="s">
        <v>3036</v>
      </c>
      <c r="M66" s="328"/>
    </row>
    <row r="67" spans="2:13" x14ac:dyDescent="0.2">
      <c r="B67" s="26" t="s">
        <v>4</v>
      </c>
      <c r="C67" s="328" t="s">
        <v>1304</v>
      </c>
      <c r="D67" s="328" t="s">
        <v>1305</v>
      </c>
      <c r="E67" s="328" t="s">
        <v>1306</v>
      </c>
      <c r="F67" s="328" t="s">
        <v>1307</v>
      </c>
      <c r="G67" s="328" t="s">
        <v>1308</v>
      </c>
      <c r="H67" s="328" t="s">
        <v>1309</v>
      </c>
      <c r="I67" s="328" t="s">
        <v>1310</v>
      </c>
      <c r="J67" s="328" t="s">
        <v>1311</v>
      </c>
      <c r="K67" s="328" t="s">
        <v>1312</v>
      </c>
      <c r="L67" s="327" t="s">
        <v>3037</v>
      </c>
      <c r="M67" s="328"/>
    </row>
    <row r="68" spans="2:13" x14ac:dyDescent="0.2">
      <c r="B68" s="26" t="s">
        <v>5</v>
      </c>
      <c r="C68" s="328" t="s">
        <v>1313</v>
      </c>
      <c r="D68" s="328" t="s">
        <v>1314</v>
      </c>
      <c r="E68" s="328" t="s">
        <v>1315</v>
      </c>
      <c r="F68" s="328" t="s">
        <v>1316</v>
      </c>
      <c r="G68" s="328" t="s">
        <v>1317</v>
      </c>
      <c r="H68" s="328" t="s">
        <v>1318</v>
      </c>
      <c r="I68" s="328" t="s">
        <v>1319</v>
      </c>
      <c r="J68" s="328" t="s">
        <v>1320</v>
      </c>
      <c r="K68" s="328" t="s">
        <v>1321</v>
      </c>
      <c r="L68" s="327" t="s">
        <v>3038</v>
      </c>
      <c r="M68" s="328"/>
    </row>
    <row r="69" spans="2:13" x14ac:dyDescent="0.2">
      <c r="B69" s="26" t="s">
        <v>289</v>
      </c>
      <c r="C69" s="328" t="s">
        <v>1322</v>
      </c>
      <c r="D69" s="328" t="s">
        <v>1323</v>
      </c>
      <c r="E69" s="328" t="s">
        <v>1324</v>
      </c>
      <c r="F69" s="328" t="s">
        <v>1325</v>
      </c>
      <c r="G69" s="328" t="s">
        <v>1326</v>
      </c>
      <c r="H69" s="328" t="s">
        <v>289</v>
      </c>
      <c r="I69" s="328" t="s">
        <v>1325</v>
      </c>
      <c r="J69" s="328" t="s">
        <v>289</v>
      </c>
      <c r="K69" s="328" t="s">
        <v>1206</v>
      </c>
      <c r="L69" s="327" t="s">
        <v>289</v>
      </c>
      <c r="M69" s="328"/>
    </row>
    <row r="70" spans="2:13" x14ac:dyDescent="0.2">
      <c r="B70" s="26" t="s">
        <v>6</v>
      </c>
      <c r="C70" s="328" t="s">
        <v>1327</v>
      </c>
      <c r="D70" s="328" t="s">
        <v>1328</v>
      </c>
      <c r="E70" s="328" t="s">
        <v>1329</v>
      </c>
      <c r="F70" s="328" t="s">
        <v>1330</v>
      </c>
      <c r="G70" s="328" t="s">
        <v>1331</v>
      </c>
      <c r="H70" s="328" t="s">
        <v>1332</v>
      </c>
      <c r="I70" s="328" t="s">
        <v>1333</v>
      </c>
      <c r="J70" s="328" t="s">
        <v>1334</v>
      </c>
      <c r="K70" s="328" t="s">
        <v>1335</v>
      </c>
      <c r="L70" s="327" t="s">
        <v>3039</v>
      </c>
      <c r="M70" s="328"/>
    </row>
    <row r="71" spans="2:13" x14ac:dyDescent="0.2">
      <c r="B71" s="26" t="s">
        <v>7</v>
      </c>
      <c r="C71" s="328" t="s">
        <v>1336</v>
      </c>
      <c r="D71" s="328" t="s">
        <v>1337</v>
      </c>
      <c r="E71" s="328" t="s">
        <v>1338</v>
      </c>
      <c r="F71" s="328" t="s">
        <v>1339</v>
      </c>
      <c r="G71" s="328" t="s">
        <v>1340</v>
      </c>
      <c r="H71" s="328" t="s">
        <v>1341</v>
      </c>
      <c r="I71" s="328" t="s">
        <v>1342</v>
      </c>
      <c r="J71" s="328" t="s">
        <v>1343</v>
      </c>
      <c r="K71" s="328" t="s">
        <v>1344</v>
      </c>
      <c r="L71" s="327" t="s">
        <v>3040</v>
      </c>
      <c r="M71" s="328"/>
    </row>
    <row r="72" spans="2:13" x14ac:dyDescent="0.2">
      <c r="B72" s="26" t="s">
        <v>8</v>
      </c>
      <c r="C72" s="328" t="s">
        <v>1345</v>
      </c>
      <c r="D72" s="328" t="s">
        <v>1346</v>
      </c>
      <c r="E72" s="328" t="s">
        <v>1347</v>
      </c>
      <c r="F72" s="328" t="s">
        <v>1348</v>
      </c>
      <c r="G72" s="328" t="s">
        <v>1349</v>
      </c>
      <c r="H72" s="328" t="s">
        <v>1350</v>
      </c>
      <c r="I72" s="328" t="s">
        <v>1351</v>
      </c>
      <c r="J72" s="328" t="s">
        <v>1352</v>
      </c>
      <c r="K72" s="328" t="s">
        <v>1353</v>
      </c>
      <c r="L72" s="327" t="s">
        <v>3041</v>
      </c>
      <c r="M72" s="328"/>
    </row>
    <row r="73" spans="2:13" x14ac:dyDescent="0.2">
      <c r="B73" s="26" t="s">
        <v>308</v>
      </c>
      <c r="C73" s="328" t="s">
        <v>1354</v>
      </c>
      <c r="D73" s="328" t="s">
        <v>1355</v>
      </c>
      <c r="E73" s="328" t="s">
        <v>1356</v>
      </c>
      <c r="F73" s="328" t="s">
        <v>1357</v>
      </c>
      <c r="G73" s="328" t="s">
        <v>1358</v>
      </c>
      <c r="H73" s="328" t="s">
        <v>1359</v>
      </c>
      <c r="I73" s="328" t="s">
        <v>1360</v>
      </c>
      <c r="J73" s="328" t="s">
        <v>1361</v>
      </c>
      <c r="K73" s="328" t="s">
        <v>1362</v>
      </c>
      <c r="L73" s="327" t="s">
        <v>3042</v>
      </c>
      <c r="M73" s="328"/>
    </row>
    <row r="74" spans="2:13" x14ac:dyDescent="0.2">
      <c r="B74" s="26" t="s">
        <v>309</v>
      </c>
      <c r="C74" s="328" t="s">
        <v>1363</v>
      </c>
      <c r="D74" s="328" t="s">
        <v>1364</v>
      </c>
      <c r="E74" s="328" t="s">
        <v>1365</v>
      </c>
      <c r="F74" s="328" t="s">
        <v>1366</v>
      </c>
      <c r="G74" s="328" t="s">
        <v>1367</v>
      </c>
      <c r="H74" s="328" t="s">
        <v>1368</v>
      </c>
      <c r="I74" s="328" t="s">
        <v>1369</v>
      </c>
      <c r="J74" s="328" t="s">
        <v>1370</v>
      </c>
      <c r="K74" s="328" t="s">
        <v>1371</v>
      </c>
      <c r="L74" s="327" t="s">
        <v>3043</v>
      </c>
      <c r="M74" s="328"/>
    </row>
    <row r="75" spans="2:13" x14ac:dyDescent="0.2">
      <c r="B75" s="26" t="s">
        <v>395</v>
      </c>
      <c r="C75" s="328" t="s">
        <v>1372</v>
      </c>
      <c r="D75" s="328" t="s">
        <v>1373</v>
      </c>
      <c r="E75" s="328" t="s">
        <v>1374</v>
      </c>
      <c r="F75" s="328" t="s">
        <v>1375</v>
      </c>
      <c r="G75" s="328" t="s">
        <v>1376</v>
      </c>
      <c r="H75" s="328" t="s">
        <v>1377</v>
      </c>
      <c r="I75" s="328" t="s">
        <v>1378</v>
      </c>
      <c r="J75" s="328" t="s">
        <v>1379</v>
      </c>
      <c r="K75" s="328" t="s">
        <v>1380</v>
      </c>
      <c r="L75" s="327" t="s">
        <v>3044</v>
      </c>
      <c r="M75" s="328"/>
    </row>
    <row r="76" spans="2:13" x14ac:dyDescent="0.2">
      <c r="B76" s="26" t="s">
        <v>411</v>
      </c>
      <c r="C76" s="328" t="s">
        <v>1381</v>
      </c>
      <c r="D76" s="328" t="s">
        <v>1382</v>
      </c>
      <c r="E76" s="328" t="s">
        <v>1383</v>
      </c>
      <c r="F76" s="328" t="s">
        <v>1384</v>
      </c>
      <c r="G76" s="328" t="s">
        <v>1385</v>
      </c>
      <c r="H76" s="328" t="s">
        <v>1386</v>
      </c>
      <c r="I76" s="328" t="s">
        <v>1387</v>
      </c>
      <c r="J76" s="328" t="s">
        <v>1388</v>
      </c>
      <c r="K76" s="328" t="s">
        <v>1389</v>
      </c>
      <c r="L76" s="327" t="s">
        <v>411</v>
      </c>
      <c r="M76" s="328"/>
    </row>
    <row r="77" spans="2:13" x14ac:dyDescent="0.2">
      <c r="B77" s="26" t="s">
        <v>396</v>
      </c>
      <c r="C77" s="328" t="s">
        <v>1390</v>
      </c>
      <c r="D77" s="328" t="s">
        <v>1391</v>
      </c>
      <c r="E77" s="328" t="s">
        <v>1392</v>
      </c>
      <c r="F77" s="328" t="s">
        <v>1393</v>
      </c>
      <c r="G77" s="328" t="s">
        <v>1394</v>
      </c>
      <c r="H77" s="328" t="s">
        <v>1395</v>
      </c>
      <c r="I77" s="328" t="s">
        <v>1396</v>
      </c>
      <c r="J77" s="328" t="s">
        <v>1397</v>
      </c>
      <c r="K77" s="328" t="s">
        <v>1398</v>
      </c>
      <c r="L77" s="327" t="s">
        <v>3045</v>
      </c>
      <c r="M77" s="328"/>
    </row>
    <row r="78" spans="2:13" x14ac:dyDescent="0.2">
      <c r="B78" s="26" t="s">
        <v>397</v>
      </c>
      <c r="C78" s="328" t="s">
        <v>1399</v>
      </c>
      <c r="D78" s="328" t="s">
        <v>1400</v>
      </c>
      <c r="E78" s="328" t="s">
        <v>1401</v>
      </c>
      <c r="F78" s="328" t="s">
        <v>1402</v>
      </c>
      <c r="G78" s="328" t="s">
        <v>1403</v>
      </c>
      <c r="H78" s="328" t="s">
        <v>1404</v>
      </c>
      <c r="I78" s="328" t="s">
        <v>1405</v>
      </c>
      <c r="J78" s="328" t="s">
        <v>1406</v>
      </c>
      <c r="K78" s="328" t="s">
        <v>1407</v>
      </c>
      <c r="L78" s="327" t="s">
        <v>3046</v>
      </c>
      <c r="M78" s="328"/>
    </row>
    <row r="79" spans="2:13" x14ac:dyDescent="0.2">
      <c r="B79" s="26" t="s">
        <v>398</v>
      </c>
      <c r="C79" s="328" t="s">
        <v>1408</v>
      </c>
      <c r="D79" s="328" t="s">
        <v>1408</v>
      </c>
      <c r="E79" s="328" t="s">
        <v>1409</v>
      </c>
      <c r="F79" s="328" t="s">
        <v>1410</v>
      </c>
      <c r="G79" s="328" t="s">
        <v>1411</v>
      </c>
      <c r="H79" s="328" t="s">
        <v>1412</v>
      </c>
      <c r="I79" s="328" t="s">
        <v>1413</v>
      </c>
      <c r="J79" s="328" t="s">
        <v>1414</v>
      </c>
      <c r="K79" s="328" t="s">
        <v>1415</v>
      </c>
      <c r="L79" s="327" t="s">
        <v>3047</v>
      </c>
      <c r="M79" s="328"/>
    </row>
    <row r="80" spans="2:13" x14ac:dyDescent="0.2">
      <c r="B80" s="26" t="s">
        <v>399</v>
      </c>
      <c r="C80" s="328" t="s">
        <v>1416</v>
      </c>
      <c r="D80" s="328" t="s">
        <v>1417</v>
      </c>
      <c r="E80" s="328" t="s">
        <v>1418</v>
      </c>
      <c r="F80" s="328" t="s">
        <v>1419</v>
      </c>
      <c r="G80" s="328" t="s">
        <v>1420</v>
      </c>
      <c r="H80" s="328" t="s">
        <v>1420</v>
      </c>
      <c r="I80" s="328" t="s">
        <v>1421</v>
      </c>
      <c r="J80" s="328" t="s">
        <v>1422</v>
      </c>
      <c r="K80" s="328" t="s">
        <v>1423</v>
      </c>
      <c r="L80" s="327" t="s">
        <v>3048</v>
      </c>
      <c r="M80" s="328"/>
    </row>
    <row r="81" spans="2:13" x14ac:dyDescent="0.2">
      <c r="B81" s="26" t="s">
        <v>4184</v>
      </c>
      <c r="C81" s="328" t="s">
        <v>4185</v>
      </c>
      <c r="D81" s="328" t="s">
        <v>4186</v>
      </c>
      <c r="E81" s="328" t="s">
        <v>4190</v>
      </c>
      <c r="F81" s="328" t="s">
        <v>4192</v>
      </c>
      <c r="G81" s="328" t="s">
        <v>4188</v>
      </c>
      <c r="H81" s="328" t="s">
        <v>4187</v>
      </c>
      <c r="I81" s="328" t="s">
        <v>4189</v>
      </c>
      <c r="J81" s="328" t="s">
        <v>4193</v>
      </c>
      <c r="K81" s="328" t="s">
        <v>4191</v>
      </c>
      <c r="L81" s="327" t="s">
        <v>4194</v>
      </c>
      <c r="M81" s="328"/>
    </row>
    <row r="82" spans="2:13" x14ac:dyDescent="0.2">
      <c r="B82" s="26" t="s">
        <v>401</v>
      </c>
      <c r="C82" s="328" t="s">
        <v>1426</v>
      </c>
      <c r="D82" s="328" t="s">
        <v>1427</v>
      </c>
      <c r="E82" s="328" t="s">
        <v>1428</v>
      </c>
      <c r="F82" s="328" t="s">
        <v>1429</v>
      </c>
      <c r="G82" s="328" t="s">
        <v>1430</v>
      </c>
      <c r="H82" s="328" t="s">
        <v>1431</v>
      </c>
      <c r="I82" s="328" t="s">
        <v>1432</v>
      </c>
      <c r="J82" s="328" t="s">
        <v>1433</v>
      </c>
      <c r="K82" s="328" t="s">
        <v>1434</v>
      </c>
      <c r="L82" s="327" t="s">
        <v>3049</v>
      </c>
      <c r="M82" s="328"/>
    </row>
    <row r="83" spans="2:13" x14ac:dyDescent="0.2">
      <c r="B83" s="26" t="s">
        <v>434</v>
      </c>
      <c r="C83" s="328" t="s">
        <v>1435</v>
      </c>
      <c r="D83" s="328" t="s">
        <v>1436</v>
      </c>
      <c r="E83" s="328" t="s">
        <v>1437</v>
      </c>
      <c r="F83" s="328" t="s">
        <v>1438</v>
      </c>
      <c r="G83" s="328" t="s">
        <v>1439</v>
      </c>
      <c r="H83" s="328" t="s">
        <v>434</v>
      </c>
      <c r="I83" s="328" t="s">
        <v>1440</v>
      </c>
      <c r="J83" s="328" t="s">
        <v>1441</v>
      </c>
      <c r="K83" s="328" t="s">
        <v>1442</v>
      </c>
      <c r="L83" s="327" t="s">
        <v>3050</v>
      </c>
      <c r="M83" s="328"/>
    </row>
    <row r="84" spans="2:13" x14ac:dyDescent="0.2">
      <c r="B84" s="26" t="s">
        <v>402</v>
      </c>
      <c r="C84" s="328" t="s">
        <v>1443</v>
      </c>
      <c r="D84" s="328" t="s">
        <v>1444</v>
      </c>
      <c r="E84" s="328" t="s">
        <v>1445</v>
      </c>
      <c r="F84" s="328" t="s">
        <v>1446</v>
      </c>
      <c r="G84" s="328" t="s">
        <v>1447</v>
      </c>
      <c r="H84" s="328" t="s">
        <v>1448</v>
      </c>
      <c r="I84" s="328" t="s">
        <v>1449</v>
      </c>
      <c r="J84" s="328" t="s">
        <v>1450</v>
      </c>
      <c r="K84" s="328" t="s">
        <v>1451</v>
      </c>
      <c r="L84" s="327" t="s">
        <v>3051</v>
      </c>
      <c r="M84" s="328"/>
    </row>
    <row r="85" spans="2:13" x14ac:dyDescent="0.2">
      <c r="B85" s="26" t="s">
        <v>403</v>
      </c>
      <c r="C85" s="328" t="s">
        <v>1452</v>
      </c>
      <c r="D85" s="328" t="s">
        <v>1452</v>
      </c>
      <c r="E85" s="328" t="s">
        <v>403</v>
      </c>
      <c r="F85" s="328" t="s">
        <v>403</v>
      </c>
      <c r="G85" s="328" t="s">
        <v>403</v>
      </c>
      <c r="H85" s="328" t="s">
        <v>403</v>
      </c>
      <c r="I85" s="328" t="s">
        <v>403</v>
      </c>
      <c r="J85" s="328" t="s">
        <v>403</v>
      </c>
      <c r="K85" s="328" t="s">
        <v>403</v>
      </c>
      <c r="L85" s="327" t="s">
        <v>3052</v>
      </c>
      <c r="M85" s="328"/>
    </row>
    <row r="86" spans="2:13" x14ac:dyDescent="0.2">
      <c r="B86" s="26" t="s">
        <v>404</v>
      </c>
      <c r="C86" s="328" t="s">
        <v>1453</v>
      </c>
      <c r="D86" s="328" t="s">
        <v>1454</v>
      </c>
      <c r="E86" s="328" t="s">
        <v>1455</v>
      </c>
      <c r="F86" s="328" t="s">
        <v>1456</v>
      </c>
      <c r="G86" s="328" t="s">
        <v>1457</v>
      </c>
      <c r="H86" s="328" t="s">
        <v>1458</v>
      </c>
      <c r="I86" s="328" t="s">
        <v>1459</v>
      </c>
      <c r="J86" s="328" t="s">
        <v>1460</v>
      </c>
      <c r="K86" s="328" t="s">
        <v>1461</v>
      </c>
      <c r="L86" s="327" t="s">
        <v>3053</v>
      </c>
      <c r="M86" s="328"/>
    </row>
    <row r="87" spans="2:13" x14ac:dyDescent="0.2">
      <c r="B87" s="26" t="s">
        <v>405</v>
      </c>
      <c r="C87" s="328" t="s">
        <v>1462</v>
      </c>
      <c r="D87" s="328" t="s">
        <v>1463</v>
      </c>
      <c r="E87" s="328" t="s">
        <v>1464</v>
      </c>
      <c r="F87" s="328" t="s">
        <v>1465</v>
      </c>
      <c r="G87" s="328" t="s">
        <v>1466</v>
      </c>
      <c r="H87" s="328" t="s">
        <v>1467</v>
      </c>
      <c r="I87" s="328" t="s">
        <v>1468</v>
      </c>
      <c r="J87" s="328" t="s">
        <v>1469</v>
      </c>
      <c r="K87" s="328" t="s">
        <v>1470</v>
      </c>
      <c r="L87" s="327" t="s">
        <v>3054</v>
      </c>
      <c r="M87" s="328"/>
    </row>
    <row r="88" spans="2:13" x14ac:dyDescent="0.2">
      <c r="B88" s="26" t="s">
        <v>406</v>
      </c>
      <c r="C88" s="328" t="s">
        <v>1471</v>
      </c>
      <c r="D88" s="328" t="s">
        <v>1472</v>
      </c>
      <c r="E88" s="328" t="s">
        <v>1473</v>
      </c>
      <c r="F88" s="328" t="s">
        <v>1474</v>
      </c>
      <c r="G88" s="328" t="s">
        <v>1475</v>
      </c>
      <c r="H88" s="328" t="s">
        <v>1476</v>
      </c>
      <c r="I88" s="328" t="s">
        <v>1477</v>
      </c>
      <c r="J88" s="328" t="s">
        <v>1478</v>
      </c>
      <c r="K88" s="328" t="s">
        <v>1479</v>
      </c>
      <c r="L88" s="327" t="s">
        <v>3055</v>
      </c>
      <c r="M88" s="328"/>
    </row>
    <row r="89" spans="2:13" x14ac:dyDescent="0.2">
      <c r="B89" s="26" t="s">
        <v>4195</v>
      </c>
      <c r="C89" s="328" t="s">
        <v>4196</v>
      </c>
      <c r="D89" s="328" t="s">
        <v>4197</v>
      </c>
      <c r="E89" s="328" t="s">
        <v>4201</v>
      </c>
      <c r="F89" s="328" t="s">
        <v>4203</v>
      </c>
      <c r="G89" s="328" t="s">
        <v>4199</v>
      </c>
      <c r="H89" s="328" t="s">
        <v>4198</v>
      </c>
      <c r="I89" s="328" t="s">
        <v>4200</v>
      </c>
      <c r="J89" s="328" t="s">
        <v>4204</v>
      </c>
      <c r="K89" s="328" t="s">
        <v>4202</v>
      </c>
      <c r="L89" s="327" t="s">
        <v>4205</v>
      </c>
      <c r="M89" s="328"/>
    </row>
    <row r="90" spans="2:13" x14ac:dyDescent="0.2">
      <c r="B90" s="26" t="s">
        <v>407</v>
      </c>
      <c r="C90" s="328" t="s">
        <v>1480</v>
      </c>
      <c r="D90" s="328" t="s">
        <v>1481</v>
      </c>
      <c r="E90" s="328" t="s">
        <v>1482</v>
      </c>
      <c r="F90" s="328" t="s">
        <v>1483</v>
      </c>
      <c r="G90" s="328" t="s">
        <v>1484</v>
      </c>
      <c r="H90" s="328" t="s">
        <v>1485</v>
      </c>
      <c r="I90" s="328" t="s">
        <v>1486</v>
      </c>
      <c r="J90" s="328" t="s">
        <v>1487</v>
      </c>
      <c r="K90" s="328" t="s">
        <v>1488</v>
      </c>
      <c r="L90" s="327" t="s">
        <v>3056</v>
      </c>
      <c r="M90" s="328"/>
    </row>
    <row r="91" spans="2:13" x14ac:dyDescent="0.2">
      <c r="B91" s="26" t="s">
        <v>408</v>
      </c>
      <c r="C91" s="328" t="s">
        <v>1489</v>
      </c>
      <c r="D91" s="328" t="s">
        <v>1490</v>
      </c>
      <c r="E91" s="328" t="s">
        <v>1491</v>
      </c>
      <c r="F91" s="328" t="s">
        <v>1492</v>
      </c>
      <c r="G91" s="328" t="s">
        <v>1493</v>
      </c>
      <c r="H91" s="328" t="s">
        <v>1494</v>
      </c>
      <c r="I91" s="328" t="s">
        <v>1495</v>
      </c>
      <c r="J91" s="328" t="s">
        <v>1496</v>
      </c>
      <c r="K91" s="328" t="s">
        <v>1497</v>
      </c>
      <c r="L91" s="327" t="s">
        <v>3057</v>
      </c>
      <c r="M91" s="328"/>
    </row>
    <row r="92" spans="2:13" x14ac:dyDescent="0.2">
      <c r="B92" s="26" t="s">
        <v>427</v>
      </c>
      <c r="C92" s="328" t="s">
        <v>1498</v>
      </c>
      <c r="D92" s="328" t="s">
        <v>1499</v>
      </c>
      <c r="E92" s="328" t="s">
        <v>1500</v>
      </c>
      <c r="F92" s="328" t="s">
        <v>1501</v>
      </c>
      <c r="G92" s="328" t="s">
        <v>1502</v>
      </c>
      <c r="H92" s="328" t="s">
        <v>1503</v>
      </c>
      <c r="I92" s="328" t="s">
        <v>1504</v>
      </c>
      <c r="J92" s="328" t="s">
        <v>1505</v>
      </c>
      <c r="K92" s="328" t="s">
        <v>1506</v>
      </c>
      <c r="L92" s="327" t="s">
        <v>3058</v>
      </c>
      <c r="M92" s="328"/>
    </row>
    <row r="93" spans="2:13" x14ac:dyDescent="0.2">
      <c r="B93" s="26" t="s">
        <v>428</v>
      </c>
      <c r="C93" s="328" t="s">
        <v>1507</v>
      </c>
      <c r="D93" s="328" t="s">
        <v>1508</v>
      </c>
      <c r="E93" s="328" t="s">
        <v>1509</v>
      </c>
      <c r="F93" s="328" t="s">
        <v>1510</v>
      </c>
      <c r="G93" s="328" t="s">
        <v>1511</v>
      </c>
      <c r="H93" s="328" t="s">
        <v>1512</v>
      </c>
      <c r="I93" s="328" t="s">
        <v>1513</v>
      </c>
      <c r="J93" s="328" t="s">
        <v>1514</v>
      </c>
      <c r="K93" s="328" t="s">
        <v>1515</v>
      </c>
      <c r="L93" s="327" t="s">
        <v>3059</v>
      </c>
      <c r="M93" s="328"/>
    </row>
    <row r="94" spans="2:13" x14ac:dyDescent="0.2">
      <c r="B94" s="26" t="s">
        <v>429</v>
      </c>
      <c r="C94" s="328" t="s">
        <v>1516</v>
      </c>
      <c r="D94" s="328" t="s">
        <v>1517</v>
      </c>
      <c r="E94" s="328" t="s">
        <v>1518</v>
      </c>
      <c r="F94" s="328" t="s">
        <v>1519</v>
      </c>
      <c r="G94" s="328" t="s">
        <v>1520</v>
      </c>
      <c r="H94" s="328" t="s">
        <v>1521</v>
      </c>
      <c r="I94" s="328" t="s">
        <v>1522</v>
      </c>
      <c r="J94" s="328" t="s">
        <v>1523</v>
      </c>
      <c r="K94" s="328" t="s">
        <v>1524</v>
      </c>
      <c r="L94" s="327" t="s">
        <v>3060</v>
      </c>
      <c r="M94" s="328"/>
    </row>
    <row r="95" spans="2:13" x14ac:dyDescent="0.2">
      <c r="B95" s="26" t="s">
        <v>430</v>
      </c>
      <c r="C95" s="328" t="s">
        <v>1525</v>
      </c>
      <c r="D95" s="328" t="s">
        <v>1526</v>
      </c>
      <c r="E95" s="328" t="s">
        <v>1527</v>
      </c>
      <c r="F95" s="328" t="s">
        <v>1528</v>
      </c>
      <c r="G95" s="328" t="s">
        <v>1529</v>
      </c>
      <c r="H95" s="328" t="s">
        <v>1530</v>
      </c>
      <c r="I95" s="328" t="s">
        <v>1531</v>
      </c>
      <c r="J95" s="328" t="s">
        <v>1532</v>
      </c>
      <c r="K95" s="328" t="s">
        <v>1533</v>
      </c>
      <c r="L95" s="327" t="s">
        <v>3061</v>
      </c>
      <c r="M95" s="328"/>
    </row>
    <row r="96" spans="2:13" x14ac:dyDescent="0.2">
      <c r="B96" s="26" t="s">
        <v>431</v>
      </c>
      <c r="C96" s="328" t="s">
        <v>1534</v>
      </c>
      <c r="D96" s="328" t="s">
        <v>1535</v>
      </c>
      <c r="E96" s="328" t="s">
        <v>1536</v>
      </c>
      <c r="F96" s="328" t="s">
        <v>1537</v>
      </c>
      <c r="G96" s="328" t="s">
        <v>1538</v>
      </c>
      <c r="H96" s="328" t="s">
        <v>1539</v>
      </c>
      <c r="I96" s="328" t="s">
        <v>1540</v>
      </c>
      <c r="J96" s="328" t="s">
        <v>1541</v>
      </c>
      <c r="K96" s="328" t="s">
        <v>1542</v>
      </c>
      <c r="L96" s="327" t="s">
        <v>3062</v>
      </c>
      <c r="M96" s="328"/>
    </row>
    <row r="97" spans="2:13" x14ac:dyDescent="0.2">
      <c r="B97" s="26" t="s">
        <v>786</v>
      </c>
      <c r="C97" s="328" t="s">
        <v>1543</v>
      </c>
      <c r="D97" s="328" t="s">
        <v>1544</v>
      </c>
      <c r="E97" s="328" t="s">
        <v>1545</v>
      </c>
      <c r="F97" s="328" t="s">
        <v>1546</v>
      </c>
      <c r="G97" s="328" t="s">
        <v>1547</v>
      </c>
      <c r="H97" s="328" t="s">
        <v>1548</v>
      </c>
      <c r="I97" s="328" t="s">
        <v>1549</v>
      </c>
      <c r="J97" s="328" t="s">
        <v>1550</v>
      </c>
      <c r="K97" s="328" t="s">
        <v>1551</v>
      </c>
      <c r="L97" s="327" t="s">
        <v>3063</v>
      </c>
      <c r="M97" s="328"/>
    </row>
    <row r="98" spans="2:13" x14ac:dyDescent="0.2">
      <c r="B98" s="26" t="s">
        <v>522</v>
      </c>
      <c r="C98" s="328" t="s">
        <v>1552</v>
      </c>
      <c r="D98" s="328" t="s">
        <v>1552</v>
      </c>
      <c r="E98" s="328" t="s">
        <v>1553</v>
      </c>
      <c r="F98" s="328" t="s">
        <v>1554</v>
      </c>
      <c r="G98" s="328" t="s">
        <v>1555</v>
      </c>
      <c r="H98" s="328" t="s">
        <v>1556</v>
      </c>
      <c r="I98" s="328" t="s">
        <v>1557</v>
      </c>
      <c r="J98" s="328" t="s">
        <v>1558</v>
      </c>
      <c r="K98" s="328" t="s">
        <v>1559</v>
      </c>
      <c r="L98" s="327" t="s">
        <v>3064</v>
      </c>
      <c r="M98" s="328"/>
    </row>
    <row r="99" spans="2:13" x14ac:dyDescent="0.2">
      <c r="B99" s="26" t="s">
        <v>432</v>
      </c>
      <c r="C99" s="328" t="s">
        <v>1560</v>
      </c>
      <c r="D99" s="328" t="s">
        <v>1561</v>
      </c>
      <c r="E99" s="328" t="s">
        <v>1562</v>
      </c>
      <c r="F99" s="328" t="s">
        <v>1563</v>
      </c>
      <c r="G99" s="328" t="s">
        <v>1564</v>
      </c>
      <c r="H99" s="328" t="s">
        <v>1565</v>
      </c>
      <c r="I99" s="328" t="s">
        <v>1566</v>
      </c>
      <c r="J99" s="328" t="s">
        <v>1567</v>
      </c>
      <c r="K99" s="328" t="s">
        <v>1568</v>
      </c>
      <c r="L99" s="327" t="s">
        <v>3065</v>
      </c>
      <c r="M99" s="328"/>
    </row>
    <row r="100" spans="2:13" x14ac:dyDescent="0.2">
      <c r="B100" s="26" t="s">
        <v>523</v>
      </c>
      <c r="C100" s="328" t="s">
        <v>1569</v>
      </c>
      <c r="D100" s="328" t="s">
        <v>1569</v>
      </c>
      <c r="E100" s="328" t="s">
        <v>1570</v>
      </c>
      <c r="F100" s="328" t="s">
        <v>1571</v>
      </c>
      <c r="G100" s="328" t="s">
        <v>1572</v>
      </c>
      <c r="H100" s="328" t="s">
        <v>1573</v>
      </c>
      <c r="I100" s="328" t="s">
        <v>1574</v>
      </c>
      <c r="J100" s="328" t="s">
        <v>1575</v>
      </c>
      <c r="K100" s="328" t="s">
        <v>1576</v>
      </c>
      <c r="L100" s="327" t="s">
        <v>3066</v>
      </c>
      <c r="M100" s="328"/>
    </row>
    <row r="101" spans="2:13" x14ac:dyDescent="0.2">
      <c r="B101" s="26" t="s">
        <v>433</v>
      </c>
      <c r="C101" s="328" t="s">
        <v>1577</v>
      </c>
      <c r="D101" s="328" t="s">
        <v>1578</v>
      </c>
      <c r="E101" s="328" t="s">
        <v>1579</v>
      </c>
      <c r="F101" s="328" t="s">
        <v>1580</v>
      </c>
      <c r="G101" s="328" t="s">
        <v>1581</v>
      </c>
      <c r="H101" s="328" t="s">
        <v>1582</v>
      </c>
      <c r="I101" s="328" t="s">
        <v>1583</v>
      </c>
      <c r="J101" s="328" t="s">
        <v>1584</v>
      </c>
      <c r="K101" s="328" t="s">
        <v>1585</v>
      </c>
      <c r="L101" s="327" t="s">
        <v>3067</v>
      </c>
      <c r="M101" s="328"/>
    </row>
    <row r="102" spans="2:13" x14ac:dyDescent="0.2">
      <c r="B102" s="26" t="s">
        <v>409</v>
      </c>
      <c r="C102" s="328" t="s">
        <v>1586</v>
      </c>
      <c r="D102" s="328" t="s">
        <v>1587</v>
      </c>
      <c r="E102" s="328" t="s">
        <v>1588</v>
      </c>
      <c r="F102" s="328" t="s">
        <v>1589</v>
      </c>
      <c r="G102" s="328" t="s">
        <v>1590</v>
      </c>
      <c r="H102" s="328" t="s">
        <v>1591</v>
      </c>
      <c r="I102" s="328" t="s">
        <v>1592</v>
      </c>
      <c r="J102" s="328" t="s">
        <v>1593</v>
      </c>
      <c r="K102" s="328" t="s">
        <v>1594</v>
      </c>
      <c r="L102" s="327" t="s">
        <v>3068</v>
      </c>
      <c r="M102" s="328"/>
    </row>
    <row r="103" spans="2:13" x14ac:dyDescent="0.2">
      <c r="B103" s="26" t="s">
        <v>410</v>
      </c>
      <c r="C103" s="328" t="s">
        <v>1595</v>
      </c>
      <c r="D103" s="328" t="s">
        <v>1596</v>
      </c>
      <c r="E103" s="328" t="s">
        <v>1597</v>
      </c>
      <c r="F103" s="328" t="s">
        <v>1598</v>
      </c>
      <c r="G103" s="328" t="s">
        <v>1599</v>
      </c>
      <c r="H103" s="328" t="s">
        <v>1600</v>
      </c>
      <c r="I103" s="328" t="s">
        <v>1601</v>
      </c>
      <c r="J103" s="328" t="s">
        <v>1602</v>
      </c>
      <c r="K103" s="328" t="s">
        <v>1603</v>
      </c>
      <c r="L103" s="327" t="s">
        <v>3069</v>
      </c>
      <c r="M103" s="328"/>
    </row>
    <row r="104" spans="2:13" x14ac:dyDescent="0.2">
      <c r="B104" s="26" t="s">
        <v>412</v>
      </c>
      <c r="C104" s="328" t="s">
        <v>1604</v>
      </c>
      <c r="D104" s="328" t="s">
        <v>1605</v>
      </c>
      <c r="E104" s="328" t="s">
        <v>1606</v>
      </c>
      <c r="F104" s="328" t="s">
        <v>1607</v>
      </c>
      <c r="G104" s="328" t="s">
        <v>1608</v>
      </c>
      <c r="H104" s="328" t="s">
        <v>1609</v>
      </c>
      <c r="I104" s="328" t="s">
        <v>1610</v>
      </c>
      <c r="J104" s="328" t="s">
        <v>1611</v>
      </c>
      <c r="K104" s="328" t="s">
        <v>1612</v>
      </c>
      <c r="L104" s="327" t="s">
        <v>3070</v>
      </c>
      <c r="M104" s="328"/>
    </row>
    <row r="105" spans="2:13" x14ac:dyDescent="0.2">
      <c r="B105" s="26" t="s">
        <v>413</v>
      </c>
      <c r="C105" s="328" t="s">
        <v>1613</v>
      </c>
      <c r="D105" s="328" t="s">
        <v>1614</v>
      </c>
      <c r="E105" s="328" t="s">
        <v>1615</v>
      </c>
      <c r="F105" s="328" t="s">
        <v>1616</v>
      </c>
      <c r="G105" s="328" t="s">
        <v>1617</v>
      </c>
      <c r="H105" s="328" t="s">
        <v>1618</v>
      </c>
      <c r="I105" s="328" t="s">
        <v>1619</v>
      </c>
      <c r="J105" s="328" t="s">
        <v>413</v>
      </c>
      <c r="K105" s="328" t="s">
        <v>1620</v>
      </c>
      <c r="L105" s="327" t="s">
        <v>3071</v>
      </c>
      <c r="M105" s="328"/>
    </row>
    <row r="106" spans="2:13" x14ac:dyDescent="0.2">
      <c r="B106" s="26" t="s">
        <v>414</v>
      </c>
      <c r="C106" s="328" t="s">
        <v>1621</v>
      </c>
      <c r="D106" s="328" t="s">
        <v>1622</v>
      </c>
      <c r="E106" s="328" t="s">
        <v>1623</v>
      </c>
      <c r="F106" s="328" t="s">
        <v>1624</v>
      </c>
      <c r="G106" s="328" t="s">
        <v>1625</v>
      </c>
      <c r="H106" s="328" t="s">
        <v>1626</v>
      </c>
      <c r="I106" s="328" t="s">
        <v>1627</v>
      </c>
      <c r="J106" s="328" t="s">
        <v>414</v>
      </c>
      <c r="K106" s="328" t="s">
        <v>1628</v>
      </c>
      <c r="L106" s="327" t="s">
        <v>3072</v>
      </c>
      <c r="M106" s="328"/>
    </row>
    <row r="107" spans="2:13" x14ac:dyDescent="0.2">
      <c r="B107" s="26" t="s">
        <v>415</v>
      </c>
      <c r="C107" s="328" t="s">
        <v>1241</v>
      </c>
      <c r="D107" s="328" t="s">
        <v>1242</v>
      </c>
      <c r="E107" s="328" t="s">
        <v>1629</v>
      </c>
      <c r="F107" s="328" t="s">
        <v>1630</v>
      </c>
      <c r="G107" s="328" t="s">
        <v>1631</v>
      </c>
      <c r="H107" s="328" t="s">
        <v>1632</v>
      </c>
      <c r="I107" s="328" t="s">
        <v>1633</v>
      </c>
      <c r="J107" s="328" t="s">
        <v>1634</v>
      </c>
      <c r="K107" s="328" t="s">
        <v>1635</v>
      </c>
      <c r="L107" s="327" t="s">
        <v>3073</v>
      </c>
      <c r="M107" s="328"/>
    </row>
    <row r="108" spans="2:13" x14ac:dyDescent="0.2">
      <c r="B108" s="26" t="s">
        <v>416</v>
      </c>
      <c r="C108" s="328" t="s">
        <v>1636</v>
      </c>
      <c r="D108" s="328" t="s">
        <v>1637</v>
      </c>
      <c r="E108" s="328" t="s">
        <v>804</v>
      </c>
      <c r="F108" s="328" t="s">
        <v>1638</v>
      </c>
      <c r="G108" s="328" t="s">
        <v>416</v>
      </c>
      <c r="H108" s="328" t="s">
        <v>1639</v>
      </c>
      <c r="I108" s="328" t="s">
        <v>1640</v>
      </c>
      <c r="J108" s="328" t="s">
        <v>1641</v>
      </c>
      <c r="K108" s="328" t="s">
        <v>1642</v>
      </c>
      <c r="L108" s="327" t="s">
        <v>3074</v>
      </c>
      <c r="M108" s="328"/>
    </row>
    <row r="109" spans="2:13" x14ac:dyDescent="0.2">
      <c r="B109" s="26" t="s">
        <v>490</v>
      </c>
      <c r="C109" s="328" t="s">
        <v>1643</v>
      </c>
      <c r="D109" s="328" t="s">
        <v>1644</v>
      </c>
      <c r="E109" s="328" t="s">
        <v>1645</v>
      </c>
      <c r="F109" s="328" t="s">
        <v>1646</v>
      </c>
      <c r="G109" s="328" t="s">
        <v>1647</v>
      </c>
      <c r="H109" s="328" t="s">
        <v>1648</v>
      </c>
      <c r="I109" s="328" t="s">
        <v>1649</v>
      </c>
      <c r="J109" s="328" t="s">
        <v>1650</v>
      </c>
      <c r="K109" s="328" t="s">
        <v>1651</v>
      </c>
      <c r="L109" s="327" t="s">
        <v>3075</v>
      </c>
      <c r="M109" s="328"/>
    </row>
    <row r="110" spans="2:13" x14ac:dyDescent="0.2">
      <c r="B110" s="26" t="s">
        <v>5531</v>
      </c>
      <c r="C110" s="328" t="s">
        <v>1652</v>
      </c>
      <c r="D110" s="328" t="s">
        <v>1653</v>
      </c>
      <c r="E110" s="328" t="s">
        <v>1654</v>
      </c>
      <c r="F110" s="328" t="s">
        <v>1655</v>
      </c>
      <c r="G110" s="328" t="s">
        <v>1656</v>
      </c>
      <c r="H110" s="328" t="s">
        <v>1657</v>
      </c>
      <c r="I110" s="328" t="s">
        <v>1658</v>
      </c>
      <c r="J110" s="328" t="s">
        <v>1659</v>
      </c>
      <c r="K110" s="328" t="s">
        <v>1660</v>
      </c>
      <c r="L110" s="327" t="s">
        <v>3076</v>
      </c>
      <c r="M110" s="328"/>
    </row>
    <row r="111" spans="2:13" x14ac:dyDescent="0.2">
      <c r="B111" s="26" t="s">
        <v>417</v>
      </c>
      <c r="C111" s="328" t="s">
        <v>1661</v>
      </c>
      <c r="D111" s="328" t="s">
        <v>1662</v>
      </c>
      <c r="E111" s="328" t="s">
        <v>456</v>
      </c>
      <c r="F111" s="328" t="s">
        <v>1663</v>
      </c>
      <c r="G111" s="328" t="s">
        <v>1664</v>
      </c>
      <c r="H111" s="328" t="s">
        <v>1665</v>
      </c>
      <c r="I111" s="328" t="s">
        <v>1666</v>
      </c>
      <c r="J111" s="328" t="s">
        <v>456</v>
      </c>
      <c r="K111" s="328" t="s">
        <v>1667</v>
      </c>
      <c r="L111" s="327" t="s">
        <v>1663</v>
      </c>
      <c r="M111" s="328"/>
    </row>
    <row r="112" spans="2:13" x14ac:dyDescent="0.2">
      <c r="B112" s="26" t="s">
        <v>722</v>
      </c>
      <c r="C112" s="328" t="s">
        <v>1668</v>
      </c>
      <c r="D112" s="328" t="s">
        <v>1669</v>
      </c>
      <c r="E112" s="328" t="s">
        <v>1670</v>
      </c>
      <c r="F112" s="328" t="s">
        <v>1671</v>
      </c>
      <c r="G112" s="328" t="s">
        <v>1672</v>
      </c>
      <c r="H112" s="328" t="s">
        <v>1673</v>
      </c>
      <c r="I112" s="328" t="s">
        <v>1674</v>
      </c>
      <c r="J112" s="328" t="s">
        <v>1675</v>
      </c>
      <c r="K112" s="328" t="s">
        <v>1676</v>
      </c>
      <c r="L112" s="327" t="s">
        <v>3077</v>
      </c>
      <c r="M112" s="328"/>
    </row>
    <row r="113" spans="2:13" x14ac:dyDescent="0.2">
      <c r="B113" s="26" t="s">
        <v>419</v>
      </c>
      <c r="C113" s="328" t="s">
        <v>1677</v>
      </c>
      <c r="D113" s="328" t="s">
        <v>1678</v>
      </c>
      <c r="E113" s="328" t="s">
        <v>1679</v>
      </c>
      <c r="F113" s="328" t="s">
        <v>1680</v>
      </c>
      <c r="G113" s="328" t="s">
        <v>1681</v>
      </c>
      <c r="H113" s="328" t="s">
        <v>1682</v>
      </c>
      <c r="I113" s="328" t="s">
        <v>1683</v>
      </c>
      <c r="J113" s="328" t="s">
        <v>1684</v>
      </c>
      <c r="K113" s="328" t="s">
        <v>1685</v>
      </c>
      <c r="L113" s="327" t="s">
        <v>3078</v>
      </c>
      <c r="M113" s="328"/>
    </row>
    <row r="114" spans="2:13" x14ac:dyDescent="0.2">
      <c r="B114" s="26" t="s">
        <v>487</v>
      </c>
      <c r="C114" s="328" t="s">
        <v>1686</v>
      </c>
      <c r="D114" s="328" t="s">
        <v>1687</v>
      </c>
      <c r="E114" s="328" t="s">
        <v>1654</v>
      </c>
      <c r="F114" s="328" t="s">
        <v>1688</v>
      </c>
      <c r="G114" s="328" t="s">
        <v>1689</v>
      </c>
      <c r="H114" s="328" t="s">
        <v>1657</v>
      </c>
      <c r="I114" s="328" t="s">
        <v>1690</v>
      </c>
      <c r="J114" s="328" t="s">
        <v>1691</v>
      </c>
      <c r="K114" s="328" t="s">
        <v>1692</v>
      </c>
      <c r="L114" s="327" t="s">
        <v>3079</v>
      </c>
      <c r="M114" s="328"/>
    </row>
    <row r="115" spans="2:13" x14ac:dyDescent="0.2">
      <c r="B115" s="26" t="s">
        <v>421</v>
      </c>
      <c r="C115" s="328" t="s">
        <v>1693</v>
      </c>
      <c r="D115" s="328" t="s">
        <v>1693</v>
      </c>
      <c r="E115" s="328" t="s">
        <v>450</v>
      </c>
      <c r="F115" s="328" t="s">
        <v>1694</v>
      </c>
      <c r="G115" s="328" t="s">
        <v>421</v>
      </c>
      <c r="H115" s="328" t="s">
        <v>421</v>
      </c>
      <c r="I115" s="328" t="s">
        <v>1695</v>
      </c>
      <c r="J115" s="328" t="s">
        <v>450</v>
      </c>
      <c r="K115" s="328" t="s">
        <v>1696</v>
      </c>
      <c r="L115" s="327" t="s">
        <v>3080</v>
      </c>
      <c r="M115" s="328"/>
    </row>
    <row r="116" spans="2:13" x14ac:dyDescent="0.2">
      <c r="B116" s="26" t="s">
        <v>318</v>
      </c>
      <c r="C116" s="328" t="s">
        <v>1697</v>
      </c>
      <c r="D116" s="328" t="s">
        <v>1698</v>
      </c>
      <c r="E116" s="328" t="s">
        <v>1699</v>
      </c>
      <c r="F116" s="328" t="s">
        <v>1700</v>
      </c>
      <c r="G116" s="328" t="s">
        <v>1701</v>
      </c>
      <c r="H116" s="328" t="s">
        <v>1702</v>
      </c>
      <c r="I116" s="328" t="s">
        <v>1703</v>
      </c>
      <c r="J116" s="328" t="s">
        <v>1704</v>
      </c>
      <c r="K116" s="328" t="s">
        <v>1705</v>
      </c>
      <c r="L116" s="327" t="s">
        <v>3081</v>
      </c>
      <c r="M116" s="328"/>
    </row>
    <row r="117" spans="2:13" x14ac:dyDescent="0.2">
      <c r="B117" s="26" t="s">
        <v>5532</v>
      </c>
      <c r="C117" s="328" t="s">
        <v>1706</v>
      </c>
      <c r="D117" s="328" t="s">
        <v>1707</v>
      </c>
      <c r="E117" s="328" t="s">
        <v>1708</v>
      </c>
      <c r="F117" s="328" t="s">
        <v>1709</v>
      </c>
      <c r="G117" s="328" t="s">
        <v>1710</v>
      </c>
      <c r="H117" s="328" t="s">
        <v>1711</v>
      </c>
      <c r="I117" s="328" t="s">
        <v>1712</v>
      </c>
      <c r="J117" s="328" t="s">
        <v>1713</v>
      </c>
      <c r="K117" s="328" t="s">
        <v>1714</v>
      </c>
      <c r="L117" s="327" t="s">
        <v>1709</v>
      </c>
      <c r="M117" s="328"/>
    </row>
    <row r="118" spans="2:13" x14ac:dyDescent="0.2">
      <c r="B118" s="26" t="s">
        <v>438</v>
      </c>
      <c r="C118" s="328" t="s">
        <v>1715</v>
      </c>
      <c r="D118" s="328" t="s">
        <v>1716</v>
      </c>
      <c r="E118" s="328" t="s">
        <v>1717</v>
      </c>
      <c r="F118" s="328" t="s">
        <v>1718</v>
      </c>
      <c r="G118" s="328" t="s">
        <v>1719</v>
      </c>
      <c r="H118" s="328" t="s">
        <v>1720</v>
      </c>
      <c r="I118" s="328" t="s">
        <v>1721</v>
      </c>
      <c r="J118" s="328" t="s">
        <v>1722</v>
      </c>
      <c r="K118" s="328" t="s">
        <v>1723</v>
      </c>
      <c r="L118" s="327" t="s">
        <v>3082</v>
      </c>
      <c r="M118" s="328"/>
    </row>
    <row r="119" spans="2:13" x14ac:dyDescent="0.2">
      <c r="B119" s="26" t="s">
        <v>439</v>
      </c>
      <c r="C119" s="328" t="s">
        <v>1724</v>
      </c>
      <c r="D119" s="328" t="s">
        <v>1725</v>
      </c>
      <c r="E119" s="328" t="s">
        <v>1726</v>
      </c>
      <c r="F119" s="328" t="s">
        <v>1727</v>
      </c>
      <c r="G119" s="328" t="s">
        <v>1728</v>
      </c>
      <c r="H119" s="328" t="s">
        <v>1729</v>
      </c>
      <c r="I119" s="328" t="s">
        <v>1730</v>
      </c>
      <c r="J119" s="328" t="s">
        <v>1731</v>
      </c>
      <c r="K119" s="328" t="s">
        <v>1732</v>
      </c>
      <c r="L119" s="327" t="s">
        <v>3083</v>
      </c>
      <c r="M119" s="328"/>
    </row>
    <row r="120" spans="2:13" x14ac:dyDescent="0.2">
      <c r="B120" s="26" t="s">
        <v>423</v>
      </c>
      <c r="C120" s="328" t="s">
        <v>1733</v>
      </c>
      <c r="D120" s="328" t="s">
        <v>1734</v>
      </c>
      <c r="E120" s="328" t="s">
        <v>1735</v>
      </c>
      <c r="F120" s="328" t="s">
        <v>1736</v>
      </c>
      <c r="G120" s="328" t="s">
        <v>1737</v>
      </c>
      <c r="H120" s="328" t="s">
        <v>1738</v>
      </c>
      <c r="I120" s="328" t="s">
        <v>1739</v>
      </c>
      <c r="J120" s="328" t="s">
        <v>1740</v>
      </c>
      <c r="K120" s="328" t="s">
        <v>1741</v>
      </c>
      <c r="L120" s="327" t="s">
        <v>3084</v>
      </c>
      <c r="M120" s="328"/>
    </row>
    <row r="121" spans="2:13" x14ac:dyDescent="0.2">
      <c r="B121" s="26" t="s">
        <v>440</v>
      </c>
      <c r="C121" s="328" t="s">
        <v>1742</v>
      </c>
      <c r="D121" s="328" t="s">
        <v>1742</v>
      </c>
      <c r="E121" s="328" t="s">
        <v>1743</v>
      </c>
      <c r="F121" s="328" t="s">
        <v>1744</v>
      </c>
      <c r="G121" s="328" t="s">
        <v>1745</v>
      </c>
      <c r="H121" s="328" t="s">
        <v>1746</v>
      </c>
      <c r="I121" s="328" t="s">
        <v>1747</v>
      </c>
      <c r="J121" s="328" t="s">
        <v>1748</v>
      </c>
      <c r="K121" s="328" t="s">
        <v>1749</v>
      </c>
      <c r="L121" s="327" t="s">
        <v>3085</v>
      </c>
      <c r="M121" s="328"/>
    </row>
    <row r="122" spans="2:13" x14ac:dyDescent="0.2">
      <c r="B122" s="26" t="s">
        <v>424</v>
      </c>
      <c r="C122" s="328" t="s">
        <v>1750</v>
      </c>
      <c r="D122" s="328" t="s">
        <v>1751</v>
      </c>
      <c r="E122" s="328" t="s">
        <v>1752</v>
      </c>
      <c r="F122" s="328" t="s">
        <v>1753</v>
      </c>
      <c r="G122" s="328" t="s">
        <v>1754</v>
      </c>
      <c r="H122" s="328" t="s">
        <v>1755</v>
      </c>
      <c r="I122" s="328" t="s">
        <v>1756</v>
      </c>
      <c r="J122" s="328" t="s">
        <v>1757</v>
      </c>
      <c r="K122" s="328" t="s">
        <v>1758</v>
      </c>
      <c r="L122" s="327" t="s">
        <v>3086</v>
      </c>
      <c r="M122" s="328"/>
    </row>
    <row r="123" spans="2:13" x14ac:dyDescent="0.2">
      <c r="B123" s="26" t="s">
        <v>441</v>
      </c>
      <c r="C123" s="328" t="s">
        <v>1759</v>
      </c>
      <c r="D123" s="328" t="s">
        <v>1760</v>
      </c>
      <c r="E123" s="328" t="s">
        <v>1761</v>
      </c>
      <c r="F123" s="328" t="s">
        <v>1762</v>
      </c>
      <c r="G123" s="328" t="s">
        <v>1763</v>
      </c>
      <c r="H123" s="328" t="s">
        <v>1764</v>
      </c>
      <c r="I123" s="328" t="s">
        <v>1765</v>
      </c>
      <c r="J123" s="328" t="s">
        <v>1766</v>
      </c>
      <c r="K123" s="328" t="s">
        <v>1767</v>
      </c>
      <c r="L123" s="327" t="s">
        <v>3087</v>
      </c>
      <c r="M123" s="328"/>
    </row>
    <row r="124" spans="2:13" x14ac:dyDescent="0.2">
      <c r="B124" s="26" t="s">
        <v>425</v>
      </c>
      <c r="C124" s="328" t="s">
        <v>1768</v>
      </c>
      <c r="D124" s="328" t="s">
        <v>1769</v>
      </c>
      <c r="E124" s="328" t="s">
        <v>1770</v>
      </c>
      <c r="F124" s="328" t="s">
        <v>1771</v>
      </c>
      <c r="G124" s="328" t="s">
        <v>1772</v>
      </c>
      <c r="H124" s="328" t="s">
        <v>1773</v>
      </c>
      <c r="I124" s="328" t="s">
        <v>1774</v>
      </c>
      <c r="J124" s="328" t="s">
        <v>1775</v>
      </c>
      <c r="K124" s="328" t="s">
        <v>1776</v>
      </c>
      <c r="L124" s="327" t="s">
        <v>3088</v>
      </c>
      <c r="M124" s="328"/>
    </row>
    <row r="125" spans="2:13" x14ac:dyDescent="0.2">
      <c r="B125" s="26" t="s">
        <v>426</v>
      </c>
      <c r="C125" s="328" t="s">
        <v>1777</v>
      </c>
      <c r="D125" s="328" t="s">
        <v>1778</v>
      </c>
      <c r="E125" s="328" t="s">
        <v>1779</v>
      </c>
      <c r="F125" s="328" t="s">
        <v>1780</v>
      </c>
      <c r="G125" s="328" t="s">
        <v>1781</v>
      </c>
      <c r="H125" s="328" t="s">
        <v>1782</v>
      </c>
      <c r="I125" s="328" t="s">
        <v>1783</v>
      </c>
      <c r="J125" s="328" t="s">
        <v>1784</v>
      </c>
      <c r="K125" s="328" t="s">
        <v>1785</v>
      </c>
      <c r="L125" s="327" t="s">
        <v>3089</v>
      </c>
      <c r="M125" s="328"/>
    </row>
    <row r="126" spans="2:13" x14ac:dyDescent="0.2">
      <c r="B126" s="26" t="s">
        <v>442</v>
      </c>
      <c r="C126" s="328" t="s">
        <v>1786</v>
      </c>
      <c r="D126" s="328" t="s">
        <v>1786</v>
      </c>
      <c r="E126" s="328" t="s">
        <v>1787</v>
      </c>
      <c r="F126" s="328" t="s">
        <v>1788</v>
      </c>
      <c r="G126" s="328" t="s">
        <v>1789</v>
      </c>
      <c r="H126" s="328" t="s">
        <v>1790</v>
      </c>
      <c r="I126" s="328" t="s">
        <v>1791</v>
      </c>
      <c r="J126" s="328" t="s">
        <v>1792</v>
      </c>
      <c r="K126" s="328" t="s">
        <v>1793</v>
      </c>
      <c r="L126" s="327" t="s">
        <v>3090</v>
      </c>
      <c r="M126" s="328"/>
    </row>
    <row r="127" spans="2:13" x14ac:dyDescent="0.2">
      <c r="B127" s="26" t="s">
        <v>443</v>
      </c>
      <c r="C127" s="328" t="s">
        <v>1794</v>
      </c>
      <c r="D127" s="328" t="s">
        <v>1795</v>
      </c>
      <c r="E127" s="328" t="s">
        <v>1796</v>
      </c>
      <c r="F127" s="328" t="s">
        <v>1797</v>
      </c>
      <c r="G127" s="328" t="s">
        <v>1798</v>
      </c>
      <c r="H127" s="328" t="s">
        <v>1799</v>
      </c>
      <c r="I127" s="328" t="s">
        <v>1800</v>
      </c>
      <c r="J127" s="328" t="s">
        <v>1801</v>
      </c>
      <c r="K127" s="328" t="s">
        <v>1802</v>
      </c>
      <c r="L127" s="327" t="s">
        <v>3091</v>
      </c>
      <c r="M127" s="328"/>
    </row>
    <row r="128" spans="2:13" x14ac:dyDescent="0.2">
      <c r="B128" s="26" t="s">
        <v>444</v>
      </c>
      <c r="C128" s="328" t="s">
        <v>1803</v>
      </c>
      <c r="D128" s="328" t="s">
        <v>1804</v>
      </c>
      <c r="E128" s="328" t="s">
        <v>1805</v>
      </c>
      <c r="F128" s="328" t="s">
        <v>1806</v>
      </c>
      <c r="G128" s="328" t="s">
        <v>1807</v>
      </c>
      <c r="H128" s="328" t="s">
        <v>1808</v>
      </c>
      <c r="I128" s="328" t="s">
        <v>1809</v>
      </c>
      <c r="J128" s="328" t="s">
        <v>1810</v>
      </c>
      <c r="K128" s="328" t="s">
        <v>1811</v>
      </c>
      <c r="L128" s="327" t="s">
        <v>3092</v>
      </c>
      <c r="M128" s="328"/>
    </row>
    <row r="129" spans="2:13" x14ac:dyDescent="0.2">
      <c r="B129" s="26" t="s">
        <v>445</v>
      </c>
      <c r="C129" s="328" t="s">
        <v>1812</v>
      </c>
      <c r="D129" s="328" t="s">
        <v>1813</v>
      </c>
      <c r="E129" s="328" t="s">
        <v>1654</v>
      </c>
      <c r="F129" s="328" t="s">
        <v>1814</v>
      </c>
      <c r="G129" s="328" t="s">
        <v>1815</v>
      </c>
      <c r="H129" s="328" t="s">
        <v>1816</v>
      </c>
      <c r="I129" s="328" t="s">
        <v>1817</v>
      </c>
      <c r="J129" s="328" t="s">
        <v>1818</v>
      </c>
      <c r="K129" s="328" t="s">
        <v>1819</v>
      </c>
      <c r="L129" s="327" t="s">
        <v>3093</v>
      </c>
      <c r="M129" s="328"/>
    </row>
    <row r="130" spans="2:13" x14ac:dyDescent="0.2">
      <c r="B130" s="26" t="s">
        <v>447</v>
      </c>
      <c r="C130" s="328" t="s">
        <v>1820</v>
      </c>
      <c r="D130" s="328" t="s">
        <v>1821</v>
      </c>
      <c r="E130" s="328" t="s">
        <v>1822</v>
      </c>
      <c r="F130" s="328" t="s">
        <v>1823</v>
      </c>
      <c r="G130" s="328" t="s">
        <v>447</v>
      </c>
      <c r="H130" s="328" t="s">
        <v>447</v>
      </c>
      <c r="I130" s="328" t="s">
        <v>1824</v>
      </c>
      <c r="J130" s="328" t="s">
        <v>1825</v>
      </c>
      <c r="K130" s="328" t="s">
        <v>1826</v>
      </c>
      <c r="L130" s="327" t="s">
        <v>3094</v>
      </c>
      <c r="M130" s="328"/>
    </row>
    <row r="131" spans="2:13" x14ac:dyDescent="0.2">
      <c r="B131" s="26" t="s">
        <v>448</v>
      </c>
      <c r="C131" s="328" t="s">
        <v>1827</v>
      </c>
      <c r="D131" s="328" t="s">
        <v>1828</v>
      </c>
      <c r="E131" s="328" t="s">
        <v>1829</v>
      </c>
      <c r="F131" s="328" t="s">
        <v>1830</v>
      </c>
      <c r="G131" s="328" t="s">
        <v>448</v>
      </c>
      <c r="H131" s="328" t="s">
        <v>1831</v>
      </c>
      <c r="I131" s="328" t="s">
        <v>1832</v>
      </c>
      <c r="J131" s="328" t="s">
        <v>1833</v>
      </c>
      <c r="K131" s="328" t="s">
        <v>1834</v>
      </c>
      <c r="L131" s="327" t="s">
        <v>3095</v>
      </c>
      <c r="M131" s="328"/>
    </row>
    <row r="132" spans="2:13" x14ac:dyDescent="0.2">
      <c r="B132" s="26" t="s">
        <v>446</v>
      </c>
      <c r="C132" s="328" t="s">
        <v>1835</v>
      </c>
      <c r="D132" s="328" t="s">
        <v>1836</v>
      </c>
      <c r="E132" s="328" t="s">
        <v>1837</v>
      </c>
      <c r="F132" s="328" t="s">
        <v>1838</v>
      </c>
      <c r="G132" s="328" t="s">
        <v>1839</v>
      </c>
      <c r="H132" s="328" t="s">
        <v>1840</v>
      </c>
      <c r="I132" s="328" t="s">
        <v>1841</v>
      </c>
      <c r="J132" s="328" t="s">
        <v>1842</v>
      </c>
      <c r="K132" s="328" t="s">
        <v>1843</v>
      </c>
      <c r="L132" s="327" t="s">
        <v>3096</v>
      </c>
      <c r="M132" s="328"/>
    </row>
    <row r="133" spans="2:13" x14ac:dyDescent="0.2">
      <c r="B133" s="26" t="s">
        <v>449</v>
      </c>
      <c r="C133" s="328" t="s">
        <v>1844</v>
      </c>
      <c r="D133" s="328" t="s">
        <v>1845</v>
      </c>
      <c r="E133" s="328" t="s">
        <v>1846</v>
      </c>
      <c r="F133" s="328" t="s">
        <v>1847</v>
      </c>
      <c r="G133" s="328" t="s">
        <v>1848</v>
      </c>
      <c r="H133" s="328" t="s">
        <v>1849</v>
      </c>
      <c r="I133" s="328" t="s">
        <v>1850</v>
      </c>
      <c r="J133" s="328" t="s">
        <v>1851</v>
      </c>
      <c r="K133" s="328" t="s">
        <v>1852</v>
      </c>
      <c r="L133" s="327" t="s">
        <v>3097</v>
      </c>
      <c r="M133" s="328"/>
    </row>
    <row r="134" spans="2:13" x14ac:dyDescent="0.2">
      <c r="B134" s="26" t="s">
        <v>723</v>
      </c>
      <c r="C134" s="328" t="s">
        <v>1853</v>
      </c>
      <c r="D134" s="328" t="s">
        <v>1854</v>
      </c>
      <c r="E134" s="328" t="s">
        <v>1855</v>
      </c>
      <c r="F134" s="328" t="s">
        <v>1856</v>
      </c>
      <c r="G134" s="328" t="s">
        <v>1857</v>
      </c>
      <c r="H134" s="328" t="s">
        <v>1858</v>
      </c>
      <c r="I134" s="328" t="s">
        <v>1859</v>
      </c>
      <c r="J134" s="328" t="s">
        <v>1860</v>
      </c>
      <c r="K134" s="328" t="s">
        <v>1861</v>
      </c>
      <c r="L134" s="327" t="s">
        <v>3098</v>
      </c>
      <c r="M134" s="328"/>
    </row>
    <row r="135" spans="2:13" x14ac:dyDescent="0.2">
      <c r="B135" s="26" t="s">
        <v>768</v>
      </c>
      <c r="C135" s="328" t="s">
        <v>1862</v>
      </c>
      <c r="D135" s="328" t="s">
        <v>1863</v>
      </c>
      <c r="E135" s="328" t="s">
        <v>1708</v>
      </c>
      <c r="F135" s="328" t="s">
        <v>1864</v>
      </c>
      <c r="G135" s="328" t="s">
        <v>1865</v>
      </c>
      <c r="H135" s="328" t="s">
        <v>1866</v>
      </c>
      <c r="I135" s="328" t="s">
        <v>1867</v>
      </c>
      <c r="J135" s="328" t="s">
        <v>1868</v>
      </c>
      <c r="K135" s="328" t="s">
        <v>1869</v>
      </c>
      <c r="L135" s="327" t="s">
        <v>2982</v>
      </c>
      <c r="M135" s="328"/>
    </row>
    <row r="136" spans="2:13" x14ac:dyDescent="0.2">
      <c r="B136" s="26" t="s">
        <v>452</v>
      </c>
      <c r="C136" s="328" t="s">
        <v>1870</v>
      </c>
      <c r="D136" s="328" t="s">
        <v>1871</v>
      </c>
      <c r="E136" s="328" t="s">
        <v>1735</v>
      </c>
      <c r="F136" s="328" t="s">
        <v>1872</v>
      </c>
      <c r="G136" s="328" t="s">
        <v>1873</v>
      </c>
      <c r="H136" s="328" t="s">
        <v>1874</v>
      </c>
      <c r="I136" s="328" t="s">
        <v>1875</v>
      </c>
      <c r="J136" s="328" t="s">
        <v>1876</v>
      </c>
      <c r="K136" s="328" t="s">
        <v>1877</v>
      </c>
      <c r="L136" s="327" t="s">
        <v>3099</v>
      </c>
      <c r="M136" s="328"/>
    </row>
    <row r="137" spans="2:13" x14ac:dyDescent="0.2">
      <c r="B137" s="26" t="s">
        <v>453</v>
      </c>
      <c r="C137" s="328" t="s">
        <v>1878</v>
      </c>
      <c r="D137" s="328" t="s">
        <v>1878</v>
      </c>
      <c r="E137" s="328" t="s">
        <v>453</v>
      </c>
      <c r="F137" s="328" t="s">
        <v>1879</v>
      </c>
      <c r="G137" s="328" t="s">
        <v>1880</v>
      </c>
      <c r="H137" s="328" t="s">
        <v>1881</v>
      </c>
      <c r="I137" s="328" t="s">
        <v>1882</v>
      </c>
      <c r="J137" s="328" t="s">
        <v>1883</v>
      </c>
      <c r="K137" s="328" t="s">
        <v>1884</v>
      </c>
      <c r="L137" s="327" t="s">
        <v>3100</v>
      </c>
      <c r="M137" s="328"/>
    </row>
    <row r="138" spans="2:13" x14ac:dyDescent="0.2">
      <c r="B138" s="26" t="s">
        <v>454</v>
      </c>
      <c r="C138" s="328" t="s">
        <v>1885</v>
      </c>
      <c r="D138" s="328" t="s">
        <v>1885</v>
      </c>
      <c r="E138" s="328" t="s">
        <v>1886</v>
      </c>
      <c r="F138" s="328" t="s">
        <v>1887</v>
      </c>
      <c r="G138" s="328" t="s">
        <v>1888</v>
      </c>
      <c r="H138" s="328" t="s">
        <v>1889</v>
      </c>
      <c r="I138" s="328" t="s">
        <v>1890</v>
      </c>
      <c r="J138" s="328" t="s">
        <v>1886</v>
      </c>
      <c r="K138" s="328" t="s">
        <v>1891</v>
      </c>
      <c r="L138" s="327" t="s">
        <v>1887</v>
      </c>
      <c r="M138" s="328"/>
    </row>
    <row r="139" spans="2:13" x14ac:dyDescent="0.2">
      <c r="B139" s="26" t="s">
        <v>455</v>
      </c>
      <c r="C139" s="328" t="s">
        <v>1878</v>
      </c>
      <c r="D139" s="328" t="s">
        <v>1878</v>
      </c>
      <c r="E139" s="328" t="s">
        <v>455</v>
      </c>
      <c r="F139" s="328" t="s">
        <v>1892</v>
      </c>
      <c r="G139" s="328" t="s">
        <v>1893</v>
      </c>
      <c r="H139" s="328" t="s">
        <v>1894</v>
      </c>
      <c r="I139" s="328" t="s">
        <v>1895</v>
      </c>
      <c r="J139" s="328" t="s">
        <v>1896</v>
      </c>
      <c r="K139" s="328" t="s">
        <v>1897</v>
      </c>
      <c r="L139" s="327" t="s">
        <v>1892</v>
      </c>
      <c r="M139" s="328"/>
    </row>
    <row r="140" spans="2:13" x14ac:dyDescent="0.2">
      <c r="B140" s="26" t="s">
        <v>521</v>
      </c>
      <c r="C140" s="328" t="s">
        <v>1898</v>
      </c>
      <c r="D140" s="328" t="s">
        <v>1898</v>
      </c>
      <c r="E140" s="328" t="s">
        <v>1899</v>
      </c>
      <c r="F140" s="328" t="s">
        <v>1900</v>
      </c>
      <c r="G140" s="328" t="s">
        <v>1901</v>
      </c>
      <c r="H140" s="328" t="s">
        <v>1902</v>
      </c>
      <c r="I140" s="328" t="s">
        <v>1903</v>
      </c>
      <c r="J140" s="328" t="s">
        <v>1904</v>
      </c>
      <c r="K140" s="328" t="s">
        <v>1905</v>
      </c>
      <c r="L140" s="327" t="s">
        <v>3101</v>
      </c>
      <c r="M140" s="328"/>
    </row>
    <row r="141" spans="2:13" x14ac:dyDescent="0.2">
      <c r="B141" s="26" t="s">
        <v>457</v>
      </c>
      <c r="C141" s="328" t="s">
        <v>1906</v>
      </c>
      <c r="D141" s="328" t="s">
        <v>1907</v>
      </c>
      <c r="E141" s="328" t="s">
        <v>1908</v>
      </c>
      <c r="F141" s="328" t="s">
        <v>1909</v>
      </c>
      <c r="G141" s="328" t="s">
        <v>1910</v>
      </c>
      <c r="H141" s="328" t="s">
        <v>1911</v>
      </c>
      <c r="I141" s="328" t="s">
        <v>1912</v>
      </c>
      <c r="J141" s="328" t="s">
        <v>1913</v>
      </c>
      <c r="K141" s="328" t="s">
        <v>1914</v>
      </c>
      <c r="L141" s="327" t="s">
        <v>3102</v>
      </c>
      <c r="M141" s="328"/>
    </row>
    <row r="142" spans="2:13" x14ac:dyDescent="0.2">
      <c r="B142" s="26" t="s">
        <v>458</v>
      </c>
      <c r="C142" s="328" t="s">
        <v>1915</v>
      </c>
      <c r="D142" s="328" t="s">
        <v>1916</v>
      </c>
      <c r="E142" s="328" t="s">
        <v>1770</v>
      </c>
      <c r="F142" s="328" t="s">
        <v>1917</v>
      </c>
      <c r="G142" s="328" t="s">
        <v>1918</v>
      </c>
      <c r="H142" s="328" t="s">
        <v>1919</v>
      </c>
      <c r="I142" s="328" t="s">
        <v>1920</v>
      </c>
      <c r="J142" s="328" t="s">
        <v>1921</v>
      </c>
      <c r="K142" s="328" t="s">
        <v>1922</v>
      </c>
      <c r="L142" s="327" t="s">
        <v>3103</v>
      </c>
      <c r="M142" s="328"/>
    </row>
    <row r="143" spans="2:13" x14ac:dyDescent="0.2">
      <c r="B143" s="26" t="s">
        <v>460</v>
      </c>
      <c r="C143" s="328" t="s">
        <v>1923</v>
      </c>
      <c r="D143" s="328" t="s">
        <v>1924</v>
      </c>
      <c r="E143" s="328" t="s">
        <v>1925</v>
      </c>
      <c r="F143" s="328" t="s">
        <v>1926</v>
      </c>
      <c r="G143" s="328" t="s">
        <v>1927</v>
      </c>
      <c r="H143" s="328" t="s">
        <v>1928</v>
      </c>
      <c r="I143" s="328" t="s">
        <v>1929</v>
      </c>
      <c r="J143" s="328" t="s">
        <v>1930</v>
      </c>
      <c r="K143" s="328" t="s">
        <v>1931</v>
      </c>
      <c r="L143" s="327" t="s">
        <v>3104</v>
      </c>
      <c r="M143" s="328"/>
    </row>
    <row r="144" spans="2:13" x14ac:dyDescent="0.2">
      <c r="B144" s="26" t="s">
        <v>461</v>
      </c>
      <c r="C144" s="328" t="s">
        <v>1932</v>
      </c>
      <c r="D144" s="328" t="s">
        <v>1933</v>
      </c>
      <c r="E144" s="328" t="s">
        <v>1934</v>
      </c>
      <c r="F144" s="328" t="s">
        <v>1935</v>
      </c>
      <c r="G144" s="328" t="s">
        <v>1936</v>
      </c>
      <c r="H144" s="328" t="s">
        <v>1937</v>
      </c>
      <c r="I144" s="328" t="s">
        <v>1938</v>
      </c>
      <c r="J144" s="328" t="s">
        <v>1939</v>
      </c>
      <c r="K144" s="328" t="s">
        <v>1940</v>
      </c>
      <c r="L144" s="327" t="s">
        <v>3105</v>
      </c>
      <c r="M144" s="328"/>
    </row>
    <row r="145" spans="2:13" x14ac:dyDescent="0.2">
      <c r="B145" s="26" t="s">
        <v>462</v>
      </c>
      <c r="C145" s="328" t="s">
        <v>1941</v>
      </c>
      <c r="D145" s="328" t="s">
        <v>1942</v>
      </c>
      <c r="E145" s="328" t="s">
        <v>1943</v>
      </c>
      <c r="F145" s="328" t="s">
        <v>1944</v>
      </c>
      <c r="G145" s="328" t="s">
        <v>1945</v>
      </c>
      <c r="H145" s="328" t="s">
        <v>1946</v>
      </c>
      <c r="I145" s="328" t="s">
        <v>1947</v>
      </c>
      <c r="J145" s="328" t="s">
        <v>1948</v>
      </c>
      <c r="K145" s="328" t="s">
        <v>1949</v>
      </c>
      <c r="L145" s="327" t="s">
        <v>3106</v>
      </c>
      <c r="M145" s="328"/>
    </row>
    <row r="146" spans="2:13" x14ac:dyDescent="0.2">
      <c r="B146" s="26" t="s">
        <v>463</v>
      </c>
      <c r="C146" s="328" t="s">
        <v>1950</v>
      </c>
      <c r="D146" s="328" t="s">
        <v>1951</v>
      </c>
      <c r="E146" s="328" t="s">
        <v>1952</v>
      </c>
      <c r="F146" s="328" t="s">
        <v>1953</v>
      </c>
      <c r="G146" s="328" t="s">
        <v>1954</v>
      </c>
      <c r="H146" s="328" t="s">
        <v>1955</v>
      </c>
      <c r="I146" s="328" t="s">
        <v>1956</v>
      </c>
      <c r="J146" s="328" t="s">
        <v>1957</v>
      </c>
      <c r="K146" s="328" t="s">
        <v>1958</v>
      </c>
      <c r="L146" s="327" t="s">
        <v>3107</v>
      </c>
      <c r="M146" s="328"/>
    </row>
    <row r="147" spans="2:13" x14ac:dyDescent="0.2">
      <c r="B147" s="26" t="s">
        <v>464</v>
      </c>
      <c r="C147" s="328" t="s">
        <v>1959</v>
      </c>
      <c r="D147" s="328" t="s">
        <v>1960</v>
      </c>
      <c r="E147" s="328" t="s">
        <v>1961</v>
      </c>
      <c r="F147" s="328" t="s">
        <v>1962</v>
      </c>
      <c r="G147" s="328" t="s">
        <v>1963</v>
      </c>
      <c r="H147" s="328" t="s">
        <v>1964</v>
      </c>
      <c r="I147" s="328" t="s">
        <v>1962</v>
      </c>
      <c r="J147" s="328" t="s">
        <v>1965</v>
      </c>
      <c r="K147" s="328" t="s">
        <v>1966</v>
      </c>
      <c r="L147" s="327" t="s">
        <v>3108</v>
      </c>
      <c r="M147" s="328"/>
    </row>
    <row r="148" spans="2:13" x14ac:dyDescent="0.2">
      <c r="B148" s="26" t="s">
        <v>465</v>
      </c>
      <c r="C148" s="328" t="s">
        <v>1967</v>
      </c>
      <c r="D148" s="328" t="s">
        <v>1968</v>
      </c>
      <c r="E148" s="328" t="s">
        <v>1969</v>
      </c>
      <c r="F148" s="328" t="s">
        <v>1970</v>
      </c>
      <c r="G148" s="328" t="s">
        <v>1971</v>
      </c>
      <c r="H148" s="328" t="s">
        <v>1972</v>
      </c>
      <c r="I148" s="328" t="s">
        <v>1973</v>
      </c>
      <c r="J148" s="328" t="s">
        <v>1974</v>
      </c>
      <c r="K148" s="328" t="s">
        <v>1975</v>
      </c>
      <c r="L148" s="327" t="s">
        <v>3109</v>
      </c>
      <c r="M148" s="328"/>
    </row>
    <row r="149" spans="2:13" x14ac:dyDescent="0.2">
      <c r="B149" s="26" t="s">
        <v>466</v>
      </c>
      <c r="C149" s="328" t="s">
        <v>1976</v>
      </c>
      <c r="D149" s="328" t="s">
        <v>1977</v>
      </c>
      <c r="E149" s="328" t="s">
        <v>1978</v>
      </c>
      <c r="F149" s="328" t="s">
        <v>1979</v>
      </c>
      <c r="G149" s="328" t="s">
        <v>1980</v>
      </c>
      <c r="H149" s="328" t="s">
        <v>1981</v>
      </c>
      <c r="I149" s="328" t="s">
        <v>1982</v>
      </c>
      <c r="J149" s="328" t="s">
        <v>1983</v>
      </c>
      <c r="K149" s="328" t="s">
        <v>1984</v>
      </c>
      <c r="L149" s="327" t="s">
        <v>3110</v>
      </c>
      <c r="M149" s="328"/>
    </row>
    <row r="150" spans="2:13" x14ac:dyDescent="0.2">
      <c r="B150" s="26" t="s">
        <v>493</v>
      </c>
      <c r="C150" s="328" t="s">
        <v>1985</v>
      </c>
      <c r="D150" s="328" t="s">
        <v>1986</v>
      </c>
      <c r="E150" s="328" t="s">
        <v>1987</v>
      </c>
      <c r="F150" s="328" t="s">
        <v>1988</v>
      </c>
      <c r="G150" s="328" t="s">
        <v>1989</v>
      </c>
      <c r="H150" s="328" t="s">
        <v>1990</v>
      </c>
      <c r="I150" s="328" t="s">
        <v>1991</v>
      </c>
      <c r="J150" s="328" t="s">
        <v>1992</v>
      </c>
      <c r="K150" s="328" t="s">
        <v>1993</v>
      </c>
      <c r="L150" s="327" t="s">
        <v>3111</v>
      </c>
      <c r="M150" s="328"/>
    </row>
    <row r="151" spans="2:13" x14ac:dyDescent="0.2">
      <c r="B151" s="26" t="s">
        <v>494</v>
      </c>
      <c r="C151" s="328" t="s">
        <v>1994</v>
      </c>
      <c r="D151" s="328" t="s">
        <v>1995</v>
      </c>
      <c r="E151" s="328" t="s">
        <v>1996</v>
      </c>
      <c r="F151" s="328" t="s">
        <v>1997</v>
      </c>
      <c r="G151" s="328" t="s">
        <v>1998</v>
      </c>
      <c r="H151" s="328" t="s">
        <v>1999</v>
      </c>
      <c r="I151" s="328" t="s">
        <v>2000</v>
      </c>
      <c r="J151" s="328" t="s">
        <v>2001</v>
      </c>
      <c r="K151" s="328" t="s">
        <v>2002</v>
      </c>
      <c r="L151" s="327" t="s">
        <v>3112</v>
      </c>
      <c r="M151" s="328"/>
    </row>
    <row r="152" spans="2:13" x14ac:dyDescent="0.2">
      <c r="B152" s="26" t="s">
        <v>467</v>
      </c>
      <c r="C152" s="328" t="s">
        <v>2003</v>
      </c>
      <c r="D152" s="328" t="s">
        <v>2004</v>
      </c>
      <c r="E152" s="328" t="s">
        <v>2005</v>
      </c>
      <c r="F152" s="328" t="s">
        <v>2006</v>
      </c>
      <c r="G152" s="328" t="s">
        <v>2007</v>
      </c>
      <c r="H152" s="328" t="s">
        <v>2008</v>
      </c>
      <c r="I152" s="328" t="s">
        <v>2009</v>
      </c>
      <c r="J152" s="328" t="s">
        <v>2010</v>
      </c>
      <c r="K152" s="328" t="s">
        <v>2011</v>
      </c>
      <c r="L152" s="327" t="s">
        <v>3113</v>
      </c>
      <c r="M152" s="328"/>
    </row>
    <row r="153" spans="2:13" x14ac:dyDescent="0.2">
      <c r="B153" s="26" t="s">
        <v>468</v>
      </c>
      <c r="C153" s="328" t="s">
        <v>2012</v>
      </c>
      <c r="D153" s="328" t="s">
        <v>2013</v>
      </c>
      <c r="E153" s="328" t="s">
        <v>2014</v>
      </c>
      <c r="F153" s="328" t="s">
        <v>2015</v>
      </c>
      <c r="G153" s="328" t="s">
        <v>2016</v>
      </c>
      <c r="H153" s="328" t="s">
        <v>2017</v>
      </c>
      <c r="I153" s="328" t="s">
        <v>2018</v>
      </c>
      <c r="J153" s="328" t="s">
        <v>2019</v>
      </c>
      <c r="K153" s="328" t="s">
        <v>2020</v>
      </c>
      <c r="L153" s="327" t="s">
        <v>3114</v>
      </c>
      <c r="M153" s="328"/>
    </row>
    <row r="154" spans="2:13" x14ac:dyDescent="0.2">
      <c r="B154" s="26" t="s">
        <v>469</v>
      </c>
      <c r="C154" s="328" t="s">
        <v>2021</v>
      </c>
      <c r="D154" s="328" t="s">
        <v>2022</v>
      </c>
      <c r="E154" s="328" t="s">
        <v>2023</v>
      </c>
      <c r="F154" s="328" t="s">
        <v>2024</v>
      </c>
      <c r="G154" s="328" t="s">
        <v>2025</v>
      </c>
      <c r="H154" s="328" t="s">
        <v>2026</v>
      </c>
      <c r="I154" s="328" t="s">
        <v>2027</v>
      </c>
      <c r="J154" s="328" t="s">
        <v>2028</v>
      </c>
      <c r="K154" s="328" t="s">
        <v>2029</v>
      </c>
      <c r="L154" s="327" t="s">
        <v>3115</v>
      </c>
      <c r="M154" s="328"/>
    </row>
    <row r="155" spans="2:13" x14ac:dyDescent="0.2">
      <c r="B155" s="26" t="s">
        <v>470</v>
      </c>
      <c r="C155" s="328" t="s">
        <v>2030</v>
      </c>
      <c r="D155" s="328" t="s">
        <v>2031</v>
      </c>
      <c r="E155" s="328" t="s">
        <v>2032</v>
      </c>
      <c r="F155" s="328" t="s">
        <v>2033</v>
      </c>
      <c r="G155" s="328" t="s">
        <v>2034</v>
      </c>
      <c r="H155" s="328" t="s">
        <v>2035</v>
      </c>
      <c r="I155" s="328" t="s">
        <v>2036</v>
      </c>
      <c r="J155" s="328" t="s">
        <v>2037</v>
      </c>
      <c r="K155" s="328" t="s">
        <v>2038</v>
      </c>
      <c r="L155" s="327" t="s">
        <v>3116</v>
      </c>
      <c r="M155" s="328"/>
    </row>
    <row r="156" spans="2:13" x14ac:dyDescent="0.2">
      <c r="B156" s="26" t="s">
        <v>471</v>
      </c>
      <c r="C156" s="328" t="s">
        <v>2039</v>
      </c>
      <c r="D156" s="328" t="s">
        <v>2040</v>
      </c>
      <c r="E156" s="328" t="s">
        <v>2041</v>
      </c>
      <c r="F156" s="328" t="s">
        <v>2042</v>
      </c>
      <c r="G156" s="328" t="s">
        <v>2043</v>
      </c>
      <c r="H156" s="328" t="s">
        <v>2044</v>
      </c>
      <c r="I156" s="328" t="s">
        <v>2045</v>
      </c>
      <c r="J156" s="328" t="s">
        <v>2046</v>
      </c>
      <c r="K156" s="328" t="s">
        <v>2047</v>
      </c>
      <c r="L156" s="327" t="s">
        <v>3117</v>
      </c>
      <c r="M156" s="328"/>
    </row>
    <row r="157" spans="2:13" x14ac:dyDescent="0.2">
      <c r="B157" s="26" t="s">
        <v>496</v>
      </c>
      <c r="C157" s="328" t="s">
        <v>2048</v>
      </c>
      <c r="D157" s="328" t="s">
        <v>2049</v>
      </c>
      <c r="E157" s="328" t="s">
        <v>2050</v>
      </c>
      <c r="F157" s="328" t="s">
        <v>2051</v>
      </c>
      <c r="G157" s="328" t="s">
        <v>2052</v>
      </c>
      <c r="H157" s="328" t="s">
        <v>2053</v>
      </c>
      <c r="I157" s="328" t="s">
        <v>2054</v>
      </c>
      <c r="J157" s="328" t="s">
        <v>2055</v>
      </c>
      <c r="K157" s="328" t="s">
        <v>2056</v>
      </c>
      <c r="L157" s="327" t="s">
        <v>3118</v>
      </c>
      <c r="M157" s="328"/>
    </row>
    <row r="158" spans="2:13" x14ac:dyDescent="0.2">
      <c r="B158" s="26" t="s">
        <v>497</v>
      </c>
      <c r="C158" s="328" t="s">
        <v>2057</v>
      </c>
      <c r="D158" s="328" t="s">
        <v>2058</v>
      </c>
      <c r="E158" s="328" t="s">
        <v>2059</v>
      </c>
      <c r="F158" s="328" t="s">
        <v>2060</v>
      </c>
      <c r="G158" s="328" t="s">
        <v>2061</v>
      </c>
      <c r="H158" s="328" t="s">
        <v>2062</v>
      </c>
      <c r="I158" s="328" t="s">
        <v>2063</v>
      </c>
      <c r="J158" s="328" t="s">
        <v>2064</v>
      </c>
      <c r="K158" s="328" t="s">
        <v>2065</v>
      </c>
      <c r="L158" s="327" t="s">
        <v>3119</v>
      </c>
      <c r="M158" s="328"/>
    </row>
    <row r="159" spans="2:13" x14ac:dyDescent="0.2">
      <c r="B159" s="26" t="s">
        <v>787</v>
      </c>
      <c r="C159" s="328" t="s">
        <v>2066</v>
      </c>
      <c r="D159" s="328" t="s">
        <v>2067</v>
      </c>
      <c r="E159" s="328" t="s">
        <v>2068</v>
      </c>
      <c r="F159" s="328" t="s">
        <v>2069</v>
      </c>
      <c r="G159" s="328" t="s">
        <v>2070</v>
      </c>
      <c r="H159" s="328" t="s">
        <v>2071</v>
      </c>
      <c r="I159" s="328" t="s">
        <v>2072</v>
      </c>
      <c r="J159" s="328" t="s">
        <v>2073</v>
      </c>
      <c r="K159" s="328" t="s">
        <v>2074</v>
      </c>
      <c r="L159" s="327" t="s">
        <v>3120</v>
      </c>
      <c r="M159" s="328"/>
    </row>
    <row r="160" spans="2:13" x14ac:dyDescent="0.2">
      <c r="B160" s="26" t="s">
        <v>499</v>
      </c>
      <c r="C160" s="328" t="s">
        <v>2075</v>
      </c>
      <c r="D160" s="328" t="s">
        <v>2076</v>
      </c>
      <c r="E160" s="328" t="s">
        <v>2077</v>
      </c>
      <c r="F160" s="328" t="s">
        <v>2078</v>
      </c>
      <c r="G160" s="328" t="s">
        <v>2079</v>
      </c>
      <c r="H160" s="328" t="s">
        <v>2080</v>
      </c>
      <c r="I160" s="328" t="s">
        <v>2081</v>
      </c>
      <c r="J160" s="328" t="s">
        <v>2082</v>
      </c>
      <c r="K160" s="328" t="s">
        <v>2083</v>
      </c>
      <c r="L160" s="327" t="s">
        <v>3121</v>
      </c>
      <c r="M160" s="328"/>
    </row>
    <row r="161" spans="2:13" x14ac:dyDescent="0.2">
      <c r="B161" s="26" t="s">
        <v>472</v>
      </c>
      <c r="C161" s="328" t="s">
        <v>2084</v>
      </c>
      <c r="D161" s="328" t="s">
        <v>2085</v>
      </c>
      <c r="E161" s="328" t="s">
        <v>2086</v>
      </c>
      <c r="F161" s="328" t="s">
        <v>2087</v>
      </c>
      <c r="G161" s="328" t="s">
        <v>2088</v>
      </c>
      <c r="H161" s="328" t="s">
        <v>2089</v>
      </c>
      <c r="I161" s="328" t="s">
        <v>2090</v>
      </c>
      <c r="J161" s="328" t="s">
        <v>2091</v>
      </c>
      <c r="K161" s="328" t="s">
        <v>2092</v>
      </c>
      <c r="L161" s="327" t="s">
        <v>3122</v>
      </c>
      <c r="M161" s="328"/>
    </row>
    <row r="162" spans="2:13" x14ac:dyDescent="0.2">
      <c r="B162" s="26" t="s">
        <v>760</v>
      </c>
      <c r="C162" s="328" t="s">
        <v>2093</v>
      </c>
      <c r="D162" s="328" t="s">
        <v>2094</v>
      </c>
      <c r="E162" s="328" t="s">
        <v>2095</v>
      </c>
      <c r="F162" s="328" t="s">
        <v>2096</v>
      </c>
      <c r="G162" s="328" t="s">
        <v>2097</v>
      </c>
      <c r="H162" s="328" t="s">
        <v>2098</v>
      </c>
      <c r="I162" s="328" t="s">
        <v>2099</v>
      </c>
      <c r="J162" s="328" t="s">
        <v>2100</v>
      </c>
      <c r="K162" s="328" t="s">
        <v>2101</v>
      </c>
      <c r="L162" s="327" t="s">
        <v>3123</v>
      </c>
      <c r="M162" s="328"/>
    </row>
    <row r="163" spans="2:13" x14ac:dyDescent="0.2">
      <c r="B163" s="26" t="s">
        <v>724</v>
      </c>
      <c r="C163" s="328" t="s">
        <v>2102</v>
      </c>
      <c r="D163" s="328" t="s">
        <v>2103</v>
      </c>
      <c r="E163" s="328" t="s">
        <v>2104</v>
      </c>
      <c r="F163" s="328" t="s">
        <v>2105</v>
      </c>
      <c r="G163" s="328" t="s">
        <v>2106</v>
      </c>
      <c r="H163" s="328" t="s">
        <v>2105</v>
      </c>
      <c r="I163" s="328" t="s">
        <v>2105</v>
      </c>
      <c r="J163" s="328" t="s">
        <v>724</v>
      </c>
      <c r="K163" s="328" t="s">
        <v>724</v>
      </c>
      <c r="L163" s="327" t="s">
        <v>724</v>
      </c>
      <c r="M163" s="328"/>
    </row>
    <row r="164" spans="2:13" x14ac:dyDescent="0.2">
      <c r="B164" s="26" t="s">
        <v>725</v>
      </c>
      <c r="C164" s="328" t="s">
        <v>2107</v>
      </c>
      <c r="D164" s="328" t="s">
        <v>2108</v>
      </c>
      <c r="E164" s="328" t="s">
        <v>2109</v>
      </c>
      <c r="F164" s="328" t="s">
        <v>2110</v>
      </c>
      <c r="G164" s="328" t="s">
        <v>2111</v>
      </c>
      <c r="H164" s="328" t="s">
        <v>2110</v>
      </c>
      <c r="I164" s="328" t="s">
        <v>2110</v>
      </c>
      <c r="J164" s="328" t="s">
        <v>725</v>
      </c>
      <c r="K164" s="328" t="s">
        <v>725</v>
      </c>
      <c r="L164" s="327" t="s">
        <v>725</v>
      </c>
      <c r="M164" s="328"/>
    </row>
    <row r="165" spans="2:13" x14ac:dyDescent="0.2">
      <c r="B165" s="26" t="s">
        <v>287</v>
      </c>
      <c r="C165" s="328" t="s">
        <v>1217</v>
      </c>
      <c r="D165" s="328" t="s">
        <v>1218</v>
      </c>
      <c r="E165" s="328" t="s">
        <v>1219</v>
      </c>
      <c r="F165" s="328" t="s">
        <v>1220</v>
      </c>
      <c r="G165" s="328" t="s">
        <v>1221</v>
      </c>
      <c r="H165" s="328" t="s">
        <v>1220</v>
      </c>
      <c r="I165" s="328" t="s">
        <v>1220</v>
      </c>
      <c r="J165" s="328" t="s">
        <v>287</v>
      </c>
      <c r="K165" s="328" t="s">
        <v>1222</v>
      </c>
      <c r="L165" s="327" t="s">
        <v>287</v>
      </c>
      <c r="M165" s="328"/>
    </row>
    <row r="166" spans="2:13" x14ac:dyDescent="0.2">
      <c r="B166" s="26" t="s">
        <v>726</v>
      </c>
      <c r="C166" s="328" t="s">
        <v>2112</v>
      </c>
      <c r="D166" s="328" t="s">
        <v>2113</v>
      </c>
      <c r="E166" s="328" t="s">
        <v>2114</v>
      </c>
      <c r="F166" s="328" t="s">
        <v>2115</v>
      </c>
      <c r="G166" s="328" t="s">
        <v>2116</v>
      </c>
      <c r="H166" s="328" t="s">
        <v>2117</v>
      </c>
      <c r="I166" s="328" t="s">
        <v>2118</v>
      </c>
      <c r="J166" s="328" t="s">
        <v>2119</v>
      </c>
      <c r="K166" s="328" t="s">
        <v>2120</v>
      </c>
      <c r="L166" s="327" t="s">
        <v>3124</v>
      </c>
      <c r="M166" s="328"/>
    </row>
    <row r="167" spans="2:13" x14ac:dyDescent="0.2">
      <c r="B167" s="26" t="s">
        <v>727</v>
      </c>
      <c r="C167" s="328" t="s">
        <v>2121</v>
      </c>
      <c r="D167" s="328" t="s">
        <v>2122</v>
      </c>
      <c r="E167" s="328" t="s">
        <v>2123</v>
      </c>
      <c r="F167" s="328" t="s">
        <v>2124</v>
      </c>
      <c r="G167" s="328" t="s">
        <v>2125</v>
      </c>
      <c r="H167" s="328" t="s">
        <v>2126</v>
      </c>
      <c r="I167" s="328" t="s">
        <v>2127</v>
      </c>
      <c r="J167" s="328" t="s">
        <v>2128</v>
      </c>
      <c r="K167" s="328" t="s">
        <v>2129</v>
      </c>
      <c r="L167" s="327" t="s">
        <v>3125</v>
      </c>
      <c r="M167" s="328"/>
    </row>
    <row r="168" spans="2:13" x14ac:dyDescent="0.2">
      <c r="B168" s="26" t="s">
        <v>726</v>
      </c>
      <c r="C168" s="328" t="s">
        <v>2112</v>
      </c>
      <c r="D168" s="328" t="s">
        <v>2113</v>
      </c>
      <c r="E168" s="328" t="s">
        <v>2114</v>
      </c>
      <c r="F168" s="328" t="s">
        <v>2115</v>
      </c>
      <c r="G168" s="328" t="s">
        <v>2116</v>
      </c>
      <c r="H168" s="328" t="s">
        <v>2117</v>
      </c>
      <c r="I168" s="328" t="s">
        <v>2118</v>
      </c>
      <c r="J168" s="328" t="s">
        <v>2119</v>
      </c>
      <c r="K168" s="328" t="s">
        <v>2120</v>
      </c>
      <c r="L168" s="327" t="s">
        <v>3124</v>
      </c>
      <c r="M168" s="328"/>
    </row>
    <row r="169" spans="2:13" x14ac:dyDescent="0.2">
      <c r="B169" s="26" t="s">
        <v>727</v>
      </c>
      <c r="C169" s="328" t="s">
        <v>2121</v>
      </c>
      <c r="D169" s="328" t="s">
        <v>2122</v>
      </c>
      <c r="E169" s="328" t="s">
        <v>2123</v>
      </c>
      <c r="F169" s="328" t="s">
        <v>2124</v>
      </c>
      <c r="G169" s="328" t="s">
        <v>2125</v>
      </c>
      <c r="H169" s="328" t="s">
        <v>2126</v>
      </c>
      <c r="I169" s="328" t="s">
        <v>2127</v>
      </c>
      <c r="J169" s="328" t="s">
        <v>2128</v>
      </c>
      <c r="K169" s="328" t="s">
        <v>2129</v>
      </c>
      <c r="L169" s="327" t="s">
        <v>3125</v>
      </c>
      <c r="M169" s="328"/>
    </row>
    <row r="170" spans="2:13" x14ac:dyDescent="0.2">
      <c r="B170" s="26" t="s">
        <v>283</v>
      </c>
      <c r="C170" s="328" t="s">
        <v>2130</v>
      </c>
      <c r="D170" s="328" t="s">
        <v>2131</v>
      </c>
      <c r="E170" s="328" t="s">
        <v>2130</v>
      </c>
      <c r="F170" s="328" t="s">
        <v>2132</v>
      </c>
      <c r="G170" s="328" t="s">
        <v>2133</v>
      </c>
      <c r="H170" s="328" t="s">
        <v>2134</v>
      </c>
      <c r="I170" s="328" t="s">
        <v>2135</v>
      </c>
      <c r="J170" s="328" t="s">
        <v>2136</v>
      </c>
      <c r="K170" s="328" t="s">
        <v>2259</v>
      </c>
      <c r="L170" s="327" t="s">
        <v>3126</v>
      </c>
      <c r="M170" s="328"/>
    </row>
    <row r="171" spans="2:13" x14ac:dyDescent="0.2">
      <c r="B171" s="26" t="s">
        <v>728</v>
      </c>
      <c r="C171" s="328" t="s">
        <v>2137</v>
      </c>
      <c r="D171" s="328" t="s">
        <v>2138</v>
      </c>
      <c r="E171" s="328" t="s">
        <v>2139</v>
      </c>
      <c r="F171" s="328" t="s">
        <v>2140</v>
      </c>
      <c r="G171" s="328" t="s">
        <v>2141</v>
      </c>
      <c r="H171" s="328" t="s">
        <v>2142</v>
      </c>
      <c r="I171" s="328" t="s">
        <v>2143</v>
      </c>
      <c r="J171" s="328" t="s">
        <v>2144</v>
      </c>
      <c r="K171" s="328" t="s">
        <v>2145</v>
      </c>
      <c r="L171" s="327" t="s">
        <v>3127</v>
      </c>
      <c r="M171" s="328"/>
    </row>
    <row r="172" spans="2:13" x14ac:dyDescent="0.2">
      <c r="B172" s="26" t="s">
        <v>769</v>
      </c>
      <c r="C172" s="328" t="s">
        <v>2146</v>
      </c>
      <c r="D172" s="328" t="s">
        <v>2147</v>
      </c>
      <c r="E172" s="328" t="s">
        <v>2148</v>
      </c>
      <c r="F172" s="328" t="s">
        <v>2149</v>
      </c>
      <c r="G172" s="328" t="s">
        <v>2150</v>
      </c>
      <c r="H172" s="328" t="s">
        <v>2151</v>
      </c>
      <c r="I172" s="328" t="s">
        <v>2152</v>
      </c>
      <c r="J172" s="328" t="s">
        <v>2153</v>
      </c>
      <c r="K172" s="328" t="s">
        <v>2154</v>
      </c>
      <c r="L172" s="327" t="s">
        <v>3128</v>
      </c>
      <c r="M172" s="328"/>
    </row>
    <row r="173" spans="2:13" x14ac:dyDescent="0.2">
      <c r="B173" s="26" t="s">
        <v>16</v>
      </c>
      <c r="C173" s="328" t="s">
        <v>2155</v>
      </c>
      <c r="D173" s="328" t="s">
        <v>2156</v>
      </c>
      <c r="E173" s="328" t="s">
        <v>2157</v>
      </c>
      <c r="F173" s="328" t="s">
        <v>2158</v>
      </c>
      <c r="G173" s="328" t="s">
        <v>2159</v>
      </c>
      <c r="H173" s="328" t="s">
        <v>2160</v>
      </c>
      <c r="I173" s="328" t="s">
        <v>2161</v>
      </c>
      <c r="J173" s="328" t="s">
        <v>2162</v>
      </c>
      <c r="K173" s="328" t="s">
        <v>2163</v>
      </c>
      <c r="L173" s="327" t="s">
        <v>3129</v>
      </c>
      <c r="M173" s="328"/>
    </row>
    <row r="174" spans="2:13" x14ac:dyDescent="0.2">
      <c r="B174" s="26" t="s">
        <v>17</v>
      </c>
      <c r="C174" s="328" t="s">
        <v>2164</v>
      </c>
      <c r="D174" s="328" t="s">
        <v>2165</v>
      </c>
      <c r="E174" s="328" t="s">
        <v>2166</v>
      </c>
      <c r="F174" s="328" t="s">
        <v>2167</v>
      </c>
      <c r="G174" s="328" t="s">
        <v>2168</v>
      </c>
      <c r="H174" s="328" t="s">
        <v>2169</v>
      </c>
      <c r="I174" s="328" t="s">
        <v>2170</v>
      </c>
      <c r="J174" s="328" t="s">
        <v>2171</v>
      </c>
      <c r="K174" s="328" t="s">
        <v>2172</v>
      </c>
      <c r="L174" s="327" t="s">
        <v>3130</v>
      </c>
      <c r="M174" s="328"/>
    </row>
    <row r="175" spans="2:13" x14ac:dyDescent="0.2">
      <c r="B175" s="26" t="s">
        <v>752</v>
      </c>
      <c r="C175" s="328" t="s">
        <v>2173</v>
      </c>
      <c r="D175" s="328" t="s">
        <v>2174</v>
      </c>
      <c r="E175" s="328" t="s">
        <v>2175</v>
      </c>
      <c r="F175" s="328" t="s">
        <v>2176</v>
      </c>
      <c r="G175" s="328" t="s">
        <v>2177</v>
      </c>
      <c r="H175" s="328" t="s">
        <v>2178</v>
      </c>
      <c r="I175" s="328" t="s">
        <v>2179</v>
      </c>
      <c r="J175" s="328" t="s">
        <v>2180</v>
      </c>
      <c r="K175" s="328" t="s">
        <v>2181</v>
      </c>
      <c r="L175" s="327" t="s">
        <v>3131</v>
      </c>
      <c r="M175" s="328"/>
    </row>
    <row r="176" spans="2:13" x14ac:dyDescent="0.2">
      <c r="B176" s="26" t="s">
        <v>18</v>
      </c>
      <c r="C176" s="328" t="s">
        <v>2182</v>
      </c>
      <c r="D176" s="328" t="s">
        <v>2183</v>
      </c>
      <c r="E176" s="328" t="s">
        <v>2184</v>
      </c>
      <c r="F176" s="328" t="s">
        <v>2185</v>
      </c>
      <c r="G176" s="328" t="s">
        <v>2186</v>
      </c>
      <c r="H176" s="328" t="s">
        <v>2187</v>
      </c>
      <c r="I176" s="328" t="s">
        <v>2188</v>
      </c>
      <c r="J176" s="328" t="s">
        <v>2189</v>
      </c>
      <c r="K176" s="328" t="s">
        <v>2190</v>
      </c>
      <c r="L176" s="327" t="s">
        <v>3132</v>
      </c>
      <c r="M176" s="328"/>
    </row>
    <row r="177" spans="2:13" x14ac:dyDescent="0.2">
      <c r="B177" s="26" t="s">
        <v>21</v>
      </c>
      <c r="C177" s="328" t="s">
        <v>2191</v>
      </c>
      <c r="D177" s="328" t="s">
        <v>2192</v>
      </c>
      <c r="E177" s="328" t="s">
        <v>2193</v>
      </c>
      <c r="F177" s="328" t="s">
        <v>2194</v>
      </c>
      <c r="G177" s="328" t="s">
        <v>2195</v>
      </c>
      <c r="H177" s="328" t="s">
        <v>2196</v>
      </c>
      <c r="I177" s="328" t="s">
        <v>2197</v>
      </c>
      <c r="J177" s="328" t="s">
        <v>2198</v>
      </c>
      <c r="K177" s="328" t="s">
        <v>2199</v>
      </c>
      <c r="L177" s="327" t="s">
        <v>21</v>
      </c>
      <c r="M177" s="328"/>
    </row>
    <row r="178" spans="2:13" x14ac:dyDescent="0.2">
      <c r="B178" s="26" t="s">
        <v>392</v>
      </c>
      <c r="C178" s="328" t="s">
        <v>2200</v>
      </c>
      <c r="D178" s="328" t="s">
        <v>2201</v>
      </c>
      <c r="E178" s="328" t="s">
        <v>2202</v>
      </c>
      <c r="F178" s="328" t="s">
        <v>2203</v>
      </c>
      <c r="G178" s="328" t="s">
        <v>2204</v>
      </c>
      <c r="H178" s="328" t="s">
        <v>2205</v>
      </c>
      <c r="I178" s="328" t="s">
        <v>2206</v>
      </c>
      <c r="J178" s="328" t="s">
        <v>2207</v>
      </c>
      <c r="K178" s="328" t="s">
        <v>2208</v>
      </c>
      <c r="L178" s="327" t="s">
        <v>3133</v>
      </c>
      <c r="M178" s="328"/>
    </row>
    <row r="179" spans="2:13" x14ac:dyDescent="0.2">
      <c r="B179" s="26" t="s">
        <v>19</v>
      </c>
      <c r="C179" s="328" t="s">
        <v>2209</v>
      </c>
      <c r="D179" s="328" t="s">
        <v>2210</v>
      </c>
      <c r="E179" s="328" t="s">
        <v>2211</v>
      </c>
      <c r="F179" s="328" t="s">
        <v>2212</v>
      </c>
      <c r="G179" s="328" t="s">
        <v>2213</v>
      </c>
      <c r="H179" s="328" t="s">
        <v>2214</v>
      </c>
      <c r="I179" s="328" t="s">
        <v>2215</v>
      </c>
      <c r="J179" s="328" t="s">
        <v>2216</v>
      </c>
      <c r="K179" s="328" t="s">
        <v>2217</v>
      </c>
      <c r="L179" s="327" t="s">
        <v>3134</v>
      </c>
      <c r="M179" s="328"/>
    </row>
    <row r="180" spans="2:13" x14ac:dyDescent="0.2">
      <c r="B180" s="26" t="s">
        <v>20</v>
      </c>
      <c r="C180" s="328" t="s">
        <v>2218</v>
      </c>
      <c r="D180" s="328" t="s">
        <v>2218</v>
      </c>
      <c r="E180" s="328" t="s">
        <v>2219</v>
      </c>
      <c r="F180" s="328" t="s">
        <v>2220</v>
      </c>
      <c r="G180" s="328" t="s">
        <v>2221</v>
      </c>
      <c r="H180" s="328" t="s">
        <v>20</v>
      </c>
      <c r="I180" s="328" t="s">
        <v>2222</v>
      </c>
      <c r="J180" s="328" t="s">
        <v>2223</v>
      </c>
      <c r="K180" s="328" t="s">
        <v>2224</v>
      </c>
      <c r="L180" s="327" t="s">
        <v>20</v>
      </c>
      <c r="M180" s="328"/>
    </row>
    <row r="181" spans="2:13" x14ac:dyDescent="0.2">
      <c r="B181" s="26" t="s">
        <v>418</v>
      </c>
      <c r="C181" s="328" t="s">
        <v>2225</v>
      </c>
      <c r="D181" s="328" t="s">
        <v>2226</v>
      </c>
      <c r="E181" s="328" t="s">
        <v>2227</v>
      </c>
      <c r="F181" s="328" t="s">
        <v>2228</v>
      </c>
      <c r="G181" s="328" t="s">
        <v>2229</v>
      </c>
      <c r="H181" s="328" t="s">
        <v>2230</v>
      </c>
      <c r="I181" s="328" t="s">
        <v>2231</v>
      </c>
      <c r="J181" s="328" t="s">
        <v>2232</v>
      </c>
      <c r="K181" s="328" t="s">
        <v>2233</v>
      </c>
      <c r="L181" s="327" t="s">
        <v>3135</v>
      </c>
      <c r="M181" s="328"/>
    </row>
    <row r="182" spans="2:13" x14ac:dyDescent="0.2">
      <c r="B182" s="26" t="s">
        <v>22</v>
      </c>
      <c r="C182" s="328" t="s">
        <v>2234</v>
      </c>
      <c r="D182" s="328" t="s">
        <v>2235</v>
      </c>
      <c r="E182" s="328" t="s">
        <v>2236</v>
      </c>
      <c r="F182" s="328" t="s">
        <v>2237</v>
      </c>
      <c r="G182" s="328" t="s">
        <v>2238</v>
      </c>
      <c r="H182" s="328" t="s">
        <v>2239</v>
      </c>
      <c r="I182" s="328" t="s">
        <v>2240</v>
      </c>
      <c r="J182" s="328" t="s">
        <v>2241</v>
      </c>
      <c r="K182" s="328" t="s">
        <v>2242</v>
      </c>
      <c r="L182" s="327" t="s">
        <v>3136</v>
      </c>
      <c r="M182" s="328"/>
    </row>
    <row r="183" spans="2:13" x14ac:dyDescent="0.2">
      <c r="B183" s="26" t="s">
        <v>540</v>
      </c>
      <c r="C183" s="328" t="s">
        <v>2243</v>
      </c>
      <c r="D183" s="328" t="s">
        <v>2244</v>
      </c>
      <c r="E183" s="328" t="s">
        <v>2245</v>
      </c>
      <c r="F183" s="328" t="s">
        <v>2246</v>
      </c>
      <c r="G183" s="328" t="s">
        <v>2247</v>
      </c>
      <c r="H183" s="328" t="s">
        <v>2248</v>
      </c>
      <c r="I183" s="328" t="s">
        <v>2249</v>
      </c>
      <c r="J183" s="328" t="s">
        <v>2250</v>
      </c>
      <c r="K183" s="328" t="s">
        <v>2251</v>
      </c>
      <c r="L183" s="327" t="s">
        <v>3137</v>
      </c>
      <c r="M183" s="328"/>
    </row>
    <row r="184" spans="2:13" x14ac:dyDescent="0.2">
      <c r="B184" s="26" t="s">
        <v>282</v>
      </c>
      <c r="C184" s="328" t="s">
        <v>2252</v>
      </c>
      <c r="D184" s="328" t="s">
        <v>2253</v>
      </c>
      <c r="E184" s="328" t="s">
        <v>2254</v>
      </c>
      <c r="F184" s="328" t="s">
        <v>2255</v>
      </c>
      <c r="G184" s="328" t="s">
        <v>282</v>
      </c>
      <c r="H184" s="328" t="s">
        <v>2256</v>
      </c>
      <c r="I184" s="328" t="s">
        <v>2257</v>
      </c>
      <c r="J184" s="328" t="s">
        <v>2258</v>
      </c>
      <c r="K184" s="328" t="s">
        <v>2259</v>
      </c>
      <c r="L184" s="327" t="s">
        <v>2257</v>
      </c>
      <c r="M184" s="328"/>
    </row>
    <row r="185" spans="2:13" x14ac:dyDescent="0.2">
      <c r="B185" s="26" t="s">
        <v>660</v>
      </c>
      <c r="C185" s="328" t="s">
        <v>2260</v>
      </c>
      <c r="D185" s="328" t="s">
        <v>2261</v>
      </c>
      <c r="E185" s="328" t="s">
        <v>2262</v>
      </c>
      <c r="F185" s="328" t="s">
        <v>660</v>
      </c>
      <c r="G185" s="328" t="s">
        <v>2263</v>
      </c>
      <c r="H185" s="328" t="s">
        <v>2264</v>
      </c>
      <c r="I185" s="328" t="s">
        <v>660</v>
      </c>
      <c r="J185" s="328" t="s">
        <v>2265</v>
      </c>
      <c r="K185" s="328" t="s">
        <v>2266</v>
      </c>
      <c r="L185" s="327" t="s">
        <v>3138</v>
      </c>
      <c r="M185" s="328"/>
    </row>
    <row r="186" spans="2:13" x14ac:dyDescent="0.2">
      <c r="B186" s="26" t="s">
        <v>661</v>
      </c>
      <c r="C186" s="328" t="s">
        <v>2267</v>
      </c>
      <c r="D186" s="328" t="s">
        <v>2268</v>
      </c>
      <c r="E186" s="328" t="s">
        <v>2269</v>
      </c>
      <c r="F186" s="328" t="s">
        <v>661</v>
      </c>
      <c r="G186" s="328" t="s">
        <v>2270</v>
      </c>
      <c r="H186" s="328" t="s">
        <v>2271</v>
      </c>
      <c r="I186" s="328" t="s">
        <v>661</v>
      </c>
      <c r="J186" s="328" t="s">
        <v>2272</v>
      </c>
      <c r="K186" s="328" t="s">
        <v>2273</v>
      </c>
      <c r="L186" s="327" t="s">
        <v>661</v>
      </c>
      <c r="M186" s="328"/>
    </row>
    <row r="187" spans="2:13" x14ac:dyDescent="0.2">
      <c r="B187" s="26" t="s">
        <v>662</v>
      </c>
      <c r="C187" s="328" t="s">
        <v>2274</v>
      </c>
      <c r="D187" s="328" t="s">
        <v>2275</v>
      </c>
      <c r="E187" s="328" t="s">
        <v>2276</v>
      </c>
      <c r="F187" s="328" t="s">
        <v>2277</v>
      </c>
      <c r="G187" s="328" t="s">
        <v>2278</v>
      </c>
      <c r="H187" s="328" t="s">
        <v>2279</v>
      </c>
      <c r="I187" s="328" t="s">
        <v>2280</v>
      </c>
      <c r="J187" s="328" t="s">
        <v>2281</v>
      </c>
      <c r="K187" s="328" t="s">
        <v>2282</v>
      </c>
      <c r="L187" s="327" t="s">
        <v>3139</v>
      </c>
      <c r="M187" s="328"/>
    </row>
    <row r="188" spans="2:13" x14ac:dyDescent="0.2">
      <c r="B188" s="26" t="s">
        <v>663</v>
      </c>
      <c r="C188" s="328" t="s">
        <v>2283</v>
      </c>
      <c r="D188" s="328" t="s">
        <v>2283</v>
      </c>
      <c r="E188" s="328" t="s">
        <v>2284</v>
      </c>
      <c r="F188" s="328" t="s">
        <v>2285</v>
      </c>
      <c r="G188" s="328" t="s">
        <v>2286</v>
      </c>
      <c r="H188" s="328" t="s">
        <v>2287</v>
      </c>
      <c r="I188" s="328" t="s">
        <v>2288</v>
      </c>
      <c r="J188" s="328" t="s">
        <v>2289</v>
      </c>
      <c r="K188" s="328" t="s">
        <v>2290</v>
      </c>
      <c r="L188" s="327" t="s">
        <v>663</v>
      </c>
      <c r="M188" s="328"/>
    </row>
    <row r="189" spans="2:13" x14ac:dyDescent="0.2">
      <c r="B189" s="26" t="s">
        <v>664</v>
      </c>
      <c r="C189" s="328" t="s">
        <v>2291</v>
      </c>
      <c r="D189" s="328" t="s">
        <v>2292</v>
      </c>
      <c r="E189" s="328" t="s">
        <v>2293</v>
      </c>
      <c r="F189" s="328" t="s">
        <v>664</v>
      </c>
      <c r="G189" s="328" t="s">
        <v>2294</v>
      </c>
      <c r="H189" s="328" t="s">
        <v>2295</v>
      </c>
      <c r="I189" s="328" t="s">
        <v>664</v>
      </c>
      <c r="J189" s="328" t="s">
        <v>2296</v>
      </c>
      <c r="K189" s="328" t="s">
        <v>2297</v>
      </c>
      <c r="L189" s="327" t="s">
        <v>3140</v>
      </c>
      <c r="M189" s="328"/>
    </row>
    <row r="190" spans="2:13" x14ac:dyDescent="0.2">
      <c r="B190" s="26" t="s">
        <v>665</v>
      </c>
      <c r="C190" s="328" t="s">
        <v>2298</v>
      </c>
      <c r="D190" s="328" t="s">
        <v>2298</v>
      </c>
      <c r="E190" s="328" t="s">
        <v>2299</v>
      </c>
      <c r="F190" s="328" t="s">
        <v>2300</v>
      </c>
      <c r="G190" s="328" t="s">
        <v>2301</v>
      </c>
      <c r="H190" s="328" t="s">
        <v>665</v>
      </c>
      <c r="I190" s="328" t="s">
        <v>665</v>
      </c>
      <c r="J190" s="328" t="s">
        <v>2302</v>
      </c>
      <c r="K190" s="328" t="s">
        <v>2303</v>
      </c>
      <c r="L190" s="327" t="s">
        <v>2300</v>
      </c>
      <c r="M190" s="328"/>
    </row>
    <row r="191" spans="2:13" x14ac:dyDescent="0.2">
      <c r="B191" s="26" t="s">
        <v>666</v>
      </c>
      <c r="C191" s="328" t="s">
        <v>2304</v>
      </c>
      <c r="D191" s="328" t="s">
        <v>2305</v>
      </c>
      <c r="E191" s="328" t="s">
        <v>2304</v>
      </c>
      <c r="F191" s="328" t="s">
        <v>666</v>
      </c>
      <c r="G191" s="328" t="s">
        <v>666</v>
      </c>
      <c r="H191" s="328" t="s">
        <v>2306</v>
      </c>
      <c r="I191" s="328" t="s">
        <v>2307</v>
      </c>
      <c r="J191" s="328" t="s">
        <v>2308</v>
      </c>
      <c r="K191" s="328" t="s">
        <v>2309</v>
      </c>
      <c r="L191" s="327" t="s">
        <v>666</v>
      </c>
      <c r="M191" s="328"/>
    </row>
    <row r="192" spans="2:13" x14ac:dyDescent="0.2">
      <c r="B192" s="26" t="s">
        <v>668</v>
      </c>
      <c r="C192" s="328" t="s">
        <v>2310</v>
      </c>
      <c r="D192" s="328" t="s">
        <v>2311</v>
      </c>
      <c r="E192" s="328" t="s">
        <v>2312</v>
      </c>
      <c r="F192" s="328" t="s">
        <v>2313</v>
      </c>
      <c r="G192" s="328" t="s">
        <v>2314</v>
      </c>
      <c r="H192" s="328" t="s">
        <v>2315</v>
      </c>
      <c r="I192" s="328" t="s">
        <v>2316</v>
      </c>
      <c r="J192" s="328" t="s">
        <v>2317</v>
      </c>
      <c r="K192" s="328" t="s">
        <v>2318</v>
      </c>
      <c r="L192" s="327" t="s">
        <v>3141</v>
      </c>
      <c r="M192" s="328"/>
    </row>
    <row r="193" spans="2:13" x14ac:dyDescent="0.2">
      <c r="B193" s="26" t="s">
        <v>669</v>
      </c>
      <c r="C193" s="328" t="s">
        <v>2319</v>
      </c>
      <c r="D193" s="328" t="s">
        <v>2320</v>
      </c>
      <c r="E193" s="328" t="s">
        <v>2321</v>
      </c>
      <c r="F193" s="328" t="s">
        <v>2322</v>
      </c>
      <c r="G193" s="328" t="s">
        <v>2323</v>
      </c>
      <c r="H193" s="328" t="s">
        <v>2324</v>
      </c>
      <c r="I193" s="328" t="s">
        <v>2325</v>
      </c>
      <c r="J193" s="328" t="s">
        <v>2326</v>
      </c>
      <c r="K193" s="328" t="s">
        <v>2327</v>
      </c>
      <c r="L193" s="327" t="s">
        <v>2322</v>
      </c>
      <c r="M193" s="328"/>
    </row>
    <row r="194" spans="2:13" x14ac:dyDescent="0.2">
      <c r="B194" s="26" t="s">
        <v>670</v>
      </c>
      <c r="C194" s="328" t="s">
        <v>2328</v>
      </c>
      <c r="D194" s="328" t="s">
        <v>2329</v>
      </c>
      <c r="E194" s="328" t="s">
        <v>2330</v>
      </c>
      <c r="F194" s="328" t="s">
        <v>2331</v>
      </c>
      <c r="G194" s="328" t="s">
        <v>670</v>
      </c>
      <c r="H194" s="328" t="s">
        <v>2332</v>
      </c>
      <c r="I194" s="328" t="s">
        <v>2333</v>
      </c>
      <c r="J194" s="328" t="s">
        <v>2334</v>
      </c>
      <c r="K194" s="328" t="s">
        <v>2335</v>
      </c>
      <c r="L194" s="327" t="s">
        <v>3142</v>
      </c>
      <c r="M194" s="328"/>
    </row>
    <row r="195" spans="2:13" x14ac:dyDescent="0.2">
      <c r="B195" s="26" t="s">
        <v>671</v>
      </c>
      <c r="C195" s="328" t="s">
        <v>2336</v>
      </c>
      <c r="D195" s="328" t="s">
        <v>2337</v>
      </c>
      <c r="E195" s="328" t="s">
        <v>2338</v>
      </c>
      <c r="F195" s="328" t="s">
        <v>2339</v>
      </c>
      <c r="G195" s="328" t="s">
        <v>2340</v>
      </c>
      <c r="H195" s="328" t="s">
        <v>2341</v>
      </c>
      <c r="I195" s="328" t="s">
        <v>2339</v>
      </c>
      <c r="J195" s="328" t="s">
        <v>2342</v>
      </c>
      <c r="K195" s="328" t="s">
        <v>2343</v>
      </c>
      <c r="L195" s="327" t="s">
        <v>3143</v>
      </c>
      <c r="M195" s="328"/>
    </row>
    <row r="196" spans="2:13" x14ac:dyDescent="0.2">
      <c r="B196" s="26" t="s">
        <v>672</v>
      </c>
      <c r="C196" s="328" t="s">
        <v>2344</v>
      </c>
      <c r="D196" s="328" t="s">
        <v>2345</v>
      </c>
      <c r="E196" s="328" t="s">
        <v>2346</v>
      </c>
      <c r="F196" s="328" t="s">
        <v>2347</v>
      </c>
      <c r="G196" s="328" t="s">
        <v>2348</v>
      </c>
      <c r="H196" s="328" t="s">
        <v>672</v>
      </c>
      <c r="I196" s="328" t="s">
        <v>2347</v>
      </c>
      <c r="J196" s="328" t="s">
        <v>2349</v>
      </c>
      <c r="K196" s="328" t="s">
        <v>2350</v>
      </c>
      <c r="L196" s="327" t="s">
        <v>3144</v>
      </c>
      <c r="M196" s="328"/>
    </row>
    <row r="197" spans="2:13" x14ac:dyDescent="0.2">
      <c r="B197" s="26" t="s">
        <v>673</v>
      </c>
      <c r="C197" s="328" t="s">
        <v>2351</v>
      </c>
      <c r="D197" s="328" t="s">
        <v>2352</v>
      </c>
      <c r="E197" s="328" t="s">
        <v>2353</v>
      </c>
      <c r="F197" s="328" t="s">
        <v>2354</v>
      </c>
      <c r="G197" s="328" t="s">
        <v>2355</v>
      </c>
      <c r="H197" s="328" t="s">
        <v>2356</v>
      </c>
      <c r="I197" s="328" t="s">
        <v>2357</v>
      </c>
      <c r="J197" s="328" t="s">
        <v>2358</v>
      </c>
      <c r="K197" s="328" t="s">
        <v>2359</v>
      </c>
      <c r="L197" s="327" t="s">
        <v>3145</v>
      </c>
      <c r="M197" s="328"/>
    </row>
    <row r="198" spans="2:13" x14ac:dyDescent="0.2">
      <c r="B198" s="26" t="s">
        <v>674</v>
      </c>
      <c r="C198" s="328" t="s">
        <v>2360</v>
      </c>
      <c r="D198" s="328" t="s">
        <v>2361</v>
      </c>
      <c r="E198" s="328" t="s">
        <v>2362</v>
      </c>
      <c r="F198" s="328" t="s">
        <v>2363</v>
      </c>
      <c r="G198" s="328" t="s">
        <v>2364</v>
      </c>
      <c r="H198" s="328" t="s">
        <v>2365</v>
      </c>
      <c r="I198" s="328" t="s">
        <v>2363</v>
      </c>
      <c r="J198" s="328" t="s">
        <v>2366</v>
      </c>
      <c r="K198" s="328" t="s">
        <v>2367</v>
      </c>
      <c r="L198" s="327" t="s">
        <v>3146</v>
      </c>
      <c r="M198" s="328"/>
    </row>
    <row r="199" spans="2:13" x14ac:dyDescent="0.2">
      <c r="B199" s="26" t="s">
        <v>675</v>
      </c>
      <c r="C199" s="328" t="s">
        <v>2368</v>
      </c>
      <c r="D199" s="328" t="s">
        <v>2368</v>
      </c>
      <c r="E199" s="328" t="s">
        <v>2368</v>
      </c>
      <c r="F199" s="328" t="s">
        <v>675</v>
      </c>
      <c r="G199" s="328" t="s">
        <v>2369</v>
      </c>
      <c r="H199" s="328" t="s">
        <v>675</v>
      </c>
      <c r="I199" s="328" t="s">
        <v>675</v>
      </c>
      <c r="J199" s="328" t="s">
        <v>2370</v>
      </c>
      <c r="K199" s="328" t="s">
        <v>2371</v>
      </c>
      <c r="L199" s="327" t="s">
        <v>675</v>
      </c>
      <c r="M199" s="328"/>
    </row>
    <row r="200" spans="2:13" x14ac:dyDescent="0.2">
      <c r="B200" s="26" t="s">
        <v>676</v>
      </c>
      <c r="C200" s="328" t="s">
        <v>2372</v>
      </c>
      <c r="D200" s="328" t="s">
        <v>2372</v>
      </c>
      <c r="E200" s="328" t="s">
        <v>2373</v>
      </c>
      <c r="F200" s="328" t="s">
        <v>2374</v>
      </c>
      <c r="G200" s="328" t="s">
        <v>2375</v>
      </c>
      <c r="H200" s="328" t="s">
        <v>2376</v>
      </c>
      <c r="I200" s="328" t="s">
        <v>2377</v>
      </c>
      <c r="J200" s="328" t="s">
        <v>2378</v>
      </c>
      <c r="K200" s="328" t="s">
        <v>2379</v>
      </c>
      <c r="L200" s="327" t="s">
        <v>3147</v>
      </c>
      <c r="M200" s="328"/>
    </row>
    <row r="201" spans="2:13" x14ac:dyDescent="0.2">
      <c r="B201" s="26" t="s">
        <v>677</v>
      </c>
      <c r="C201" s="328" t="s">
        <v>2380</v>
      </c>
      <c r="D201" s="328" t="s">
        <v>2380</v>
      </c>
      <c r="E201" s="328" t="s">
        <v>2381</v>
      </c>
      <c r="F201" s="328" t="s">
        <v>677</v>
      </c>
      <c r="G201" s="328" t="s">
        <v>2382</v>
      </c>
      <c r="H201" s="328" t="s">
        <v>2383</v>
      </c>
      <c r="I201" s="328" t="s">
        <v>677</v>
      </c>
      <c r="J201" s="328" t="s">
        <v>2384</v>
      </c>
      <c r="K201" s="328" t="s">
        <v>2385</v>
      </c>
      <c r="L201" s="327" t="s">
        <v>3148</v>
      </c>
      <c r="M201" s="328"/>
    </row>
    <row r="202" spans="2:13" x14ac:dyDescent="0.2">
      <c r="B202" s="26" t="s">
        <v>678</v>
      </c>
      <c r="C202" s="328" t="s">
        <v>2386</v>
      </c>
      <c r="D202" s="328" t="s">
        <v>2386</v>
      </c>
      <c r="E202" s="328" t="s">
        <v>2387</v>
      </c>
      <c r="F202" s="328" t="s">
        <v>678</v>
      </c>
      <c r="G202" s="328" t="s">
        <v>2388</v>
      </c>
      <c r="H202" s="328" t="s">
        <v>2389</v>
      </c>
      <c r="I202" s="328" t="s">
        <v>678</v>
      </c>
      <c r="J202" s="328" t="s">
        <v>2390</v>
      </c>
      <c r="K202" s="328" t="s">
        <v>2391</v>
      </c>
      <c r="L202" s="327" t="s">
        <v>3149</v>
      </c>
      <c r="M202" s="328"/>
    </row>
    <row r="203" spans="2:13" x14ac:dyDescent="0.2">
      <c r="B203" s="26" t="s">
        <v>679</v>
      </c>
      <c r="C203" s="328" t="s">
        <v>2392</v>
      </c>
      <c r="D203" s="328" t="s">
        <v>2393</v>
      </c>
      <c r="E203" s="328" t="s">
        <v>2394</v>
      </c>
      <c r="F203" s="328" t="s">
        <v>2395</v>
      </c>
      <c r="G203" s="328" t="s">
        <v>2396</v>
      </c>
      <c r="H203" s="328" t="s">
        <v>2397</v>
      </c>
      <c r="I203" s="328" t="s">
        <v>2395</v>
      </c>
      <c r="J203" s="328" t="s">
        <v>2398</v>
      </c>
      <c r="K203" s="328" t="s">
        <v>2399</v>
      </c>
      <c r="L203" s="327" t="s">
        <v>2395</v>
      </c>
      <c r="M203" s="328"/>
    </row>
    <row r="204" spans="2:13" x14ac:dyDescent="0.2">
      <c r="B204" s="26" t="s">
        <v>680</v>
      </c>
      <c r="C204" s="328" t="s">
        <v>2400</v>
      </c>
      <c r="D204" s="328" t="s">
        <v>2400</v>
      </c>
      <c r="E204" s="328" t="s">
        <v>2401</v>
      </c>
      <c r="F204" s="328" t="s">
        <v>680</v>
      </c>
      <c r="G204" s="328" t="s">
        <v>680</v>
      </c>
      <c r="H204" s="328" t="s">
        <v>2402</v>
      </c>
      <c r="I204" s="328" t="s">
        <v>2403</v>
      </c>
      <c r="J204" s="328" t="s">
        <v>2404</v>
      </c>
      <c r="K204" s="328" t="s">
        <v>2405</v>
      </c>
      <c r="L204" s="327" t="s">
        <v>680</v>
      </c>
      <c r="M204" s="328"/>
    </row>
    <row r="205" spans="2:13" x14ac:dyDescent="0.2">
      <c r="B205" s="26" t="s">
        <v>681</v>
      </c>
      <c r="C205" s="328" t="s">
        <v>2406</v>
      </c>
      <c r="D205" s="328" t="s">
        <v>2406</v>
      </c>
      <c r="E205" s="328" t="s">
        <v>2407</v>
      </c>
      <c r="F205" s="328" t="s">
        <v>2408</v>
      </c>
      <c r="G205" s="328" t="s">
        <v>2409</v>
      </c>
      <c r="H205" s="328" t="s">
        <v>2410</v>
      </c>
      <c r="I205" s="328" t="s">
        <v>2408</v>
      </c>
      <c r="J205" s="328" t="s">
        <v>2411</v>
      </c>
      <c r="K205" s="328" t="s">
        <v>2412</v>
      </c>
      <c r="L205" s="327" t="s">
        <v>2408</v>
      </c>
      <c r="M205" s="328"/>
    </row>
    <row r="206" spans="2:13" x14ac:dyDescent="0.2">
      <c r="B206" s="26" t="s">
        <v>682</v>
      </c>
      <c r="C206" s="328" t="s">
        <v>2413</v>
      </c>
      <c r="D206" s="328" t="s">
        <v>2413</v>
      </c>
      <c r="E206" s="328" t="s">
        <v>2413</v>
      </c>
      <c r="F206" s="328" t="s">
        <v>682</v>
      </c>
      <c r="G206" s="328" t="s">
        <v>682</v>
      </c>
      <c r="H206" s="328" t="s">
        <v>2414</v>
      </c>
      <c r="I206" s="328" t="s">
        <v>2415</v>
      </c>
      <c r="J206" s="328" t="s">
        <v>2416</v>
      </c>
      <c r="K206" s="328" t="s">
        <v>2417</v>
      </c>
      <c r="L206" s="327" t="s">
        <v>3150</v>
      </c>
      <c r="M206" s="328"/>
    </row>
    <row r="207" spans="2:13" x14ac:dyDescent="0.2">
      <c r="B207" s="26" t="s">
        <v>683</v>
      </c>
      <c r="C207" s="328" t="s">
        <v>2418</v>
      </c>
      <c r="D207" s="328" t="s">
        <v>2419</v>
      </c>
      <c r="E207" s="328" t="s">
        <v>2420</v>
      </c>
      <c r="F207" s="328" t="s">
        <v>2421</v>
      </c>
      <c r="G207" s="328" t="s">
        <v>2421</v>
      </c>
      <c r="H207" s="328" t="s">
        <v>683</v>
      </c>
      <c r="I207" s="328" t="s">
        <v>2421</v>
      </c>
      <c r="J207" s="328" t="s">
        <v>2422</v>
      </c>
      <c r="K207" s="328" t="s">
        <v>2423</v>
      </c>
      <c r="L207" s="327" t="s">
        <v>3151</v>
      </c>
      <c r="M207" s="328"/>
    </row>
    <row r="208" spans="2:13" x14ac:dyDescent="0.2">
      <c r="B208" s="26" t="s">
        <v>684</v>
      </c>
      <c r="C208" s="328" t="s">
        <v>2424</v>
      </c>
      <c r="D208" s="328" t="s">
        <v>2425</v>
      </c>
      <c r="E208" s="328" t="s">
        <v>2426</v>
      </c>
      <c r="F208" s="328" t="s">
        <v>2427</v>
      </c>
      <c r="G208" s="328" t="s">
        <v>684</v>
      </c>
      <c r="H208" s="328" t="s">
        <v>2428</v>
      </c>
      <c r="I208" s="328" t="s">
        <v>2427</v>
      </c>
      <c r="J208" s="328" t="s">
        <v>2429</v>
      </c>
      <c r="K208" s="328" t="s">
        <v>2430</v>
      </c>
      <c r="L208" s="327" t="s">
        <v>3152</v>
      </c>
      <c r="M208" s="328"/>
    </row>
    <row r="209" spans="2:13" x14ac:dyDescent="0.2">
      <c r="B209" s="26" t="s">
        <v>685</v>
      </c>
      <c r="C209" s="328" t="s">
        <v>2431</v>
      </c>
      <c r="D209" s="328" t="s">
        <v>2431</v>
      </c>
      <c r="E209" s="328" t="s">
        <v>2432</v>
      </c>
      <c r="F209" s="328" t="s">
        <v>2433</v>
      </c>
      <c r="G209" s="328" t="s">
        <v>2434</v>
      </c>
      <c r="H209" s="328" t="s">
        <v>685</v>
      </c>
      <c r="I209" s="328" t="s">
        <v>2435</v>
      </c>
      <c r="J209" s="328" t="s">
        <v>2436</v>
      </c>
      <c r="K209" s="328" t="s">
        <v>2437</v>
      </c>
      <c r="L209" s="327" t="s">
        <v>685</v>
      </c>
      <c r="M209" s="328"/>
    </row>
    <row r="210" spans="2:13" x14ac:dyDescent="0.2">
      <c r="B210" s="26" t="s">
        <v>686</v>
      </c>
      <c r="C210" s="328" t="s">
        <v>2438</v>
      </c>
      <c r="D210" s="328" t="s">
        <v>2439</v>
      </c>
      <c r="E210" s="328" t="s">
        <v>2440</v>
      </c>
      <c r="F210" s="328" t="s">
        <v>2441</v>
      </c>
      <c r="G210" s="328" t="s">
        <v>2442</v>
      </c>
      <c r="H210" s="328" t="s">
        <v>2443</v>
      </c>
      <c r="I210" s="328" t="s">
        <v>2444</v>
      </c>
      <c r="J210" s="328" t="s">
        <v>2445</v>
      </c>
      <c r="K210" s="328" t="s">
        <v>2446</v>
      </c>
      <c r="L210" s="327" t="s">
        <v>2441</v>
      </c>
      <c r="M210" s="328"/>
    </row>
    <row r="211" spans="2:13" x14ac:dyDescent="0.2">
      <c r="B211" s="26" t="s">
        <v>687</v>
      </c>
      <c r="C211" s="328" t="s">
        <v>2447</v>
      </c>
      <c r="D211" s="328" t="s">
        <v>2448</v>
      </c>
      <c r="E211" s="328" t="s">
        <v>2449</v>
      </c>
      <c r="F211" s="328" t="s">
        <v>2450</v>
      </c>
      <c r="G211" s="328" t="s">
        <v>2451</v>
      </c>
      <c r="H211" s="328" t="s">
        <v>2452</v>
      </c>
      <c r="I211" s="328" t="s">
        <v>2453</v>
      </c>
      <c r="J211" s="328" t="s">
        <v>2454</v>
      </c>
      <c r="K211" s="328" t="s">
        <v>2455</v>
      </c>
      <c r="L211" s="327" t="s">
        <v>3153</v>
      </c>
      <c r="M211" s="328"/>
    </row>
    <row r="212" spans="2:13" x14ac:dyDescent="0.2">
      <c r="B212" s="26" t="s">
        <v>688</v>
      </c>
      <c r="C212" s="328" t="s">
        <v>2456</v>
      </c>
      <c r="D212" s="328" t="s">
        <v>2456</v>
      </c>
      <c r="E212" s="328" t="s">
        <v>2457</v>
      </c>
      <c r="F212" s="328" t="s">
        <v>2458</v>
      </c>
      <c r="G212" s="328" t="s">
        <v>2459</v>
      </c>
      <c r="H212" s="328" t="s">
        <v>2460</v>
      </c>
      <c r="I212" s="328" t="s">
        <v>2461</v>
      </c>
      <c r="J212" s="328" t="s">
        <v>2462</v>
      </c>
      <c r="K212" s="328" t="s">
        <v>2463</v>
      </c>
      <c r="L212" s="327" t="s">
        <v>2458</v>
      </c>
      <c r="M212" s="328"/>
    </row>
    <row r="213" spans="2:13" x14ac:dyDescent="0.2">
      <c r="B213" s="26" t="s">
        <v>689</v>
      </c>
      <c r="C213" s="328" t="s">
        <v>2464</v>
      </c>
      <c r="D213" s="328" t="s">
        <v>2465</v>
      </c>
      <c r="E213" s="328" t="s">
        <v>2466</v>
      </c>
      <c r="F213" s="328" t="s">
        <v>2467</v>
      </c>
      <c r="G213" s="328" t="s">
        <v>2468</v>
      </c>
      <c r="H213" s="328" t="s">
        <v>689</v>
      </c>
      <c r="I213" s="328" t="s">
        <v>2469</v>
      </c>
      <c r="J213" s="328" t="s">
        <v>2470</v>
      </c>
      <c r="K213" s="328" t="s">
        <v>2471</v>
      </c>
      <c r="L213" s="327" t="s">
        <v>2467</v>
      </c>
      <c r="M213" s="328"/>
    </row>
    <row r="214" spans="2:13" x14ac:dyDescent="0.2">
      <c r="B214" s="26" t="s">
        <v>690</v>
      </c>
      <c r="C214" s="328" t="s">
        <v>2472</v>
      </c>
      <c r="D214" s="328" t="s">
        <v>2473</v>
      </c>
      <c r="E214" s="328" t="s">
        <v>2474</v>
      </c>
      <c r="F214" s="328" t="s">
        <v>2475</v>
      </c>
      <c r="G214" s="328" t="s">
        <v>2476</v>
      </c>
      <c r="H214" s="328" t="s">
        <v>2477</v>
      </c>
      <c r="I214" s="328" t="s">
        <v>2475</v>
      </c>
      <c r="J214" s="328" t="s">
        <v>2478</v>
      </c>
      <c r="K214" s="328" t="s">
        <v>2479</v>
      </c>
      <c r="L214" s="327" t="s">
        <v>3154</v>
      </c>
      <c r="M214" s="328"/>
    </row>
    <row r="215" spans="2:13" x14ac:dyDescent="0.2">
      <c r="B215" s="26" t="s">
        <v>691</v>
      </c>
      <c r="C215" s="328" t="s">
        <v>2480</v>
      </c>
      <c r="D215" s="328" t="s">
        <v>2480</v>
      </c>
      <c r="E215" s="328" t="s">
        <v>2481</v>
      </c>
      <c r="F215" s="328" t="s">
        <v>2482</v>
      </c>
      <c r="G215" s="328" t="s">
        <v>691</v>
      </c>
      <c r="H215" s="328" t="s">
        <v>691</v>
      </c>
      <c r="I215" s="328" t="s">
        <v>2483</v>
      </c>
      <c r="J215" s="328" t="s">
        <v>2484</v>
      </c>
      <c r="K215" s="328" t="s">
        <v>2485</v>
      </c>
      <c r="L215" s="327" t="s">
        <v>691</v>
      </c>
      <c r="M215" s="328"/>
    </row>
    <row r="216" spans="2:13" x14ac:dyDescent="0.2">
      <c r="B216" s="26" t="s">
        <v>692</v>
      </c>
      <c r="C216" s="328" t="s">
        <v>2486</v>
      </c>
      <c r="D216" s="328" t="s">
        <v>2487</v>
      </c>
      <c r="E216" s="328" t="s">
        <v>2488</v>
      </c>
      <c r="F216" s="328" t="s">
        <v>2489</v>
      </c>
      <c r="G216" s="328" t="s">
        <v>2490</v>
      </c>
      <c r="H216" s="328" t="s">
        <v>2491</v>
      </c>
      <c r="I216" s="328" t="s">
        <v>692</v>
      </c>
      <c r="J216" s="328" t="s">
        <v>2492</v>
      </c>
      <c r="K216" s="328" t="s">
        <v>2493</v>
      </c>
      <c r="L216" s="327" t="s">
        <v>3155</v>
      </c>
      <c r="M216" s="328"/>
    </row>
    <row r="217" spans="2:13" x14ac:dyDescent="0.2">
      <c r="B217" s="26" t="s">
        <v>693</v>
      </c>
      <c r="C217" s="328" t="s">
        <v>2494</v>
      </c>
      <c r="D217" s="328" t="s">
        <v>2494</v>
      </c>
      <c r="E217" s="328" t="s">
        <v>2495</v>
      </c>
      <c r="F217" s="328" t="s">
        <v>2496</v>
      </c>
      <c r="G217" s="328" t="s">
        <v>2496</v>
      </c>
      <c r="H217" s="328" t="s">
        <v>2497</v>
      </c>
      <c r="I217" s="328" t="s">
        <v>693</v>
      </c>
      <c r="J217" s="328" t="s">
        <v>2498</v>
      </c>
      <c r="K217" s="328" t="s">
        <v>2499</v>
      </c>
      <c r="L217" s="327" t="s">
        <v>3156</v>
      </c>
      <c r="M217" s="328"/>
    </row>
    <row r="218" spans="2:13" x14ac:dyDescent="0.2">
      <c r="B218" s="26" t="s">
        <v>694</v>
      </c>
      <c r="C218" s="328" t="s">
        <v>2500</v>
      </c>
      <c r="D218" s="328" t="s">
        <v>2500</v>
      </c>
      <c r="E218" s="328" t="s">
        <v>2501</v>
      </c>
      <c r="F218" s="328" t="s">
        <v>2502</v>
      </c>
      <c r="G218" s="328" t="s">
        <v>2503</v>
      </c>
      <c r="H218" s="328" t="s">
        <v>2504</v>
      </c>
      <c r="I218" s="328" t="s">
        <v>2505</v>
      </c>
      <c r="J218" s="328" t="s">
        <v>2506</v>
      </c>
      <c r="K218" s="328" t="s">
        <v>2507</v>
      </c>
      <c r="L218" s="327" t="s">
        <v>3157</v>
      </c>
      <c r="M218" s="328"/>
    </row>
    <row r="219" spans="2:13" x14ac:dyDescent="0.2">
      <c r="B219" s="26" t="s">
        <v>695</v>
      </c>
      <c r="C219" s="328" t="s">
        <v>2508</v>
      </c>
      <c r="D219" s="328" t="s">
        <v>2508</v>
      </c>
      <c r="E219" s="328" t="s">
        <v>2509</v>
      </c>
      <c r="F219" s="328" t="s">
        <v>2510</v>
      </c>
      <c r="G219" s="328" t="s">
        <v>2511</v>
      </c>
      <c r="H219" s="328" t="s">
        <v>2512</v>
      </c>
      <c r="I219" s="328" t="s">
        <v>2513</v>
      </c>
      <c r="J219" s="328" t="s">
        <v>2514</v>
      </c>
      <c r="K219" s="328" t="s">
        <v>2515</v>
      </c>
      <c r="L219" s="327" t="s">
        <v>695</v>
      </c>
      <c r="M219" s="328"/>
    </row>
    <row r="220" spans="2:13" x14ac:dyDescent="0.2">
      <c r="B220" s="26" t="s">
        <v>696</v>
      </c>
      <c r="C220" s="328" t="s">
        <v>2516</v>
      </c>
      <c r="D220" s="328" t="s">
        <v>2517</v>
      </c>
      <c r="E220" s="328" t="s">
        <v>2518</v>
      </c>
      <c r="F220" s="328" t="s">
        <v>2519</v>
      </c>
      <c r="G220" s="328" t="s">
        <v>2520</v>
      </c>
      <c r="H220" s="328" t="s">
        <v>2521</v>
      </c>
      <c r="I220" s="328" t="s">
        <v>2522</v>
      </c>
      <c r="J220" s="328" t="s">
        <v>2523</v>
      </c>
      <c r="K220" s="328" t="s">
        <v>2524</v>
      </c>
      <c r="L220" s="327" t="s">
        <v>3158</v>
      </c>
      <c r="M220" s="328"/>
    </row>
    <row r="221" spans="2:13" x14ac:dyDescent="0.2">
      <c r="B221" s="26" t="s">
        <v>697</v>
      </c>
      <c r="C221" s="328" t="s">
        <v>2525</v>
      </c>
      <c r="D221" s="328" t="s">
        <v>2525</v>
      </c>
      <c r="E221" s="328" t="s">
        <v>2526</v>
      </c>
      <c r="F221" s="328" t="s">
        <v>2527</v>
      </c>
      <c r="G221" s="328" t="s">
        <v>2528</v>
      </c>
      <c r="H221" s="328" t="s">
        <v>2529</v>
      </c>
      <c r="I221" s="328" t="s">
        <v>2530</v>
      </c>
      <c r="J221" s="328" t="s">
        <v>2531</v>
      </c>
      <c r="K221" s="328" t="s">
        <v>2532</v>
      </c>
      <c r="L221" s="327" t="s">
        <v>2527</v>
      </c>
      <c r="M221" s="328"/>
    </row>
    <row r="222" spans="2:13" x14ac:dyDescent="0.2">
      <c r="B222" s="26" t="s">
        <v>698</v>
      </c>
      <c r="C222" s="328" t="s">
        <v>2533</v>
      </c>
      <c r="D222" s="328" t="s">
        <v>2533</v>
      </c>
      <c r="E222" s="328" t="s">
        <v>2534</v>
      </c>
      <c r="F222" s="328" t="s">
        <v>2535</v>
      </c>
      <c r="G222" s="328" t="s">
        <v>2536</v>
      </c>
      <c r="H222" s="328" t="s">
        <v>2537</v>
      </c>
      <c r="I222" s="328" t="s">
        <v>2538</v>
      </c>
      <c r="J222" s="328" t="s">
        <v>2539</v>
      </c>
      <c r="K222" s="328" t="s">
        <v>2540</v>
      </c>
      <c r="L222" s="327" t="s">
        <v>2535</v>
      </c>
      <c r="M222" s="328"/>
    </row>
    <row r="223" spans="2:13" x14ac:dyDescent="0.2">
      <c r="B223" s="26" t="s">
        <v>699</v>
      </c>
      <c r="C223" s="328" t="s">
        <v>2541</v>
      </c>
      <c r="D223" s="328" t="s">
        <v>2541</v>
      </c>
      <c r="E223" s="328" t="s">
        <v>2542</v>
      </c>
      <c r="F223" s="328" t="s">
        <v>2543</v>
      </c>
      <c r="G223" s="328" t="s">
        <v>2544</v>
      </c>
      <c r="H223" s="328" t="s">
        <v>2545</v>
      </c>
      <c r="I223" s="328" t="s">
        <v>2546</v>
      </c>
      <c r="J223" s="328" t="s">
        <v>2547</v>
      </c>
      <c r="K223" s="328" t="s">
        <v>2548</v>
      </c>
      <c r="L223" s="327" t="s">
        <v>3159</v>
      </c>
      <c r="M223" s="328"/>
    </row>
    <row r="224" spans="2:13" x14ac:dyDescent="0.2">
      <c r="B224" s="26" t="s">
        <v>700</v>
      </c>
      <c r="C224" s="328" t="s">
        <v>2549</v>
      </c>
      <c r="D224" s="328" t="s">
        <v>2550</v>
      </c>
      <c r="E224" s="328" t="s">
        <v>2551</v>
      </c>
      <c r="F224" s="328" t="s">
        <v>2552</v>
      </c>
      <c r="G224" s="328" t="s">
        <v>700</v>
      </c>
      <c r="H224" s="328" t="s">
        <v>700</v>
      </c>
      <c r="I224" s="328" t="s">
        <v>700</v>
      </c>
      <c r="J224" s="328" t="s">
        <v>2553</v>
      </c>
      <c r="K224" s="328" t="s">
        <v>2554</v>
      </c>
      <c r="L224" s="327" t="s">
        <v>700</v>
      </c>
      <c r="M224" s="328"/>
    </row>
    <row r="225" spans="2:13" x14ac:dyDescent="0.2">
      <c r="B225" s="26" t="s">
        <v>701</v>
      </c>
      <c r="C225" s="328" t="s">
        <v>2555</v>
      </c>
      <c r="D225" s="328" t="s">
        <v>2556</v>
      </c>
      <c r="E225" s="328" t="s">
        <v>2557</v>
      </c>
      <c r="F225" s="328" t="s">
        <v>2558</v>
      </c>
      <c r="G225" s="328" t="s">
        <v>701</v>
      </c>
      <c r="H225" s="328" t="s">
        <v>2559</v>
      </c>
      <c r="I225" s="328" t="s">
        <v>2558</v>
      </c>
      <c r="J225" s="328" t="s">
        <v>2560</v>
      </c>
      <c r="K225" s="328" t="s">
        <v>2561</v>
      </c>
      <c r="L225" s="327" t="s">
        <v>3160</v>
      </c>
      <c r="M225" s="328"/>
    </row>
    <row r="226" spans="2:13" x14ac:dyDescent="0.2">
      <c r="B226" s="26" t="s">
        <v>702</v>
      </c>
      <c r="C226" s="328" t="s">
        <v>2562</v>
      </c>
      <c r="D226" s="328" t="s">
        <v>2563</v>
      </c>
      <c r="E226" s="328" t="s">
        <v>2564</v>
      </c>
      <c r="F226" s="328" t="s">
        <v>2565</v>
      </c>
      <c r="G226" s="328" t="s">
        <v>2566</v>
      </c>
      <c r="H226" s="328" t="s">
        <v>2567</v>
      </c>
      <c r="I226" s="328" t="s">
        <v>2568</v>
      </c>
      <c r="J226" s="328" t="s">
        <v>2569</v>
      </c>
      <c r="K226" s="328" t="s">
        <v>2570</v>
      </c>
      <c r="L226" s="327" t="s">
        <v>3161</v>
      </c>
      <c r="M226" s="328"/>
    </row>
    <row r="227" spans="2:13" x14ac:dyDescent="0.2">
      <c r="B227" s="26" t="s">
        <v>703</v>
      </c>
      <c r="C227" s="328" t="s">
        <v>2571</v>
      </c>
      <c r="D227" s="328" t="s">
        <v>2572</v>
      </c>
      <c r="E227" s="328" t="s">
        <v>2573</v>
      </c>
      <c r="F227" s="328" t="s">
        <v>2574</v>
      </c>
      <c r="G227" s="328" t="s">
        <v>2575</v>
      </c>
      <c r="H227" s="328" t="s">
        <v>2576</v>
      </c>
      <c r="I227" s="328" t="s">
        <v>2577</v>
      </c>
      <c r="J227" s="328" t="s">
        <v>2578</v>
      </c>
      <c r="K227" s="328" t="s">
        <v>2579</v>
      </c>
      <c r="L227" s="327" t="s">
        <v>2574</v>
      </c>
      <c r="M227" s="328"/>
    </row>
    <row r="228" spans="2:13" x14ac:dyDescent="0.2">
      <c r="B228" s="26" t="s">
        <v>709</v>
      </c>
      <c r="C228" s="328" t="s">
        <v>2580</v>
      </c>
      <c r="D228" s="328" t="s">
        <v>2581</v>
      </c>
      <c r="E228" s="328" t="s">
        <v>2582</v>
      </c>
      <c r="F228" s="328" t="s">
        <v>2583</v>
      </c>
      <c r="G228" s="328" t="s">
        <v>2584</v>
      </c>
      <c r="H228" s="328" t="s">
        <v>709</v>
      </c>
      <c r="I228" s="328" t="s">
        <v>2585</v>
      </c>
      <c r="J228" s="328" t="s">
        <v>2586</v>
      </c>
      <c r="K228" s="328" t="s">
        <v>2587</v>
      </c>
      <c r="L228" s="327" t="s">
        <v>3162</v>
      </c>
      <c r="M228" s="328"/>
    </row>
    <row r="229" spans="2:13" x14ac:dyDescent="0.2">
      <c r="B229" s="26" t="s">
        <v>704</v>
      </c>
      <c r="C229" s="328" t="s">
        <v>2588</v>
      </c>
      <c r="D229" s="328" t="s">
        <v>2588</v>
      </c>
      <c r="E229" s="328" t="s">
        <v>2589</v>
      </c>
      <c r="F229" s="328" t="s">
        <v>704</v>
      </c>
      <c r="G229" s="328" t="s">
        <v>704</v>
      </c>
      <c r="H229" s="328" t="s">
        <v>704</v>
      </c>
      <c r="I229" s="328" t="s">
        <v>704</v>
      </c>
      <c r="J229" s="328" t="s">
        <v>2590</v>
      </c>
      <c r="K229" s="328" t="s">
        <v>2591</v>
      </c>
      <c r="L229" s="327" t="s">
        <v>3163</v>
      </c>
      <c r="M229" s="328"/>
    </row>
    <row r="230" spans="2:13" x14ac:dyDescent="0.2">
      <c r="B230" s="26" t="s">
        <v>532</v>
      </c>
      <c r="C230" s="328" t="s">
        <v>2592</v>
      </c>
      <c r="D230" s="328" t="s">
        <v>2593</v>
      </c>
      <c r="E230" s="328" t="s">
        <v>2594</v>
      </c>
      <c r="F230" s="328" t="s">
        <v>2595</v>
      </c>
      <c r="G230" s="328" t="s">
        <v>2596</v>
      </c>
      <c r="H230" s="328" t="s">
        <v>2597</v>
      </c>
      <c r="I230" s="328" t="s">
        <v>2598</v>
      </c>
      <c r="J230" s="328" t="s">
        <v>2599</v>
      </c>
      <c r="K230" s="328" t="s">
        <v>2600</v>
      </c>
      <c r="L230" s="327" t="s">
        <v>3164</v>
      </c>
      <c r="M230" s="328"/>
    </row>
    <row r="231" spans="2:13" x14ac:dyDescent="0.2">
      <c r="B231" s="26" t="s">
        <v>533</v>
      </c>
      <c r="C231" s="328" t="s">
        <v>2601</v>
      </c>
      <c r="D231" s="328" t="s">
        <v>2601</v>
      </c>
      <c r="E231" s="328" t="s">
        <v>2602</v>
      </c>
      <c r="F231" s="328" t="s">
        <v>2603</v>
      </c>
      <c r="G231" s="328" t="s">
        <v>533</v>
      </c>
      <c r="H231" s="328" t="s">
        <v>2604</v>
      </c>
      <c r="I231" s="328" t="s">
        <v>2605</v>
      </c>
      <c r="J231" s="328" t="s">
        <v>2606</v>
      </c>
      <c r="K231" s="328" t="s">
        <v>2607</v>
      </c>
      <c r="L231" s="327" t="s">
        <v>533</v>
      </c>
      <c r="M231" s="328"/>
    </row>
    <row r="232" spans="2:13" x14ac:dyDescent="0.2">
      <c r="B232" s="26" t="s">
        <v>534</v>
      </c>
      <c r="C232" s="328" t="s">
        <v>2608</v>
      </c>
      <c r="D232" s="328" t="s">
        <v>2608</v>
      </c>
      <c r="E232" s="328" t="s">
        <v>2609</v>
      </c>
      <c r="F232" s="328" t="s">
        <v>534</v>
      </c>
      <c r="G232" s="328" t="s">
        <v>534</v>
      </c>
      <c r="H232" s="328" t="s">
        <v>2610</v>
      </c>
      <c r="I232" s="328" t="s">
        <v>534</v>
      </c>
      <c r="J232" s="328" t="s">
        <v>2611</v>
      </c>
      <c r="K232" s="328" t="s">
        <v>2612</v>
      </c>
      <c r="L232" s="327" t="s">
        <v>534</v>
      </c>
      <c r="M232" s="328"/>
    </row>
    <row r="233" spans="2:13" x14ac:dyDescent="0.2">
      <c r="B233" s="26" t="s">
        <v>530</v>
      </c>
      <c r="C233" s="328" t="s">
        <v>2613</v>
      </c>
      <c r="D233" s="328" t="s">
        <v>2613</v>
      </c>
      <c r="E233" s="328" t="s">
        <v>2614</v>
      </c>
      <c r="F233" s="328" t="s">
        <v>530</v>
      </c>
      <c r="G233" s="328" t="s">
        <v>2615</v>
      </c>
      <c r="H233" s="328" t="s">
        <v>2616</v>
      </c>
      <c r="I233" s="328" t="s">
        <v>530</v>
      </c>
      <c r="J233" s="328" t="s">
        <v>2617</v>
      </c>
      <c r="K233" s="328" t="s">
        <v>2618</v>
      </c>
      <c r="L233" s="327" t="s">
        <v>530</v>
      </c>
      <c r="M233" s="328"/>
    </row>
    <row r="234" spans="2:13" x14ac:dyDescent="0.2">
      <c r="B234" s="26" t="s">
        <v>535</v>
      </c>
      <c r="C234" s="328" t="s">
        <v>2619</v>
      </c>
      <c r="D234" s="328" t="s">
        <v>2619</v>
      </c>
      <c r="E234" s="328" t="s">
        <v>2620</v>
      </c>
      <c r="F234" s="328" t="s">
        <v>2621</v>
      </c>
      <c r="G234" s="328" t="s">
        <v>535</v>
      </c>
      <c r="H234" s="328" t="s">
        <v>2622</v>
      </c>
      <c r="I234" s="328" t="s">
        <v>535</v>
      </c>
      <c r="J234" s="328" t="s">
        <v>2623</v>
      </c>
      <c r="K234" s="328" t="s">
        <v>2624</v>
      </c>
      <c r="L234" s="327" t="s">
        <v>2621</v>
      </c>
      <c r="M234" s="328"/>
    </row>
    <row r="235" spans="2:13" x14ac:dyDescent="0.2">
      <c r="B235" s="26" t="s">
        <v>477</v>
      </c>
      <c r="C235" s="328" t="s">
        <v>2625</v>
      </c>
      <c r="D235" s="328" t="s">
        <v>2625</v>
      </c>
      <c r="E235" s="328" t="s">
        <v>2626</v>
      </c>
      <c r="F235" s="328" t="s">
        <v>2627</v>
      </c>
      <c r="G235" s="328" t="s">
        <v>2628</v>
      </c>
      <c r="H235" s="328" t="s">
        <v>2628</v>
      </c>
      <c r="I235" s="328" t="s">
        <v>2629</v>
      </c>
      <c r="J235" s="328" t="s">
        <v>2630</v>
      </c>
      <c r="K235" s="328" t="s">
        <v>2631</v>
      </c>
      <c r="L235" s="327" t="s">
        <v>2628</v>
      </c>
      <c r="M235" s="328"/>
    </row>
    <row r="236" spans="2:13" x14ac:dyDescent="0.2">
      <c r="B236" s="26" t="s">
        <v>531</v>
      </c>
      <c r="C236" s="328" t="s">
        <v>2632</v>
      </c>
      <c r="D236" s="328" t="s">
        <v>2632</v>
      </c>
      <c r="E236" s="328" t="s">
        <v>2633</v>
      </c>
      <c r="F236" s="328" t="s">
        <v>531</v>
      </c>
      <c r="G236" s="328" t="s">
        <v>2634</v>
      </c>
      <c r="H236" s="328" t="s">
        <v>2635</v>
      </c>
      <c r="I236" s="328" t="s">
        <v>2636</v>
      </c>
      <c r="J236" s="328" t="s">
        <v>2637</v>
      </c>
      <c r="K236" s="328" t="s">
        <v>2638</v>
      </c>
      <c r="L236" s="327" t="s">
        <v>531</v>
      </c>
      <c r="M236" s="328"/>
    </row>
    <row r="237" spans="2:13" x14ac:dyDescent="0.2">
      <c r="B237" s="26" t="s">
        <v>536</v>
      </c>
      <c r="C237" s="328" t="s">
        <v>2639</v>
      </c>
      <c r="D237" s="328" t="s">
        <v>2639</v>
      </c>
      <c r="E237" s="328" t="s">
        <v>2640</v>
      </c>
      <c r="F237" s="328" t="s">
        <v>536</v>
      </c>
      <c r="G237" s="328" t="s">
        <v>2641</v>
      </c>
      <c r="H237" s="328" t="s">
        <v>2642</v>
      </c>
      <c r="I237" s="328" t="s">
        <v>2643</v>
      </c>
      <c r="J237" s="328" t="s">
        <v>2644</v>
      </c>
      <c r="K237" s="328" t="s">
        <v>2645</v>
      </c>
      <c r="L237" s="327" t="s">
        <v>536</v>
      </c>
      <c r="M237" s="328"/>
    </row>
    <row r="238" spans="2:13" x14ac:dyDescent="0.2">
      <c r="B238" s="26" t="s">
        <v>528</v>
      </c>
      <c r="C238" s="328" t="s">
        <v>2646</v>
      </c>
      <c r="D238" s="328" t="s">
        <v>2646</v>
      </c>
      <c r="E238" s="328" t="s">
        <v>2647</v>
      </c>
      <c r="F238" s="328" t="s">
        <v>2648</v>
      </c>
      <c r="G238" s="328" t="s">
        <v>528</v>
      </c>
      <c r="H238" s="328" t="s">
        <v>2649</v>
      </c>
      <c r="I238" s="328" t="s">
        <v>2648</v>
      </c>
      <c r="J238" s="328" t="s">
        <v>2650</v>
      </c>
      <c r="K238" s="328" t="s">
        <v>2651</v>
      </c>
      <c r="L238" s="327" t="s">
        <v>2648</v>
      </c>
      <c r="M238" s="328"/>
    </row>
    <row r="239" spans="2:13" x14ac:dyDescent="0.2">
      <c r="B239" s="26" t="s">
        <v>537</v>
      </c>
      <c r="C239" s="328" t="s">
        <v>2652</v>
      </c>
      <c r="D239" s="328" t="s">
        <v>2652</v>
      </c>
      <c r="E239" s="328" t="s">
        <v>2653</v>
      </c>
      <c r="F239" s="328" t="s">
        <v>537</v>
      </c>
      <c r="G239" s="328" t="s">
        <v>537</v>
      </c>
      <c r="H239" s="328" t="s">
        <v>2654</v>
      </c>
      <c r="I239" s="328" t="s">
        <v>2655</v>
      </c>
      <c r="J239" s="328" t="s">
        <v>2656</v>
      </c>
      <c r="K239" s="328" t="s">
        <v>2657</v>
      </c>
      <c r="L239" s="327" t="s">
        <v>3165</v>
      </c>
      <c r="M239" s="328"/>
    </row>
    <row r="240" spans="2:13" x14ac:dyDescent="0.2">
      <c r="B240" s="26" t="s">
        <v>538</v>
      </c>
      <c r="C240" s="328" t="s">
        <v>2658</v>
      </c>
      <c r="D240" s="328" t="s">
        <v>2658</v>
      </c>
      <c r="E240" s="328" t="s">
        <v>2659</v>
      </c>
      <c r="F240" s="328" t="s">
        <v>538</v>
      </c>
      <c r="G240" s="328" t="s">
        <v>2660</v>
      </c>
      <c r="H240" s="328" t="s">
        <v>2661</v>
      </c>
      <c r="I240" s="328" t="s">
        <v>2662</v>
      </c>
      <c r="J240" s="328" t="s">
        <v>2663</v>
      </c>
      <c r="K240" s="328" t="s">
        <v>2664</v>
      </c>
      <c r="L240" s="327" t="s">
        <v>3166</v>
      </c>
      <c r="M240" s="328"/>
    </row>
    <row r="241" spans="2:13" x14ac:dyDescent="0.2">
      <c r="B241" s="26" t="s">
        <v>539</v>
      </c>
      <c r="C241" s="328" t="s">
        <v>2665</v>
      </c>
      <c r="D241" s="328" t="s">
        <v>2665</v>
      </c>
      <c r="E241" s="328" t="s">
        <v>2666</v>
      </c>
      <c r="F241" s="328" t="s">
        <v>539</v>
      </c>
      <c r="G241" s="328" t="s">
        <v>539</v>
      </c>
      <c r="H241" s="328" t="s">
        <v>2667</v>
      </c>
      <c r="I241" s="328" t="s">
        <v>539</v>
      </c>
      <c r="J241" s="328" t="s">
        <v>2668</v>
      </c>
      <c r="K241" s="328" t="s">
        <v>2669</v>
      </c>
      <c r="L241" s="327" t="s">
        <v>539</v>
      </c>
      <c r="M241" s="328"/>
    </row>
    <row r="242" spans="2:13" x14ac:dyDescent="0.2">
      <c r="B242" s="26" t="s">
        <v>529</v>
      </c>
      <c r="C242" s="328" t="s">
        <v>2670</v>
      </c>
      <c r="D242" s="328" t="s">
        <v>2670</v>
      </c>
      <c r="E242" s="328" t="s">
        <v>2671</v>
      </c>
      <c r="F242" s="328" t="s">
        <v>2672</v>
      </c>
      <c r="G242" s="328" t="s">
        <v>2673</v>
      </c>
      <c r="H242" s="328" t="s">
        <v>2674</v>
      </c>
      <c r="I242" s="328" t="s">
        <v>2672</v>
      </c>
      <c r="J242" s="328" t="s">
        <v>2675</v>
      </c>
      <c r="K242" s="328" t="s">
        <v>2676</v>
      </c>
      <c r="L242" s="327" t="s">
        <v>2673</v>
      </c>
      <c r="M242" s="328"/>
    </row>
    <row r="243" spans="2:13" x14ac:dyDescent="0.2">
      <c r="B243" s="26" t="s">
        <v>284</v>
      </c>
      <c r="C243" s="328" t="s">
        <v>2677</v>
      </c>
      <c r="D243" s="328" t="s">
        <v>2677</v>
      </c>
      <c r="E243" s="328" t="s">
        <v>2677</v>
      </c>
      <c r="F243" s="328" t="s">
        <v>2678</v>
      </c>
      <c r="G243" s="328" t="s">
        <v>2679</v>
      </c>
      <c r="H243" s="328" t="s">
        <v>2680</v>
      </c>
      <c r="I243" s="328" t="s">
        <v>2681</v>
      </c>
      <c r="J243" s="328" t="s">
        <v>2682</v>
      </c>
      <c r="K243" s="328" t="s">
        <v>2683</v>
      </c>
      <c r="L243" s="327" t="s">
        <v>3167</v>
      </c>
      <c r="M243" s="328"/>
    </row>
    <row r="244" spans="2:13" x14ac:dyDescent="0.2">
      <c r="B244" s="26" t="s">
        <v>261</v>
      </c>
      <c r="C244" s="328" t="s">
        <v>2684</v>
      </c>
      <c r="D244" s="328" t="s">
        <v>2684</v>
      </c>
      <c r="E244" s="328" t="s">
        <v>2685</v>
      </c>
      <c r="F244" s="328" t="s">
        <v>2686</v>
      </c>
      <c r="G244" s="328" t="s">
        <v>2687</v>
      </c>
      <c r="H244" s="328" t="s">
        <v>2688</v>
      </c>
      <c r="I244" s="328" t="s">
        <v>2689</v>
      </c>
      <c r="J244" s="328" t="s">
        <v>2690</v>
      </c>
      <c r="K244" s="328" t="s">
        <v>2691</v>
      </c>
      <c r="L244" s="327" t="s">
        <v>3168</v>
      </c>
      <c r="M244" s="328"/>
    </row>
    <row r="245" spans="2:13" x14ac:dyDescent="0.2">
      <c r="B245" s="26" t="s">
        <v>260</v>
      </c>
      <c r="C245" s="328" t="s">
        <v>2692</v>
      </c>
      <c r="D245" s="328" t="s">
        <v>2693</v>
      </c>
      <c r="E245" s="328" t="s">
        <v>2694</v>
      </c>
      <c r="F245" s="328" t="s">
        <v>2695</v>
      </c>
      <c r="G245" s="328" t="s">
        <v>2696</v>
      </c>
      <c r="H245" s="328" t="s">
        <v>2697</v>
      </c>
      <c r="I245" s="328" t="s">
        <v>2698</v>
      </c>
      <c r="J245" s="328" t="s">
        <v>2699</v>
      </c>
      <c r="K245" s="328" t="s">
        <v>2700</v>
      </c>
      <c r="L245" s="327" t="s">
        <v>3169</v>
      </c>
      <c r="M245" s="328"/>
    </row>
    <row r="246" spans="2:13" x14ac:dyDescent="0.2">
      <c r="B246" s="26" t="s">
        <v>259</v>
      </c>
      <c r="C246" s="328" t="s">
        <v>2701</v>
      </c>
      <c r="D246" s="328" t="s">
        <v>2702</v>
      </c>
      <c r="E246" s="328" t="s">
        <v>2703</v>
      </c>
      <c r="F246" s="328" t="s">
        <v>2704</v>
      </c>
      <c r="G246" s="328" t="s">
        <v>2705</v>
      </c>
      <c r="H246" s="328" t="s">
        <v>2706</v>
      </c>
      <c r="I246" s="328" t="s">
        <v>2707</v>
      </c>
      <c r="J246" s="328" t="s">
        <v>2708</v>
      </c>
      <c r="K246" s="328" t="s">
        <v>2709</v>
      </c>
      <c r="L246" s="327" t="s">
        <v>3170</v>
      </c>
      <c r="M246" s="328"/>
    </row>
    <row r="247" spans="2:13" x14ac:dyDescent="0.2">
      <c r="B247" s="26" t="s">
        <v>274</v>
      </c>
      <c r="C247" s="328" t="s">
        <v>1129</v>
      </c>
      <c r="D247" s="328" t="s">
        <v>1130</v>
      </c>
      <c r="E247" s="328" t="s">
        <v>1131</v>
      </c>
      <c r="F247" s="328" t="s">
        <v>2710</v>
      </c>
      <c r="G247" s="328" t="s">
        <v>2711</v>
      </c>
      <c r="H247" s="328" t="s">
        <v>2712</v>
      </c>
      <c r="I247" s="328" t="s">
        <v>2713</v>
      </c>
      <c r="J247" s="328" t="s">
        <v>2714</v>
      </c>
      <c r="K247" s="328" t="s">
        <v>2715</v>
      </c>
      <c r="L247" s="327" t="s">
        <v>3171</v>
      </c>
      <c r="M247" s="328"/>
    </row>
    <row r="248" spans="2:13" x14ac:dyDescent="0.2">
      <c r="B248" s="26" t="s">
        <v>729</v>
      </c>
      <c r="C248" s="328" t="s">
        <v>2716</v>
      </c>
      <c r="D248" s="328" t="s">
        <v>2717</v>
      </c>
      <c r="E248" s="328" t="s">
        <v>2718</v>
      </c>
      <c r="F248" s="328" t="s">
        <v>2719</v>
      </c>
      <c r="G248" s="328" t="s">
        <v>2720</v>
      </c>
      <c r="H248" s="328" t="s">
        <v>2721</v>
      </c>
      <c r="I248" s="328" t="s">
        <v>2722</v>
      </c>
      <c r="J248" s="328" t="s">
        <v>2723</v>
      </c>
      <c r="K248" s="328" t="s">
        <v>2724</v>
      </c>
      <c r="L248" s="327" t="s">
        <v>3172</v>
      </c>
      <c r="M248" s="328"/>
    </row>
    <row r="249" spans="2:13" x14ac:dyDescent="0.2">
      <c r="B249" s="26" t="s">
        <v>4111</v>
      </c>
      <c r="C249" s="328" t="s">
        <v>4112</v>
      </c>
      <c r="D249" s="328" t="s">
        <v>4113</v>
      </c>
      <c r="E249" s="328" t="s">
        <v>4114</v>
      </c>
      <c r="F249" s="328" t="s">
        <v>4115</v>
      </c>
      <c r="G249" s="328" t="s">
        <v>4116</v>
      </c>
      <c r="H249" s="328" t="s">
        <v>4117</v>
      </c>
      <c r="I249" s="328" t="s">
        <v>4118</v>
      </c>
      <c r="J249" s="328" t="s">
        <v>4119</v>
      </c>
      <c r="K249" s="328" t="s">
        <v>4120</v>
      </c>
      <c r="L249" s="327" t="s">
        <v>4121</v>
      </c>
      <c r="M249" s="328"/>
    </row>
    <row r="250" spans="2:13" x14ac:dyDescent="0.2">
      <c r="B250" s="26" t="s">
        <v>420</v>
      </c>
      <c r="C250" s="328" t="s">
        <v>2725</v>
      </c>
      <c r="D250" s="328" t="s">
        <v>2726</v>
      </c>
      <c r="E250" s="328" t="s">
        <v>2727</v>
      </c>
      <c r="F250" s="328" t="s">
        <v>2728</v>
      </c>
      <c r="G250" s="328" t="s">
        <v>2729</v>
      </c>
      <c r="H250" s="328" t="s">
        <v>2730</v>
      </c>
      <c r="I250" s="328" t="s">
        <v>2731</v>
      </c>
      <c r="J250" s="328" t="s">
        <v>2732</v>
      </c>
      <c r="K250" s="328" t="s">
        <v>2733</v>
      </c>
      <c r="L250" s="327" t="s">
        <v>3173</v>
      </c>
      <c r="M250" s="328"/>
    </row>
    <row r="251" spans="2:13" x14ac:dyDescent="0.2">
      <c r="B251" s="26" t="s">
        <v>485</v>
      </c>
      <c r="C251" s="328" t="s">
        <v>2734</v>
      </c>
      <c r="D251" s="328" t="s">
        <v>2735</v>
      </c>
      <c r="E251" s="328" t="s">
        <v>2736</v>
      </c>
      <c r="F251" s="328" t="s">
        <v>2737</v>
      </c>
      <c r="G251" s="328" t="s">
        <v>2738</v>
      </c>
      <c r="H251" s="328" t="s">
        <v>2739</v>
      </c>
      <c r="I251" s="328" t="s">
        <v>2740</v>
      </c>
      <c r="J251" s="328" t="s">
        <v>2741</v>
      </c>
      <c r="K251" s="328" t="s">
        <v>2742</v>
      </c>
      <c r="L251" s="327" t="s">
        <v>3174</v>
      </c>
      <c r="M251" s="328"/>
    </row>
    <row r="252" spans="2:13" x14ac:dyDescent="0.2">
      <c r="B252" s="26" t="s">
        <v>498</v>
      </c>
      <c r="C252" s="328" t="s">
        <v>2743</v>
      </c>
      <c r="D252" s="328" t="s">
        <v>2744</v>
      </c>
      <c r="E252" s="328" t="s">
        <v>2745</v>
      </c>
      <c r="F252" s="328" t="s">
        <v>2746</v>
      </c>
      <c r="G252" s="328" t="s">
        <v>2747</v>
      </c>
      <c r="H252" s="328" t="s">
        <v>2748</v>
      </c>
      <c r="I252" s="328" t="s">
        <v>2749</v>
      </c>
      <c r="J252" s="328" t="s">
        <v>2750</v>
      </c>
      <c r="K252" s="328" t="s">
        <v>2751</v>
      </c>
      <c r="L252" s="327" t="s">
        <v>3302</v>
      </c>
      <c r="M252" s="328"/>
    </row>
    <row r="253" spans="2:13" x14ac:dyDescent="0.2">
      <c r="B253" s="26" t="s">
        <v>418</v>
      </c>
      <c r="C253" s="328" t="s">
        <v>2225</v>
      </c>
      <c r="D253" s="328" t="s">
        <v>2226</v>
      </c>
      <c r="E253" s="328" t="s">
        <v>2227</v>
      </c>
      <c r="F253" s="328" t="s">
        <v>2228</v>
      </c>
      <c r="G253" s="328" t="s">
        <v>2229</v>
      </c>
      <c r="H253" s="328" t="s">
        <v>2230</v>
      </c>
      <c r="I253" s="328" t="s">
        <v>2231</v>
      </c>
      <c r="J253" s="328" t="s">
        <v>2232</v>
      </c>
      <c r="K253" s="328" t="s">
        <v>2233</v>
      </c>
      <c r="L253" s="327" t="s">
        <v>3135</v>
      </c>
      <c r="M253" s="328"/>
    </row>
    <row r="254" spans="2:13" x14ac:dyDescent="0.2">
      <c r="B254" s="26" t="s">
        <v>422</v>
      </c>
      <c r="C254" s="328" t="s">
        <v>2752</v>
      </c>
      <c r="D254" s="328" t="s">
        <v>2753</v>
      </c>
      <c r="E254" s="328" t="s">
        <v>2754</v>
      </c>
      <c r="F254" s="328" t="s">
        <v>2755</v>
      </c>
      <c r="G254" s="328" t="s">
        <v>2756</v>
      </c>
      <c r="H254" s="328" t="s">
        <v>2739</v>
      </c>
      <c r="I254" s="328" t="s">
        <v>2740</v>
      </c>
      <c r="J254" s="328" t="s">
        <v>2757</v>
      </c>
      <c r="K254" s="328" t="s">
        <v>2742</v>
      </c>
      <c r="L254" s="327" t="s">
        <v>3175</v>
      </c>
      <c r="M254" s="328"/>
    </row>
    <row r="255" spans="2:13" x14ac:dyDescent="0.2">
      <c r="B255" s="26" t="s">
        <v>473</v>
      </c>
      <c r="C255" s="328" t="s">
        <v>2601</v>
      </c>
      <c r="D255" s="328" t="s">
        <v>2601</v>
      </c>
      <c r="E255" s="328" t="s">
        <v>2602</v>
      </c>
      <c r="F255" s="328" t="s">
        <v>2758</v>
      </c>
      <c r="G255" s="328" t="s">
        <v>2759</v>
      </c>
      <c r="H255" s="328" t="s">
        <v>2760</v>
      </c>
      <c r="I255" s="328" t="s">
        <v>2761</v>
      </c>
      <c r="J255" s="328" t="s">
        <v>2606</v>
      </c>
      <c r="K255" s="328" t="s">
        <v>2762</v>
      </c>
      <c r="L255" s="327" t="s">
        <v>3176</v>
      </c>
      <c r="M255" s="328"/>
    </row>
    <row r="256" spans="2:13" x14ac:dyDescent="0.2">
      <c r="B256" s="26" t="s">
        <v>474</v>
      </c>
      <c r="C256" s="328" t="s">
        <v>2608</v>
      </c>
      <c r="D256" s="328" t="s">
        <v>2608</v>
      </c>
      <c r="E256" s="328" t="s">
        <v>2609</v>
      </c>
      <c r="F256" s="328" t="s">
        <v>2763</v>
      </c>
      <c r="G256" s="328" t="s">
        <v>2764</v>
      </c>
      <c r="H256" s="328" t="s">
        <v>2765</v>
      </c>
      <c r="I256" s="328" t="s">
        <v>2766</v>
      </c>
      <c r="J256" s="328" t="s">
        <v>2611</v>
      </c>
      <c r="K256" s="328" t="s">
        <v>2767</v>
      </c>
      <c r="L256" s="327" t="s">
        <v>3177</v>
      </c>
      <c r="M256" s="328"/>
    </row>
    <row r="257" spans="2:13" x14ac:dyDescent="0.2">
      <c r="B257" s="26" t="s">
        <v>475</v>
      </c>
      <c r="C257" s="328" t="s">
        <v>2613</v>
      </c>
      <c r="D257" s="328" t="s">
        <v>2613</v>
      </c>
      <c r="E257" s="328" t="s">
        <v>2614</v>
      </c>
      <c r="F257" s="328" t="s">
        <v>2768</v>
      </c>
      <c r="G257" s="328" t="s">
        <v>2769</v>
      </c>
      <c r="H257" s="328" t="s">
        <v>2616</v>
      </c>
      <c r="I257" s="328" t="s">
        <v>2768</v>
      </c>
      <c r="J257" s="328" t="s">
        <v>2617</v>
      </c>
      <c r="K257" s="328" t="s">
        <v>2770</v>
      </c>
      <c r="L257" s="327" t="s">
        <v>3178</v>
      </c>
      <c r="M257" s="328"/>
    </row>
    <row r="258" spans="2:13" x14ac:dyDescent="0.2">
      <c r="B258" s="26" t="s">
        <v>476</v>
      </c>
      <c r="C258" s="328" t="s">
        <v>2619</v>
      </c>
      <c r="D258" s="328" t="s">
        <v>2619</v>
      </c>
      <c r="E258" s="328" t="s">
        <v>2620</v>
      </c>
      <c r="F258" s="328" t="s">
        <v>2771</v>
      </c>
      <c r="G258" s="328" t="s">
        <v>476</v>
      </c>
      <c r="H258" s="328" t="s">
        <v>2772</v>
      </c>
      <c r="I258" s="328" t="s">
        <v>2773</v>
      </c>
      <c r="J258" s="328" t="s">
        <v>2623</v>
      </c>
      <c r="K258" s="328" t="s">
        <v>2774</v>
      </c>
      <c r="L258" s="327" t="s">
        <v>3179</v>
      </c>
      <c r="M258" s="328"/>
    </row>
    <row r="259" spans="2:13" x14ac:dyDescent="0.2">
      <c r="B259" s="26" t="s">
        <v>478</v>
      </c>
      <c r="C259" s="328" t="s">
        <v>2632</v>
      </c>
      <c r="D259" s="328" t="s">
        <v>2632</v>
      </c>
      <c r="E259" s="328" t="s">
        <v>2633</v>
      </c>
      <c r="F259" s="328" t="s">
        <v>2775</v>
      </c>
      <c r="G259" s="328" t="s">
        <v>2634</v>
      </c>
      <c r="H259" s="328" t="s">
        <v>2635</v>
      </c>
      <c r="I259" s="328" t="s">
        <v>2776</v>
      </c>
      <c r="J259" s="328" t="s">
        <v>2637</v>
      </c>
      <c r="K259" s="328" t="s">
        <v>2777</v>
      </c>
      <c r="L259" s="327" t="s">
        <v>3180</v>
      </c>
      <c r="M259" s="328"/>
    </row>
    <row r="260" spans="2:13" x14ac:dyDescent="0.2">
      <c r="B260" s="26" t="s">
        <v>479</v>
      </c>
      <c r="C260" s="328" t="s">
        <v>2639</v>
      </c>
      <c r="D260" s="328" t="s">
        <v>2639</v>
      </c>
      <c r="E260" s="328" t="s">
        <v>2640</v>
      </c>
      <c r="F260" s="328" t="s">
        <v>2778</v>
      </c>
      <c r="G260" s="328" t="s">
        <v>2641</v>
      </c>
      <c r="H260" s="328" t="s">
        <v>2642</v>
      </c>
      <c r="I260" s="328" t="s">
        <v>2779</v>
      </c>
      <c r="J260" s="328" t="s">
        <v>2644</v>
      </c>
      <c r="K260" s="328" t="s">
        <v>2780</v>
      </c>
      <c r="L260" s="327" t="s">
        <v>3181</v>
      </c>
      <c r="M260" s="328"/>
    </row>
    <row r="261" spans="2:13" x14ac:dyDescent="0.2">
      <c r="B261" s="26" t="s">
        <v>480</v>
      </c>
      <c r="C261" s="328" t="s">
        <v>2646</v>
      </c>
      <c r="D261" s="328" t="s">
        <v>2646</v>
      </c>
      <c r="E261" s="328" t="s">
        <v>2647</v>
      </c>
      <c r="F261" s="328" t="s">
        <v>2781</v>
      </c>
      <c r="G261" s="328" t="s">
        <v>480</v>
      </c>
      <c r="H261" s="328" t="s">
        <v>2782</v>
      </c>
      <c r="I261" s="328" t="s">
        <v>2781</v>
      </c>
      <c r="J261" s="328" t="s">
        <v>2650</v>
      </c>
      <c r="K261" s="328" t="s">
        <v>2783</v>
      </c>
      <c r="L261" s="327" t="s">
        <v>3182</v>
      </c>
      <c r="M261" s="328"/>
    </row>
    <row r="262" spans="2:13" x14ac:dyDescent="0.2">
      <c r="B262" s="26" t="s">
        <v>481</v>
      </c>
      <c r="C262" s="328" t="s">
        <v>2652</v>
      </c>
      <c r="D262" s="328" t="s">
        <v>2652</v>
      </c>
      <c r="E262" s="328" t="s">
        <v>2653</v>
      </c>
      <c r="F262" s="328" t="s">
        <v>2784</v>
      </c>
      <c r="G262" s="328" t="s">
        <v>481</v>
      </c>
      <c r="H262" s="328" t="s">
        <v>2785</v>
      </c>
      <c r="I262" s="328" t="s">
        <v>2786</v>
      </c>
      <c r="J262" s="328" t="s">
        <v>2656</v>
      </c>
      <c r="K262" s="328" t="s">
        <v>2787</v>
      </c>
      <c r="L262" s="327" t="s">
        <v>3183</v>
      </c>
      <c r="M262" s="328"/>
    </row>
    <row r="263" spans="2:13" x14ac:dyDescent="0.2">
      <c r="B263" s="26" t="s">
        <v>482</v>
      </c>
      <c r="C263" s="328" t="s">
        <v>2658</v>
      </c>
      <c r="D263" s="328" t="s">
        <v>2658</v>
      </c>
      <c r="E263" s="328" t="s">
        <v>2659</v>
      </c>
      <c r="F263" s="328" t="s">
        <v>2788</v>
      </c>
      <c r="G263" s="328" t="s">
        <v>2789</v>
      </c>
      <c r="H263" s="328" t="s">
        <v>2790</v>
      </c>
      <c r="I263" s="328" t="s">
        <v>2791</v>
      </c>
      <c r="J263" s="328" t="s">
        <v>2663</v>
      </c>
      <c r="K263" s="328" t="s">
        <v>2792</v>
      </c>
      <c r="L263" s="327" t="s">
        <v>3184</v>
      </c>
      <c r="M263" s="328"/>
    </row>
    <row r="264" spans="2:13" x14ac:dyDescent="0.2">
      <c r="B264" s="26" t="s">
        <v>483</v>
      </c>
      <c r="C264" s="328" t="s">
        <v>2665</v>
      </c>
      <c r="D264" s="328" t="s">
        <v>2665</v>
      </c>
      <c r="E264" s="328" t="s">
        <v>2666</v>
      </c>
      <c r="F264" s="328" t="s">
        <v>2793</v>
      </c>
      <c r="G264" s="328" t="s">
        <v>483</v>
      </c>
      <c r="H264" s="328" t="s">
        <v>2794</v>
      </c>
      <c r="I264" s="328" t="s">
        <v>2795</v>
      </c>
      <c r="J264" s="328" t="s">
        <v>2668</v>
      </c>
      <c r="K264" s="328" t="s">
        <v>2796</v>
      </c>
      <c r="L264" s="327" t="s">
        <v>3185</v>
      </c>
      <c r="M264" s="328"/>
    </row>
    <row r="265" spans="2:13" x14ac:dyDescent="0.2">
      <c r="B265" s="26" t="s">
        <v>484</v>
      </c>
      <c r="C265" s="328" t="s">
        <v>2670</v>
      </c>
      <c r="D265" s="328" t="s">
        <v>2670</v>
      </c>
      <c r="E265" s="328" t="s">
        <v>2671</v>
      </c>
      <c r="F265" s="328" t="s">
        <v>2797</v>
      </c>
      <c r="G265" s="328" t="s">
        <v>2798</v>
      </c>
      <c r="H265" s="328" t="s">
        <v>2799</v>
      </c>
      <c r="I265" s="328" t="s">
        <v>2800</v>
      </c>
      <c r="J265" s="328" t="s">
        <v>2675</v>
      </c>
      <c r="K265" s="328" t="s">
        <v>2801</v>
      </c>
      <c r="L265" s="327" t="s">
        <v>3186</v>
      </c>
      <c r="M265" s="328"/>
    </row>
    <row r="266" spans="2:13" x14ac:dyDescent="0.2">
      <c r="B266" s="26" t="s">
        <v>731</v>
      </c>
      <c r="C266" s="328" t="s">
        <v>742</v>
      </c>
      <c r="D266" s="328" t="s">
        <v>743</v>
      </c>
      <c r="E266" s="328" t="s">
        <v>744</v>
      </c>
      <c r="F266" s="328" t="s">
        <v>745</v>
      </c>
      <c r="G266" s="328" t="s">
        <v>746</v>
      </c>
      <c r="H266" s="328" t="s">
        <v>747</v>
      </c>
      <c r="I266" s="328" t="s">
        <v>748</v>
      </c>
      <c r="J266" s="328" t="s">
        <v>749</v>
      </c>
      <c r="K266" s="328" t="s">
        <v>750</v>
      </c>
      <c r="L266" s="327" t="s">
        <v>3187</v>
      </c>
      <c r="M266" s="328"/>
    </row>
    <row r="267" spans="2:13" x14ac:dyDescent="0.2">
      <c r="B267" s="26" t="s">
        <v>732</v>
      </c>
      <c r="C267" s="328" t="s">
        <v>733</v>
      </c>
      <c r="D267" s="328" t="s">
        <v>734</v>
      </c>
      <c r="E267" s="328" t="s">
        <v>735</v>
      </c>
      <c r="F267" s="328" t="s">
        <v>736</v>
      </c>
      <c r="G267" s="328" t="s">
        <v>737</v>
      </c>
      <c r="H267" s="328" t="s">
        <v>738</v>
      </c>
      <c r="I267" s="328" t="s">
        <v>739</v>
      </c>
      <c r="J267" s="328" t="s">
        <v>740</v>
      </c>
      <c r="K267" s="328" t="s">
        <v>741</v>
      </c>
      <c r="L267" s="327" t="s">
        <v>3188</v>
      </c>
      <c r="M267" s="328"/>
    </row>
    <row r="268" spans="2:13" x14ac:dyDescent="0.2">
      <c r="B268" s="26" t="s">
        <v>4329</v>
      </c>
      <c r="C268" s="328" t="s">
        <v>4330</v>
      </c>
      <c r="D268" s="328" t="s">
        <v>4330</v>
      </c>
      <c r="E268" s="328" t="s">
        <v>2802</v>
      </c>
      <c r="F268" s="328" t="s">
        <v>4331</v>
      </c>
      <c r="G268" s="328" t="s">
        <v>4332</v>
      </c>
      <c r="H268" s="328" t="s">
        <v>4333</v>
      </c>
      <c r="I268" s="328" t="s">
        <v>4334</v>
      </c>
      <c r="J268" s="328" t="s">
        <v>4335</v>
      </c>
      <c r="K268" s="328" t="s">
        <v>4336</v>
      </c>
      <c r="L268" s="327" t="s">
        <v>3189</v>
      </c>
      <c r="M268" s="328"/>
    </row>
    <row r="269" spans="2:13" x14ac:dyDescent="0.2">
      <c r="B269" s="26" t="s">
        <v>4337</v>
      </c>
      <c r="C269" s="328" t="s">
        <v>4338</v>
      </c>
      <c r="D269" s="328" t="s">
        <v>4338</v>
      </c>
      <c r="E269" s="328" t="s">
        <v>2803</v>
      </c>
      <c r="F269" s="328" t="s">
        <v>4339</v>
      </c>
      <c r="G269" s="328" t="s">
        <v>4340</v>
      </c>
      <c r="H269" s="328" t="s">
        <v>4341</v>
      </c>
      <c r="I269" s="328" t="s">
        <v>4342</v>
      </c>
      <c r="J269" s="328" t="s">
        <v>4343</v>
      </c>
      <c r="K269" s="328" t="s">
        <v>4344</v>
      </c>
      <c r="L269" s="327" t="s">
        <v>3190</v>
      </c>
      <c r="M269" s="328"/>
    </row>
    <row r="270" spans="2:13" x14ac:dyDescent="0.2">
      <c r="B270" s="26" t="s">
        <v>4345</v>
      </c>
      <c r="C270" s="328" t="s">
        <v>4346</v>
      </c>
      <c r="D270" s="328" t="s">
        <v>4346</v>
      </c>
      <c r="E270" s="328" t="s">
        <v>2804</v>
      </c>
      <c r="F270" s="328" t="s">
        <v>4347</v>
      </c>
      <c r="G270" s="328" t="s">
        <v>4348</v>
      </c>
      <c r="H270" s="328" t="s">
        <v>4349</v>
      </c>
      <c r="I270" s="328" t="s">
        <v>4350</v>
      </c>
      <c r="J270" s="328" t="s">
        <v>4351</v>
      </c>
      <c r="K270" s="328" t="s">
        <v>4352</v>
      </c>
      <c r="L270" s="327" t="s">
        <v>3191</v>
      </c>
      <c r="M270" s="328"/>
    </row>
    <row r="271" spans="2:13" x14ac:dyDescent="0.2">
      <c r="B271" s="26" t="s">
        <v>4353</v>
      </c>
      <c r="C271" s="328" t="s">
        <v>4354</v>
      </c>
      <c r="D271" s="328" t="s">
        <v>4354</v>
      </c>
      <c r="E271" s="328" t="s">
        <v>2805</v>
      </c>
      <c r="F271" s="328" t="s">
        <v>4355</v>
      </c>
      <c r="G271" s="328" t="s">
        <v>4356</v>
      </c>
      <c r="H271" s="328" t="s">
        <v>4357</v>
      </c>
      <c r="I271" s="328" t="s">
        <v>4358</v>
      </c>
      <c r="J271" s="328" t="s">
        <v>4359</v>
      </c>
      <c r="K271" s="328" t="s">
        <v>4360</v>
      </c>
      <c r="L271" s="327" t="s">
        <v>3192</v>
      </c>
      <c r="M271" s="328"/>
    </row>
    <row r="272" spans="2:13" x14ac:dyDescent="0.2">
      <c r="B272" s="26" t="s">
        <v>4361</v>
      </c>
      <c r="C272" s="328" t="s">
        <v>4362</v>
      </c>
      <c r="D272" s="328" t="s">
        <v>4362</v>
      </c>
      <c r="E272" s="328" t="s">
        <v>2806</v>
      </c>
      <c r="F272" s="328" t="s">
        <v>4363</v>
      </c>
      <c r="G272" s="328" t="s">
        <v>4364</v>
      </c>
      <c r="H272" s="328" t="s">
        <v>4365</v>
      </c>
      <c r="I272" s="328" t="s">
        <v>4366</v>
      </c>
      <c r="J272" s="328" t="s">
        <v>4367</v>
      </c>
      <c r="K272" s="328" t="s">
        <v>4368</v>
      </c>
      <c r="L272" s="327" t="s">
        <v>3193</v>
      </c>
      <c r="M272" s="328"/>
    </row>
    <row r="273" spans="2:13" x14ac:dyDescent="0.2">
      <c r="B273" s="26" t="s">
        <v>4369</v>
      </c>
      <c r="C273" s="328" t="s">
        <v>4370</v>
      </c>
      <c r="D273" s="328" t="s">
        <v>4370</v>
      </c>
      <c r="E273" s="328" t="s">
        <v>2807</v>
      </c>
      <c r="F273" s="328" t="s">
        <v>4371</v>
      </c>
      <c r="G273" s="328" t="s">
        <v>4372</v>
      </c>
      <c r="H273" s="328" t="s">
        <v>4373</v>
      </c>
      <c r="I273" s="328" t="s">
        <v>4374</v>
      </c>
      <c r="J273" s="328" t="s">
        <v>4375</v>
      </c>
      <c r="K273" s="328" t="s">
        <v>4376</v>
      </c>
      <c r="L273" s="327" t="s">
        <v>3194</v>
      </c>
      <c r="M273" s="328"/>
    </row>
    <row r="274" spans="2:13" x14ac:dyDescent="0.2">
      <c r="B274" s="26" t="s">
        <v>761</v>
      </c>
      <c r="C274" s="328" t="s">
        <v>2808</v>
      </c>
      <c r="D274" s="328" t="s">
        <v>2809</v>
      </c>
      <c r="E274" s="328" t="s">
        <v>2810</v>
      </c>
      <c r="F274" s="328" t="s">
        <v>2811</v>
      </c>
      <c r="G274" s="328" t="s">
        <v>2812</v>
      </c>
      <c r="H274" s="328" t="s">
        <v>2813</v>
      </c>
      <c r="I274" s="328" t="s">
        <v>2814</v>
      </c>
      <c r="J274" s="328" t="s">
        <v>2815</v>
      </c>
      <c r="K274" s="328" t="s">
        <v>2816</v>
      </c>
      <c r="L274" s="327" t="s">
        <v>3195</v>
      </c>
      <c r="M274" s="328"/>
    </row>
    <row r="275" spans="2:13" x14ac:dyDescent="0.2">
      <c r="B275" s="26" t="s">
        <v>762</v>
      </c>
      <c r="C275" s="328" t="s">
        <v>2817</v>
      </c>
      <c r="D275" s="328" t="s">
        <v>2818</v>
      </c>
      <c r="E275" s="328" t="s">
        <v>2819</v>
      </c>
      <c r="F275" s="328" t="s">
        <v>2820</v>
      </c>
      <c r="G275" s="328" t="s">
        <v>2821</v>
      </c>
      <c r="H275" s="328" t="s">
        <v>2822</v>
      </c>
      <c r="I275" s="328" t="s">
        <v>2823</v>
      </c>
      <c r="J275" s="328" t="s">
        <v>2824</v>
      </c>
      <c r="K275" s="328" t="s">
        <v>2825</v>
      </c>
      <c r="L275" s="327" t="s">
        <v>3196</v>
      </c>
      <c r="M275" s="328"/>
    </row>
    <row r="276" spans="2:13" x14ac:dyDescent="0.2">
      <c r="B276" s="26" t="s">
        <v>763</v>
      </c>
      <c r="C276" s="328" t="s">
        <v>2826</v>
      </c>
      <c r="D276" s="328" t="s">
        <v>2827</v>
      </c>
      <c r="E276" s="328" t="s">
        <v>2828</v>
      </c>
      <c r="F276" s="328" t="s">
        <v>2829</v>
      </c>
      <c r="G276" s="328" t="s">
        <v>2830</v>
      </c>
      <c r="H276" s="328" t="s">
        <v>2831</v>
      </c>
      <c r="I276" s="328" t="s">
        <v>2832</v>
      </c>
      <c r="J276" s="328" t="s">
        <v>2833</v>
      </c>
      <c r="K276" s="328" t="s">
        <v>2834</v>
      </c>
      <c r="L276" s="327" t="s">
        <v>3197</v>
      </c>
      <c r="M276" s="328"/>
    </row>
    <row r="277" spans="2:13" x14ac:dyDescent="0.2">
      <c r="B277" s="26" t="s">
        <v>764</v>
      </c>
      <c r="C277" s="328" t="s">
        <v>2835</v>
      </c>
      <c r="D277" s="328" t="s">
        <v>2836</v>
      </c>
      <c r="E277" s="328" t="s">
        <v>2837</v>
      </c>
      <c r="F277" s="328" t="s">
        <v>2838</v>
      </c>
      <c r="G277" s="328" t="s">
        <v>2839</v>
      </c>
      <c r="H277" s="328" t="s">
        <v>764</v>
      </c>
      <c r="I277" s="328" t="s">
        <v>2838</v>
      </c>
      <c r="J277" s="328" t="s">
        <v>764</v>
      </c>
      <c r="K277" s="328" t="s">
        <v>764</v>
      </c>
      <c r="L277" s="327" t="s">
        <v>764</v>
      </c>
      <c r="M277" s="328"/>
    </row>
    <row r="278" spans="2:13" x14ac:dyDescent="0.2">
      <c r="B278" s="26" t="s">
        <v>765</v>
      </c>
      <c r="C278" s="328" t="s">
        <v>2840</v>
      </c>
      <c r="D278" s="328" t="s">
        <v>2841</v>
      </c>
      <c r="E278" s="328" t="s">
        <v>2842</v>
      </c>
      <c r="F278" s="328" t="s">
        <v>2843</v>
      </c>
      <c r="G278" s="328" t="s">
        <v>2844</v>
      </c>
      <c r="H278" s="328" t="s">
        <v>2845</v>
      </c>
      <c r="I278" s="328" t="s">
        <v>2846</v>
      </c>
      <c r="J278" s="328" t="s">
        <v>2847</v>
      </c>
      <c r="K278" s="328" t="s">
        <v>2848</v>
      </c>
      <c r="L278" s="327" t="s">
        <v>3198</v>
      </c>
      <c r="M278" s="328"/>
    </row>
    <row r="279" spans="2:13" x14ac:dyDescent="0.2">
      <c r="B279" s="26" t="s">
        <v>766</v>
      </c>
      <c r="C279" s="328" t="s">
        <v>2849</v>
      </c>
      <c r="D279" s="328" t="s">
        <v>2849</v>
      </c>
      <c r="E279" s="328" t="s">
        <v>2850</v>
      </c>
      <c r="F279" s="328" t="s">
        <v>2851</v>
      </c>
      <c r="G279" s="328" t="s">
        <v>2852</v>
      </c>
      <c r="H279" s="328" t="s">
        <v>2853</v>
      </c>
      <c r="I279" s="328" t="s">
        <v>2854</v>
      </c>
      <c r="J279" s="328" t="s">
        <v>2855</v>
      </c>
      <c r="K279" s="328" t="s">
        <v>2856</v>
      </c>
      <c r="L279" s="327" t="s">
        <v>3199</v>
      </c>
      <c r="M279" s="328"/>
    </row>
    <row r="280" spans="2:13" x14ac:dyDescent="0.2">
      <c r="B280" s="26" t="s">
        <v>767</v>
      </c>
      <c r="C280" s="328" t="s">
        <v>2857</v>
      </c>
      <c r="D280" s="328" t="s">
        <v>2858</v>
      </c>
      <c r="E280" s="328" t="s">
        <v>2859</v>
      </c>
      <c r="F280" s="328" t="s">
        <v>2860</v>
      </c>
      <c r="G280" s="328" t="s">
        <v>2861</v>
      </c>
      <c r="H280" s="328" t="s">
        <v>2862</v>
      </c>
      <c r="I280" s="328" t="s">
        <v>2863</v>
      </c>
      <c r="J280" s="328" t="s">
        <v>2864</v>
      </c>
      <c r="K280" s="328" t="s">
        <v>2865</v>
      </c>
      <c r="L280" s="327" t="s">
        <v>3200</v>
      </c>
      <c r="M280" s="328"/>
    </row>
    <row r="281" spans="2:13" x14ac:dyDescent="0.2">
      <c r="B281" s="26" t="s">
        <v>770</v>
      </c>
      <c r="C281" s="328" t="s">
        <v>2075</v>
      </c>
      <c r="D281" s="328" t="s">
        <v>2076</v>
      </c>
      <c r="E281" s="328" t="s">
        <v>2077</v>
      </c>
      <c r="F281" s="328" t="s">
        <v>2078</v>
      </c>
      <c r="G281" s="328" t="s">
        <v>2079</v>
      </c>
      <c r="H281" s="328" t="s">
        <v>2080</v>
      </c>
      <c r="I281" s="328" t="s">
        <v>2081</v>
      </c>
      <c r="J281" s="328" t="s">
        <v>2082</v>
      </c>
      <c r="K281" s="328" t="s">
        <v>2083</v>
      </c>
      <c r="L281" s="327" t="s">
        <v>3121</v>
      </c>
      <c r="M281" s="328"/>
    </row>
    <row r="282" spans="2:13" x14ac:dyDescent="0.2">
      <c r="B282" s="26" t="s">
        <v>788</v>
      </c>
      <c r="C282" s="328" t="s">
        <v>771</v>
      </c>
      <c r="D282" s="328" t="s">
        <v>772</v>
      </c>
      <c r="E282" s="328" t="s">
        <v>773</v>
      </c>
      <c r="F282" s="328" t="s">
        <v>774</v>
      </c>
      <c r="G282" s="328" t="s">
        <v>775</v>
      </c>
      <c r="H282" s="328" t="s">
        <v>776</v>
      </c>
      <c r="I282" s="328" t="s">
        <v>777</v>
      </c>
      <c r="J282" s="328" t="s">
        <v>778</v>
      </c>
      <c r="K282" s="328" t="s">
        <v>779</v>
      </c>
      <c r="L282" s="327" t="s">
        <v>3201</v>
      </c>
      <c r="M282" s="328"/>
    </row>
    <row r="283" spans="2:13" x14ac:dyDescent="0.2">
      <c r="B283" s="26" t="s">
        <v>780</v>
      </c>
      <c r="C283" s="328" t="s">
        <v>2866</v>
      </c>
      <c r="D283" s="328" t="s">
        <v>2867</v>
      </c>
      <c r="E283" s="328" t="s">
        <v>2868</v>
      </c>
      <c r="F283" s="328" t="s">
        <v>2869</v>
      </c>
      <c r="G283" s="328" t="s">
        <v>2870</v>
      </c>
      <c r="H283" s="328" t="s">
        <v>2871</v>
      </c>
      <c r="I283" s="328" t="s">
        <v>2872</v>
      </c>
      <c r="J283" s="328" t="s">
        <v>2873</v>
      </c>
      <c r="K283" s="328" t="s">
        <v>4042</v>
      </c>
      <c r="L283" s="327" t="s">
        <v>3202</v>
      </c>
      <c r="M283" s="328"/>
    </row>
    <row r="284" spans="2:13" x14ac:dyDescent="0.2">
      <c r="B284" s="26" t="s">
        <v>781</v>
      </c>
      <c r="C284" s="328" t="s">
        <v>2874</v>
      </c>
      <c r="D284" s="328" t="s">
        <v>2874</v>
      </c>
      <c r="E284" s="328" t="s">
        <v>2875</v>
      </c>
      <c r="F284" s="328" t="s">
        <v>2876</v>
      </c>
      <c r="G284" s="328" t="s">
        <v>2877</v>
      </c>
      <c r="H284" s="328" t="s">
        <v>2878</v>
      </c>
      <c r="I284" s="328" t="s">
        <v>2879</v>
      </c>
      <c r="J284" s="328" t="s">
        <v>2880</v>
      </c>
      <c r="K284" s="328" t="s">
        <v>2881</v>
      </c>
      <c r="L284" s="327" t="s">
        <v>3100</v>
      </c>
      <c r="M284" s="328"/>
    </row>
    <row r="285" spans="2:13" x14ac:dyDescent="0.2">
      <c r="B285" s="26" t="s">
        <v>783</v>
      </c>
      <c r="C285" s="328" t="s">
        <v>2882</v>
      </c>
      <c r="D285" s="328" t="s">
        <v>2882</v>
      </c>
      <c r="E285" s="328" t="s">
        <v>2883</v>
      </c>
      <c r="F285" s="328" t="s">
        <v>2884</v>
      </c>
      <c r="G285" s="328" t="s">
        <v>2885</v>
      </c>
      <c r="H285" s="328" t="s">
        <v>2886</v>
      </c>
      <c r="I285" s="328" t="s">
        <v>2887</v>
      </c>
      <c r="J285" s="328" t="s">
        <v>2888</v>
      </c>
      <c r="K285" s="328" t="s">
        <v>2889</v>
      </c>
      <c r="L285" s="327" t="s">
        <v>3203</v>
      </c>
      <c r="M285" s="328"/>
    </row>
    <row r="286" spans="2:13" x14ac:dyDescent="0.2">
      <c r="B286" s="26" t="s">
        <v>283</v>
      </c>
      <c r="C286" s="328" t="s">
        <v>2130</v>
      </c>
      <c r="D286" s="328" t="s">
        <v>2131</v>
      </c>
      <c r="E286" s="328" t="s">
        <v>2130</v>
      </c>
      <c r="F286" s="328" t="s">
        <v>2132</v>
      </c>
      <c r="G286" s="328" t="s">
        <v>2133</v>
      </c>
      <c r="H286" s="328" t="s">
        <v>2134</v>
      </c>
      <c r="I286" s="328" t="s">
        <v>2135</v>
      </c>
      <c r="J286" s="328" t="s">
        <v>2136</v>
      </c>
      <c r="K286" s="328">
        <v>0</v>
      </c>
      <c r="L286" s="327" t="s">
        <v>3126</v>
      </c>
      <c r="M286" s="328"/>
    </row>
    <row r="287" spans="2:13" x14ac:dyDescent="0.2">
      <c r="B287" s="26" t="s">
        <v>784</v>
      </c>
      <c r="C287" s="328" t="s">
        <v>2684</v>
      </c>
      <c r="D287" s="328" t="s">
        <v>2684</v>
      </c>
      <c r="E287" s="328" t="s">
        <v>2890</v>
      </c>
      <c r="F287" s="328" t="s">
        <v>2891</v>
      </c>
      <c r="G287" s="328" t="s">
        <v>2892</v>
      </c>
      <c r="H287" s="328" t="s">
        <v>2893</v>
      </c>
      <c r="I287" s="328" t="s">
        <v>2894</v>
      </c>
      <c r="J287" s="328" t="s">
        <v>2895</v>
      </c>
      <c r="K287" s="328" t="s">
        <v>2896</v>
      </c>
      <c r="L287" s="327" t="s">
        <v>2891</v>
      </c>
      <c r="M287" s="328"/>
    </row>
    <row r="288" spans="2:13" x14ac:dyDescent="0.2">
      <c r="B288" s="26" t="s">
        <v>785</v>
      </c>
      <c r="C288" s="328" t="s">
        <v>1074</v>
      </c>
      <c r="D288" s="328" t="s">
        <v>1075</v>
      </c>
      <c r="E288" s="328" t="s">
        <v>1076</v>
      </c>
      <c r="F288" s="328" t="s">
        <v>1077</v>
      </c>
      <c r="G288" s="328" t="s">
        <v>1078</v>
      </c>
      <c r="H288" s="328" t="s">
        <v>1077</v>
      </c>
      <c r="I288" s="328" t="s">
        <v>1079</v>
      </c>
      <c r="J288" s="328" t="s">
        <v>1080</v>
      </c>
      <c r="K288" s="328" t="s">
        <v>4041</v>
      </c>
      <c r="L288" s="327" t="s">
        <v>3013</v>
      </c>
      <c r="M288" s="328"/>
    </row>
    <row r="289" spans="2:13" x14ac:dyDescent="0.2">
      <c r="B289" s="26" t="s">
        <v>4122</v>
      </c>
      <c r="C289" s="328" t="s">
        <v>4123</v>
      </c>
      <c r="D289" s="328" t="s">
        <v>4124</v>
      </c>
      <c r="E289" s="328" t="s">
        <v>4125</v>
      </c>
      <c r="F289" s="328" t="s">
        <v>4126</v>
      </c>
      <c r="G289" s="328" t="s">
        <v>4129</v>
      </c>
      <c r="H289" s="328" t="s">
        <v>4130</v>
      </c>
      <c r="I289" s="328" t="s">
        <v>4131</v>
      </c>
      <c r="J289" s="328" t="s">
        <v>4127</v>
      </c>
      <c r="K289" s="328" t="s">
        <v>4132</v>
      </c>
      <c r="L289" s="327" t="s">
        <v>4128</v>
      </c>
      <c r="M289" s="328"/>
    </row>
    <row r="290" spans="2:13" x14ac:dyDescent="0.2">
      <c r="B290" s="26" t="s">
        <v>4166</v>
      </c>
      <c r="C290" s="328" t="s">
        <v>4167</v>
      </c>
      <c r="D290" s="328" t="s">
        <v>4168</v>
      </c>
      <c r="E290" s="328" t="s">
        <v>4169</v>
      </c>
      <c r="F290" s="328" t="s">
        <v>4170</v>
      </c>
      <c r="G290" s="328" t="s">
        <v>4171</v>
      </c>
      <c r="H290" s="328" t="s">
        <v>4166</v>
      </c>
      <c r="I290" s="328" t="s">
        <v>4170</v>
      </c>
      <c r="J290" s="328" t="s">
        <v>4172</v>
      </c>
      <c r="K290" s="328" t="s">
        <v>4173</v>
      </c>
      <c r="L290" s="327" t="s">
        <v>4170</v>
      </c>
      <c r="M290" s="328"/>
    </row>
    <row r="291" spans="2:13" x14ac:dyDescent="0.2">
      <c r="B291" s="26" t="s">
        <v>4207</v>
      </c>
      <c r="C291" s="328" t="s">
        <v>4208</v>
      </c>
      <c r="D291" s="328" t="s">
        <v>4209</v>
      </c>
      <c r="E291" s="328" t="s">
        <v>4210</v>
      </c>
      <c r="F291" s="328" t="s">
        <v>4211</v>
      </c>
      <c r="G291" s="328" t="s">
        <v>4212</v>
      </c>
      <c r="H291" s="328" t="s">
        <v>4213</v>
      </c>
      <c r="I291" s="328" t="s">
        <v>4214</v>
      </c>
      <c r="J291" s="328" t="s">
        <v>4215</v>
      </c>
      <c r="K291" s="328" t="s">
        <v>4216</v>
      </c>
      <c r="L291" s="327" t="s">
        <v>4217</v>
      </c>
      <c r="M291" s="328"/>
    </row>
    <row r="292" spans="2:13" x14ac:dyDescent="0.2">
      <c r="B292" s="26" t="s">
        <v>4219</v>
      </c>
      <c r="C292" s="328" t="s">
        <v>4220</v>
      </c>
      <c r="D292" s="328" t="s">
        <v>4221</v>
      </c>
      <c r="E292" s="328" t="s">
        <v>4222</v>
      </c>
      <c r="F292" s="328" t="s">
        <v>4218</v>
      </c>
      <c r="G292" s="328" t="s">
        <v>4223</v>
      </c>
      <c r="H292" s="328" t="s">
        <v>4224</v>
      </c>
      <c r="I292" s="328" t="s">
        <v>4225</v>
      </c>
      <c r="J292" s="328" t="s">
        <v>4226</v>
      </c>
      <c r="K292" s="328" t="s">
        <v>4227</v>
      </c>
      <c r="L292" s="327" t="s">
        <v>4228</v>
      </c>
      <c r="M292" s="328"/>
    </row>
    <row r="293" spans="2:13" x14ac:dyDescent="0.2">
      <c r="B293" s="26" t="s">
        <v>4229</v>
      </c>
      <c r="C293" s="328" t="s">
        <v>4230</v>
      </c>
      <c r="D293" s="328" t="s">
        <v>4231</v>
      </c>
      <c r="E293" s="328" t="s">
        <v>4232</v>
      </c>
      <c r="F293" s="328" t="s">
        <v>4233</v>
      </c>
      <c r="G293" s="328" t="s">
        <v>4234</v>
      </c>
      <c r="H293" s="328" t="s">
        <v>4235</v>
      </c>
      <c r="I293" s="328" t="s">
        <v>4236</v>
      </c>
      <c r="J293" s="328" t="s">
        <v>4237</v>
      </c>
      <c r="K293" s="328" t="s">
        <v>4238</v>
      </c>
      <c r="L293" s="327" t="s">
        <v>4239</v>
      </c>
      <c r="M293" s="328"/>
    </row>
    <row r="294" spans="2:13" x14ac:dyDescent="0.2">
      <c r="B294" s="26" t="s">
        <v>4133</v>
      </c>
      <c r="C294" s="328" t="s">
        <v>4134</v>
      </c>
      <c r="D294" s="328" t="s">
        <v>4135</v>
      </c>
      <c r="E294" s="328" t="s">
        <v>4136</v>
      </c>
      <c r="F294" s="328" t="s">
        <v>4137</v>
      </c>
      <c r="G294" s="328" t="s">
        <v>4138</v>
      </c>
      <c r="H294" s="328" t="s">
        <v>4139</v>
      </c>
      <c r="I294" s="328" t="s">
        <v>4140</v>
      </c>
      <c r="J294" s="328" t="s">
        <v>4141</v>
      </c>
      <c r="K294" s="328" t="s">
        <v>4142</v>
      </c>
      <c r="L294" s="327" t="s">
        <v>4143</v>
      </c>
      <c r="M294" s="328"/>
    </row>
    <row r="295" spans="2:13" x14ac:dyDescent="0.2">
      <c r="B295" s="26" t="s">
        <v>789</v>
      </c>
      <c r="C295" s="328" t="s">
        <v>2897</v>
      </c>
      <c r="D295" s="328" t="s">
        <v>2898</v>
      </c>
      <c r="E295" s="328" t="s">
        <v>2899</v>
      </c>
      <c r="F295" s="328" t="s">
        <v>2900</v>
      </c>
      <c r="G295" s="328" t="s">
        <v>2901</v>
      </c>
      <c r="H295" s="328" t="s">
        <v>2902</v>
      </c>
      <c r="I295" s="328" t="s">
        <v>2903</v>
      </c>
      <c r="J295" s="328" t="s">
        <v>2904</v>
      </c>
      <c r="K295" s="328" t="s">
        <v>2905</v>
      </c>
      <c r="L295" s="327" t="s">
        <v>3204</v>
      </c>
      <c r="M295" s="328"/>
    </row>
    <row r="296" spans="2:13" x14ac:dyDescent="0.2">
      <c r="B296" s="26" t="s">
        <v>794</v>
      </c>
      <c r="C296" s="328" t="s">
        <v>1677</v>
      </c>
      <c r="D296" s="328" t="s">
        <v>1678</v>
      </c>
      <c r="E296" s="328" t="s">
        <v>1679</v>
      </c>
      <c r="F296" s="328" t="s">
        <v>2906</v>
      </c>
      <c r="G296" s="328" t="s">
        <v>2907</v>
      </c>
      <c r="H296" s="328" t="s">
        <v>2908</v>
      </c>
      <c r="I296" s="328" t="s">
        <v>2909</v>
      </c>
      <c r="J296" s="328" t="s">
        <v>1684</v>
      </c>
      <c r="K296" s="328" t="s">
        <v>2910</v>
      </c>
      <c r="L296" s="327" t="s">
        <v>3205</v>
      </c>
      <c r="M296" s="328"/>
    </row>
    <row r="297" spans="2:13" x14ac:dyDescent="0.2">
      <c r="B297" s="26" t="s">
        <v>795</v>
      </c>
      <c r="C297" s="328" t="s">
        <v>2911</v>
      </c>
      <c r="D297" s="328" t="s">
        <v>2912</v>
      </c>
      <c r="E297" s="328" t="s">
        <v>1708</v>
      </c>
      <c r="F297" s="328" t="s">
        <v>2913</v>
      </c>
      <c r="G297" s="328" t="s">
        <v>2914</v>
      </c>
      <c r="H297" s="328" t="s">
        <v>2915</v>
      </c>
      <c r="I297" s="328" t="s">
        <v>2916</v>
      </c>
      <c r="J297" s="328" t="s">
        <v>2917</v>
      </c>
      <c r="K297" s="328" t="s">
        <v>2918</v>
      </c>
      <c r="L297" s="327" t="s">
        <v>2983</v>
      </c>
      <c r="M297" s="328"/>
    </row>
    <row r="298" spans="2:13" x14ac:dyDescent="0.2">
      <c r="B298" s="26" t="s">
        <v>796</v>
      </c>
      <c r="C298" s="328" t="s">
        <v>2919</v>
      </c>
      <c r="D298" s="328" t="s">
        <v>2920</v>
      </c>
      <c r="E298" s="328" t="s">
        <v>2921</v>
      </c>
      <c r="F298" s="328" t="s">
        <v>2922</v>
      </c>
      <c r="G298" s="328" t="s">
        <v>2923</v>
      </c>
      <c r="H298" s="328" t="s">
        <v>2924</v>
      </c>
      <c r="I298" s="328" t="s">
        <v>2925</v>
      </c>
      <c r="J298" s="328" t="s">
        <v>2926</v>
      </c>
      <c r="K298" s="328" t="s">
        <v>2927</v>
      </c>
      <c r="L298" s="327" t="s">
        <v>2984</v>
      </c>
      <c r="M298" s="328"/>
    </row>
    <row r="299" spans="2:13" x14ac:dyDescent="0.2">
      <c r="B299" s="26" t="s">
        <v>797</v>
      </c>
      <c r="C299" s="328" t="s">
        <v>1424</v>
      </c>
      <c r="D299" s="328" t="s">
        <v>1425</v>
      </c>
      <c r="E299" s="328" t="s">
        <v>2928</v>
      </c>
      <c r="F299" s="328" t="s">
        <v>2929</v>
      </c>
      <c r="G299" s="328" t="s">
        <v>2930</v>
      </c>
      <c r="H299" s="328" t="s">
        <v>2929</v>
      </c>
      <c r="I299" s="328" t="s">
        <v>2931</v>
      </c>
      <c r="J299" s="328" t="s">
        <v>2932</v>
      </c>
      <c r="K299" s="328" t="s">
        <v>2933</v>
      </c>
      <c r="L299" s="327" t="s">
        <v>2929</v>
      </c>
      <c r="M299" s="328"/>
    </row>
    <row r="300" spans="2:13" x14ac:dyDescent="0.2">
      <c r="B300" s="26" t="s">
        <v>798</v>
      </c>
      <c r="C300" s="328" t="s">
        <v>802</v>
      </c>
      <c r="D300" s="328" t="s">
        <v>803</v>
      </c>
      <c r="E300" s="328" t="s">
        <v>804</v>
      </c>
      <c r="F300" s="328" t="s">
        <v>805</v>
      </c>
      <c r="G300" s="328" t="s">
        <v>806</v>
      </c>
      <c r="H300" s="328" t="s">
        <v>807</v>
      </c>
      <c r="I300" s="328" t="s">
        <v>808</v>
      </c>
      <c r="J300" s="328" t="s">
        <v>809</v>
      </c>
      <c r="K300" s="328" t="s">
        <v>810</v>
      </c>
      <c r="L300" s="327" t="s">
        <v>2985</v>
      </c>
      <c r="M300" s="328"/>
    </row>
    <row r="301" spans="2:13" x14ac:dyDescent="0.2">
      <c r="B301" s="26" t="s">
        <v>799</v>
      </c>
      <c r="C301" s="328" t="s">
        <v>2934</v>
      </c>
      <c r="D301" s="328" t="s">
        <v>2935</v>
      </c>
      <c r="E301" s="328" t="s">
        <v>2936</v>
      </c>
      <c r="F301" s="328" t="s">
        <v>2937</v>
      </c>
      <c r="G301" s="328" t="s">
        <v>2938</v>
      </c>
      <c r="H301" s="328" t="s">
        <v>2939</v>
      </c>
      <c r="I301" s="328" t="s">
        <v>2940</v>
      </c>
      <c r="J301" s="328" t="s">
        <v>2941</v>
      </c>
      <c r="K301" s="328" t="s">
        <v>2942</v>
      </c>
      <c r="L301" s="327" t="s">
        <v>2986</v>
      </c>
      <c r="M301" s="328"/>
    </row>
    <row r="302" spans="2:13" x14ac:dyDescent="0.2">
      <c r="B302" s="26" t="s">
        <v>800</v>
      </c>
      <c r="C302" s="328" t="s">
        <v>2943</v>
      </c>
      <c r="D302" s="328" t="s">
        <v>2944</v>
      </c>
      <c r="E302" s="328" t="s">
        <v>2945</v>
      </c>
      <c r="F302" s="328" t="s">
        <v>2946</v>
      </c>
      <c r="G302" s="328" t="s">
        <v>2947</v>
      </c>
      <c r="H302" s="328" t="s">
        <v>2948</v>
      </c>
      <c r="I302" s="328" t="s">
        <v>2949</v>
      </c>
      <c r="J302" s="328" t="s">
        <v>2950</v>
      </c>
      <c r="K302" s="328" t="s">
        <v>2951</v>
      </c>
      <c r="L302" s="327" t="s">
        <v>2987</v>
      </c>
      <c r="M302" s="328"/>
    </row>
    <row r="303" spans="2:13" x14ac:dyDescent="0.2">
      <c r="B303" s="26" t="s">
        <v>801</v>
      </c>
      <c r="C303" s="328" t="s">
        <v>2952</v>
      </c>
      <c r="D303" s="328" t="s">
        <v>2953</v>
      </c>
      <c r="E303" s="328" t="s">
        <v>2954</v>
      </c>
      <c r="F303" s="328" t="s">
        <v>2955</v>
      </c>
      <c r="G303" s="328" t="s">
        <v>2956</v>
      </c>
      <c r="H303" s="328" t="s">
        <v>2957</v>
      </c>
      <c r="I303" s="328" t="s">
        <v>2958</v>
      </c>
      <c r="J303" s="328" t="s">
        <v>2959</v>
      </c>
      <c r="K303" s="328" t="s">
        <v>2960</v>
      </c>
      <c r="L303" s="327" t="s">
        <v>2988</v>
      </c>
      <c r="M303" s="328"/>
    </row>
    <row r="304" spans="2:13" x14ac:dyDescent="0.2">
      <c r="B304" s="26" t="s">
        <v>2964</v>
      </c>
      <c r="C304" s="328" t="s">
        <v>2965</v>
      </c>
      <c r="D304" s="328" t="s">
        <v>2966</v>
      </c>
      <c r="E304" s="328" t="s">
        <v>2967</v>
      </c>
      <c r="F304" s="328" t="s">
        <v>2968</v>
      </c>
      <c r="G304" s="328" t="s">
        <v>2969</v>
      </c>
      <c r="H304" s="328" t="s">
        <v>2970</v>
      </c>
      <c r="I304" s="328" t="s">
        <v>2971</v>
      </c>
      <c r="J304" s="328" t="s">
        <v>2972</v>
      </c>
      <c r="K304" s="328" t="s">
        <v>2973</v>
      </c>
      <c r="L304" s="327" t="s">
        <v>3206</v>
      </c>
      <c r="M304" s="328"/>
    </row>
    <row r="305" spans="2:13" x14ac:dyDescent="0.2">
      <c r="B305" s="26" t="s">
        <v>4043</v>
      </c>
      <c r="C305" s="328" t="s">
        <v>2974</v>
      </c>
      <c r="D305" s="328" t="s">
        <v>2974</v>
      </c>
      <c r="E305" s="328" t="s">
        <v>2975</v>
      </c>
      <c r="F305" s="328" t="s">
        <v>2976</v>
      </c>
      <c r="G305" s="328" t="s">
        <v>2977</v>
      </c>
      <c r="H305" s="328" t="s">
        <v>2978</v>
      </c>
      <c r="I305" s="328" t="s">
        <v>2979</v>
      </c>
      <c r="J305" s="328" t="s">
        <v>2980</v>
      </c>
      <c r="K305" s="328" t="s">
        <v>2981</v>
      </c>
      <c r="L305" s="327" t="s">
        <v>3207</v>
      </c>
      <c r="M305" s="328"/>
    </row>
    <row r="306" spans="2:13" x14ac:dyDescent="0.2">
      <c r="B306" s="26" t="s">
        <v>2961</v>
      </c>
      <c r="C306" t="s">
        <v>3208</v>
      </c>
      <c r="D306" t="s">
        <v>3209</v>
      </c>
      <c r="E306" t="s">
        <v>3209</v>
      </c>
      <c r="F306" t="s">
        <v>3210</v>
      </c>
      <c r="G306" t="s">
        <v>3211</v>
      </c>
      <c r="H306" t="s">
        <v>3212</v>
      </c>
      <c r="I306" t="s">
        <v>3213</v>
      </c>
      <c r="J306" t="s">
        <v>3214</v>
      </c>
      <c r="K306" t="s">
        <v>3215</v>
      </c>
      <c r="L306" s="27" t="s">
        <v>4787</v>
      </c>
    </row>
    <row r="307" spans="2:13" x14ac:dyDescent="0.2">
      <c r="B307" s="26" t="s">
        <v>711</v>
      </c>
      <c r="C307" t="s">
        <v>3216</v>
      </c>
      <c r="D307" t="s">
        <v>3217</v>
      </c>
      <c r="E307" t="s">
        <v>3218</v>
      </c>
      <c r="F307" t="s">
        <v>3219</v>
      </c>
      <c r="G307" t="s">
        <v>3220</v>
      </c>
      <c r="H307" t="s">
        <v>3221</v>
      </c>
      <c r="I307" t="s">
        <v>3222</v>
      </c>
      <c r="J307" t="s">
        <v>3223</v>
      </c>
      <c r="K307" t="s">
        <v>3224</v>
      </c>
      <c r="L307" s="27" t="s">
        <v>4788</v>
      </c>
    </row>
    <row r="308" spans="2:13" x14ac:dyDescent="0.2">
      <c r="B308" s="26" t="s">
        <v>712</v>
      </c>
      <c r="C308" t="s">
        <v>3225</v>
      </c>
      <c r="D308" t="s">
        <v>3226</v>
      </c>
      <c r="E308" t="s">
        <v>3227</v>
      </c>
      <c r="F308" t="s">
        <v>3228</v>
      </c>
      <c r="G308" t="s">
        <v>3229</v>
      </c>
      <c r="H308" t="s">
        <v>3230</v>
      </c>
      <c r="I308" t="s">
        <v>3231</v>
      </c>
      <c r="J308" t="s">
        <v>3232</v>
      </c>
      <c r="K308" t="s">
        <v>3233</v>
      </c>
      <c r="L308" s="27" t="s">
        <v>4789</v>
      </c>
      <c r="M308" s="26"/>
    </row>
    <row r="309" spans="2:13" x14ac:dyDescent="0.2">
      <c r="B309" s="26" t="s">
        <v>716</v>
      </c>
      <c r="C309" t="s">
        <v>3234</v>
      </c>
      <c r="D309" t="s">
        <v>3235</v>
      </c>
      <c r="E309" t="s">
        <v>3236</v>
      </c>
      <c r="F309" t="s">
        <v>3237</v>
      </c>
      <c r="G309" t="s">
        <v>3238</v>
      </c>
      <c r="H309" t="s">
        <v>3239</v>
      </c>
      <c r="I309" t="s">
        <v>3240</v>
      </c>
      <c r="J309" t="s">
        <v>3241</v>
      </c>
      <c r="K309" t="s">
        <v>3242</v>
      </c>
      <c r="L309" s="27" t="s">
        <v>4793</v>
      </c>
      <c r="M309" s="26"/>
    </row>
    <row r="310" spans="2:13" x14ac:dyDescent="0.2">
      <c r="B310" s="26" t="s">
        <v>715</v>
      </c>
      <c r="C310" t="s">
        <v>3243</v>
      </c>
      <c r="D310" t="s">
        <v>3244</v>
      </c>
      <c r="E310" t="s">
        <v>3245</v>
      </c>
      <c r="F310" t="s">
        <v>3246</v>
      </c>
      <c r="G310" t="s">
        <v>3247</v>
      </c>
      <c r="H310" t="s">
        <v>3248</v>
      </c>
      <c r="I310" t="s">
        <v>3249</v>
      </c>
      <c r="J310" t="s">
        <v>3250</v>
      </c>
      <c r="K310" t="s">
        <v>3251</v>
      </c>
      <c r="L310" s="27" t="s">
        <v>4792</v>
      </c>
      <c r="M310" s="26"/>
    </row>
    <row r="311" spans="2:13" x14ac:dyDescent="0.2">
      <c r="B311" s="26" t="s">
        <v>717</v>
      </c>
      <c r="C311" t="s">
        <v>3252</v>
      </c>
      <c r="D311" t="s">
        <v>3253</v>
      </c>
      <c r="E311" t="s">
        <v>3254</v>
      </c>
      <c r="F311" t="s">
        <v>3255</v>
      </c>
      <c r="G311" t="s">
        <v>3256</v>
      </c>
      <c r="H311" t="s">
        <v>2409</v>
      </c>
      <c r="I311" t="s">
        <v>3255</v>
      </c>
      <c r="J311" t="s">
        <v>3257</v>
      </c>
      <c r="K311" t="s">
        <v>3258</v>
      </c>
      <c r="L311" s="27" t="s">
        <v>3255</v>
      </c>
      <c r="M311" s="26"/>
    </row>
    <row r="312" spans="2:13" x14ac:dyDescent="0.2">
      <c r="B312" s="26" t="s">
        <v>713</v>
      </c>
      <c r="C312" t="s">
        <v>3259</v>
      </c>
      <c r="D312" t="s">
        <v>3260</v>
      </c>
      <c r="E312" t="s">
        <v>3261</v>
      </c>
      <c r="F312" t="s">
        <v>3262</v>
      </c>
      <c r="G312" t="s">
        <v>3263</v>
      </c>
      <c r="H312" t="s">
        <v>3264</v>
      </c>
      <c r="I312" t="s">
        <v>3265</v>
      </c>
      <c r="J312" t="s">
        <v>3266</v>
      </c>
      <c r="K312" t="s">
        <v>3267</v>
      </c>
      <c r="L312" s="27" t="s">
        <v>4790</v>
      </c>
      <c r="M312" s="26"/>
    </row>
    <row r="313" spans="2:13" x14ac:dyDescent="0.2">
      <c r="B313" s="26" t="s">
        <v>718</v>
      </c>
      <c r="C313" t="s">
        <v>3268</v>
      </c>
      <c r="D313" t="s">
        <v>3269</v>
      </c>
      <c r="E313" t="s">
        <v>3270</v>
      </c>
      <c r="F313" t="s">
        <v>3271</v>
      </c>
      <c r="G313" t="s">
        <v>3272</v>
      </c>
      <c r="H313" t="s">
        <v>3273</v>
      </c>
      <c r="I313" t="s">
        <v>3271</v>
      </c>
      <c r="J313" t="s">
        <v>3274</v>
      </c>
      <c r="K313" t="s">
        <v>3275</v>
      </c>
      <c r="L313" s="27" t="s">
        <v>3271</v>
      </c>
      <c r="M313" s="26"/>
    </row>
    <row r="314" spans="2:13" x14ac:dyDescent="0.2">
      <c r="B314" s="26" t="s">
        <v>4786</v>
      </c>
      <c r="C314" t="s">
        <v>3294</v>
      </c>
      <c r="D314" t="s">
        <v>3295</v>
      </c>
      <c r="E314" t="s">
        <v>3299</v>
      </c>
      <c r="F314" t="s">
        <v>3296</v>
      </c>
      <c r="G314" t="s">
        <v>3298</v>
      </c>
      <c r="H314" t="s">
        <v>3298</v>
      </c>
      <c r="I314" t="s">
        <v>3300</v>
      </c>
      <c r="J314" t="s">
        <v>3297</v>
      </c>
      <c r="K314" t="s">
        <v>3301</v>
      </c>
      <c r="L314" s="27" t="s">
        <v>4795</v>
      </c>
      <c r="M314" s="26"/>
    </row>
    <row r="315" spans="2:13" x14ac:dyDescent="0.2">
      <c r="B315" s="26" t="s">
        <v>719</v>
      </c>
      <c r="C315" t="s">
        <v>3276</v>
      </c>
      <c r="D315" t="s">
        <v>3277</v>
      </c>
      <c r="E315" t="s">
        <v>3278</v>
      </c>
      <c r="F315" t="s">
        <v>3279</v>
      </c>
      <c r="G315" t="s">
        <v>3280</v>
      </c>
      <c r="H315" t="s">
        <v>3281</v>
      </c>
      <c r="I315" t="s">
        <v>3282</v>
      </c>
      <c r="J315" t="s">
        <v>3283</v>
      </c>
      <c r="K315" t="s">
        <v>3284</v>
      </c>
      <c r="L315" s="27" t="s">
        <v>4794</v>
      </c>
      <c r="M315" s="26"/>
    </row>
    <row r="316" spans="2:13" x14ac:dyDescent="0.2">
      <c r="B316" s="14" t="s">
        <v>714</v>
      </c>
      <c r="C316" s="15" t="s">
        <v>3285</v>
      </c>
      <c r="D316" s="15" t="s">
        <v>3286</v>
      </c>
      <c r="E316" s="15" t="s">
        <v>3287</v>
      </c>
      <c r="F316" s="15" t="s">
        <v>3288</v>
      </c>
      <c r="G316" s="15" t="s">
        <v>3289</v>
      </c>
      <c r="H316" s="15" t="s">
        <v>3290</v>
      </c>
      <c r="I316" s="15" t="s">
        <v>3291</v>
      </c>
      <c r="J316" s="15" t="s">
        <v>3292</v>
      </c>
      <c r="K316" s="15" t="s">
        <v>3293</v>
      </c>
      <c r="L316" s="28" t="s">
        <v>4791</v>
      </c>
      <c r="M316" s="26"/>
    </row>
    <row r="317" spans="2:13" x14ac:dyDescent="0.2">
      <c r="B317" s="26" t="s">
        <v>31</v>
      </c>
      <c r="C317" t="s">
        <v>3303</v>
      </c>
      <c r="D317" t="s">
        <v>3304</v>
      </c>
      <c r="E317" t="s">
        <v>3305</v>
      </c>
      <c r="F317" t="s">
        <v>31</v>
      </c>
      <c r="G317" t="s">
        <v>31</v>
      </c>
      <c r="H317" t="s">
        <v>31</v>
      </c>
      <c r="I317" t="s">
        <v>31</v>
      </c>
      <c r="J317" t="s">
        <v>3306</v>
      </c>
      <c r="K317" t="s">
        <v>3307</v>
      </c>
      <c r="L317" s="27" t="s">
        <v>31</v>
      </c>
      <c r="M317" s="26"/>
    </row>
    <row r="318" spans="2:13" x14ac:dyDescent="0.2">
      <c r="B318" s="26" t="s">
        <v>34</v>
      </c>
      <c r="C318" t="s">
        <v>3308</v>
      </c>
      <c r="D318" t="s">
        <v>3309</v>
      </c>
      <c r="E318" t="s">
        <v>3310</v>
      </c>
      <c r="F318" t="s">
        <v>3311</v>
      </c>
      <c r="G318" t="s">
        <v>3312</v>
      </c>
      <c r="H318" t="s">
        <v>3313</v>
      </c>
      <c r="I318" t="s">
        <v>3314</v>
      </c>
      <c r="J318" t="s">
        <v>3315</v>
      </c>
      <c r="K318" t="s">
        <v>3316</v>
      </c>
      <c r="L318" s="27" t="s">
        <v>4044</v>
      </c>
    </row>
    <row r="319" spans="2:13" x14ac:dyDescent="0.2">
      <c r="B319" s="26" t="s">
        <v>37</v>
      </c>
      <c r="C319" t="s">
        <v>3317</v>
      </c>
      <c r="D319" t="s">
        <v>3318</v>
      </c>
      <c r="E319" t="s">
        <v>3319</v>
      </c>
      <c r="F319" t="s">
        <v>3320</v>
      </c>
      <c r="G319" t="s">
        <v>3321</v>
      </c>
      <c r="H319" t="s">
        <v>3322</v>
      </c>
      <c r="I319" t="s">
        <v>3323</v>
      </c>
      <c r="J319" t="s">
        <v>3324</v>
      </c>
      <c r="K319" t="s">
        <v>3325</v>
      </c>
      <c r="L319" s="27" t="s">
        <v>4045</v>
      </c>
    </row>
    <row r="320" spans="2:13" x14ac:dyDescent="0.2">
      <c r="B320" s="26" t="s">
        <v>43</v>
      </c>
      <c r="C320" t="s">
        <v>3326</v>
      </c>
      <c r="D320" t="s">
        <v>3327</v>
      </c>
      <c r="E320" t="s">
        <v>3328</v>
      </c>
      <c r="F320" t="s">
        <v>3329</v>
      </c>
      <c r="G320" t="s">
        <v>3330</v>
      </c>
      <c r="H320" t="s">
        <v>3331</v>
      </c>
      <c r="I320" t="s">
        <v>3332</v>
      </c>
      <c r="J320" t="s">
        <v>3333</v>
      </c>
      <c r="K320" t="s">
        <v>3334</v>
      </c>
      <c r="L320" s="27" t="s">
        <v>4047</v>
      </c>
    </row>
    <row r="321" spans="2:12" x14ac:dyDescent="0.2">
      <c r="B321" s="26" t="s">
        <v>45</v>
      </c>
      <c r="C321" t="s">
        <v>3335</v>
      </c>
      <c r="D321" t="s">
        <v>3336</v>
      </c>
      <c r="E321" t="s">
        <v>3337</v>
      </c>
      <c r="F321" t="s">
        <v>3338</v>
      </c>
      <c r="G321" t="s">
        <v>3339</v>
      </c>
      <c r="H321" t="s">
        <v>3340</v>
      </c>
      <c r="I321" t="s">
        <v>3341</v>
      </c>
      <c r="J321" t="s">
        <v>3342</v>
      </c>
      <c r="K321" t="s">
        <v>3343</v>
      </c>
      <c r="L321" s="27" t="s">
        <v>4048</v>
      </c>
    </row>
    <row r="322" spans="2:12" x14ac:dyDescent="0.2">
      <c r="B322" s="26" t="s">
        <v>46</v>
      </c>
      <c r="C322" t="s">
        <v>3344</v>
      </c>
      <c r="D322" t="s">
        <v>3345</v>
      </c>
      <c r="E322" t="s">
        <v>3346</v>
      </c>
      <c r="F322" t="s">
        <v>3347</v>
      </c>
      <c r="G322" t="s">
        <v>3348</v>
      </c>
      <c r="H322" t="s">
        <v>3349</v>
      </c>
      <c r="I322" t="s">
        <v>3347</v>
      </c>
      <c r="J322" t="s">
        <v>3350</v>
      </c>
      <c r="K322" t="s">
        <v>3351</v>
      </c>
      <c r="L322" s="27" t="s">
        <v>3347</v>
      </c>
    </row>
    <row r="323" spans="2:12" x14ac:dyDescent="0.2">
      <c r="B323" s="26" t="s">
        <v>49</v>
      </c>
      <c r="C323" t="s">
        <v>3352</v>
      </c>
      <c r="D323" t="s">
        <v>3353</v>
      </c>
      <c r="E323" t="s">
        <v>3354</v>
      </c>
      <c r="F323" t="s">
        <v>3355</v>
      </c>
      <c r="G323" t="s">
        <v>3356</v>
      </c>
      <c r="H323" t="s">
        <v>3357</v>
      </c>
      <c r="I323" t="s">
        <v>3358</v>
      </c>
      <c r="J323" t="s">
        <v>3359</v>
      </c>
      <c r="K323" t="s">
        <v>3360</v>
      </c>
      <c r="L323" s="27" t="s">
        <v>4049</v>
      </c>
    </row>
    <row r="324" spans="2:12" x14ac:dyDescent="0.2">
      <c r="B324" s="26" t="s">
        <v>52</v>
      </c>
      <c r="C324" t="s">
        <v>3361</v>
      </c>
      <c r="D324" t="s">
        <v>3362</v>
      </c>
      <c r="E324" t="s">
        <v>3363</v>
      </c>
      <c r="F324" t="s">
        <v>3364</v>
      </c>
      <c r="G324" t="s">
        <v>3365</v>
      </c>
      <c r="H324" t="s">
        <v>3366</v>
      </c>
      <c r="I324" t="s">
        <v>3367</v>
      </c>
      <c r="J324" t="s">
        <v>3368</v>
      </c>
      <c r="K324" t="s">
        <v>3369</v>
      </c>
      <c r="L324" s="27" t="s">
        <v>4050</v>
      </c>
    </row>
    <row r="325" spans="2:12" x14ac:dyDescent="0.2">
      <c r="B325" s="26" t="s">
        <v>55</v>
      </c>
      <c r="C325" t="s">
        <v>3370</v>
      </c>
      <c r="D325" t="s">
        <v>3371</v>
      </c>
      <c r="E325" t="s">
        <v>3372</v>
      </c>
      <c r="F325" t="s">
        <v>3373</v>
      </c>
      <c r="G325" t="s">
        <v>3374</v>
      </c>
      <c r="H325" t="s">
        <v>3375</v>
      </c>
      <c r="I325" t="s">
        <v>3376</v>
      </c>
      <c r="J325" t="s">
        <v>3377</v>
      </c>
      <c r="K325" t="s">
        <v>3378</v>
      </c>
      <c r="L325" s="27" t="s">
        <v>4051</v>
      </c>
    </row>
    <row r="326" spans="2:12" x14ac:dyDescent="0.2">
      <c r="B326" s="26" t="s">
        <v>58</v>
      </c>
      <c r="C326" t="s">
        <v>3379</v>
      </c>
      <c r="D326" t="s">
        <v>3380</v>
      </c>
      <c r="E326" t="s">
        <v>3381</v>
      </c>
      <c r="F326" t="s">
        <v>3382</v>
      </c>
      <c r="G326" t="s">
        <v>3383</v>
      </c>
      <c r="H326" t="s">
        <v>3384</v>
      </c>
      <c r="I326" t="s">
        <v>3385</v>
      </c>
      <c r="J326" t="s">
        <v>3386</v>
      </c>
      <c r="K326" t="s">
        <v>3387</v>
      </c>
      <c r="L326" s="27" t="s">
        <v>4052</v>
      </c>
    </row>
    <row r="327" spans="2:12" x14ac:dyDescent="0.2">
      <c r="B327" s="26" t="s">
        <v>61</v>
      </c>
      <c r="C327" t="s">
        <v>3388</v>
      </c>
      <c r="D327" t="s">
        <v>3389</v>
      </c>
      <c r="E327" t="s">
        <v>3390</v>
      </c>
      <c r="F327" t="s">
        <v>3391</v>
      </c>
      <c r="G327" t="s">
        <v>3392</v>
      </c>
      <c r="H327" t="s">
        <v>3393</v>
      </c>
      <c r="I327" t="s">
        <v>3394</v>
      </c>
      <c r="J327" t="s">
        <v>3395</v>
      </c>
      <c r="K327" t="s">
        <v>3396</v>
      </c>
      <c r="L327" s="27" t="s">
        <v>4053</v>
      </c>
    </row>
    <row r="328" spans="2:12" x14ac:dyDescent="0.2">
      <c r="B328" s="26" t="s">
        <v>64</v>
      </c>
      <c r="C328" t="s">
        <v>3397</v>
      </c>
      <c r="D328" t="s">
        <v>3397</v>
      </c>
      <c r="E328" t="s">
        <v>3398</v>
      </c>
      <c r="F328" t="s">
        <v>3399</v>
      </c>
      <c r="G328" t="s">
        <v>3400</v>
      </c>
      <c r="H328" t="s">
        <v>3401</v>
      </c>
      <c r="I328" t="s">
        <v>3402</v>
      </c>
      <c r="J328" t="s">
        <v>3403</v>
      </c>
      <c r="K328" t="s">
        <v>3404</v>
      </c>
      <c r="L328" s="27" t="s">
        <v>4054</v>
      </c>
    </row>
    <row r="329" spans="2:12" x14ac:dyDescent="0.2">
      <c r="B329" s="26" t="s">
        <v>67</v>
      </c>
      <c r="C329" t="s">
        <v>3405</v>
      </c>
      <c r="D329" t="s">
        <v>3406</v>
      </c>
      <c r="E329" t="s">
        <v>3407</v>
      </c>
      <c r="F329" t="s">
        <v>3408</v>
      </c>
      <c r="G329" t="s">
        <v>3409</v>
      </c>
      <c r="H329" t="s">
        <v>3410</v>
      </c>
      <c r="I329" t="s">
        <v>3411</v>
      </c>
      <c r="J329" t="s">
        <v>3412</v>
      </c>
      <c r="K329" t="s">
        <v>3413</v>
      </c>
      <c r="L329" s="27" t="s">
        <v>4055</v>
      </c>
    </row>
    <row r="330" spans="2:12" x14ac:dyDescent="0.2">
      <c r="B330" s="26" t="s">
        <v>70</v>
      </c>
      <c r="C330" t="s">
        <v>3414</v>
      </c>
      <c r="D330" t="s">
        <v>3415</v>
      </c>
      <c r="E330" t="s">
        <v>3416</v>
      </c>
      <c r="F330" t="s">
        <v>3417</v>
      </c>
      <c r="G330" t="s">
        <v>3418</v>
      </c>
      <c r="H330" t="s">
        <v>3419</v>
      </c>
      <c r="I330" t="s">
        <v>3420</v>
      </c>
      <c r="J330" t="s">
        <v>3421</v>
      </c>
      <c r="K330" t="s">
        <v>3422</v>
      </c>
      <c r="L330" s="27" t="s">
        <v>4056</v>
      </c>
    </row>
    <row r="331" spans="2:12" x14ac:dyDescent="0.2">
      <c r="B331" s="26" t="s">
        <v>73</v>
      </c>
      <c r="C331" t="s">
        <v>3423</v>
      </c>
      <c r="D331" t="s">
        <v>3424</v>
      </c>
      <c r="E331" t="s">
        <v>3425</v>
      </c>
      <c r="F331" t="s">
        <v>3426</v>
      </c>
      <c r="G331" t="s">
        <v>3427</v>
      </c>
      <c r="H331" t="s">
        <v>3428</v>
      </c>
      <c r="I331" t="s">
        <v>3429</v>
      </c>
      <c r="J331" t="s">
        <v>3430</v>
      </c>
      <c r="K331" t="s">
        <v>3431</v>
      </c>
      <c r="L331" s="27" t="s">
        <v>4057</v>
      </c>
    </row>
    <row r="332" spans="2:12" x14ac:dyDescent="0.2">
      <c r="B332" s="26" t="s">
        <v>76</v>
      </c>
      <c r="C332" t="s">
        <v>3432</v>
      </c>
      <c r="D332" t="s">
        <v>3433</v>
      </c>
      <c r="E332" t="s">
        <v>3434</v>
      </c>
      <c r="F332" t="s">
        <v>3435</v>
      </c>
      <c r="G332" t="s">
        <v>3436</v>
      </c>
      <c r="H332" t="s">
        <v>3437</v>
      </c>
      <c r="I332" t="s">
        <v>3438</v>
      </c>
      <c r="J332" t="s">
        <v>3439</v>
      </c>
      <c r="K332" t="s">
        <v>3440</v>
      </c>
      <c r="L332" s="27" t="s">
        <v>3435</v>
      </c>
    </row>
    <row r="333" spans="2:12" x14ac:dyDescent="0.2">
      <c r="B333" s="26" t="s">
        <v>78</v>
      </c>
      <c r="C333" t="s">
        <v>3441</v>
      </c>
      <c r="D333" t="s">
        <v>3442</v>
      </c>
      <c r="E333" t="s">
        <v>3443</v>
      </c>
      <c r="F333" t="s">
        <v>3444</v>
      </c>
      <c r="G333" t="s">
        <v>3445</v>
      </c>
      <c r="H333" t="s">
        <v>3446</v>
      </c>
      <c r="I333" t="s">
        <v>3447</v>
      </c>
      <c r="J333" t="s">
        <v>3448</v>
      </c>
      <c r="K333" t="s">
        <v>3449</v>
      </c>
      <c r="L333" s="27" t="s">
        <v>4058</v>
      </c>
    </row>
    <row r="334" spans="2:12" x14ac:dyDescent="0.2">
      <c r="B334" s="26" t="s">
        <v>81</v>
      </c>
      <c r="C334" t="s">
        <v>3450</v>
      </c>
      <c r="D334" t="s">
        <v>3451</v>
      </c>
      <c r="E334" t="s">
        <v>3452</v>
      </c>
      <c r="F334" t="s">
        <v>3453</v>
      </c>
      <c r="G334" t="s">
        <v>3454</v>
      </c>
      <c r="H334" t="s">
        <v>3455</v>
      </c>
      <c r="I334" t="s">
        <v>3456</v>
      </c>
      <c r="J334" t="s">
        <v>3457</v>
      </c>
      <c r="K334" t="s">
        <v>3458</v>
      </c>
      <c r="L334" s="27" t="s">
        <v>4059</v>
      </c>
    </row>
    <row r="335" spans="2:12" x14ac:dyDescent="0.2">
      <c r="B335" s="26" t="s">
        <v>84</v>
      </c>
      <c r="C335" t="s">
        <v>3459</v>
      </c>
      <c r="D335" t="s">
        <v>3460</v>
      </c>
      <c r="E335" t="s">
        <v>3461</v>
      </c>
      <c r="F335" t="s">
        <v>3462</v>
      </c>
      <c r="G335" t="s">
        <v>3463</v>
      </c>
      <c r="H335" t="s">
        <v>3464</v>
      </c>
      <c r="I335" t="s">
        <v>3465</v>
      </c>
      <c r="J335" t="s">
        <v>3466</v>
      </c>
      <c r="K335" t="s">
        <v>3467</v>
      </c>
      <c r="L335" s="27" t="s">
        <v>4060</v>
      </c>
    </row>
    <row r="336" spans="2:12" x14ac:dyDescent="0.2">
      <c r="B336" s="26" t="s">
        <v>87</v>
      </c>
      <c r="C336" t="s">
        <v>3468</v>
      </c>
      <c r="D336" t="s">
        <v>3469</v>
      </c>
      <c r="E336" t="s">
        <v>3470</v>
      </c>
      <c r="F336" t="s">
        <v>3471</v>
      </c>
      <c r="G336" t="s">
        <v>3472</v>
      </c>
      <c r="H336" t="s">
        <v>3473</v>
      </c>
      <c r="I336" t="s">
        <v>3474</v>
      </c>
      <c r="J336" t="s">
        <v>3475</v>
      </c>
      <c r="K336" t="s">
        <v>3476</v>
      </c>
      <c r="L336" s="27" t="s">
        <v>4061</v>
      </c>
    </row>
    <row r="337" spans="2:12" x14ac:dyDescent="0.2">
      <c r="B337" s="26" t="s">
        <v>90</v>
      </c>
      <c r="C337" t="s">
        <v>3477</v>
      </c>
      <c r="D337" t="s">
        <v>3478</v>
      </c>
      <c r="E337" t="s">
        <v>3479</v>
      </c>
      <c r="F337" t="s">
        <v>3480</v>
      </c>
      <c r="G337" t="s">
        <v>3481</v>
      </c>
      <c r="H337" t="s">
        <v>3482</v>
      </c>
      <c r="I337" t="s">
        <v>3480</v>
      </c>
      <c r="J337" t="s">
        <v>3483</v>
      </c>
      <c r="K337" t="s">
        <v>3484</v>
      </c>
      <c r="L337" s="27" t="s">
        <v>3480</v>
      </c>
    </row>
    <row r="338" spans="2:12" x14ac:dyDescent="0.2">
      <c r="B338" s="26" t="s">
        <v>93</v>
      </c>
      <c r="C338" t="s">
        <v>3485</v>
      </c>
      <c r="D338" t="s">
        <v>3486</v>
      </c>
      <c r="E338" t="s">
        <v>3487</v>
      </c>
      <c r="F338" t="s">
        <v>3488</v>
      </c>
      <c r="G338" t="s">
        <v>3489</v>
      </c>
      <c r="H338" t="s">
        <v>3490</v>
      </c>
      <c r="I338" t="s">
        <v>3491</v>
      </c>
      <c r="J338" t="s">
        <v>3492</v>
      </c>
      <c r="K338" t="s">
        <v>3493</v>
      </c>
      <c r="L338" s="27" t="s">
        <v>4062</v>
      </c>
    </row>
    <row r="339" spans="2:12" x14ac:dyDescent="0.2">
      <c r="B339" s="26" t="s">
        <v>96</v>
      </c>
      <c r="C339" t="s">
        <v>3494</v>
      </c>
      <c r="D339" t="s">
        <v>3495</v>
      </c>
      <c r="E339" t="s">
        <v>3496</v>
      </c>
      <c r="F339" t="s">
        <v>3497</v>
      </c>
      <c r="G339" t="s">
        <v>3498</v>
      </c>
      <c r="H339" t="s">
        <v>3499</v>
      </c>
      <c r="I339" t="s">
        <v>3497</v>
      </c>
      <c r="J339" t="s">
        <v>3500</v>
      </c>
      <c r="K339" t="s">
        <v>3501</v>
      </c>
      <c r="L339" s="27" t="s">
        <v>3497</v>
      </c>
    </row>
    <row r="340" spans="2:12" x14ac:dyDescent="0.2">
      <c r="B340" s="26" t="s">
        <v>99</v>
      </c>
      <c r="C340" t="s">
        <v>3502</v>
      </c>
      <c r="D340" t="s">
        <v>3502</v>
      </c>
      <c r="E340" t="s">
        <v>3503</v>
      </c>
      <c r="F340" t="s">
        <v>3504</v>
      </c>
      <c r="G340" t="s">
        <v>3505</v>
      </c>
      <c r="H340" t="s">
        <v>3506</v>
      </c>
      <c r="I340" t="s">
        <v>3507</v>
      </c>
      <c r="J340" t="s">
        <v>3508</v>
      </c>
      <c r="K340" t="s">
        <v>3509</v>
      </c>
      <c r="L340" s="27" t="s">
        <v>4063</v>
      </c>
    </row>
    <row r="341" spans="2:12" x14ac:dyDescent="0.2">
      <c r="B341" s="26" t="s">
        <v>102</v>
      </c>
      <c r="C341" t="s">
        <v>3510</v>
      </c>
      <c r="D341" t="s">
        <v>3511</v>
      </c>
      <c r="E341" t="s">
        <v>3512</v>
      </c>
      <c r="F341" t="s">
        <v>3513</v>
      </c>
      <c r="G341" t="s">
        <v>3514</v>
      </c>
      <c r="H341" t="s">
        <v>3515</v>
      </c>
      <c r="I341" t="s">
        <v>3516</v>
      </c>
      <c r="J341" t="s">
        <v>3517</v>
      </c>
      <c r="K341" t="s">
        <v>3518</v>
      </c>
      <c r="L341" s="27" t="s">
        <v>4064</v>
      </c>
    </row>
    <row r="342" spans="2:12" x14ac:dyDescent="0.2">
      <c r="B342" s="26" t="s">
        <v>105</v>
      </c>
      <c r="C342" t="s">
        <v>3519</v>
      </c>
      <c r="D342" t="s">
        <v>3520</v>
      </c>
      <c r="E342" t="s">
        <v>3521</v>
      </c>
      <c r="F342" t="s">
        <v>3522</v>
      </c>
      <c r="G342" t="s">
        <v>3523</v>
      </c>
      <c r="H342" t="s">
        <v>3524</v>
      </c>
      <c r="I342" t="s">
        <v>3522</v>
      </c>
      <c r="J342" t="s">
        <v>3525</v>
      </c>
      <c r="K342" t="s">
        <v>3526</v>
      </c>
      <c r="L342" s="27" t="s">
        <v>4065</v>
      </c>
    </row>
    <row r="343" spans="2:12" x14ac:dyDescent="0.2">
      <c r="B343" s="26" t="s">
        <v>108</v>
      </c>
      <c r="C343" t="s">
        <v>3527</v>
      </c>
      <c r="D343" t="s">
        <v>3528</v>
      </c>
      <c r="E343" t="s">
        <v>3529</v>
      </c>
      <c r="F343" t="s">
        <v>3530</v>
      </c>
      <c r="G343" t="s">
        <v>3531</v>
      </c>
      <c r="H343" t="s">
        <v>3532</v>
      </c>
      <c r="I343" t="s">
        <v>3533</v>
      </c>
      <c r="J343" t="s">
        <v>3534</v>
      </c>
      <c r="K343" t="s">
        <v>3535</v>
      </c>
      <c r="L343" s="27" t="s">
        <v>3530</v>
      </c>
    </row>
    <row r="344" spans="2:12" x14ac:dyDescent="0.2">
      <c r="B344" s="26" t="s">
        <v>111</v>
      </c>
      <c r="C344" t="s">
        <v>3536</v>
      </c>
      <c r="D344" t="s">
        <v>3537</v>
      </c>
      <c r="E344" t="s">
        <v>3538</v>
      </c>
      <c r="F344" t="s">
        <v>3539</v>
      </c>
      <c r="G344" t="s">
        <v>3540</v>
      </c>
      <c r="H344" t="s">
        <v>3541</v>
      </c>
      <c r="I344" t="s">
        <v>3539</v>
      </c>
      <c r="J344" t="s">
        <v>3542</v>
      </c>
      <c r="K344" t="s">
        <v>3543</v>
      </c>
      <c r="L344" s="27" t="s">
        <v>3539</v>
      </c>
    </row>
    <row r="345" spans="2:12" x14ac:dyDescent="0.2">
      <c r="B345" s="26" t="s">
        <v>114</v>
      </c>
      <c r="C345" t="s">
        <v>3544</v>
      </c>
      <c r="D345" t="s">
        <v>3545</v>
      </c>
      <c r="E345" t="s">
        <v>3546</v>
      </c>
      <c r="F345" t="s">
        <v>3547</v>
      </c>
      <c r="G345" t="s">
        <v>3548</v>
      </c>
      <c r="H345" t="s">
        <v>3549</v>
      </c>
      <c r="I345" t="s">
        <v>3547</v>
      </c>
      <c r="J345" t="s">
        <v>3550</v>
      </c>
      <c r="K345" t="s">
        <v>3551</v>
      </c>
      <c r="L345" s="27" t="s">
        <v>4066</v>
      </c>
    </row>
    <row r="346" spans="2:12" x14ac:dyDescent="0.2">
      <c r="B346" s="26" t="s">
        <v>117</v>
      </c>
      <c r="C346" t="s">
        <v>3552</v>
      </c>
      <c r="D346" t="s">
        <v>3553</v>
      </c>
      <c r="E346" t="s">
        <v>3554</v>
      </c>
      <c r="F346" t="s">
        <v>3555</v>
      </c>
      <c r="G346" t="s">
        <v>3556</v>
      </c>
      <c r="H346" t="s">
        <v>3557</v>
      </c>
      <c r="I346" t="s">
        <v>3558</v>
      </c>
      <c r="J346" t="s">
        <v>3559</v>
      </c>
      <c r="K346" t="s">
        <v>3560</v>
      </c>
      <c r="L346" s="27" t="s">
        <v>4067</v>
      </c>
    </row>
    <row r="347" spans="2:12" x14ac:dyDescent="0.2">
      <c r="B347" s="26" t="s">
        <v>120</v>
      </c>
      <c r="C347" t="s">
        <v>3561</v>
      </c>
      <c r="D347" t="s">
        <v>3562</v>
      </c>
      <c r="E347" t="s">
        <v>3563</v>
      </c>
      <c r="F347" t="s">
        <v>3564</v>
      </c>
      <c r="G347" t="s">
        <v>3565</v>
      </c>
      <c r="H347" t="s">
        <v>3566</v>
      </c>
      <c r="I347" t="s">
        <v>3567</v>
      </c>
      <c r="J347" t="s">
        <v>3568</v>
      </c>
      <c r="K347" t="s">
        <v>3569</v>
      </c>
      <c r="L347" s="27" t="s">
        <v>4068</v>
      </c>
    </row>
    <row r="348" spans="2:12" x14ac:dyDescent="0.2">
      <c r="B348" s="26" t="s">
        <v>123</v>
      </c>
      <c r="C348" t="s">
        <v>3570</v>
      </c>
      <c r="D348" t="s">
        <v>3570</v>
      </c>
      <c r="E348" t="s">
        <v>3571</v>
      </c>
      <c r="F348" t="s">
        <v>3572</v>
      </c>
      <c r="G348" t="s">
        <v>3573</v>
      </c>
      <c r="H348" t="s">
        <v>3574</v>
      </c>
      <c r="I348" t="s">
        <v>3575</v>
      </c>
      <c r="J348" t="s">
        <v>3576</v>
      </c>
      <c r="K348" t="s">
        <v>3577</v>
      </c>
      <c r="L348" s="27" t="s">
        <v>4069</v>
      </c>
    </row>
    <row r="349" spans="2:12" x14ac:dyDescent="0.2">
      <c r="B349" s="26" t="s">
        <v>126</v>
      </c>
      <c r="C349" t="s">
        <v>3578</v>
      </c>
      <c r="D349" t="s">
        <v>3579</v>
      </c>
      <c r="E349" t="s">
        <v>3580</v>
      </c>
      <c r="F349" t="s">
        <v>3581</v>
      </c>
      <c r="G349" t="s">
        <v>3582</v>
      </c>
      <c r="H349" t="s">
        <v>3583</v>
      </c>
      <c r="I349" t="s">
        <v>3584</v>
      </c>
      <c r="J349" t="s">
        <v>3585</v>
      </c>
      <c r="K349" t="s">
        <v>3586</v>
      </c>
      <c r="L349" s="27" t="s">
        <v>4070</v>
      </c>
    </row>
    <row r="350" spans="2:12" x14ac:dyDescent="0.2">
      <c r="B350" s="26" t="s">
        <v>129</v>
      </c>
      <c r="C350" t="s">
        <v>3587</v>
      </c>
      <c r="D350" t="s">
        <v>3588</v>
      </c>
      <c r="E350" t="s">
        <v>3589</v>
      </c>
      <c r="F350" t="s">
        <v>3590</v>
      </c>
      <c r="G350" t="s">
        <v>3591</v>
      </c>
      <c r="H350" t="s">
        <v>3592</v>
      </c>
      <c r="I350" t="s">
        <v>3593</v>
      </c>
      <c r="J350" t="s">
        <v>3594</v>
      </c>
      <c r="K350" t="s">
        <v>3595</v>
      </c>
      <c r="L350" s="27" t="s">
        <v>4071</v>
      </c>
    </row>
    <row r="351" spans="2:12" x14ac:dyDescent="0.2">
      <c r="B351" s="26" t="s">
        <v>132</v>
      </c>
      <c r="C351" t="s">
        <v>3596</v>
      </c>
      <c r="D351" t="s">
        <v>3597</v>
      </c>
      <c r="E351" t="s">
        <v>3598</v>
      </c>
      <c r="F351" t="s">
        <v>3599</v>
      </c>
      <c r="G351" t="s">
        <v>3600</v>
      </c>
      <c r="H351" t="s">
        <v>3601</v>
      </c>
      <c r="I351" t="s">
        <v>3602</v>
      </c>
      <c r="J351" t="s">
        <v>3603</v>
      </c>
      <c r="K351" t="s">
        <v>3604</v>
      </c>
      <c r="L351" s="27" t="s">
        <v>4072</v>
      </c>
    </row>
    <row r="352" spans="2:12" x14ac:dyDescent="0.2">
      <c r="B352" s="26" t="s">
        <v>135</v>
      </c>
      <c r="C352" t="s">
        <v>3605</v>
      </c>
      <c r="D352" t="s">
        <v>3606</v>
      </c>
      <c r="E352" t="s">
        <v>3607</v>
      </c>
      <c r="F352" t="s">
        <v>3608</v>
      </c>
      <c r="G352" t="s">
        <v>3609</v>
      </c>
      <c r="H352" t="s">
        <v>3610</v>
      </c>
      <c r="I352" t="s">
        <v>3611</v>
      </c>
      <c r="J352" t="s">
        <v>3612</v>
      </c>
      <c r="K352" t="s">
        <v>3613</v>
      </c>
      <c r="L352" s="27" t="s">
        <v>4073</v>
      </c>
    </row>
    <row r="353" spans="2:12" x14ac:dyDescent="0.2">
      <c r="B353" s="26" t="s">
        <v>138</v>
      </c>
      <c r="C353" t="s">
        <v>3614</v>
      </c>
      <c r="D353" t="s">
        <v>3615</v>
      </c>
      <c r="E353" t="s">
        <v>3616</v>
      </c>
      <c r="F353" t="s">
        <v>3617</v>
      </c>
      <c r="G353" t="s">
        <v>3618</v>
      </c>
      <c r="H353" t="s">
        <v>3619</v>
      </c>
      <c r="I353" t="s">
        <v>3620</v>
      </c>
      <c r="J353" t="s">
        <v>3621</v>
      </c>
      <c r="K353" t="s">
        <v>3622</v>
      </c>
      <c r="L353" s="27" t="s">
        <v>4074</v>
      </c>
    </row>
    <row r="354" spans="2:12" x14ac:dyDescent="0.2">
      <c r="B354" s="26" t="s">
        <v>140</v>
      </c>
      <c r="C354" t="s">
        <v>3623</v>
      </c>
      <c r="D354" t="s">
        <v>3624</v>
      </c>
      <c r="E354" t="s">
        <v>3625</v>
      </c>
      <c r="F354" t="s">
        <v>3626</v>
      </c>
      <c r="G354" t="s">
        <v>3627</v>
      </c>
      <c r="H354" t="s">
        <v>3628</v>
      </c>
      <c r="I354" t="s">
        <v>3629</v>
      </c>
      <c r="J354" t="s">
        <v>3630</v>
      </c>
      <c r="K354" t="s">
        <v>3631</v>
      </c>
      <c r="L354" s="27" t="s">
        <v>4075</v>
      </c>
    </row>
    <row r="355" spans="2:12" x14ac:dyDescent="0.2">
      <c r="B355" s="26" t="s">
        <v>143</v>
      </c>
      <c r="C355" t="s">
        <v>3632</v>
      </c>
      <c r="D355" t="s">
        <v>3633</v>
      </c>
      <c r="E355" t="s">
        <v>3634</v>
      </c>
      <c r="F355" t="s">
        <v>3635</v>
      </c>
      <c r="G355" t="s">
        <v>3636</v>
      </c>
      <c r="H355" t="s">
        <v>3637</v>
      </c>
      <c r="I355" t="s">
        <v>3638</v>
      </c>
      <c r="J355" t="s">
        <v>3639</v>
      </c>
      <c r="K355" t="s">
        <v>3640</v>
      </c>
      <c r="L355" s="27" t="s">
        <v>4076</v>
      </c>
    </row>
    <row r="356" spans="2:12" x14ac:dyDescent="0.2">
      <c r="B356" s="26" t="s">
        <v>146</v>
      </c>
      <c r="C356" t="s">
        <v>3641</v>
      </c>
      <c r="D356" t="s">
        <v>3642</v>
      </c>
      <c r="E356" t="s">
        <v>3643</v>
      </c>
      <c r="F356" t="s">
        <v>3644</v>
      </c>
      <c r="G356" t="s">
        <v>3645</v>
      </c>
      <c r="H356" t="s">
        <v>3646</v>
      </c>
      <c r="I356" t="s">
        <v>3647</v>
      </c>
      <c r="J356" t="s">
        <v>3648</v>
      </c>
      <c r="K356" t="s">
        <v>3649</v>
      </c>
      <c r="L356" s="27" t="s">
        <v>146</v>
      </c>
    </row>
    <row r="357" spans="2:12" x14ac:dyDescent="0.2">
      <c r="B357" s="26" t="s">
        <v>149</v>
      </c>
      <c r="C357" t="s">
        <v>3650</v>
      </c>
      <c r="D357" t="s">
        <v>3651</v>
      </c>
      <c r="E357" t="s">
        <v>3652</v>
      </c>
      <c r="F357" t="s">
        <v>3653</v>
      </c>
      <c r="G357" t="s">
        <v>3654</v>
      </c>
      <c r="H357" t="s">
        <v>3655</v>
      </c>
      <c r="I357" t="s">
        <v>3656</v>
      </c>
      <c r="J357" t="s">
        <v>3657</v>
      </c>
      <c r="K357" t="s">
        <v>3658</v>
      </c>
      <c r="L357" s="27" t="s">
        <v>4077</v>
      </c>
    </row>
    <row r="358" spans="2:12" x14ac:dyDescent="0.2">
      <c r="B358" s="26" t="s">
        <v>151</v>
      </c>
      <c r="C358" t="s">
        <v>3659</v>
      </c>
      <c r="D358" t="s">
        <v>3660</v>
      </c>
      <c r="E358" t="s">
        <v>3661</v>
      </c>
      <c r="F358" t="s">
        <v>3662</v>
      </c>
      <c r="G358" t="s">
        <v>3663</v>
      </c>
      <c r="H358" t="s">
        <v>3664</v>
      </c>
      <c r="I358" t="s">
        <v>3665</v>
      </c>
      <c r="J358" t="s">
        <v>3666</v>
      </c>
      <c r="K358" t="s">
        <v>3667</v>
      </c>
      <c r="L358" s="27" t="s">
        <v>4078</v>
      </c>
    </row>
    <row r="359" spans="2:12" x14ac:dyDescent="0.2">
      <c r="B359" s="26" t="s">
        <v>154</v>
      </c>
      <c r="C359" t="s">
        <v>3668</v>
      </c>
      <c r="D359" t="s">
        <v>3669</v>
      </c>
      <c r="E359" t="s">
        <v>3670</v>
      </c>
      <c r="F359" t="s">
        <v>3671</v>
      </c>
      <c r="G359" t="s">
        <v>3672</v>
      </c>
      <c r="H359" t="s">
        <v>3673</v>
      </c>
      <c r="I359" t="s">
        <v>3674</v>
      </c>
      <c r="J359" t="s">
        <v>3675</v>
      </c>
      <c r="K359" t="s">
        <v>3676</v>
      </c>
      <c r="L359" s="27" t="s">
        <v>4079</v>
      </c>
    </row>
    <row r="360" spans="2:12" x14ac:dyDescent="0.2">
      <c r="B360" s="26" t="s">
        <v>157</v>
      </c>
      <c r="C360" t="s">
        <v>3677</v>
      </c>
      <c r="D360" t="s">
        <v>3678</v>
      </c>
      <c r="E360" t="s">
        <v>3679</v>
      </c>
      <c r="F360" t="s">
        <v>3680</v>
      </c>
      <c r="G360" t="s">
        <v>3681</v>
      </c>
      <c r="H360" t="s">
        <v>3682</v>
      </c>
      <c r="I360" t="s">
        <v>3680</v>
      </c>
      <c r="J360" t="s">
        <v>3683</v>
      </c>
      <c r="K360" t="s">
        <v>3684</v>
      </c>
      <c r="L360" s="27" t="s">
        <v>4080</v>
      </c>
    </row>
    <row r="361" spans="2:12" x14ac:dyDescent="0.2">
      <c r="B361" s="26" t="s">
        <v>159</v>
      </c>
      <c r="C361" t="s">
        <v>3685</v>
      </c>
      <c r="D361" t="s">
        <v>3686</v>
      </c>
      <c r="E361" t="s">
        <v>3687</v>
      </c>
      <c r="F361" t="s">
        <v>3688</v>
      </c>
      <c r="G361" t="s">
        <v>3689</v>
      </c>
      <c r="H361" t="s">
        <v>3690</v>
      </c>
      <c r="I361" t="s">
        <v>3691</v>
      </c>
      <c r="J361" t="s">
        <v>3692</v>
      </c>
      <c r="K361" t="s">
        <v>3693</v>
      </c>
      <c r="L361" s="27" t="s">
        <v>4081</v>
      </c>
    </row>
    <row r="362" spans="2:12" x14ac:dyDescent="0.2">
      <c r="B362" s="26" t="s">
        <v>162</v>
      </c>
      <c r="C362" t="s">
        <v>3694</v>
      </c>
      <c r="D362" t="s">
        <v>3694</v>
      </c>
      <c r="E362" t="s">
        <v>3695</v>
      </c>
      <c r="F362" t="s">
        <v>3696</v>
      </c>
      <c r="G362" t="s">
        <v>3697</v>
      </c>
      <c r="H362" t="s">
        <v>3698</v>
      </c>
      <c r="I362" t="s">
        <v>3699</v>
      </c>
      <c r="J362" t="s">
        <v>3700</v>
      </c>
      <c r="K362" t="s">
        <v>3701</v>
      </c>
      <c r="L362" s="27" t="s">
        <v>4082</v>
      </c>
    </row>
    <row r="363" spans="2:12" x14ac:dyDescent="0.2">
      <c r="B363" s="26" t="s">
        <v>165</v>
      </c>
      <c r="C363" t="s">
        <v>3702</v>
      </c>
      <c r="D363" t="s">
        <v>3703</v>
      </c>
      <c r="E363" t="s">
        <v>3704</v>
      </c>
      <c r="F363" t="s">
        <v>3705</v>
      </c>
      <c r="G363" t="s">
        <v>3706</v>
      </c>
      <c r="H363" t="s">
        <v>3707</v>
      </c>
      <c r="I363" t="s">
        <v>3708</v>
      </c>
      <c r="J363" t="s">
        <v>3709</v>
      </c>
      <c r="K363" t="s">
        <v>3710</v>
      </c>
      <c r="L363" s="27" t="s">
        <v>4083</v>
      </c>
    </row>
    <row r="364" spans="2:12" x14ac:dyDescent="0.2">
      <c r="B364" s="26" t="s">
        <v>168</v>
      </c>
      <c r="C364" t="s">
        <v>3711</v>
      </c>
      <c r="D364" t="s">
        <v>3712</v>
      </c>
      <c r="E364" t="s">
        <v>3713</v>
      </c>
      <c r="F364" t="s">
        <v>3714</v>
      </c>
      <c r="G364" t="s">
        <v>3715</v>
      </c>
      <c r="H364" t="s">
        <v>3716</v>
      </c>
      <c r="I364" t="s">
        <v>3717</v>
      </c>
      <c r="J364" t="s">
        <v>3718</v>
      </c>
      <c r="K364" t="s">
        <v>3719</v>
      </c>
      <c r="L364" s="27" t="s">
        <v>4084</v>
      </c>
    </row>
    <row r="365" spans="2:12" x14ac:dyDescent="0.2">
      <c r="B365" s="26" t="s">
        <v>171</v>
      </c>
      <c r="C365" t="s">
        <v>3720</v>
      </c>
      <c r="D365" t="s">
        <v>3721</v>
      </c>
      <c r="E365" t="s">
        <v>3722</v>
      </c>
      <c r="F365" t="s">
        <v>3723</v>
      </c>
      <c r="G365" t="s">
        <v>3724</v>
      </c>
      <c r="H365" t="s">
        <v>3725</v>
      </c>
      <c r="I365" t="s">
        <v>3726</v>
      </c>
      <c r="J365" t="s">
        <v>3727</v>
      </c>
      <c r="K365" t="s">
        <v>3728</v>
      </c>
      <c r="L365" s="27" t="s">
        <v>4085</v>
      </c>
    </row>
    <row r="366" spans="2:12" x14ac:dyDescent="0.2">
      <c r="B366" s="26" t="s">
        <v>174</v>
      </c>
      <c r="C366" t="s">
        <v>3729</v>
      </c>
      <c r="D366" t="s">
        <v>3729</v>
      </c>
      <c r="E366" t="s">
        <v>3730</v>
      </c>
      <c r="F366" t="s">
        <v>3731</v>
      </c>
      <c r="G366" t="s">
        <v>3732</v>
      </c>
      <c r="H366" t="s">
        <v>3733</v>
      </c>
      <c r="I366" t="s">
        <v>3734</v>
      </c>
      <c r="J366" t="s">
        <v>3735</v>
      </c>
      <c r="K366" t="s">
        <v>3736</v>
      </c>
      <c r="L366" s="27" t="s">
        <v>4086</v>
      </c>
    </row>
    <row r="367" spans="2:12" x14ac:dyDescent="0.2">
      <c r="B367" s="26" t="s">
        <v>177</v>
      </c>
      <c r="C367" t="s">
        <v>3737</v>
      </c>
      <c r="D367" t="s">
        <v>3738</v>
      </c>
      <c r="E367" t="s">
        <v>3739</v>
      </c>
      <c r="F367" t="s">
        <v>3740</v>
      </c>
      <c r="G367" t="s">
        <v>3741</v>
      </c>
      <c r="H367" t="s">
        <v>3742</v>
      </c>
      <c r="I367" t="s">
        <v>3743</v>
      </c>
      <c r="J367" t="s">
        <v>3744</v>
      </c>
      <c r="K367" t="s">
        <v>3745</v>
      </c>
      <c r="L367" s="27" t="s">
        <v>4087</v>
      </c>
    </row>
    <row r="368" spans="2:12" x14ac:dyDescent="0.2">
      <c r="B368" s="26" t="s">
        <v>180</v>
      </c>
      <c r="C368" t="s">
        <v>3746</v>
      </c>
      <c r="D368" t="s">
        <v>3747</v>
      </c>
      <c r="E368" t="s">
        <v>3748</v>
      </c>
      <c r="F368" t="s">
        <v>3749</v>
      </c>
      <c r="G368" t="s">
        <v>3750</v>
      </c>
      <c r="H368" t="s">
        <v>3751</v>
      </c>
      <c r="I368" t="s">
        <v>3752</v>
      </c>
      <c r="J368" t="s">
        <v>3753</v>
      </c>
      <c r="K368" t="s">
        <v>3754</v>
      </c>
      <c r="L368" s="27" t="s">
        <v>4088</v>
      </c>
    </row>
    <row r="369" spans="2:12" x14ac:dyDescent="0.2">
      <c r="B369" s="26" t="s">
        <v>183</v>
      </c>
      <c r="C369" t="s">
        <v>3755</v>
      </c>
      <c r="D369" t="s">
        <v>3756</v>
      </c>
      <c r="E369" t="s">
        <v>3757</v>
      </c>
      <c r="F369" t="s">
        <v>3758</v>
      </c>
      <c r="G369" t="s">
        <v>3759</v>
      </c>
      <c r="H369" t="s">
        <v>3760</v>
      </c>
      <c r="I369" t="s">
        <v>3761</v>
      </c>
      <c r="J369" t="s">
        <v>3762</v>
      </c>
      <c r="K369" t="s">
        <v>3763</v>
      </c>
      <c r="L369" s="27" t="s">
        <v>4089</v>
      </c>
    </row>
    <row r="370" spans="2:12" x14ac:dyDescent="0.2">
      <c r="B370" s="26" t="s">
        <v>186</v>
      </c>
      <c r="C370" t="s">
        <v>3764</v>
      </c>
      <c r="D370" t="s">
        <v>3765</v>
      </c>
      <c r="E370" t="s">
        <v>3766</v>
      </c>
      <c r="F370" t="s">
        <v>3767</v>
      </c>
      <c r="G370" t="s">
        <v>3768</v>
      </c>
      <c r="H370" t="s">
        <v>3769</v>
      </c>
      <c r="I370" t="s">
        <v>3770</v>
      </c>
      <c r="J370" t="s">
        <v>3771</v>
      </c>
      <c r="K370" t="s">
        <v>3772</v>
      </c>
      <c r="L370" s="27" t="s">
        <v>3767</v>
      </c>
    </row>
    <row r="371" spans="2:12" x14ac:dyDescent="0.2">
      <c r="B371" s="26" t="s">
        <v>189</v>
      </c>
      <c r="C371" t="s">
        <v>3773</v>
      </c>
      <c r="D371" t="s">
        <v>3774</v>
      </c>
      <c r="E371" t="s">
        <v>3775</v>
      </c>
      <c r="F371" t="s">
        <v>3776</v>
      </c>
      <c r="G371" t="s">
        <v>3777</v>
      </c>
      <c r="H371" t="s">
        <v>3778</v>
      </c>
      <c r="I371" t="s">
        <v>3779</v>
      </c>
      <c r="J371" t="s">
        <v>3780</v>
      </c>
      <c r="K371" t="s">
        <v>3781</v>
      </c>
      <c r="L371" s="27" t="s">
        <v>3776</v>
      </c>
    </row>
    <row r="372" spans="2:12" x14ac:dyDescent="0.2">
      <c r="B372" s="26" t="s">
        <v>191</v>
      </c>
      <c r="C372" t="s">
        <v>3782</v>
      </c>
      <c r="D372" t="s">
        <v>3783</v>
      </c>
      <c r="E372" t="s">
        <v>3784</v>
      </c>
      <c r="F372" t="s">
        <v>3785</v>
      </c>
      <c r="G372" t="s">
        <v>3786</v>
      </c>
      <c r="H372" t="s">
        <v>3787</v>
      </c>
      <c r="I372" t="s">
        <v>3788</v>
      </c>
      <c r="J372" t="s">
        <v>3789</v>
      </c>
      <c r="K372" t="s">
        <v>3790</v>
      </c>
      <c r="L372" s="27" t="s">
        <v>3785</v>
      </c>
    </row>
    <row r="373" spans="2:12" x14ac:dyDescent="0.2">
      <c r="B373" s="26" t="s">
        <v>194</v>
      </c>
      <c r="C373" t="s">
        <v>3791</v>
      </c>
      <c r="D373" t="s">
        <v>3792</v>
      </c>
      <c r="E373" t="s">
        <v>3793</v>
      </c>
      <c r="F373" t="s">
        <v>3794</v>
      </c>
      <c r="G373" t="s">
        <v>3795</v>
      </c>
      <c r="H373" t="s">
        <v>3796</v>
      </c>
      <c r="I373" t="s">
        <v>3797</v>
      </c>
      <c r="J373" t="s">
        <v>3798</v>
      </c>
      <c r="K373" t="s">
        <v>3799</v>
      </c>
      <c r="L373" s="27" t="s">
        <v>4090</v>
      </c>
    </row>
    <row r="374" spans="2:12" x14ac:dyDescent="0.2">
      <c r="B374" s="26" t="s">
        <v>197</v>
      </c>
      <c r="C374" t="s">
        <v>3800</v>
      </c>
      <c r="D374" t="s">
        <v>3801</v>
      </c>
      <c r="E374" t="s">
        <v>3802</v>
      </c>
      <c r="F374" t="s">
        <v>3803</v>
      </c>
      <c r="G374" t="s">
        <v>3804</v>
      </c>
      <c r="H374" t="s">
        <v>3805</v>
      </c>
      <c r="I374" t="s">
        <v>3806</v>
      </c>
      <c r="J374" t="s">
        <v>3807</v>
      </c>
      <c r="K374" t="s">
        <v>3808</v>
      </c>
      <c r="L374" s="27" t="s">
        <v>3806</v>
      </c>
    </row>
    <row r="375" spans="2:12" x14ac:dyDescent="0.2">
      <c r="B375" s="26" t="s">
        <v>200</v>
      </c>
      <c r="C375" t="s">
        <v>3809</v>
      </c>
      <c r="D375" t="s">
        <v>3810</v>
      </c>
      <c r="E375" t="s">
        <v>3811</v>
      </c>
      <c r="F375" t="s">
        <v>3812</v>
      </c>
      <c r="G375" t="s">
        <v>3813</v>
      </c>
      <c r="H375" t="s">
        <v>3814</v>
      </c>
      <c r="I375" t="s">
        <v>3815</v>
      </c>
      <c r="J375" t="s">
        <v>3816</v>
      </c>
      <c r="K375" t="s">
        <v>3817</v>
      </c>
      <c r="L375" s="27" t="s">
        <v>3815</v>
      </c>
    </row>
    <row r="376" spans="2:12" x14ac:dyDescent="0.2">
      <c r="B376" s="26" t="s">
        <v>202</v>
      </c>
      <c r="C376" t="s">
        <v>3818</v>
      </c>
      <c r="D376" t="s">
        <v>3819</v>
      </c>
      <c r="E376" t="s">
        <v>3820</v>
      </c>
      <c r="F376" t="s">
        <v>3821</v>
      </c>
      <c r="G376" t="s">
        <v>3822</v>
      </c>
      <c r="H376" t="s">
        <v>3823</v>
      </c>
      <c r="I376" t="s">
        <v>3821</v>
      </c>
      <c r="J376" t="s">
        <v>3824</v>
      </c>
      <c r="K376" t="s">
        <v>3825</v>
      </c>
      <c r="L376" s="27" t="s">
        <v>3821</v>
      </c>
    </row>
    <row r="377" spans="2:12" x14ac:dyDescent="0.2">
      <c r="B377" s="26" t="s">
        <v>205</v>
      </c>
      <c r="C377" t="s">
        <v>3826</v>
      </c>
      <c r="D377" t="s">
        <v>3827</v>
      </c>
      <c r="E377" t="s">
        <v>3828</v>
      </c>
      <c r="F377" t="s">
        <v>3829</v>
      </c>
      <c r="G377" t="s">
        <v>3830</v>
      </c>
      <c r="H377" t="s">
        <v>3831</v>
      </c>
      <c r="I377" t="s">
        <v>3832</v>
      </c>
      <c r="J377" t="s">
        <v>3833</v>
      </c>
      <c r="K377" t="s">
        <v>3834</v>
      </c>
      <c r="L377" s="27" t="s">
        <v>4091</v>
      </c>
    </row>
    <row r="378" spans="2:12" x14ac:dyDescent="0.2">
      <c r="B378" s="26" t="s">
        <v>208</v>
      </c>
      <c r="C378" t="s">
        <v>3835</v>
      </c>
      <c r="D378" t="s">
        <v>3836</v>
      </c>
      <c r="E378" t="s">
        <v>3837</v>
      </c>
      <c r="F378" t="s">
        <v>3838</v>
      </c>
      <c r="G378" t="s">
        <v>3839</v>
      </c>
      <c r="H378" t="s">
        <v>3840</v>
      </c>
      <c r="I378" t="s">
        <v>3841</v>
      </c>
      <c r="J378" t="s">
        <v>3842</v>
      </c>
      <c r="K378" t="s">
        <v>3843</v>
      </c>
      <c r="L378" s="27" t="s">
        <v>4092</v>
      </c>
    </row>
    <row r="379" spans="2:12" x14ac:dyDescent="0.2">
      <c r="B379" s="26" t="s">
        <v>210</v>
      </c>
      <c r="C379" t="s">
        <v>3844</v>
      </c>
      <c r="D379" t="s">
        <v>3845</v>
      </c>
      <c r="E379" t="s">
        <v>3846</v>
      </c>
      <c r="F379" t="s">
        <v>3847</v>
      </c>
      <c r="G379" t="s">
        <v>3848</v>
      </c>
      <c r="H379" t="s">
        <v>3849</v>
      </c>
      <c r="I379" t="s">
        <v>3850</v>
      </c>
      <c r="J379" t="s">
        <v>3851</v>
      </c>
      <c r="K379" t="s">
        <v>3852</v>
      </c>
      <c r="L379" s="27" t="s">
        <v>4093</v>
      </c>
    </row>
    <row r="380" spans="2:12" x14ac:dyDescent="0.2">
      <c r="B380" s="26" t="s">
        <v>213</v>
      </c>
      <c r="C380" t="s">
        <v>3853</v>
      </c>
      <c r="D380" t="s">
        <v>3854</v>
      </c>
      <c r="E380" t="s">
        <v>3855</v>
      </c>
      <c r="F380" t="s">
        <v>3856</v>
      </c>
      <c r="G380" t="s">
        <v>3857</v>
      </c>
      <c r="H380" t="s">
        <v>3858</v>
      </c>
      <c r="I380" t="s">
        <v>3856</v>
      </c>
      <c r="J380" t="s">
        <v>3859</v>
      </c>
      <c r="K380" t="s">
        <v>3860</v>
      </c>
      <c r="L380" s="27" t="s">
        <v>4094</v>
      </c>
    </row>
    <row r="381" spans="2:12" x14ac:dyDescent="0.2">
      <c r="B381" s="26" t="s">
        <v>216</v>
      </c>
      <c r="C381" t="s">
        <v>3861</v>
      </c>
      <c r="D381" t="s">
        <v>3862</v>
      </c>
      <c r="E381" t="s">
        <v>3863</v>
      </c>
      <c r="F381" t="s">
        <v>3864</v>
      </c>
      <c r="G381" t="s">
        <v>3865</v>
      </c>
      <c r="H381" t="s">
        <v>3866</v>
      </c>
      <c r="I381" t="s">
        <v>3867</v>
      </c>
      <c r="J381" t="s">
        <v>3868</v>
      </c>
      <c r="K381" t="s">
        <v>3869</v>
      </c>
      <c r="L381" s="27" t="s">
        <v>4095</v>
      </c>
    </row>
    <row r="382" spans="2:12" x14ac:dyDescent="0.2">
      <c r="B382" s="26" t="s">
        <v>219</v>
      </c>
      <c r="C382" t="s">
        <v>3870</v>
      </c>
      <c r="D382" t="s">
        <v>3871</v>
      </c>
      <c r="E382" t="s">
        <v>3872</v>
      </c>
      <c r="F382" t="s">
        <v>3873</v>
      </c>
      <c r="G382" t="s">
        <v>3874</v>
      </c>
      <c r="H382" t="s">
        <v>3875</v>
      </c>
      <c r="I382" t="s">
        <v>3876</v>
      </c>
      <c r="J382" t="s">
        <v>3877</v>
      </c>
      <c r="K382" t="s">
        <v>3878</v>
      </c>
      <c r="L382" s="27" t="s">
        <v>4096</v>
      </c>
    </row>
    <row r="383" spans="2:12" x14ac:dyDescent="0.2">
      <c r="B383" s="26" t="s">
        <v>222</v>
      </c>
      <c r="C383" t="s">
        <v>3879</v>
      </c>
      <c r="D383" t="s">
        <v>3879</v>
      </c>
      <c r="E383" t="s">
        <v>3880</v>
      </c>
      <c r="F383" t="s">
        <v>3881</v>
      </c>
      <c r="G383" t="s">
        <v>3882</v>
      </c>
      <c r="H383" t="s">
        <v>3883</v>
      </c>
      <c r="I383" t="s">
        <v>3884</v>
      </c>
      <c r="J383" t="s">
        <v>3885</v>
      </c>
      <c r="K383" t="s">
        <v>3886</v>
      </c>
      <c r="L383" s="27" t="s">
        <v>222</v>
      </c>
    </row>
    <row r="384" spans="2:12" x14ac:dyDescent="0.2">
      <c r="B384" s="26" t="s">
        <v>224</v>
      </c>
      <c r="C384" t="s">
        <v>3887</v>
      </c>
      <c r="D384" t="s">
        <v>3887</v>
      </c>
      <c r="E384" t="s">
        <v>3888</v>
      </c>
      <c r="F384" t="s">
        <v>3889</v>
      </c>
      <c r="G384" t="s">
        <v>3890</v>
      </c>
      <c r="H384" t="s">
        <v>3891</v>
      </c>
      <c r="I384" t="s">
        <v>3892</v>
      </c>
      <c r="J384" t="s">
        <v>3893</v>
      </c>
      <c r="K384" t="s">
        <v>3894</v>
      </c>
      <c r="L384" s="27" t="s">
        <v>4097</v>
      </c>
    </row>
    <row r="385" spans="2:13" x14ac:dyDescent="0.2">
      <c r="B385" s="26" t="s">
        <v>227</v>
      </c>
      <c r="C385" t="s">
        <v>3895</v>
      </c>
      <c r="D385" t="s">
        <v>3895</v>
      </c>
      <c r="E385" t="s">
        <v>3896</v>
      </c>
      <c r="F385" t="s">
        <v>3897</v>
      </c>
      <c r="G385" t="s">
        <v>3898</v>
      </c>
      <c r="H385" t="s">
        <v>3899</v>
      </c>
      <c r="I385" t="s">
        <v>3900</v>
      </c>
      <c r="J385" t="s">
        <v>3901</v>
      </c>
      <c r="K385" t="s">
        <v>3902</v>
      </c>
      <c r="L385" s="27" t="s">
        <v>4098</v>
      </c>
    </row>
    <row r="386" spans="2:13" x14ac:dyDescent="0.2">
      <c r="B386" s="26" t="s">
        <v>230</v>
      </c>
      <c r="C386" t="s">
        <v>3903</v>
      </c>
      <c r="D386" t="s">
        <v>3904</v>
      </c>
      <c r="E386" t="s">
        <v>3905</v>
      </c>
      <c r="F386" t="s">
        <v>3906</v>
      </c>
      <c r="G386" t="s">
        <v>3907</v>
      </c>
      <c r="H386" t="s">
        <v>3908</v>
      </c>
      <c r="I386" t="s">
        <v>3909</v>
      </c>
      <c r="J386" t="s">
        <v>3910</v>
      </c>
      <c r="K386" t="s">
        <v>3911</v>
      </c>
      <c r="L386" s="27" t="s">
        <v>4099</v>
      </c>
    </row>
    <row r="387" spans="2:13" x14ac:dyDescent="0.2">
      <c r="B387" s="26" t="s">
        <v>233</v>
      </c>
      <c r="C387" t="s">
        <v>3912</v>
      </c>
      <c r="D387" t="s">
        <v>3913</v>
      </c>
      <c r="E387" t="s">
        <v>3914</v>
      </c>
      <c r="F387" t="s">
        <v>3915</v>
      </c>
      <c r="G387" t="s">
        <v>3916</v>
      </c>
      <c r="H387" t="s">
        <v>3917</v>
      </c>
      <c r="I387" t="s">
        <v>3918</v>
      </c>
      <c r="J387" t="s">
        <v>3919</v>
      </c>
      <c r="K387" t="s">
        <v>3920</v>
      </c>
      <c r="L387" s="27" t="s">
        <v>4100</v>
      </c>
    </row>
    <row r="388" spans="2:13" x14ac:dyDescent="0.2">
      <c r="B388" s="26" t="s">
        <v>236</v>
      </c>
      <c r="C388" t="s">
        <v>3921</v>
      </c>
      <c r="D388" t="s">
        <v>3921</v>
      </c>
      <c r="E388" t="s">
        <v>3922</v>
      </c>
      <c r="F388" t="s">
        <v>3923</v>
      </c>
      <c r="G388" t="s">
        <v>3924</v>
      </c>
      <c r="H388" t="s">
        <v>3925</v>
      </c>
      <c r="I388" t="s">
        <v>3923</v>
      </c>
      <c r="J388" t="s">
        <v>3926</v>
      </c>
      <c r="K388" t="s">
        <v>3927</v>
      </c>
      <c r="L388" s="27" t="s">
        <v>3923</v>
      </c>
    </row>
    <row r="389" spans="2:13" x14ac:dyDescent="0.2">
      <c r="B389" s="26" t="s">
        <v>239</v>
      </c>
      <c r="C389" t="s">
        <v>3928</v>
      </c>
      <c r="D389" t="s">
        <v>3929</v>
      </c>
      <c r="E389" t="s">
        <v>3930</v>
      </c>
      <c r="F389" t="s">
        <v>3931</v>
      </c>
      <c r="G389" t="s">
        <v>3932</v>
      </c>
      <c r="H389" t="s">
        <v>3933</v>
      </c>
      <c r="I389" t="s">
        <v>3934</v>
      </c>
      <c r="J389" t="s">
        <v>3935</v>
      </c>
      <c r="K389" t="s">
        <v>3936</v>
      </c>
      <c r="L389" s="27" t="s">
        <v>4101</v>
      </c>
    </row>
    <row r="390" spans="2:13" x14ac:dyDescent="0.2">
      <c r="B390" s="26" t="s">
        <v>3937</v>
      </c>
      <c r="C390" t="s">
        <v>3938</v>
      </c>
      <c r="D390" t="s">
        <v>3939</v>
      </c>
      <c r="E390" t="s">
        <v>3940</v>
      </c>
      <c r="F390" t="s">
        <v>3941</v>
      </c>
      <c r="G390" t="s">
        <v>3942</v>
      </c>
      <c r="H390" t="s">
        <v>3943</v>
      </c>
      <c r="I390" t="s">
        <v>3944</v>
      </c>
      <c r="J390" t="s">
        <v>3945</v>
      </c>
      <c r="K390" t="s">
        <v>3946</v>
      </c>
      <c r="L390" s="27" t="s">
        <v>4102</v>
      </c>
    </row>
    <row r="391" spans="2:13" x14ac:dyDescent="0.2">
      <c r="B391" s="26" t="s">
        <v>241</v>
      </c>
      <c r="C391" t="s">
        <v>3947</v>
      </c>
      <c r="D391" t="s">
        <v>3948</v>
      </c>
      <c r="E391" t="s">
        <v>3949</v>
      </c>
      <c r="F391" t="s">
        <v>3950</v>
      </c>
      <c r="G391" t="s">
        <v>3951</v>
      </c>
      <c r="H391" t="s">
        <v>3952</v>
      </c>
      <c r="I391" t="s">
        <v>3953</v>
      </c>
      <c r="J391" t="s">
        <v>3954</v>
      </c>
      <c r="K391" t="s">
        <v>3955</v>
      </c>
      <c r="L391" s="27" t="s">
        <v>4103</v>
      </c>
    </row>
    <row r="392" spans="2:13" x14ac:dyDescent="0.2">
      <c r="B392" s="26" t="s">
        <v>243</v>
      </c>
      <c r="C392" t="s">
        <v>3956</v>
      </c>
      <c r="D392" t="s">
        <v>3957</v>
      </c>
      <c r="E392" t="s">
        <v>3958</v>
      </c>
      <c r="F392" t="s">
        <v>3959</v>
      </c>
      <c r="G392" t="s">
        <v>3960</v>
      </c>
      <c r="H392" t="s">
        <v>3961</v>
      </c>
      <c r="I392" t="s">
        <v>3962</v>
      </c>
      <c r="J392" t="s">
        <v>3963</v>
      </c>
      <c r="K392" t="s">
        <v>3964</v>
      </c>
      <c r="L392" s="27" t="s">
        <v>4104</v>
      </c>
    </row>
    <row r="393" spans="2:13" x14ac:dyDescent="0.2">
      <c r="B393" s="26" t="s">
        <v>3965</v>
      </c>
      <c r="C393" t="s">
        <v>3966</v>
      </c>
      <c r="D393" t="s">
        <v>3967</v>
      </c>
      <c r="E393" t="s">
        <v>3968</v>
      </c>
      <c r="F393" t="s">
        <v>3969</v>
      </c>
      <c r="G393" t="s">
        <v>3970</v>
      </c>
      <c r="H393" t="s">
        <v>3971</v>
      </c>
      <c r="I393" t="s">
        <v>3972</v>
      </c>
      <c r="J393" t="s">
        <v>3973</v>
      </c>
      <c r="K393" t="s">
        <v>3974</v>
      </c>
      <c r="L393" s="27" t="s">
        <v>3982</v>
      </c>
    </row>
    <row r="394" spans="2:13" x14ac:dyDescent="0.2">
      <c r="B394" s="26" t="s">
        <v>245</v>
      </c>
      <c r="C394" t="s">
        <v>3975</v>
      </c>
      <c r="D394" t="s">
        <v>3975</v>
      </c>
      <c r="E394" t="s">
        <v>3976</v>
      </c>
      <c r="F394" t="s">
        <v>3977</v>
      </c>
      <c r="G394" t="s">
        <v>3978</v>
      </c>
      <c r="H394" t="s">
        <v>3979</v>
      </c>
      <c r="I394" t="s">
        <v>3977</v>
      </c>
      <c r="J394" t="s">
        <v>3980</v>
      </c>
      <c r="K394" t="s">
        <v>3981</v>
      </c>
      <c r="L394" s="27" t="s">
        <v>4105</v>
      </c>
    </row>
    <row r="395" spans="2:13" x14ac:dyDescent="0.2">
      <c r="B395" s="26" t="s">
        <v>27</v>
      </c>
      <c r="C395" t="s">
        <v>3983</v>
      </c>
      <c r="D395" t="s">
        <v>3983</v>
      </c>
      <c r="E395" t="s">
        <v>3984</v>
      </c>
      <c r="F395" t="s">
        <v>3985</v>
      </c>
      <c r="G395" t="s">
        <v>3986</v>
      </c>
      <c r="H395" t="s">
        <v>3987</v>
      </c>
      <c r="I395" t="s">
        <v>3988</v>
      </c>
      <c r="J395" t="s">
        <v>3989</v>
      </c>
      <c r="K395" t="s">
        <v>3990</v>
      </c>
      <c r="L395" s="27" t="s">
        <v>4046</v>
      </c>
    </row>
    <row r="396" spans="2:13" x14ac:dyDescent="0.2">
      <c r="B396" s="26" t="s">
        <v>4038</v>
      </c>
      <c r="C396" t="s">
        <v>4030</v>
      </c>
      <c r="D396" t="s">
        <v>4031</v>
      </c>
      <c r="E396" t="s">
        <v>4032</v>
      </c>
      <c r="F396" t="s">
        <v>4033</v>
      </c>
      <c r="G396" t="s">
        <v>4034</v>
      </c>
      <c r="H396" t="s">
        <v>4035</v>
      </c>
      <c r="I396" t="s">
        <v>4035</v>
      </c>
      <c r="J396" t="s">
        <v>4036</v>
      </c>
      <c r="K396" t="s">
        <v>4037</v>
      </c>
      <c r="L396" s="327">
        <v>0</v>
      </c>
      <c r="M396" s="328"/>
    </row>
    <row r="397" spans="2:13" x14ac:dyDescent="0.2">
      <c r="B397" s="26" t="s">
        <v>249</v>
      </c>
      <c r="C397" t="s">
        <v>3991</v>
      </c>
      <c r="D397" t="s">
        <v>3992</v>
      </c>
      <c r="E397" t="s">
        <v>3993</v>
      </c>
      <c r="F397" t="s">
        <v>3994</v>
      </c>
      <c r="G397" t="s">
        <v>3995</v>
      </c>
      <c r="H397" t="s">
        <v>3996</v>
      </c>
      <c r="I397" t="s">
        <v>3997</v>
      </c>
      <c r="J397" t="s">
        <v>3998</v>
      </c>
      <c r="K397" t="s">
        <v>3999</v>
      </c>
      <c r="L397" s="27" t="s">
        <v>4106</v>
      </c>
    </row>
    <row r="398" spans="2:13" x14ac:dyDescent="0.2">
      <c r="B398" s="26" t="s">
        <v>251</v>
      </c>
      <c r="C398" t="s">
        <v>4000</v>
      </c>
      <c r="D398" t="s">
        <v>4000</v>
      </c>
      <c r="E398" t="s">
        <v>4000</v>
      </c>
      <c r="F398" t="s">
        <v>4001</v>
      </c>
      <c r="G398" t="s">
        <v>4002</v>
      </c>
      <c r="H398" t="s">
        <v>4003</v>
      </c>
      <c r="I398" t="s">
        <v>4004</v>
      </c>
      <c r="J398" t="s">
        <v>4005</v>
      </c>
      <c r="K398" t="s">
        <v>4006</v>
      </c>
      <c r="L398" s="27" t="s">
        <v>4107</v>
      </c>
    </row>
    <row r="399" spans="2:13" x14ac:dyDescent="0.2">
      <c r="B399" s="26" t="s">
        <v>252</v>
      </c>
      <c r="C399" t="s">
        <v>4007</v>
      </c>
      <c r="D399" t="s">
        <v>4008</v>
      </c>
      <c r="E399" t="s">
        <v>4007</v>
      </c>
      <c r="F399" t="s">
        <v>4009</v>
      </c>
      <c r="G399" t="s">
        <v>4010</v>
      </c>
      <c r="H399" t="s">
        <v>252</v>
      </c>
      <c r="I399" t="s">
        <v>4011</v>
      </c>
      <c r="J399" t="s">
        <v>4012</v>
      </c>
      <c r="K399" t="s">
        <v>4013</v>
      </c>
      <c r="L399" s="27" t="s">
        <v>4108</v>
      </c>
    </row>
    <row r="400" spans="2:13" x14ac:dyDescent="0.2">
      <c r="B400" s="26" t="s">
        <v>253</v>
      </c>
      <c r="C400" t="s">
        <v>4014</v>
      </c>
      <c r="D400" t="s">
        <v>4015</v>
      </c>
      <c r="E400" t="s">
        <v>4015</v>
      </c>
      <c r="F400" t="s">
        <v>4016</v>
      </c>
      <c r="G400" t="s">
        <v>4017</v>
      </c>
      <c r="H400" t="s">
        <v>4018</v>
      </c>
      <c r="I400" t="s">
        <v>4019</v>
      </c>
      <c r="J400" t="s">
        <v>4020</v>
      </c>
      <c r="K400" t="s">
        <v>4021</v>
      </c>
      <c r="L400" s="27" t="s">
        <v>4109</v>
      </c>
    </row>
    <row r="401" spans="2:12" x14ac:dyDescent="0.2">
      <c r="B401" s="26" t="s">
        <v>254</v>
      </c>
      <c r="C401" t="s">
        <v>4022</v>
      </c>
      <c r="D401" t="s">
        <v>4023</v>
      </c>
      <c r="E401" t="s">
        <v>4024</v>
      </c>
      <c r="F401" t="s">
        <v>4025</v>
      </c>
      <c r="G401" t="s">
        <v>4026</v>
      </c>
      <c r="H401" t="s">
        <v>253</v>
      </c>
      <c r="I401" t="s">
        <v>4027</v>
      </c>
      <c r="J401" t="s">
        <v>4028</v>
      </c>
      <c r="K401" t="s">
        <v>4029</v>
      </c>
      <c r="L401" s="27" t="s">
        <v>4110</v>
      </c>
    </row>
    <row r="402" spans="2:12" x14ac:dyDescent="0.2">
      <c r="B402" s="26" t="s">
        <v>4261</v>
      </c>
      <c r="C402" t="s">
        <v>4262</v>
      </c>
      <c r="D402" t="s">
        <v>4263</v>
      </c>
      <c r="E402" t="s">
        <v>4264</v>
      </c>
      <c r="F402" t="s">
        <v>4265</v>
      </c>
      <c r="G402" t="s">
        <v>4266</v>
      </c>
      <c r="H402" t="s">
        <v>4267</v>
      </c>
      <c r="I402" t="s">
        <v>4268</v>
      </c>
      <c r="J402" t="s">
        <v>4269</v>
      </c>
      <c r="K402" t="s">
        <v>4270</v>
      </c>
      <c r="L402" s="27" t="s">
        <v>4271</v>
      </c>
    </row>
    <row r="403" spans="2:12" x14ac:dyDescent="0.2">
      <c r="B403" s="26" t="s">
        <v>4272</v>
      </c>
      <c r="C403" t="s">
        <v>4273</v>
      </c>
      <c r="D403" t="s">
        <v>4274</v>
      </c>
      <c r="E403" t="s">
        <v>4275</v>
      </c>
      <c r="F403" t="s">
        <v>4276</v>
      </c>
      <c r="G403" t="s">
        <v>4277</v>
      </c>
      <c r="H403" t="s">
        <v>4278</v>
      </c>
      <c r="I403" t="s">
        <v>4279</v>
      </c>
      <c r="J403" t="s">
        <v>4280</v>
      </c>
      <c r="K403" t="s">
        <v>4281</v>
      </c>
      <c r="L403" s="27" t="s">
        <v>4282</v>
      </c>
    </row>
    <row r="404" spans="2:12" x14ac:dyDescent="0.2">
      <c r="B404" s="26" t="s">
        <v>4283</v>
      </c>
      <c r="C404" t="s">
        <v>4284</v>
      </c>
      <c r="D404" t="s">
        <v>4285</v>
      </c>
      <c r="E404" t="s">
        <v>4286</v>
      </c>
      <c r="F404" t="s">
        <v>4287</v>
      </c>
      <c r="G404" t="s">
        <v>4288</v>
      </c>
      <c r="H404" t="s">
        <v>4289</v>
      </c>
      <c r="I404" t="s">
        <v>4290</v>
      </c>
      <c r="J404" t="s">
        <v>4291</v>
      </c>
      <c r="K404" t="s">
        <v>4292</v>
      </c>
      <c r="L404" s="27" t="s">
        <v>4293</v>
      </c>
    </row>
    <row r="405" spans="2:12" x14ac:dyDescent="0.2">
      <c r="B405" s="26" t="s">
        <v>4294</v>
      </c>
      <c r="C405" t="s">
        <v>4295</v>
      </c>
      <c r="D405" t="s">
        <v>4296</v>
      </c>
      <c r="E405" t="s">
        <v>4297</v>
      </c>
      <c r="F405" t="s">
        <v>4298</v>
      </c>
      <c r="G405" t="s">
        <v>4299</v>
      </c>
      <c r="H405" t="s">
        <v>4300</v>
      </c>
      <c r="I405" t="s">
        <v>4301</v>
      </c>
      <c r="J405" t="s">
        <v>4302</v>
      </c>
      <c r="K405" t="s">
        <v>4303</v>
      </c>
      <c r="L405" s="27" t="s">
        <v>4304</v>
      </c>
    </row>
    <row r="406" spans="2:12" x14ac:dyDescent="0.2">
      <c r="B406" s="26" t="s">
        <v>4305</v>
      </c>
      <c r="C406" t="s">
        <v>4306</v>
      </c>
      <c r="D406" t="s">
        <v>4307</v>
      </c>
      <c r="E406" t="s">
        <v>4308</v>
      </c>
      <c r="F406" t="s">
        <v>4309</v>
      </c>
      <c r="G406" t="s">
        <v>4310</v>
      </c>
      <c r="H406" t="s">
        <v>4311</v>
      </c>
      <c r="I406" t="s">
        <v>4312</v>
      </c>
      <c r="J406" t="s">
        <v>4313</v>
      </c>
      <c r="K406" t="s">
        <v>4314</v>
      </c>
      <c r="L406" s="27" t="s">
        <v>4315</v>
      </c>
    </row>
    <row r="407" spans="2:12" x14ac:dyDescent="0.2">
      <c r="B407" s="26" t="s">
        <v>4318</v>
      </c>
      <c r="C407" t="s">
        <v>4321</v>
      </c>
      <c r="D407" t="s">
        <v>4319</v>
      </c>
      <c r="E407" t="s">
        <v>4322</v>
      </c>
      <c r="F407" t="s">
        <v>4323</v>
      </c>
      <c r="G407" t="s">
        <v>4324</v>
      </c>
      <c r="H407" t="s">
        <v>4325</v>
      </c>
      <c r="I407" t="s">
        <v>4326</v>
      </c>
      <c r="J407" t="s">
        <v>4327</v>
      </c>
      <c r="K407" t="s">
        <v>4320</v>
      </c>
      <c r="L407" s="27" t="s">
        <v>4328</v>
      </c>
    </row>
    <row r="408" spans="2:12" x14ac:dyDescent="0.2">
      <c r="B408" s="26" t="s">
        <v>4377</v>
      </c>
      <c r="C408" t="s">
        <v>4378</v>
      </c>
      <c r="D408" t="s">
        <v>4379</v>
      </c>
      <c r="E408" t="s">
        <v>4380</v>
      </c>
      <c r="F408" t="s">
        <v>4381</v>
      </c>
      <c r="G408" t="s">
        <v>4382</v>
      </c>
      <c r="H408" t="s">
        <v>4383</v>
      </c>
      <c r="I408" t="s">
        <v>4384</v>
      </c>
      <c r="J408" t="s">
        <v>4385</v>
      </c>
      <c r="K408" t="s">
        <v>4386</v>
      </c>
      <c r="L408" s="27" t="s">
        <v>4387</v>
      </c>
    </row>
    <row r="409" spans="2:12" x14ac:dyDescent="0.2">
      <c r="B409" s="26" t="s">
        <v>4388</v>
      </c>
      <c r="C409" t="s">
        <v>4389</v>
      </c>
      <c r="D409" t="s">
        <v>4390</v>
      </c>
      <c r="E409" t="s">
        <v>4391</v>
      </c>
      <c r="F409" t="s">
        <v>4392</v>
      </c>
      <c r="G409" t="s">
        <v>4393</v>
      </c>
      <c r="H409" t="s">
        <v>4394</v>
      </c>
      <c r="I409" t="s">
        <v>4395</v>
      </c>
      <c r="J409" t="s">
        <v>4396</v>
      </c>
      <c r="K409" t="s">
        <v>4397</v>
      </c>
      <c r="L409" s="27" t="s">
        <v>4398</v>
      </c>
    </row>
    <row r="410" spans="2:12" x14ac:dyDescent="0.2">
      <c r="B410" s="26" t="s">
        <v>4432</v>
      </c>
      <c r="C410" t="s">
        <v>4433</v>
      </c>
      <c r="D410" t="s">
        <v>4434</v>
      </c>
      <c r="E410" t="s">
        <v>4435</v>
      </c>
      <c r="F410" t="s">
        <v>4436</v>
      </c>
      <c r="G410" t="s">
        <v>4437</v>
      </c>
      <c r="H410" t="s">
        <v>4438</v>
      </c>
      <c r="I410" t="s">
        <v>4439</v>
      </c>
      <c r="J410" t="s">
        <v>4440</v>
      </c>
      <c r="K410" t="s">
        <v>4441</v>
      </c>
      <c r="L410" s="27" t="s">
        <v>4442</v>
      </c>
    </row>
    <row r="411" spans="2:12" x14ac:dyDescent="0.2">
      <c r="B411" s="26" t="s">
        <v>4399</v>
      </c>
      <c r="C411" t="s">
        <v>4400</v>
      </c>
      <c r="D411" t="s">
        <v>4401</v>
      </c>
      <c r="E411" t="s">
        <v>4402</v>
      </c>
      <c r="F411" t="s">
        <v>4403</v>
      </c>
      <c r="G411" t="s">
        <v>4404</v>
      </c>
      <c r="H411" t="s">
        <v>4405</v>
      </c>
      <c r="I411" t="s">
        <v>4406</v>
      </c>
      <c r="J411" t="s">
        <v>4407</v>
      </c>
      <c r="K411" t="s">
        <v>4408</v>
      </c>
      <c r="L411" s="27" t="s">
        <v>4409</v>
      </c>
    </row>
    <row r="412" spans="2:12" x14ac:dyDescent="0.2">
      <c r="B412" s="26" t="s">
        <v>4410</v>
      </c>
      <c r="C412" t="s">
        <v>4411</v>
      </c>
      <c r="D412" t="s">
        <v>4412</v>
      </c>
      <c r="E412" t="s">
        <v>4413</v>
      </c>
      <c r="F412" t="s">
        <v>4414</v>
      </c>
      <c r="G412" t="s">
        <v>4415</v>
      </c>
      <c r="H412" t="s">
        <v>4416</v>
      </c>
      <c r="I412" t="s">
        <v>4417</v>
      </c>
      <c r="J412" t="s">
        <v>4418</v>
      </c>
      <c r="K412" t="s">
        <v>4419</v>
      </c>
      <c r="L412" s="27" t="s">
        <v>4420</v>
      </c>
    </row>
    <row r="413" spans="2:12" x14ac:dyDescent="0.2">
      <c r="B413" s="26" t="s">
        <v>4421</v>
      </c>
      <c r="C413" t="s">
        <v>4422</v>
      </c>
      <c r="D413" t="s">
        <v>4422</v>
      </c>
      <c r="E413" t="s">
        <v>4423</v>
      </c>
      <c r="F413" t="s">
        <v>4424</v>
      </c>
      <c r="G413" t="s">
        <v>4425</v>
      </c>
      <c r="H413" t="s">
        <v>4426</v>
      </c>
      <c r="I413" t="s">
        <v>4424</v>
      </c>
      <c r="J413" t="s">
        <v>4427</v>
      </c>
      <c r="K413" t="s">
        <v>4428</v>
      </c>
      <c r="L413" s="27" t="s">
        <v>4429</v>
      </c>
    </row>
    <row r="414" spans="2:12" x14ac:dyDescent="0.2">
      <c r="B414" s="26" t="s">
        <v>4430</v>
      </c>
      <c r="C414" t="s">
        <v>4306</v>
      </c>
      <c r="D414" t="s">
        <v>4307</v>
      </c>
      <c r="E414" t="s">
        <v>4308</v>
      </c>
      <c r="F414" t="s">
        <v>4309</v>
      </c>
      <c r="G414" t="s">
        <v>4310</v>
      </c>
      <c r="H414" t="s">
        <v>4311</v>
      </c>
      <c r="I414" t="s">
        <v>4431</v>
      </c>
      <c r="J414" t="s">
        <v>4313</v>
      </c>
      <c r="K414" t="s">
        <v>4314</v>
      </c>
      <c r="L414" s="27" t="s">
        <v>4315</v>
      </c>
    </row>
    <row r="415" spans="2:12" x14ac:dyDescent="0.2">
      <c r="B415" s="26" t="s">
        <v>4721</v>
      </c>
      <c r="C415" t="s">
        <v>4722</v>
      </c>
      <c r="D415" t="s">
        <v>4723</v>
      </c>
      <c r="E415" t="s">
        <v>4724</v>
      </c>
      <c r="F415" t="s">
        <v>4725</v>
      </c>
      <c r="G415" t="s">
        <v>4726</v>
      </c>
      <c r="H415" t="s">
        <v>4727</v>
      </c>
      <c r="I415" t="s">
        <v>4728</v>
      </c>
      <c r="J415" t="s">
        <v>4729</v>
      </c>
      <c r="K415" t="s">
        <v>4730</v>
      </c>
      <c r="L415" s="27" t="s">
        <v>4731</v>
      </c>
    </row>
    <row r="416" spans="2:12" x14ac:dyDescent="0.2">
      <c r="B416" s="26" t="s">
        <v>4732</v>
      </c>
      <c r="C416" t="s">
        <v>4733</v>
      </c>
      <c r="D416" t="s">
        <v>4734</v>
      </c>
      <c r="E416" t="s">
        <v>4735</v>
      </c>
      <c r="F416" t="s">
        <v>4736</v>
      </c>
      <c r="G416" t="s">
        <v>4737</v>
      </c>
      <c r="H416" t="s">
        <v>4738</v>
      </c>
      <c r="I416" t="s">
        <v>4739</v>
      </c>
      <c r="J416" t="s">
        <v>4740</v>
      </c>
      <c r="K416" t="s">
        <v>4741</v>
      </c>
      <c r="L416" s="27" t="s">
        <v>4736</v>
      </c>
    </row>
    <row r="417" spans="2:13" x14ac:dyDescent="0.2">
      <c r="B417" s="26" t="s">
        <v>2821</v>
      </c>
      <c r="C417" t="s">
        <v>2817</v>
      </c>
      <c r="D417" t="s">
        <v>2818</v>
      </c>
      <c r="E417" t="s">
        <v>2819</v>
      </c>
      <c r="F417" t="s">
        <v>2820</v>
      </c>
      <c r="G417" t="s">
        <v>4742</v>
      </c>
      <c r="H417" t="s">
        <v>4743</v>
      </c>
      <c r="I417" t="s">
        <v>4744</v>
      </c>
      <c r="J417" t="s">
        <v>4745</v>
      </c>
      <c r="K417" t="s">
        <v>2825</v>
      </c>
      <c r="L417" s="27" t="s">
        <v>3196</v>
      </c>
    </row>
    <row r="418" spans="2:13" x14ac:dyDescent="0.2">
      <c r="B418" s="26" t="s">
        <v>4746</v>
      </c>
      <c r="C418" t="s">
        <v>2826</v>
      </c>
      <c r="D418" t="s">
        <v>2827</v>
      </c>
      <c r="E418" t="s">
        <v>2828</v>
      </c>
      <c r="F418" t="s">
        <v>2829</v>
      </c>
      <c r="G418" t="s">
        <v>2830</v>
      </c>
      <c r="H418" t="s">
        <v>4747</v>
      </c>
      <c r="I418" t="s">
        <v>4748</v>
      </c>
      <c r="J418" t="s">
        <v>4749</v>
      </c>
      <c r="K418" t="s">
        <v>2834</v>
      </c>
      <c r="L418" s="27" t="s">
        <v>3197</v>
      </c>
    </row>
    <row r="419" spans="2:13" x14ac:dyDescent="0.2">
      <c r="B419" s="26" t="s">
        <v>288</v>
      </c>
      <c r="C419" s="328" t="s">
        <v>1223</v>
      </c>
      <c r="D419" s="328" t="s">
        <v>1224</v>
      </c>
      <c r="E419" s="328" t="s">
        <v>4761</v>
      </c>
      <c r="F419" s="328" t="s">
        <v>1226</v>
      </c>
      <c r="G419" s="328" t="s">
        <v>1227</v>
      </c>
      <c r="H419" s="328" t="s">
        <v>1228</v>
      </c>
      <c r="I419" s="328" t="s">
        <v>1229</v>
      </c>
      <c r="J419" s="328" t="s">
        <v>4772</v>
      </c>
      <c r="K419" s="328" t="s">
        <v>4774</v>
      </c>
      <c r="L419" s="327" t="s">
        <v>3029</v>
      </c>
      <c r="M419" s="328"/>
    </row>
    <row r="420" spans="2:13" x14ac:dyDescent="0.2">
      <c r="B420" s="26" t="s">
        <v>287</v>
      </c>
      <c r="C420" s="328" t="s">
        <v>4757</v>
      </c>
      <c r="D420" s="328" t="s">
        <v>4759</v>
      </c>
      <c r="E420" s="328" t="s">
        <v>4762</v>
      </c>
      <c r="F420" s="328" t="s">
        <v>4765</v>
      </c>
      <c r="G420" s="328" t="s">
        <v>4767</v>
      </c>
      <c r="H420" s="328" t="s">
        <v>4769</v>
      </c>
      <c r="I420" s="328" t="s">
        <v>4765</v>
      </c>
      <c r="J420" s="328" t="s">
        <v>1222</v>
      </c>
      <c r="K420" s="328" t="s">
        <v>287</v>
      </c>
      <c r="L420" s="327" t="s">
        <v>287</v>
      </c>
      <c r="M420" s="328"/>
    </row>
    <row r="421" spans="2:13" x14ac:dyDescent="0.2">
      <c r="B421" s="26" t="s">
        <v>4</v>
      </c>
      <c r="C421" s="328" t="s">
        <v>1304</v>
      </c>
      <c r="D421" s="328" t="s">
        <v>1305</v>
      </c>
      <c r="E421" s="328" t="s">
        <v>4763</v>
      </c>
      <c r="F421" s="328" t="s">
        <v>1307</v>
      </c>
      <c r="G421" s="328" t="s">
        <v>1308</v>
      </c>
      <c r="H421" s="328" t="s">
        <v>1309</v>
      </c>
      <c r="I421" s="328" t="s">
        <v>1310</v>
      </c>
      <c r="J421" s="328" t="s">
        <v>4773</v>
      </c>
      <c r="K421" s="328" t="s">
        <v>4775</v>
      </c>
      <c r="L421" s="327" t="s">
        <v>3037</v>
      </c>
      <c r="M421" s="328"/>
    </row>
    <row r="422" spans="2:13" x14ac:dyDescent="0.2">
      <c r="B422" s="26" t="s">
        <v>289</v>
      </c>
      <c r="C422" s="328" t="s">
        <v>4758</v>
      </c>
      <c r="D422" s="328" t="s">
        <v>4760</v>
      </c>
      <c r="E422" s="328" t="s">
        <v>4764</v>
      </c>
      <c r="F422" s="328" t="s">
        <v>4766</v>
      </c>
      <c r="G422" s="328" t="s">
        <v>4768</v>
      </c>
      <c r="H422" s="328" t="s">
        <v>4770</v>
      </c>
      <c r="I422" s="328" t="s">
        <v>4771</v>
      </c>
      <c r="J422" s="328" t="s">
        <v>1206</v>
      </c>
      <c r="K422" s="328" t="s">
        <v>289</v>
      </c>
      <c r="L422" s="327" t="s">
        <v>1206</v>
      </c>
      <c r="M422" s="328"/>
    </row>
    <row r="423" spans="2:13" x14ac:dyDescent="0.2">
      <c r="B423" s="26" t="s">
        <v>4756</v>
      </c>
      <c r="C423" s="328" t="s">
        <v>4776</v>
      </c>
      <c r="D423" s="328" t="s">
        <v>4777</v>
      </c>
      <c r="E423" s="328" t="s">
        <v>4784</v>
      </c>
      <c r="F423" s="328" t="s">
        <v>4778</v>
      </c>
      <c r="G423" s="328" t="s">
        <v>4779</v>
      </c>
      <c r="H423" s="328" t="s">
        <v>4780</v>
      </c>
      <c r="I423" s="328" t="s">
        <v>4781</v>
      </c>
      <c r="J423" s="328" t="s">
        <v>4782</v>
      </c>
      <c r="K423" s="328" t="s">
        <v>4785</v>
      </c>
      <c r="L423" s="327" t="s">
        <v>4783</v>
      </c>
      <c r="M423" s="328"/>
    </row>
    <row r="424" spans="2:13" x14ac:dyDescent="0.2">
      <c r="B424" s="26" t="s">
        <v>4796</v>
      </c>
      <c r="C424" t="s">
        <v>4797</v>
      </c>
      <c r="D424" t="s">
        <v>4798</v>
      </c>
      <c r="E424" t="s">
        <v>4799</v>
      </c>
      <c r="F424" t="s">
        <v>4800</v>
      </c>
      <c r="G424" t="s">
        <v>4801</v>
      </c>
      <c r="H424" t="s">
        <v>4802</v>
      </c>
      <c r="I424" t="s">
        <v>4803</v>
      </c>
      <c r="J424" t="s">
        <v>4804</v>
      </c>
      <c r="K424" t="s">
        <v>4805</v>
      </c>
      <c r="L424" s="27" t="s">
        <v>4806</v>
      </c>
    </row>
    <row r="425" spans="2:13" x14ac:dyDescent="0.2">
      <c r="B425" s="26" t="s">
        <v>4807</v>
      </c>
      <c r="C425" t="s">
        <v>4808</v>
      </c>
      <c r="D425" t="s">
        <v>4809</v>
      </c>
      <c r="E425" t="s">
        <v>4810</v>
      </c>
      <c r="F425" t="s">
        <v>4811</v>
      </c>
      <c r="G425" t="s">
        <v>4812</v>
      </c>
      <c r="H425" t="s">
        <v>4813</v>
      </c>
      <c r="I425" t="s">
        <v>4814</v>
      </c>
      <c r="J425" t="s">
        <v>4815</v>
      </c>
      <c r="K425" t="s">
        <v>4816</v>
      </c>
      <c r="L425" s="27" t="s">
        <v>4817</v>
      </c>
    </row>
    <row r="426" spans="2:13" x14ac:dyDescent="0.2">
      <c r="B426" s="26" t="s">
        <v>4818</v>
      </c>
      <c r="C426" t="s">
        <v>4819</v>
      </c>
      <c r="D426" t="s">
        <v>4820</v>
      </c>
      <c r="E426" t="s">
        <v>4821</v>
      </c>
      <c r="F426" t="s">
        <v>4822</v>
      </c>
      <c r="G426" t="s">
        <v>4823</v>
      </c>
      <c r="H426" t="s">
        <v>4824</v>
      </c>
      <c r="I426" t="s">
        <v>4825</v>
      </c>
      <c r="J426" t="s">
        <v>4826</v>
      </c>
      <c r="K426" t="s">
        <v>4827</v>
      </c>
      <c r="L426" s="27" t="s">
        <v>4828</v>
      </c>
    </row>
    <row r="427" spans="2:13" x14ac:dyDescent="0.2">
      <c r="B427" s="26" t="s">
        <v>4935</v>
      </c>
      <c r="C427" t="s">
        <v>4947</v>
      </c>
      <c r="D427" t="s">
        <v>4948</v>
      </c>
      <c r="E427" t="s">
        <v>4949</v>
      </c>
      <c r="F427" t="s">
        <v>4950</v>
      </c>
      <c r="G427" t="s">
        <v>4951</v>
      </c>
      <c r="H427" t="s">
        <v>4952</v>
      </c>
      <c r="I427" t="s">
        <v>4953</v>
      </c>
      <c r="J427" t="s">
        <v>4954</v>
      </c>
      <c r="K427" t="s">
        <v>4955</v>
      </c>
      <c r="L427" s="27" t="s">
        <v>4956</v>
      </c>
    </row>
    <row r="428" spans="2:13" x14ac:dyDescent="0.2">
      <c r="B428" s="26" t="s">
        <v>4936</v>
      </c>
      <c r="C428" t="s">
        <v>4957</v>
      </c>
      <c r="D428" t="s">
        <v>4958</v>
      </c>
      <c r="E428" t="s">
        <v>4959</v>
      </c>
      <c r="F428" t="s">
        <v>4960</v>
      </c>
      <c r="G428" t="s">
        <v>4961</v>
      </c>
      <c r="H428" t="s">
        <v>4962</v>
      </c>
      <c r="I428" t="s">
        <v>4963</v>
      </c>
      <c r="J428" t="s">
        <v>4964</v>
      </c>
      <c r="K428" t="s">
        <v>4965</v>
      </c>
      <c r="L428" s="27" t="s">
        <v>4966</v>
      </c>
    </row>
    <row r="429" spans="2:13" x14ac:dyDescent="0.2">
      <c r="B429" s="26" t="s">
        <v>4937</v>
      </c>
      <c r="C429" t="s">
        <v>4967</v>
      </c>
      <c r="D429" t="s">
        <v>4968</v>
      </c>
      <c r="E429" t="s">
        <v>4969</v>
      </c>
      <c r="F429" t="s">
        <v>4970</v>
      </c>
      <c r="G429" t="s">
        <v>4971</v>
      </c>
      <c r="H429" t="s">
        <v>4972</v>
      </c>
      <c r="I429" t="s">
        <v>4973</v>
      </c>
      <c r="J429" t="s">
        <v>4974</v>
      </c>
      <c r="K429" t="s">
        <v>4975</v>
      </c>
      <c r="L429" s="27" t="s">
        <v>4976</v>
      </c>
    </row>
    <row r="430" spans="2:13" x14ac:dyDescent="0.2">
      <c r="B430" s="26" t="s">
        <v>4830</v>
      </c>
      <c r="C430" t="s">
        <v>4977</v>
      </c>
      <c r="D430" t="s">
        <v>4978</v>
      </c>
      <c r="E430" t="s">
        <v>4979</v>
      </c>
      <c r="F430" t="s">
        <v>4980</v>
      </c>
      <c r="G430" t="s">
        <v>4981</v>
      </c>
      <c r="H430" t="s">
        <v>4982</v>
      </c>
      <c r="I430" t="s">
        <v>4983</v>
      </c>
      <c r="J430" t="s">
        <v>4984</v>
      </c>
      <c r="K430" t="s">
        <v>4985</v>
      </c>
      <c r="L430" s="27" t="s">
        <v>4986</v>
      </c>
    </row>
    <row r="431" spans="2:13" x14ac:dyDescent="0.2">
      <c r="B431" s="26" t="s">
        <v>4836</v>
      </c>
      <c r="C431" t="s">
        <v>4987</v>
      </c>
      <c r="D431" t="s">
        <v>4988</v>
      </c>
      <c r="E431" t="s">
        <v>4989</v>
      </c>
      <c r="F431" t="s">
        <v>4990</v>
      </c>
      <c r="G431" t="s">
        <v>4991</v>
      </c>
      <c r="H431" t="s">
        <v>4992</v>
      </c>
      <c r="I431" t="s">
        <v>4993</v>
      </c>
      <c r="J431" t="s">
        <v>4994</v>
      </c>
      <c r="K431" t="s">
        <v>4995</v>
      </c>
      <c r="L431" s="27" t="s">
        <v>4996</v>
      </c>
    </row>
    <row r="432" spans="2:13" x14ac:dyDescent="0.2">
      <c r="B432" s="26" t="s">
        <v>4831</v>
      </c>
      <c r="C432" t="s">
        <v>4997</v>
      </c>
      <c r="D432" t="s">
        <v>4998</v>
      </c>
      <c r="E432" t="s">
        <v>4999</v>
      </c>
      <c r="F432" t="s">
        <v>5000</v>
      </c>
      <c r="G432" t="s">
        <v>5001</v>
      </c>
      <c r="H432" t="s">
        <v>5002</v>
      </c>
      <c r="I432" t="s">
        <v>5003</v>
      </c>
      <c r="J432" t="s">
        <v>5004</v>
      </c>
      <c r="K432" t="s">
        <v>5005</v>
      </c>
      <c r="L432" s="27" t="s">
        <v>5006</v>
      </c>
    </row>
    <row r="433" spans="2:12" x14ac:dyDescent="0.2">
      <c r="B433" s="26" t="s">
        <v>4837</v>
      </c>
      <c r="C433" t="s">
        <v>5007</v>
      </c>
      <c r="D433" t="s">
        <v>5008</v>
      </c>
      <c r="E433" t="s">
        <v>5009</v>
      </c>
      <c r="F433" t="s">
        <v>5010</v>
      </c>
      <c r="G433" t="s">
        <v>5011</v>
      </c>
      <c r="H433" t="s">
        <v>5012</v>
      </c>
      <c r="I433" t="s">
        <v>5013</v>
      </c>
      <c r="J433" t="s">
        <v>5014</v>
      </c>
      <c r="K433" t="s">
        <v>5015</v>
      </c>
      <c r="L433" s="27" t="s">
        <v>5016</v>
      </c>
    </row>
    <row r="434" spans="2:12" x14ac:dyDescent="0.2">
      <c r="B434" s="26" t="s">
        <v>4838</v>
      </c>
      <c r="C434" t="s">
        <v>5017</v>
      </c>
      <c r="D434" t="s">
        <v>5018</v>
      </c>
      <c r="E434" t="s">
        <v>4838</v>
      </c>
      <c r="F434" t="s">
        <v>4838</v>
      </c>
      <c r="G434" t="s">
        <v>5019</v>
      </c>
      <c r="H434" t="s">
        <v>4838</v>
      </c>
      <c r="I434" t="s">
        <v>5020</v>
      </c>
      <c r="J434" t="s">
        <v>4838</v>
      </c>
      <c r="K434" t="s">
        <v>5021</v>
      </c>
      <c r="L434" s="27" t="s">
        <v>4838</v>
      </c>
    </row>
    <row r="435" spans="2:12" x14ac:dyDescent="0.2">
      <c r="B435" s="26" t="s">
        <v>4839</v>
      </c>
      <c r="C435" t="s">
        <v>5022</v>
      </c>
      <c r="D435" t="s">
        <v>5023</v>
      </c>
      <c r="E435" t="s">
        <v>5024</v>
      </c>
      <c r="F435" t="s">
        <v>5025</v>
      </c>
      <c r="G435" t="s">
        <v>5026</v>
      </c>
      <c r="H435" t="s">
        <v>5027</v>
      </c>
      <c r="I435" t="s">
        <v>5028</v>
      </c>
      <c r="J435" t="s">
        <v>5029</v>
      </c>
      <c r="K435" t="s">
        <v>5030</v>
      </c>
      <c r="L435" s="27" t="s">
        <v>4839</v>
      </c>
    </row>
    <row r="436" spans="2:12" x14ac:dyDescent="0.2">
      <c r="B436" s="26" t="s">
        <v>4832</v>
      </c>
      <c r="C436" t="s">
        <v>5031</v>
      </c>
      <c r="D436" t="s">
        <v>5032</v>
      </c>
      <c r="E436" t="s">
        <v>5033</v>
      </c>
      <c r="F436" t="s">
        <v>5034</v>
      </c>
      <c r="G436" t="s">
        <v>5035</v>
      </c>
      <c r="H436" t="s">
        <v>5036</v>
      </c>
      <c r="I436" t="s">
        <v>5037</v>
      </c>
      <c r="J436" t="s">
        <v>5038</v>
      </c>
      <c r="K436" t="s">
        <v>5039</v>
      </c>
      <c r="L436" s="27" t="s">
        <v>5040</v>
      </c>
    </row>
    <row r="437" spans="2:12" x14ac:dyDescent="0.2">
      <c r="B437" s="26" t="s">
        <v>4840</v>
      </c>
      <c r="C437" t="s">
        <v>5041</v>
      </c>
      <c r="D437" t="s">
        <v>5042</v>
      </c>
      <c r="E437" t="s">
        <v>5043</v>
      </c>
      <c r="F437" t="s">
        <v>5044</v>
      </c>
      <c r="G437" t="s">
        <v>5045</v>
      </c>
      <c r="H437" t="s">
        <v>5046</v>
      </c>
      <c r="I437" t="s">
        <v>5047</v>
      </c>
      <c r="J437" t="s">
        <v>5048</v>
      </c>
      <c r="K437" t="s">
        <v>5049</v>
      </c>
      <c r="L437" s="27" t="s">
        <v>5044</v>
      </c>
    </row>
    <row r="438" spans="2:12" x14ac:dyDescent="0.2">
      <c r="B438" s="26" t="s">
        <v>4841</v>
      </c>
      <c r="C438" t="s">
        <v>5050</v>
      </c>
      <c r="D438" t="s">
        <v>5051</v>
      </c>
      <c r="E438" t="s">
        <v>5052</v>
      </c>
      <c r="F438" t="s">
        <v>5053</v>
      </c>
      <c r="G438" t="s">
        <v>5054</v>
      </c>
      <c r="H438" t="s">
        <v>5055</v>
      </c>
      <c r="I438" t="s">
        <v>5056</v>
      </c>
      <c r="J438" t="s">
        <v>5057</v>
      </c>
      <c r="K438" t="s">
        <v>5058</v>
      </c>
      <c r="L438" s="27" t="s">
        <v>5059</v>
      </c>
    </row>
    <row r="439" spans="2:12" x14ac:dyDescent="0.2">
      <c r="B439" s="26" t="s">
        <v>4842</v>
      </c>
      <c r="C439" t="s">
        <v>5060</v>
      </c>
      <c r="D439" t="s">
        <v>5061</v>
      </c>
      <c r="E439" t="s">
        <v>5062</v>
      </c>
      <c r="F439" t="s">
        <v>5063</v>
      </c>
      <c r="G439" t="s">
        <v>5064</v>
      </c>
      <c r="H439" t="s">
        <v>5065</v>
      </c>
      <c r="I439" t="s">
        <v>5066</v>
      </c>
      <c r="J439" t="s">
        <v>5067</v>
      </c>
      <c r="K439" t="s">
        <v>5068</v>
      </c>
      <c r="L439" s="27" t="s">
        <v>5069</v>
      </c>
    </row>
    <row r="440" spans="2:12" x14ac:dyDescent="0.2">
      <c r="B440" s="26" t="s">
        <v>4843</v>
      </c>
      <c r="C440" t="s">
        <v>934</v>
      </c>
      <c r="D440" t="s">
        <v>935</v>
      </c>
      <c r="E440" t="s">
        <v>5070</v>
      </c>
      <c r="F440" t="s">
        <v>5071</v>
      </c>
      <c r="G440" t="s">
        <v>5072</v>
      </c>
      <c r="H440" t="s">
        <v>5073</v>
      </c>
      <c r="I440" t="s">
        <v>5074</v>
      </c>
      <c r="J440" t="s">
        <v>5075</v>
      </c>
      <c r="K440" t="s">
        <v>942</v>
      </c>
      <c r="L440" s="27" t="s">
        <v>5076</v>
      </c>
    </row>
    <row r="441" spans="2:12" x14ac:dyDescent="0.2">
      <c r="B441" s="26" t="s">
        <v>4844</v>
      </c>
      <c r="C441" t="s">
        <v>5077</v>
      </c>
      <c r="D441" t="s">
        <v>5078</v>
      </c>
      <c r="E441" t="s">
        <v>5079</v>
      </c>
      <c r="F441" t="s">
        <v>5080</v>
      </c>
      <c r="G441" t="s">
        <v>5081</v>
      </c>
      <c r="H441" t="s">
        <v>5082</v>
      </c>
      <c r="I441" t="s">
        <v>5083</v>
      </c>
      <c r="J441" t="s">
        <v>5084</v>
      </c>
      <c r="K441" t="s">
        <v>5085</v>
      </c>
      <c r="L441" s="27" t="s">
        <v>5086</v>
      </c>
    </row>
    <row r="442" spans="2:12" x14ac:dyDescent="0.2">
      <c r="B442" s="26" t="s">
        <v>4845</v>
      </c>
      <c r="C442" t="s">
        <v>1941</v>
      </c>
      <c r="D442" t="s">
        <v>5087</v>
      </c>
      <c r="E442" t="s">
        <v>1943</v>
      </c>
      <c r="F442" t="s">
        <v>1944</v>
      </c>
      <c r="G442" t="s">
        <v>5088</v>
      </c>
      <c r="H442" t="s">
        <v>5089</v>
      </c>
      <c r="I442" t="s">
        <v>1947</v>
      </c>
      <c r="J442" t="s">
        <v>1948</v>
      </c>
      <c r="K442" t="s">
        <v>1949</v>
      </c>
      <c r="L442" s="27" t="s">
        <v>5090</v>
      </c>
    </row>
    <row r="443" spans="2:12" x14ac:dyDescent="0.2">
      <c r="B443" s="26" t="s">
        <v>4846</v>
      </c>
      <c r="C443" t="s">
        <v>1950</v>
      </c>
      <c r="D443" t="s">
        <v>5091</v>
      </c>
      <c r="E443" t="s">
        <v>1952</v>
      </c>
      <c r="F443" t="s">
        <v>5092</v>
      </c>
      <c r="G443" t="s">
        <v>5093</v>
      </c>
      <c r="H443" t="s">
        <v>5094</v>
      </c>
      <c r="I443" t="s">
        <v>5095</v>
      </c>
      <c r="J443" t="s">
        <v>5096</v>
      </c>
      <c r="K443" t="s">
        <v>5097</v>
      </c>
      <c r="L443" s="27" t="s">
        <v>5098</v>
      </c>
    </row>
    <row r="444" spans="2:12" x14ac:dyDescent="0.2">
      <c r="B444" s="26" t="s">
        <v>4847</v>
      </c>
      <c r="C444" t="s">
        <v>5099</v>
      </c>
      <c r="D444" t="s">
        <v>5100</v>
      </c>
      <c r="E444" t="s">
        <v>1409</v>
      </c>
      <c r="F444" t="s">
        <v>4847</v>
      </c>
      <c r="G444" t="s">
        <v>4847</v>
      </c>
      <c r="H444" t="s">
        <v>4847</v>
      </c>
      <c r="I444" t="s">
        <v>4847</v>
      </c>
      <c r="J444" t="s">
        <v>1414</v>
      </c>
      <c r="K444" t="s">
        <v>5101</v>
      </c>
      <c r="L444" s="27" t="s">
        <v>4847</v>
      </c>
    </row>
    <row r="445" spans="2:12" x14ac:dyDescent="0.2">
      <c r="B445" s="26" t="s">
        <v>399</v>
      </c>
      <c r="C445" t="s">
        <v>1416</v>
      </c>
      <c r="D445" t="s">
        <v>1417</v>
      </c>
      <c r="E445" t="s">
        <v>1418</v>
      </c>
      <c r="F445" t="s">
        <v>1419</v>
      </c>
      <c r="G445" t="s">
        <v>1420</v>
      </c>
      <c r="H445" t="s">
        <v>1420</v>
      </c>
      <c r="I445" t="s">
        <v>1421</v>
      </c>
      <c r="J445" t="s">
        <v>1422</v>
      </c>
      <c r="K445" t="s">
        <v>1423</v>
      </c>
      <c r="L445" s="27" t="s">
        <v>3048</v>
      </c>
    </row>
    <row r="446" spans="2:12" x14ac:dyDescent="0.2">
      <c r="B446" s="26" t="s">
        <v>4938</v>
      </c>
      <c r="C446" t="s">
        <v>5102</v>
      </c>
      <c r="D446" t="s">
        <v>5103</v>
      </c>
      <c r="E446" t="s">
        <v>5104</v>
      </c>
      <c r="F446" t="s">
        <v>5105</v>
      </c>
      <c r="G446" t="s">
        <v>5106</v>
      </c>
      <c r="H446" t="s">
        <v>5107</v>
      </c>
      <c r="I446" t="s">
        <v>5108</v>
      </c>
      <c r="J446" t="s">
        <v>5109</v>
      </c>
      <c r="K446" t="s">
        <v>5110</v>
      </c>
      <c r="L446" s="27" t="s">
        <v>5111</v>
      </c>
    </row>
    <row r="447" spans="2:12" x14ac:dyDescent="0.2">
      <c r="B447" s="26" t="s">
        <v>4939</v>
      </c>
      <c r="C447" t="s">
        <v>2030</v>
      </c>
      <c r="D447" t="s">
        <v>2031</v>
      </c>
      <c r="E447" t="s">
        <v>5112</v>
      </c>
      <c r="F447" t="s">
        <v>2033</v>
      </c>
      <c r="G447" t="s">
        <v>5113</v>
      </c>
      <c r="H447" t="s">
        <v>2035</v>
      </c>
      <c r="I447" t="s">
        <v>2036</v>
      </c>
      <c r="J447" t="s">
        <v>2037</v>
      </c>
      <c r="K447" t="s">
        <v>2038</v>
      </c>
      <c r="L447" s="27" t="s">
        <v>5114</v>
      </c>
    </row>
    <row r="448" spans="2:12" x14ac:dyDescent="0.2">
      <c r="B448" s="26" t="s">
        <v>4940</v>
      </c>
      <c r="C448" t="s">
        <v>5115</v>
      </c>
      <c r="D448" t="s">
        <v>5116</v>
      </c>
      <c r="E448" t="s">
        <v>5117</v>
      </c>
      <c r="F448" t="s">
        <v>5118</v>
      </c>
      <c r="G448" t="s">
        <v>5119</v>
      </c>
      <c r="H448" t="s">
        <v>5120</v>
      </c>
      <c r="I448" t="s">
        <v>5121</v>
      </c>
      <c r="J448" t="s">
        <v>5122</v>
      </c>
      <c r="K448" t="s">
        <v>5123</v>
      </c>
      <c r="L448" s="27" t="s">
        <v>5124</v>
      </c>
    </row>
    <row r="449" spans="2:12" x14ac:dyDescent="0.2">
      <c r="B449" s="26" t="s">
        <v>472</v>
      </c>
      <c r="C449" t="s">
        <v>2084</v>
      </c>
      <c r="D449" t="s">
        <v>2085</v>
      </c>
      <c r="E449" t="s">
        <v>2086</v>
      </c>
      <c r="F449" t="s">
        <v>2087</v>
      </c>
      <c r="G449" t="s">
        <v>2088</v>
      </c>
      <c r="H449" t="s">
        <v>2089</v>
      </c>
      <c r="I449" t="s">
        <v>2090</v>
      </c>
      <c r="J449" t="s">
        <v>2091</v>
      </c>
      <c r="K449" t="s">
        <v>2092</v>
      </c>
      <c r="L449" s="27" t="s">
        <v>5125</v>
      </c>
    </row>
    <row r="450" spans="2:12" x14ac:dyDescent="0.2">
      <c r="B450" s="26" t="s">
        <v>4941</v>
      </c>
      <c r="C450" t="s">
        <v>5126</v>
      </c>
      <c r="D450" t="s">
        <v>5127</v>
      </c>
      <c r="E450" t="s">
        <v>2077</v>
      </c>
      <c r="F450" t="s">
        <v>5128</v>
      </c>
      <c r="G450" t="s">
        <v>5129</v>
      </c>
      <c r="H450" t="s">
        <v>5130</v>
      </c>
      <c r="I450" t="s">
        <v>5131</v>
      </c>
      <c r="J450" t="s">
        <v>5132</v>
      </c>
      <c r="K450" t="s">
        <v>5133</v>
      </c>
      <c r="L450" s="27" t="s">
        <v>5134</v>
      </c>
    </row>
    <row r="451" spans="2:12" x14ac:dyDescent="0.2">
      <c r="B451" s="26" t="s">
        <v>4942</v>
      </c>
      <c r="C451" t="s">
        <v>5135</v>
      </c>
      <c r="D451" t="s">
        <v>5136</v>
      </c>
      <c r="E451" t="s">
        <v>5137</v>
      </c>
      <c r="F451" t="s">
        <v>5138</v>
      </c>
      <c r="G451" t="s">
        <v>5139</v>
      </c>
      <c r="H451" t="s">
        <v>5140</v>
      </c>
      <c r="I451" t="s">
        <v>5141</v>
      </c>
      <c r="J451" t="s">
        <v>5142</v>
      </c>
      <c r="K451" t="s">
        <v>5143</v>
      </c>
      <c r="L451" s="27" t="s">
        <v>5144</v>
      </c>
    </row>
    <row r="452" spans="2:12" x14ac:dyDescent="0.2">
      <c r="B452" s="26" t="s">
        <v>4851</v>
      </c>
      <c r="C452" t="s">
        <v>5145</v>
      </c>
      <c r="D452" t="s">
        <v>5146</v>
      </c>
      <c r="E452" t="s">
        <v>2842</v>
      </c>
      <c r="F452" t="s">
        <v>5147</v>
      </c>
      <c r="G452" t="s">
        <v>5148</v>
      </c>
      <c r="H452" t="s">
        <v>5149</v>
      </c>
      <c r="I452" t="s">
        <v>5150</v>
      </c>
      <c r="J452" t="s">
        <v>5151</v>
      </c>
      <c r="K452" t="s">
        <v>5152</v>
      </c>
      <c r="L452" s="27" t="s">
        <v>5153</v>
      </c>
    </row>
    <row r="453" spans="2:12" x14ac:dyDescent="0.2">
      <c r="B453" s="26" t="s">
        <v>4849</v>
      </c>
      <c r="C453" t="s">
        <v>5154</v>
      </c>
      <c r="D453" t="s">
        <v>5155</v>
      </c>
      <c r="E453" t="s">
        <v>5156</v>
      </c>
      <c r="F453" t="s">
        <v>5157</v>
      </c>
      <c r="G453" t="s">
        <v>5158</v>
      </c>
      <c r="H453" t="s">
        <v>5159</v>
      </c>
      <c r="I453" t="s">
        <v>5160</v>
      </c>
      <c r="J453" t="s">
        <v>5161</v>
      </c>
      <c r="K453" t="s">
        <v>5162</v>
      </c>
      <c r="L453" s="27" t="s">
        <v>5163</v>
      </c>
    </row>
    <row r="454" spans="2:12" x14ac:dyDescent="0.2">
      <c r="B454" s="26" t="s">
        <v>4852</v>
      </c>
      <c r="C454" t="s">
        <v>5164</v>
      </c>
      <c r="D454" t="s">
        <v>5165</v>
      </c>
      <c r="E454" t="s">
        <v>5166</v>
      </c>
      <c r="F454" t="s">
        <v>5167</v>
      </c>
      <c r="G454" t="s">
        <v>5168</v>
      </c>
      <c r="H454" t="s">
        <v>5169</v>
      </c>
      <c r="I454" t="s">
        <v>5170</v>
      </c>
      <c r="J454" t="s">
        <v>5171</v>
      </c>
      <c r="K454" t="s">
        <v>5172</v>
      </c>
      <c r="L454" s="27" t="s">
        <v>5173</v>
      </c>
    </row>
    <row r="455" spans="2:12" x14ac:dyDescent="0.2">
      <c r="B455" s="26" t="s">
        <v>4853</v>
      </c>
      <c r="C455" t="s">
        <v>5174</v>
      </c>
      <c r="D455" t="s">
        <v>5175</v>
      </c>
      <c r="E455" t="s">
        <v>5176</v>
      </c>
      <c r="F455" t="s">
        <v>5177</v>
      </c>
      <c r="G455" t="s">
        <v>5178</v>
      </c>
      <c r="H455" t="s">
        <v>5179</v>
      </c>
      <c r="I455" t="s">
        <v>5180</v>
      </c>
      <c r="J455" t="s">
        <v>5181</v>
      </c>
      <c r="K455" t="s">
        <v>5182</v>
      </c>
      <c r="L455" s="27" t="s">
        <v>5183</v>
      </c>
    </row>
    <row r="456" spans="2:12" x14ac:dyDescent="0.2">
      <c r="B456" s="26" t="s">
        <v>4856</v>
      </c>
      <c r="C456" t="s">
        <v>5184</v>
      </c>
      <c r="D456" t="s">
        <v>5185</v>
      </c>
      <c r="E456" t="s">
        <v>5186</v>
      </c>
      <c r="F456" t="s">
        <v>5187</v>
      </c>
      <c r="G456" t="s">
        <v>5188</v>
      </c>
      <c r="H456" t="s">
        <v>5189</v>
      </c>
      <c r="I456" t="s">
        <v>5190</v>
      </c>
      <c r="J456" t="s">
        <v>1713</v>
      </c>
      <c r="K456" t="s">
        <v>1312</v>
      </c>
      <c r="L456" s="27" t="s">
        <v>5191</v>
      </c>
    </row>
    <row r="457" spans="2:12" x14ac:dyDescent="0.2">
      <c r="B457" s="26" t="s">
        <v>4943</v>
      </c>
      <c r="C457" t="s">
        <v>5145</v>
      </c>
      <c r="D457" t="s">
        <v>5146</v>
      </c>
      <c r="E457" t="s">
        <v>2842</v>
      </c>
      <c r="F457" t="s">
        <v>5147</v>
      </c>
      <c r="G457" t="s">
        <v>5148</v>
      </c>
      <c r="H457" t="s">
        <v>5149</v>
      </c>
      <c r="I457" t="s">
        <v>5150</v>
      </c>
      <c r="J457" t="s">
        <v>5151</v>
      </c>
      <c r="K457" t="s">
        <v>5152</v>
      </c>
      <c r="L457" s="27" t="s">
        <v>5153</v>
      </c>
    </row>
    <row r="458" spans="2:12" x14ac:dyDescent="0.2">
      <c r="B458" s="26" t="s">
        <v>4854</v>
      </c>
      <c r="C458" t="s">
        <v>5192</v>
      </c>
      <c r="D458" t="s">
        <v>5193</v>
      </c>
      <c r="E458" t="s">
        <v>5194</v>
      </c>
      <c r="F458" t="s">
        <v>5195</v>
      </c>
      <c r="G458" t="s">
        <v>5196</v>
      </c>
      <c r="H458" t="s">
        <v>5197</v>
      </c>
      <c r="I458" t="s">
        <v>5198</v>
      </c>
      <c r="J458" t="s">
        <v>5199</v>
      </c>
      <c r="K458" t="s">
        <v>5200</v>
      </c>
      <c r="L458" s="27" t="s">
        <v>5201</v>
      </c>
    </row>
    <row r="459" spans="2:12" x14ac:dyDescent="0.2">
      <c r="B459" s="26" t="s">
        <v>4855</v>
      </c>
      <c r="C459" t="s">
        <v>1803</v>
      </c>
      <c r="D459" t="s">
        <v>1804</v>
      </c>
      <c r="E459" t="s">
        <v>5202</v>
      </c>
      <c r="F459" t="s">
        <v>5203</v>
      </c>
      <c r="G459" t="s">
        <v>5204</v>
      </c>
      <c r="H459" t="s">
        <v>5205</v>
      </c>
      <c r="I459" t="s">
        <v>5206</v>
      </c>
      <c r="J459" t="s">
        <v>5207</v>
      </c>
      <c r="K459" t="s">
        <v>5208</v>
      </c>
      <c r="L459" s="27" t="s">
        <v>5209</v>
      </c>
    </row>
    <row r="460" spans="2:12" x14ac:dyDescent="0.2">
      <c r="B460" s="26" t="s">
        <v>4944</v>
      </c>
      <c r="C460" t="s">
        <v>5210</v>
      </c>
      <c r="D460" t="s">
        <v>5211</v>
      </c>
      <c r="E460" t="s">
        <v>1752</v>
      </c>
      <c r="F460" t="s">
        <v>5212</v>
      </c>
      <c r="G460" t="s">
        <v>5213</v>
      </c>
      <c r="H460" t="s">
        <v>5214</v>
      </c>
      <c r="I460" t="s">
        <v>5215</v>
      </c>
      <c r="J460" t="s">
        <v>5216</v>
      </c>
      <c r="K460" t="s">
        <v>5217</v>
      </c>
      <c r="L460" s="27" t="s">
        <v>5218</v>
      </c>
    </row>
    <row r="461" spans="2:12" x14ac:dyDescent="0.2">
      <c r="B461" s="26" t="s">
        <v>4945</v>
      </c>
      <c r="C461" t="s">
        <v>5219</v>
      </c>
      <c r="D461" t="s">
        <v>5220</v>
      </c>
      <c r="E461" t="s">
        <v>5221</v>
      </c>
      <c r="F461" t="s">
        <v>5222</v>
      </c>
      <c r="G461" t="s">
        <v>5223</v>
      </c>
      <c r="H461" t="s">
        <v>5224</v>
      </c>
      <c r="I461" t="s">
        <v>5225</v>
      </c>
      <c r="J461" t="s">
        <v>5226</v>
      </c>
      <c r="K461" t="s">
        <v>5227</v>
      </c>
      <c r="L461" s="27" t="s">
        <v>5228</v>
      </c>
    </row>
    <row r="462" spans="2:12" x14ac:dyDescent="0.2">
      <c r="B462" s="26" t="s">
        <v>4850</v>
      </c>
      <c r="C462" t="s">
        <v>5229</v>
      </c>
      <c r="D462" t="s">
        <v>5230</v>
      </c>
      <c r="E462" t="s">
        <v>5231</v>
      </c>
      <c r="F462" t="s">
        <v>5232</v>
      </c>
      <c r="G462" t="s">
        <v>5233</v>
      </c>
      <c r="H462" t="s">
        <v>5234</v>
      </c>
      <c r="I462" t="s">
        <v>5235</v>
      </c>
      <c r="J462" t="s">
        <v>5236</v>
      </c>
      <c r="K462" t="s">
        <v>5237</v>
      </c>
      <c r="L462" s="27" t="s">
        <v>5238</v>
      </c>
    </row>
    <row r="463" spans="2:12" x14ac:dyDescent="0.2">
      <c r="B463" s="26" t="s">
        <v>4857</v>
      </c>
      <c r="C463" t="s">
        <v>5219</v>
      </c>
      <c r="D463" t="s">
        <v>5220</v>
      </c>
      <c r="E463" t="s">
        <v>5221</v>
      </c>
      <c r="F463" t="s">
        <v>5222</v>
      </c>
      <c r="G463" t="s">
        <v>5239</v>
      </c>
      <c r="H463" t="s">
        <v>5224</v>
      </c>
      <c r="I463" t="s">
        <v>5225</v>
      </c>
      <c r="J463" t="s">
        <v>5226</v>
      </c>
      <c r="K463" t="s">
        <v>5227</v>
      </c>
      <c r="L463" s="27" t="s">
        <v>5228</v>
      </c>
    </row>
    <row r="464" spans="2:12" x14ac:dyDescent="0.2">
      <c r="B464" s="26" t="s">
        <v>261</v>
      </c>
      <c r="C464" t="s">
        <v>2684</v>
      </c>
      <c r="D464" t="s">
        <v>2684</v>
      </c>
      <c r="E464" t="s">
        <v>5240</v>
      </c>
      <c r="F464" t="s">
        <v>5241</v>
      </c>
      <c r="G464" t="s">
        <v>2687</v>
      </c>
      <c r="H464" t="s">
        <v>5242</v>
      </c>
      <c r="I464" t="s">
        <v>2689</v>
      </c>
      <c r="J464" t="s">
        <v>5243</v>
      </c>
      <c r="K464" t="s">
        <v>2691</v>
      </c>
      <c r="L464" s="27" t="s">
        <v>5244</v>
      </c>
    </row>
    <row r="465" spans="2:12" x14ac:dyDescent="0.2">
      <c r="B465" s="26" t="s">
        <v>4946</v>
      </c>
      <c r="C465" t="s">
        <v>5245</v>
      </c>
      <c r="D465" t="s">
        <v>5246</v>
      </c>
      <c r="E465" t="s">
        <v>5247</v>
      </c>
      <c r="F465" t="s">
        <v>5248</v>
      </c>
      <c r="G465" t="s">
        <v>5249</v>
      </c>
      <c r="H465" t="s">
        <v>5250</v>
      </c>
      <c r="I465" t="s">
        <v>5251</v>
      </c>
      <c r="J465" t="s">
        <v>5252</v>
      </c>
      <c r="K465" t="s">
        <v>5253</v>
      </c>
      <c r="L465" s="27" t="s">
        <v>5254</v>
      </c>
    </row>
    <row r="466" spans="2:12" x14ac:dyDescent="0.2">
      <c r="B466" s="26" t="s">
        <v>4858</v>
      </c>
      <c r="C466" t="s">
        <v>5255</v>
      </c>
      <c r="D466" t="s">
        <v>5256</v>
      </c>
      <c r="E466" t="s">
        <v>5257</v>
      </c>
      <c r="F466" t="s">
        <v>5258</v>
      </c>
      <c r="G466" t="s">
        <v>5259</v>
      </c>
      <c r="H466" t="s">
        <v>5260</v>
      </c>
      <c r="I466" t="s">
        <v>5261</v>
      </c>
      <c r="J466" t="s">
        <v>5262</v>
      </c>
      <c r="K466" t="s">
        <v>5263</v>
      </c>
      <c r="L466" s="27" t="s">
        <v>5264</v>
      </c>
    </row>
    <row r="467" spans="2:12" x14ac:dyDescent="0.2">
      <c r="B467" s="26" t="s">
        <v>4861</v>
      </c>
      <c r="C467" t="s">
        <v>5265</v>
      </c>
      <c r="D467" t="s">
        <v>5266</v>
      </c>
      <c r="E467" t="s">
        <v>5267</v>
      </c>
      <c r="F467" t="s">
        <v>5268</v>
      </c>
      <c r="G467" t="s">
        <v>5269</v>
      </c>
      <c r="H467" t="s">
        <v>5270</v>
      </c>
      <c r="I467" t="s">
        <v>5271</v>
      </c>
      <c r="J467" t="s">
        <v>5272</v>
      </c>
      <c r="K467" t="s">
        <v>5273</v>
      </c>
      <c r="L467" s="27" t="s">
        <v>5274</v>
      </c>
    </row>
    <row r="468" spans="2:12" x14ac:dyDescent="0.2">
      <c r="B468" s="26" t="s">
        <v>4862</v>
      </c>
      <c r="C468" t="s">
        <v>5275</v>
      </c>
      <c r="D468" t="s">
        <v>5276</v>
      </c>
      <c r="E468" t="s">
        <v>5277</v>
      </c>
      <c r="F468" t="s">
        <v>5278</v>
      </c>
      <c r="G468" t="s">
        <v>5279</v>
      </c>
      <c r="H468" t="s">
        <v>5280</v>
      </c>
      <c r="I468" t="s">
        <v>5281</v>
      </c>
      <c r="J468" t="s">
        <v>5282</v>
      </c>
      <c r="K468" t="s">
        <v>5283</v>
      </c>
      <c r="L468" s="27" t="s">
        <v>5284</v>
      </c>
    </row>
    <row r="469" spans="2:12" x14ac:dyDescent="0.2">
      <c r="B469" s="26" t="s">
        <v>4932</v>
      </c>
      <c r="C469" t="s">
        <v>5285</v>
      </c>
      <c r="D469" t="s">
        <v>5286</v>
      </c>
      <c r="E469" t="s">
        <v>5287</v>
      </c>
      <c r="F469" t="s">
        <v>5288</v>
      </c>
      <c r="G469" t="s">
        <v>5289</v>
      </c>
      <c r="H469" t="s">
        <v>5290</v>
      </c>
      <c r="I469" t="s">
        <v>5291</v>
      </c>
      <c r="J469" t="s">
        <v>5292</v>
      </c>
      <c r="K469" t="s">
        <v>5293</v>
      </c>
      <c r="L469" s="27" t="s">
        <v>5294</v>
      </c>
    </row>
    <row r="470" spans="2:12" x14ac:dyDescent="0.2">
      <c r="B470" s="26" t="s">
        <v>5529</v>
      </c>
      <c r="C470" t="s">
        <v>5295</v>
      </c>
      <c r="D470" t="s">
        <v>5296</v>
      </c>
      <c r="E470" t="s">
        <v>5297</v>
      </c>
      <c r="F470" t="s">
        <v>5298</v>
      </c>
      <c r="G470" t="s">
        <v>5299</v>
      </c>
      <c r="H470" t="s">
        <v>5300</v>
      </c>
      <c r="I470" t="s">
        <v>5301</v>
      </c>
      <c r="J470" t="s">
        <v>5302</v>
      </c>
      <c r="K470" t="s">
        <v>5303</v>
      </c>
      <c r="L470" s="27" t="s">
        <v>5304</v>
      </c>
    </row>
    <row r="471" spans="2:12" x14ac:dyDescent="0.2">
      <c r="B471" s="26" t="s">
        <v>4859</v>
      </c>
      <c r="C471" t="s">
        <v>5305</v>
      </c>
      <c r="D471" t="s">
        <v>5306</v>
      </c>
      <c r="E471" t="s">
        <v>5307</v>
      </c>
      <c r="F471" t="s">
        <v>5308</v>
      </c>
      <c r="G471" t="s">
        <v>5309</v>
      </c>
      <c r="H471" t="s">
        <v>5310</v>
      </c>
      <c r="I471" t="s">
        <v>5311</v>
      </c>
      <c r="J471" t="s">
        <v>5312</v>
      </c>
      <c r="K471" t="s">
        <v>5313</v>
      </c>
      <c r="L471" s="27" t="s">
        <v>5314</v>
      </c>
    </row>
    <row r="472" spans="2:12" x14ac:dyDescent="0.2">
      <c r="B472" s="26" t="s">
        <v>4929</v>
      </c>
      <c r="C472" t="s">
        <v>5315</v>
      </c>
      <c r="D472" t="s">
        <v>5316</v>
      </c>
      <c r="E472" t="s">
        <v>5317</v>
      </c>
      <c r="F472" t="s">
        <v>5318</v>
      </c>
      <c r="G472" t="s">
        <v>5319</v>
      </c>
      <c r="H472" t="s">
        <v>5320</v>
      </c>
      <c r="I472" t="s">
        <v>5321</v>
      </c>
      <c r="J472" t="s">
        <v>5322</v>
      </c>
      <c r="K472" t="s">
        <v>5323</v>
      </c>
      <c r="L472" s="27" t="s">
        <v>5324</v>
      </c>
    </row>
    <row r="473" spans="2:12" x14ac:dyDescent="0.2">
      <c r="B473" s="26" t="s">
        <v>4930</v>
      </c>
      <c r="C473" t="s">
        <v>5325</v>
      </c>
      <c r="D473" t="s">
        <v>5326</v>
      </c>
      <c r="E473" t="s">
        <v>5327</v>
      </c>
      <c r="F473" t="s">
        <v>5328</v>
      </c>
      <c r="G473" t="s">
        <v>5329</v>
      </c>
      <c r="H473" t="s">
        <v>5330</v>
      </c>
      <c r="I473" t="s">
        <v>5331</v>
      </c>
      <c r="J473" t="s">
        <v>5332</v>
      </c>
      <c r="K473" t="s">
        <v>5333</v>
      </c>
      <c r="L473" s="27" t="s">
        <v>5334</v>
      </c>
    </row>
    <row r="474" spans="2:12" x14ac:dyDescent="0.2">
      <c r="B474" s="26" t="s">
        <v>4931</v>
      </c>
      <c r="C474" t="s">
        <v>5335</v>
      </c>
      <c r="D474" t="s">
        <v>5336</v>
      </c>
      <c r="E474" t="s">
        <v>5337</v>
      </c>
      <c r="F474" t="s">
        <v>5338</v>
      </c>
      <c r="G474" t="s">
        <v>5339</v>
      </c>
      <c r="H474" t="s">
        <v>5340</v>
      </c>
      <c r="I474" t="s">
        <v>5341</v>
      </c>
      <c r="J474" t="s">
        <v>5342</v>
      </c>
      <c r="K474" t="s">
        <v>5343</v>
      </c>
      <c r="L474" s="27" t="s">
        <v>5344</v>
      </c>
    </row>
    <row r="475" spans="2:12" x14ac:dyDescent="0.2">
      <c r="B475" s="26" t="s">
        <v>4928</v>
      </c>
      <c r="C475" t="s">
        <v>5345</v>
      </c>
      <c r="D475" t="s">
        <v>5346</v>
      </c>
      <c r="E475" t="s">
        <v>5347</v>
      </c>
      <c r="F475" t="s">
        <v>5348</v>
      </c>
      <c r="G475" t="s">
        <v>5349</v>
      </c>
      <c r="H475" t="s">
        <v>5350</v>
      </c>
      <c r="I475" t="s">
        <v>5351</v>
      </c>
      <c r="J475" t="s">
        <v>5352</v>
      </c>
      <c r="K475" t="s">
        <v>5353</v>
      </c>
      <c r="L475" s="27" t="s">
        <v>5354</v>
      </c>
    </row>
    <row r="476" spans="2:12" x14ac:dyDescent="0.2">
      <c r="B476" s="26" t="s">
        <v>4921</v>
      </c>
      <c r="C476" t="s">
        <v>5355</v>
      </c>
      <c r="D476" t="s">
        <v>5356</v>
      </c>
      <c r="E476" t="s">
        <v>5357</v>
      </c>
      <c r="F476" t="s">
        <v>5358</v>
      </c>
      <c r="G476" t="s">
        <v>5359</v>
      </c>
      <c r="H476" t="s">
        <v>5360</v>
      </c>
      <c r="I476" t="s">
        <v>5361</v>
      </c>
      <c r="J476" t="s">
        <v>5362</v>
      </c>
      <c r="K476" t="s">
        <v>5363</v>
      </c>
      <c r="L476" s="27" t="s">
        <v>5364</v>
      </c>
    </row>
    <row r="477" spans="2:12" x14ac:dyDescent="0.2">
      <c r="B477" s="26" t="s">
        <v>4918</v>
      </c>
      <c r="C477" t="s">
        <v>5365</v>
      </c>
      <c r="D477" t="s">
        <v>5366</v>
      </c>
      <c r="E477" t="s">
        <v>5367</v>
      </c>
      <c r="F477" t="s">
        <v>5368</v>
      </c>
      <c r="G477" t="s">
        <v>5369</v>
      </c>
      <c r="H477" t="s">
        <v>5370</v>
      </c>
      <c r="I477" t="s">
        <v>5371</v>
      </c>
      <c r="J477" t="s">
        <v>5372</v>
      </c>
      <c r="K477" t="s">
        <v>5373</v>
      </c>
      <c r="L477" s="27" t="s">
        <v>5374</v>
      </c>
    </row>
    <row r="478" spans="2:12" x14ac:dyDescent="0.2">
      <c r="B478" s="26" t="s">
        <v>4920</v>
      </c>
      <c r="C478" t="s">
        <v>5375</v>
      </c>
      <c r="D478" t="s">
        <v>5376</v>
      </c>
      <c r="E478" t="s">
        <v>5377</v>
      </c>
      <c r="F478" t="s">
        <v>5378</v>
      </c>
      <c r="G478" t="s">
        <v>5379</v>
      </c>
      <c r="H478" t="s">
        <v>5380</v>
      </c>
      <c r="I478" t="s">
        <v>5381</v>
      </c>
      <c r="J478" t="s">
        <v>5382</v>
      </c>
      <c r="K478" t="s">
        <v>5383</v>
      </c>
      <c r="L478" s="27" t="s">
        <v>5384</v>
      </c>
    </row>
    <row r="479" spans="2:12" x14ac:dyDescent="0.2">
      <c r="B479" s="26" t="s">
        <v>4919</v>
      </c>
      <c r="C479" t="s">
        <v>5385</v>
      </c>
      <c r="D479" t="s">
        <v>5386</v>
      </c>
      <c r="E479" t="s">
        <v>5387</v>
      </c>
      <c r="F479" t="s">
        <v>5388</v>
      </c>
      <c r="G479" t="s">
        <v>5389</v>
      </c>
      <c r="H479" t="s">
        <v>5390</v>
      </c>
      <c r="I479" t="s">
        <v>5391</v>
      </c>
      <c r="J479" t="s">
        <v>5392</v>
      </c>
      <c r="K479" t="s">
        <v>5393</v>
      </c>
      <c r="L479" s="27" t="s">
        <v>5394</v>
      </c>
    </row>
    <row r="480" spans="2:12" x14ac:dyDescent="0.2">
      <c r="B480" s="26" t="s">
        <v>5530</v>
      </c>
      <c r="C480" t="s">
        <v>5395</v>
      </c>
      <c r="D480" t="s">
        <v>5396</v>
      </c>
      <c r="E480" t="s">
        <v>5397</v>
      </c>
      <c r="F480" t="s">
        <v>5398</v>
      </c>
      <c r="G480" t="s">
        <v>5399</v>
      </c>
      <c r="H480" t="s">
        <v>5400</v>
      </c>
      <c r="I480" t="s">
        <v>5401</v>
      </c>
      <c r="J480" t="s">
        <v>5402</v>
      </c>
      <c r="K480" t="s">
        <v>5403</v>
      </c>
      <c r="L480" s="27" t="s">
        <v>5404</v>
      </c>
    </row>
    <row r="481" spans="2:12" x14ac:dyDescent="0.2">
      <c r="B481" s="26" t="s">
        <v>4922</v>
      </c>
      <c r="C481" t="s">
        <v>5405</v>
      </c>
      <c r="D481" t="s">
        <v>5406</v>
      </c>
      <c r="E481" t="s">
        <v>5407</v>
      </c>
      <c r="F481" t="s">
        <v>5408</v>
      </c>
      <c r="G481" t="s">
        <v>5409</v>
      </c>
      <c r="H481" t="s">
        <v>5410</v>
      </c>
      <c r="I481" t="s">
        <v>5411</v>
      </c>
      <c r="J481" t="s">
        <v>5412</v>
      </c>
      <c r="K481" t="s">
        <v>5413</v>
      </c>
      <c r="L481" s="27" t="s">
        <v>5414</v>
      </c>
    </row>
    <row r="482" spans="2:12" x14ac:dyDescent="0.2">
      <c r="B482" s="26" t="s">
        <v>4923</v>
      </c>
      <c r="C482" t="s">
        <v>5415</v>
      </c>
      <c r="D482" t="s">
        <v>5416</v>
      </c>
      <c r="E482" t="s">
        <v>5417</v>
      </c>
      <c r="F482" t="s">
        <v>5418</v>
      </c>
      <c r="G482" t="s">
        <v>5419</v>
      </c>
      <c r="H482" t="s">
        <v>5420</v>
      </c>
      <c r="I482" t="s">
        <v>5421</v>
      </c>
      <c r="J482" t="s">
        <v>5422</v>
      </c>
      <c r="K482" t="s">
        <v>5423</v>
      </c>
      <c r="L482" s="27" t="s">
        <v>5424</v>
      </c>
    </row>
    <row r="483" spans="2:12" x14ac:dyDescent="0.2">
      <c r="B483" s="26" t="s">
        <v>4924</v>
      </c>
      <c r="C483" t="s">
        <v>5425</v>
      </c>
      <c r="D483" t="s">
        <v>5426</v>
      </c>
      <c r="E483" t="s">
        <v>5427</v>
      </c>
      <c r="F483" t="s">
        <v>5428</v>
      </c>
      <c r="G483" t="s">
        <v>5429</v>
      </c>
      <c r="H483" t="s">
        <v>5430</v>
      </c>
      <c r="I483" t="s">
        <v>5431</v>
      </c>
      <c r="J483" t="s">
        <v>5432</v>
      </c>
      <c r="K483" t="s">
        <v>5433</v>
      </c>
      <c r="L483" s="27" t="s">
        <v>5434</v>
      </c>
    </row>
    <row r="484" spans="2:12" x14ac:dyDescent="0.2">
      <c r="B484" s="26" t="s">
        <v>4860</v>
      </c>
      <c r="C484" t="s">
        <v>5435</v>
      </c>
      <c r="D484" t="s">
        <v>5436</v>
      </c>
      <c r="E484" t="s">
        <v>5437</v>
      </c>
      <c r="F484" t="s">
        <v>5438</v>
      </c>
      <c r="G484" t="s">
        <v>5439</v>
      </c>
      <c r="H484" t="s">
        <v>5440</v>
      </c>
      <c r="I484" t="s">
        <v>5441</v>
      </c>
      <c r="J484" t="s">
        <v>5442</v>
      </c>
      <c r="K484" t="s">
        <v>5443</v>
      </c>
      <c r="L484" s="27" t="s">
        <v>5444</v>
      </c>
    </row>
    <row r="485" spans="2:12" x14ac:dyDescent="0.2">
      <c r="B485" s="26" t="s">
        <v>4925</v>
      </c>
      <c r="C485" t="s">
        <v>5445</v>
      </c>
      <c r="D485" t="s">
        <v>5446</v>
      </c>
      <c r="E485" t="s">
        <v>5447</v>
      </c>
      <c r="F485" t="s">
        <v>5448</v>
      </c>
      <c r="G485" t="s">
        <v>5449</v>
      </c>
      <c r="H485" t="s">
        <v>5450</v>
      </c>
      <c r="I485" t="s">
        <v>5451</v>
      </c>
      <c r="J485" t="s">
        <v>5452</v>
      </c>
      <c r="K485" t="s">
        <v>5453</v>
      </c>
      <c r="L485" s="27" t="s">
        <v>5454</v>
      </c>
    </row>
    <row r="486" spans="2:12" x14ac:dyDescent="0.2">
      <c r="B486" s="26" t="s">
        <v>4926</v>
      </c>
      <c r="C486" t="s">
        <v>5455</v>
      </c>
      <c r="D486" t="s">
        <v>5456</v>
      </c>
      <c r="E486" t="s">
        <v>5457</v>
      </c>
      <c r="F486" t="s">
        <v>5458</v>
      </c>
      <c r="G486" t="s">
        <v>5459</v>
      </c>
      <c r="H486" t="s">
        <v>5460</v>
      </c>
      <c r="I486" t="s">
        <v>5461</v>
      </c>
      <c r="J486" t="s">
        <v>5462</v>
      </c>
      <c r="K486" t="s">
        <v>5463</v>
      </c>
      <c r="L486" s="27" t="s">
        <v>5464</v>
      </c>
    </row>
    <row r="487" spans="2:12" x14ac:dyDescent="0.2">
      <c r="B487" s="26" t="s">
        <v>4927</v>
      </c>
      <c r="C487" t="s">
        <v>5465</v>
      </c>
      <c r="D487" t="s">
        <v>5466</v>
      </c>
      <c r="E487" t="s">
        <v>5467</v>
      </c>
      <c r="F487" t="s">
        <v>5468</v>
      </c>
      <c r="G487" t="s">
        <v>5469</v>
      </c>
      <c r="H487" t="s">
        <v>5470</v>
      </c>
      <c r="I487" t="s">
        <v>5471</v>
      </c>
      <c r="J487" t="s">
        <v>5472</v>
      </c>
      <c r="K487" t="s">
        <v>5473</v>
      </c>
      <c r="L487" s="27" t="s">
        <v>5474</v>
      </c>
    </row>
    <row r="488" spans="2:12" x14ac:dyDescent="0.2">
      <c r="B488" s="26" t="s">
        <v>4933</v>
      </c>
      <c r="C488" t="s">
        <v>5475</v>
      </c>
      <c r="D488" t="s">
        <v>5476</v>
      </c>
      <c r="E488" t="s">
        <v>5477</v>
      </c>
      <c r="F488" t="s">
        <v>5478</v>
      </c>
      <c r="G488" t="s">
        <v>5479</v>
      </c>
      <c r="H488" t="s">
        <v>5480</v>
      </c>
      <c r="I488" t="s">
        <v>5481</v>
      </c>
      <c r="J488" t="s">
        <v>5482</v>
      </c>
      <c r="K488" t="s">
        <v>5483</v>
      </c>
      <c r="L488" s="27" t="s">
        <v>5484</v>
      </c>
    </row>
    <row r="489" spans="2:12" x14ac:dyDescent="0.2">
      <c r="B489" s="26" t="s">
        <v>4934</v>
      </c>
      <c r="C489" t="s">
        <v>5485</v>
      </c>
      <c r="D489" t="s">
        <v>5486</v>
      </c>
      <c r="E489" t="s">
        <v>5487</v>
      </c>
      <c r="F489" t="s">
        <v>5488</v>
      </c>
      <c r="G489" t="s">
        <v>5489</v>
      </c>
      <c r="H489" t="s">
        <v>5490</v>
      </c>
      <c r="I489" t="s">
        <v>5491</v>
      </c>
      <c r="J489" t="s">
        <v>5492</v>
      </c>
      <c r="K489" t="s">
        <v>5493</v>
      </c>
      <c r="L489" s="27" t="s">
        <v>5494</v>
      </c>
    </row>
    <row r="490" spans="2:12" x14ac:dyDescent="0.2">
      <c r="B490" s="26" t="s">
        <v>5497</v>
      </c>
      <c r="C490" t="s">
        <v>5499</v>
      </c>
      <c r="D490" t="s">
        <v>5500</v>
      </c>
      <c r="E490" t="s">
        <v>5501</v>
      </c>
      <c r="F490" t="s">
        <v>5502</v>
      </c>
      <c r="G490" t="s">
        <v>5503</v>
      </c>
      <c r="H490" t="s">
        <v>5504</v>
      </c>
      <c r="I490" t="s">
        <v>5505</v>
      </c>
      <c r="J490" t="s">
        <v>5506</v>
      </c>
      <c r="K490" t="s">
        <v>5507</v>
      </c>
      <c r="L490" s="27" t="s">
        <v>5508</v>
      </c>
    </row>
    <row r="491" spans="2:12" x14ac:dyDescent="0.2">
      <c r="B491" s="26" t="s">
        <v>5498</v>
      </c>
      <c r="C491" t="s">
        <v>5509</v>
      </c>
      <c r="D491" t="s">
        <v>5510</v>
      </c>
      <c r="E491" t="s">
        <v>5511</v>
      </c>
      <c r="F491" t="s">
        <v>5512</v>
      </c>
      <c r="G491" t="s">
        <v>5513</v>
      </c>
      <c r="H491" t="s">
        <v>5514</v>
      </c>
      <c r="I491" t="s">
        <v>5515</v>
      </c>
      <c r="J491" t="s">
        <v>5516</v>
      </c>
      <c r="K491" t="s">
        <v>5517</v>
      </c>
      <c r="L491" s="27" t="s">
        <v>5518</v>
      </c>
    </row>
    <row r="492" spans="2:12" x14ac:dyDescent="0.2">
      <c r="B492" s="26" t="s">
        <v>789</v>
      </c>
      <c r="C492" t="s">
        <v>2897</v>
      </c>
      <c r="D492" t="s">
        <v>2898</v>
      </c>
      <c r="E492" t="s">
        <v>2902</v>
      </c>
      <c r="F492" t="s">
        <v>2901</v>
      </c>
      <c r="G492" t="s">
        <v>2903</v>
      </c>
      <c r="H492" t="s">
        <v>2899</v>
      </c>
      <c r="I492" t="s">
        <v>2905</v>
      </c>
      <c r="J492" t="s">
        <v>2900</v>
      </c>
      <c r="K492" t="s">
        <v>2904</v>
      </c>
      <c r="L492" t="s">
        <v>3204</v>
      </c>
    </row>
    <row r="493" spans="2:12" x14ac:dyDescent="0.2">
      <c r="B493" s="14" t="s">
        <v>5528</v>
      </c>
      <c r="C493" s="15" t="s">
        <v>5519</v>
      </c>
      <c r="D493" s="15" t="s">
        <v>5520</v>
      </c>
      <c r="E493" s="15" t="s">
        <v>5521</v>
      </c>
      <c r="F493" s="15" t="s">
        <v>5522</v>
      </c>
      <c r="G493" s="15" t="s">
        <v>5523</v>
      </c>
      <c r="H493" s="15" t="s">
        <v>5524</v>
      </c>
      <c r="I493" s="15" t="s">
        <v>5525</v>
      </c>
      <c r="J493" s="15" t="s">
        <v>5526</v>
      </c>
      <c r="K493" s="15" t="s">
        <v>5527</v>
      </c>
    </row>
    <row r="496" spans="2:12" ht="10.5" x14ac:dyDescent="0.25">
      <c r="L496" s="399"/>
    </row>
    <row r="497" spans="2:11" ht="10.5" x14ac:dyDescent="0.25">
      <c r="B497" s="399"/>
      <c r="C497" s="399"/>
      <c r="D497" s="399"/>
      <c r="E497" s="399"/>
      <c r="F497" s="399"/>
      <c r="G497" s="399"/>
      <c r="H497" s="399"/>
      <c r="I497" s="399"/>
      <c r="J497" s="399"/>
      <c r="K497" s="399"/>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N9"/>
  <sheetViews>
    <sheetView workbookViewId="0"/>
  </sheetViews>
  <sheetFormatPr defaultRowHeight="10" x14ac:dyDescent="0.2"/>
  <cols>
    <col min="1" max="1" width="22.33203125" bestFit="1" customWidth="1"/>
  </cols>
  <sheetData>
    <row r="1" spans="1:40" x14ac:dyDescent="0.2">
      <c r="A1" t="s">
        <v>578</v>
      </c>
      <c r="B1" t="s">
        <v>579</v>
      </c>
      <c r="C1" t="s">
        <v>580</v>
      </c>
      <c r="D1" t="s">
        <v>581</v>
      </c>
      <c r="E1" t="s">
        <v>582</v>
      </c>
      <c r="F1" t="s">
        <v>583</v>
      </c>
      <c r="G1" t="s">
        <v>584</v>
      </c>
      <c r="H1" t="s">
        <v>585</v>
      </c>
      <c r="I1" t="s">
        <v>586</v>
      </c>
      <c r="J1" t="s">
        <v>587</v>
      </c>
      <c r="K1" t="s">
        <v>588</v>
      </c>
      <c r="L1" t="s">
        <v>589</v>
      </c>
      <c r="M1" t="s">
        <v>590</v>
      </c>
      <c r="N1" t="s">
        <v>591</v>
      </c>
      <c r="O1" t="s">
        <v>592</v>
      </c>
      <c r="P1" t="s">
        <v>593</v>
      </c>
      <c r="Q1" t="s">
        <v>594</v>
      </c>
      <c r="R1" t="s">
        <v>595</v>
      </c>
      <c r="S1" t="s">
        <v>596</v>
      </c>
      <c r="T1" t="s">
        <v>597</v>
      </c>
      <c r="U1" t="s">
        <v>598</v>
      </c>
      <c r="V1" t="s">
        <v>599</v>
      </c>
      <c r="W1" t="s">
        <v>273</v>
      </c>
    </row>
    <row r="2" spans="1:40" x14ac:dyDescent="0.2">
      <c r="A2" t="s">
        <v>600</v>
      </c>
      <c r="B2" t="s">
        <v>601</v>
      </c>
      <c r="C2" t="s">
        <v>602</v>
      </c>
      <c r="D2" t="s">
        <v>603</v>
      </c>
      <c r="E2" t="s">
        <v>604</v>
      </c>
      <c r="F2" t="s">
        <v>605</v>
      </c>
      <c r="G2" t="s">
        <v>606</v>
      </c>
      <c r="H2" t="s">
        <v>607</v>
      </c>
      <c r="I2" t="s">
        <v>608</v>
      </c>
      <c r="J2" t="s">
        <v>609</v>
      </c>
      <c r="K2" t="s">
        <v>610</v>
      </c>
      <c r="L2" t="s">
        <v>611</v>
      </c>
      <c r="M2" t="s">
        <v>612</v>
      </c>
      <c r="N2" t="s">
        <v>613</v>
      </c>
      <c r="O2" t="s">
        <v>614</v>
      </c>
      <c r="P2" t="s">
        <v>615</v>
      </c>
      <c r="Q2" t="s">
        <v>616</v>
      </c>
      <c r="R2" t="s">
        <v>617</v>
      </c>
      <c r="S2" t="s">
        <v>618</v>
      </c>
      <c r="T2" t="s">
        <v>619</v>
      </c>
      <c r="U2" t="s">
        <v>620</v>
      </c>
      <c r="V2" t="s">
        <v>621</v>
      </c>
      <c r="W2" t="s">
        <v>273</v>
      </c>
    </row>
    <row r="3" spans="1:40" x14ac:dyDescent="0.2">
      <c r="A3" t="s">
        <v>297</v>
      </c>
      <c r="B3" t="s">
        <v>541</v>
      </c>
      <c r="C3" t="s">
        <v>542</v>
      </c>
      <c r="D3" t="s">
        <v>543</v>
      </c>
      <c r="E3" t="s">
        <v>544</v>
      </c>
      <c r="F3" t="s">
        <v>545</v>
      </c>
      <c r="G3" t="s">
        <v>546</v>
      </c>
      <c r="H3" t="s">
        <v>547</v>
      </c>
      <c r="I3" t="s">
        <v>548</v>
      </c>
      <c r="J3" t="s">
        <v>549</v>
      </c>
      <c r="K3" t="s">
        <v>550</v>
      </c>
      <c r="L3" t="s">
        <v>551</v>
      </c>
      <c r="M3" t="s">
        <v>552</v>
      </c>
      <c r="N3" t="s">
        <v>553</v>
      </c>
      <c r="O3" t="s">
        <v>554</v>
      </c>
      <c r="P3" t="s">
        <v>555</v>
      </c>
      <c r="Q3" t="s">
        <v>556</v>
      </c>
      <c r="R3" t="s">
        <v>557</v>
      </c>
      <c r="S3" t="s">
        <v>558</v>
      </c>
      <c r="T3" t="s">
        <v>559</v>
      </c>
      <c r="U3" t="s">
        <v>560</v>
      </c>
      <c r="V3" t="s">
        <v>561</v>
      </c>
      <c r="W3" t="s">
        <v>562</v>
      </c>
      <c r="X3" t="s">
        <v>563</v>
      </c>
      <c r="Y3" t="s">
        <v>564</v>
      </c>
      <c r="Z3" t="s">
        <v>565</v>
      </c>
      <c r="AA3" t="s">
        <v>566</v>
      </c>
      <c r="AB3" t="s">
        <v>567</v>
      </c>
      <c r="AC3" t="s">
        <v>568</v>
      </c>
      <c r="AD3" t="s">
        <v>569</v>
      </c>
      <c r="AE3" t="s">
        <v>570</v>
      </c>
      <c r="AF3" t="s">
        <v>571</v>
      </c>
      <c r="AG3" t="s">
        <v>572</v>
      </c>
      <c r="AH3" t="s">
        <v>573</v>
      </c>
      <c r="AI3" t="s">
        <v>574</v>
      </c>
      <c r="AJ3" t="s">
        <v>575</v>
      </c>
      <c r="AK3" t="s">
        <v>576</v>
      </c>
      <c r="AL3" t="str">
        <f>AK8</f>
        <v>","relatedOptionIds":[],"onlineServices":[],"childCriteriaItemList":[],"clientContextJson":""},{"keyOptionId":"9728","caption":"Regulation D","isDefault":true,"maskCriteriaOnly":false,"definition":"","keyProductQueryItem":"311834","comparisonOperation":0,"comparisonValue":"145","minimumVersion":"","maximumVersion":"","formOrder":0,"lowerBound":null,"enabled":true,"mask":"","largeMask":"","maskKey":"","keyItemMaskOfField":null,"keyOptionIdReplace":"","relatedOptionIds":[],"onlineServices":[],"childCriteriaItemList":[],"clientContextJson":""},{"keyOptionId":"9729","caption":"Growth Capital","isDefault":true,"maskCriteriaOnly":false,"definition":"","keyProductQueryItem":"311834","comparisonOperation":0,"comparisonValue":"148","minimumVersion":"","maximumVersion":"","formOrder":0,"lowerBound":null,"enabled":true,"mask":"","largeMask":"","maskKey":"","keyItemMaskOfField":null,"keyOptionIdReplace":"","relatedOptionIds":[],"onlineServices":[],"childCriteriaItemList":[],"clientContextJson":""},{"keyOptionId":"9730","caption":"Venture Capital","isDefault":true,"maskCriteriaOnly":false,"definition":"","keyProductQueryItem":"311834","comparisonOperation":0,"comparisonValue":"149","minimumVersion":"","maximumVersion":"","formOrder":0,"lowerBound":null,"enabled":true,"mask":"","largeMask":"","maskKey":"","keyItemMaskOfField":null,"keyOptionIdReplace":"","relatedOptionIds":[],"onlineServices":[],"childCriteriaItemList":[],"clientContextJson":""},{"keyOptionId":"9731","caption":"PIPE","isDefault":true,"maskCriteriaOnly":false,"definition":"","keyProductQueryItem":"311834","comparisonOperation":0,"comparisonValue":"150","minimumVersion":"","maximumVersion":"","formOrder":0,"lowerBound":null,"enabled":true,"mask":"","largeMask":"","maskKey":"","keyItemMaskOfField":null,"keyOptionIdReplace":"","relatedOptionIds":[],"onlineServices":[],"childCriteriaItemList":[],"clientContextJson":""},{"keyOptionId":"9732","caption":"Underwritten Offering","isDefault":tru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keyOptionId":"9733","caption":"Sales Agency Agreement","isDefault":true,"maskCriteriaOnly":false,"definition":"","keyProductQueryItem":"311834","comparisonOperation":0,"comparisonValue":"157","minimumVersion":"","maximumVersion":"","formOrder":0,"lowerBound":null,"enabled":true,"mask":"","largeMask":"","maskKey":"","keyItemMaskOfField":null,"keyOptionIdReplace":"","relatedOptionIds":[],"onlineServices":[],"childCriteriaItemList":[],"clientContextJson":""},{"keyOptionId":"9734","caption":"De Novo Offering","isDefault":true,"maskCriteriaOnly":false,"definition":"","keyProductQueryItem":"311834","comparisonOperation":0,"comparisonValue":"162","minimumVersion":"","maximumVersion":"","formOrder":0,"lowerBound":null,"enabled":true,"mask":"","largeMask":"","maskKey":"","keyItemMaskOfField":null,"keyOptionIdReplace":"","relatedOptionIds":[],"onlineServices":[],"childCriteriaItemList":[],"clientContextJson":""}],"clientContextJson":""}],"clientContextJson":""}]},{"filterGroupId":"8466","filterGroupIdReplace":"","caption":"Announcement Date Range","groupType":2,"optionType":4,"formOrder":40,"minimumVersion":"","maximumVersion":"","onlineServicesEnabled":false,"column":0,"columnFormOrder":40,"criteriaIdName":"","required":false,"dateDefaultType":"","criteriaItemList":[{"keyOptionId":"8467","caption":"From","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column":0,"columnFormOrder":60,"criteriaIdName":"","required":false,"dateDefaultType":"","criteriaItemList":[{"keyOptionId":"8474","caption":"From","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queryLineGroups":[{"groupName":"QueryLines","queryLines":[{"beginGroup":false,"connector":0,"displayText":null,"endGroup":false,"field":{"displayName":null,"displayType":null,"displayUnits":null,"fieldKey":"300085","originalRequestField":null,"secondaryKeys":[]},"functionName":null,"invariantValue":null,"mathOperator":0,"mathValue":null,"operator":0,"queryItemId":"00000000-0000-0000-0000-000000000000","relativeOperation":false,"listKey":null,"sortOrder":null,"sortStyle":null,"supressSelect":false,"value":"4004214","valueField":null},{"beginGroup":false,"connector":0,"displayText":null,"endGroup":false,"field":{"displayName":null,"displayType":null,"displayUnits":null,"fieldKey":"300091","originalRequestField":null,"secondaryKeys":[]},"functionName":null,"invariantValue":null,"mathOperator":0,"mathValue":null,"operator":7,"queryItemId":"00000000-0000-0000-0000-000000000000","relativeOperation":false,"listKey":null,"sortOrder":null,"sortStyle":null,"supressSelect":false,"value":"'Senior Debt','Subordinated Debt','Senior Subordinated Debt','Junior Subordinated Debt','Subsidiary Trust Preferred','Subsidiary Pfd Partnership Interest','GIC-backed Note','Covered Bonds','Revenue Bonds','Bond or Note'","valueField":null},{"beginGroup":false,"connector":0,"displayText":null,"endGroup":false,"field":{"displayName":null,"displayType":null,"displayUnits":null,"fieldKey":"301857","originalRequestField":null,"secondaryKeys":[]},"functionName":null,"invariantValue":null,"mathOperator":0,"mathValue":null,"operator":7,"queryItemId":"00000000-0000-0000-0000-000000000000","relativeOperation":false,"listKey":null,"sortOrder":null,"sortStyle":null,"supressSelect":false,"value":"'0'","valueField":null},{"beginGroup":false,"connector":0,"displayText":null,"endGroup":false,"field":{"displayName":null,"displayType":null,"displayUnits":null,"fieldKey":"301818","originalRequestField":null,"secondaryKeys":[]},"functionName":null,"invariantValue":null,"mathOp</v>
      </c>
      <c r="AM3" t="s">
        <v>577</v>
      </c>
      <c r="AN3" t="s">
        <v>273</v>
      </c>
    </row>
    <row r="4" spans="1:40" x14ac:dyDescent="0.2">
      <c r="A4" t="s">
        <v>622</v>
      </c>
      <c r="B4" t="s">
        <v>623</v>
      </c>
      <c r="C4" t="s">
        <v>624</v>
      </c>
      <c r="D4" t="s">
        <v>625</v>
      </c>
      <c r="E4" t="s">
        <v>626</v>
      </c>
      <c r="F4" t="s">
        <v>627</v>
      </c>
      <c r="G4" t="s">
        <v>628</v>
      </c>
      <c r="H4" t="s">
        <v>629</v>
      </c>
      <c r="I4" t="s">
        <v>630</v>
      </c>
      <c r="J4" t="s">
        <v>631</v>
      </c>
      <c r="K4" t="s">
        <v>632</v>
      </c>
      <c r="L4" t="s">
        <v>633</v>
      </c>
      <c r="M4" t="s">
        <v>634</v>
      </c>
      <c r="N4" t="s">
        <v>635</v>
      </c>
      <c r="O4" t="s">
        <v>636</v>
      </c>
      <c r="P4" t="s">
        <v>637</v>
      </c>
      <c r="Q4" t="s">
        <v>638</v>
      </c>
      <c r="R4" t="s">
        <v>639</v>
      </c>
      <c r="S4" t="s">
        <v>640</v>
      </c>
      <c r="T4" t="s">
        <v>641</v>
      </c>
      <c r="U4" t="s">
        <v>642</v>
      </c>
      <c r="V4" t="s">
        <v>643</v>
      </c>
      <c r="W4" t="s">
        <v>644</v>
      </c>
      <c r="X4" t="s">
        <v>645</v>
      </c>
      <c r="Y4" t="s">
        <v>646</v>
      </c>
      <c r="Z4" t="s">
        <v>647</v>
      </c>
      <c r="AA4" t="s">
        <v>648</v>
      </c>
      <c r="AB4" t="s">
        <v>649</v>
      </c>
      <c r="AC4" t="s">
        <v>650</v>
      </c>
      <c r="AD4" t="s">
        <v>651</v>
      </c>
      <c r="AE4" t="s">
        <v>652</v>
      </c>
      <c r="AF4" t="s">
        <v>653</v>
      </c>
      <c r="AG4" t="s">
        <v>654</v>
      </c>
      <c r="AH4" t="s">
        <v>655</v>
      </c>
      <c r="AI4" t="s">
        <v>656</v>
      </c>
      <c r="AJ4" t="s">
        <v>657</v>
      </c>
      <c r="AK4" t="str">
        <f>AK9</f>
        <v>aItemList":[{"keyOptionId":"8467","caption":"From","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column":0,"columnFormOrder":60,"criteriaIdName":"","required":false,"dateDefaultType":"","criteriaItemList":[{"keyOptionId":"8474","caption":"From","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queryLineGroups":[{"groupName":"QueryLines","queryLines":[{"beginGroup":false,"connector":0,"displayText":null,"endGroup":false,"field":{"displayName":null,"displayType":null,"displayUnits":null,"fieldKey":"300085","originalRequestField":null,"secondaryKeys":[]},"functionName":null,"invariantValue":null,"mathOperator":0,"mathValue":null,"operator":0,"queryItemId":"00000000-0000-0000-0000-000000000000","relativeOperation":false,"sortOrder":null,"sortStyle":null,"supressSelect":false,"value":"4004214","valueField":null},{"beginGroup":false,"connector":0,"displayText":null,"endGroup":false,"field":{"displayName":null,"displayType":null,"displayUnits":null,"fieldKey":"300091","originalRequestField":null,"secondaryKeys":[]},"functionName":null,"invariantValue":null,"mathOperator":0,"mathValue":null,"operator":7,"queryItemId":"00000000-0000-0000-0000-000000000000","relativeOperation":false,"sortOrder":null,"sortStyle":null,"supressSelect":false,"value":"'Preferred Equity','Preferred Security','Depositary Receipt (Preferred Security)'","valueField":null},{"beginGroup":false,"connector":0,"displayText":null,"endGroup":false,"field":{"displayName":null,"displayType":null,"displayUnits":null,"fieldKey":"301857","originalRequestField":null,"secondaryKeys":[]},"functionName":null,"invariantValue":null,"mathOperator":0,"mathValue":null,"operator":7,"queryItemId":"00000000-0000-0000-0000-000000000000","relativeOperation":false,"sortOrder":null,"sortStyle":null,"supressSelect":false,"value":"'0'","valueField":null}]},{"groupName":"WhiteAndBlackListCriteria","queryLines":[]}],"saveQueryType":0,"standardDeviationQuery":false,"version":null},"reports":null,"showProductMagnitude":false,"skip":0,"sortBy":null,"sortDesc":false,"sourceTimeZoneIDItemKey":null,"timeoutOverride":0,"top":0,"useNewOnPremDomain":false}],"saveQueryType":0,"sourceTimeZoneIDItemKey":null}</v>
      </c>
      <c r="AL4" t="s">
        <v>273</v>
      </c>
    </row>
    <row r="8" spans="1:40" x14ac:dyDescent="0.2">
      <c r="AJ8" t="s">
        <v>658</v>
      </c>
      <c r="AK8" t="str">
        <f>SUBSTITUTE(AJ8,"DUMMY_KEY",MI_Key)</f>
        <v>","relatedOptionIds":[],"onlineServices":[],"childCriteriaItemList":[],"clientContextJson":""},{"keyOptionId":"9728","caption":"Regulation D","isDefault":true,"maskCriteriaOnly":false,"definition":"","keyProductQueryItem":"311834","comparisonOperation":0,"comparisonValue":"145","minimumVersion":"","maximumVersion":"","formOrder":0,"lowerBound":null,"enabled":true,"mask":"","largeMask":"","maskKey":"","keyItemMaskOfField":null,"keyOptionIdReplace":"","relatedOptionIds":[],"onlineServices":[],"childCriteriaItemList":[],"clientContextJson":""},{"keyOptionId":"9729","caption":"Growth Capital","isDefault":true,"maskCriteriaOnly":false,"definition":"","keyProductQueryItem":"311834","comparisonOperation":0,"comparisonValue":"148","minimumVersion":"","maximumVersion":"","formOrder":0,"lowerBound":null,"enabled":true,"mask":"","largeMask":"","maskKey":"","keyItemMaskOfField":null,"keyOptionIdReplace":"","relatedOptionIds":[],"onlineServices":[],"childCriteriaItemList":[],"clientContextJson":""},{"keyOptionId":"9730","caption":"Venture Capital","isDefault":true,"maskCriteriaOnly":false,"definition":"","keyProductQueryItem":"311834","comparisonOperation":0,"comparisonValue":"149","minimumVersion":"","maximumVersion":"","formOrder":0,"lowerBound":null,"enabled":true,"mask":"","largeMask":"","maskKey":"","keyItemMaskOfField":null,"keyOptionIdReplace":"","relatedOptionIds":[],"onlineServices":[],"childCriteriaItemList":[],"clientContextJson":""},{"keyOptionId":"9731","caption":"PIPE","isDefault":true,"maskCriteriaOnly":false,"definition":"","keyProductQueryItem":"311834","comparisonOperation":0,"comparisonValue":"150","minimumVersion":"","maximumVersion":"","formOrder":0,"lowerBound":null,"enabled":true,"mask":"","largeMask":"","maskKey":"","keyItemMaskOfField":null,"keyOptionIdReplace":"","relatedOptionIds":[],"onlineServices":[],"childCriteriaItemList":[],"clientContextJson":""},{"keyOptionId":"9732","caption":"Underwritten Offering","isDefault":tru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keyOptionId":"9733","caption":"Sales Agency Agreement","isDefault":true,"maskCriteriaOnly":false,"definition":"","keyProductQueryItem":"311834","comparisonOperation":0,"comparisonValue":"157","minimumVersion":"","maximumVersion":"","formOrder":0,"lowerBound":null,"enabled":true,"mask":"","largeMask":"","maskKey":"","keyItemMaskOfField":null,"keyOptionIdReplace":"","relatedOptionIds":[],"onlineServices":[],"childCriteriaItemList":[],"clientContextJson":""},{"keyOptionId":"9734","caption":"De Novo Offering","isDefault":true,"maskCriteriaOnly":false,"definition":"","keyProductQueryItem":"311834","comparisonOperation":0,"comparisonValue":"162","minimumVersion":"","maximumVersion":"","formOrder":0,"lowerBound":null,"enabled":true,"mask":"","largeMask":"","maskKey":"","keyItemMaskOfField":null,"keyOptionIdReplace":"","relatedOptionIds":[],"onlineServices":[],"childCriteriaItemList":[],"clientContextJson":""}],"clientContextJson":""}],"clientContextJson":""}]},{"filterGroupId":"8466","filterGroupIdReplace":"","caption":"Announcement Date Range","groupType":2,"optionType":4,"formOrder":40,"minimumVersion":"","maximumVersion":"","onlineServicesEnabled":false,"column":0,"columnFormOrder":40,"criteriaIdName":"","required":false,"dateDefaultType":"","criteriaItemList":[{"keyOptionId":"8467","caption":"From","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column":0,"columnFormOrder":60,"criteriaIdName":"","required":false,"dateDefaultType":"","criteriaItemList":[{"keyOptionId":"8474","caption":"From","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queryLineGroups":[{"groupName":"QueryLines","queryLines":[{"beginGroup":false,"connector":0,"displayText":null,"endGroup":false,"field":{"displayName":null,"displayType":null,"displayUnits":null,"fieldKey":"300085","originalRequestField":null,"secondaryKeys":[]},"functionName":null,"invariantValue":null,"mathOperator":0,"mathValue":null,"operator":0,"queryItemId":"00000000-0000-0000-0000-000000000000","relativeOperation":false,"listKey":null,"sortOrder":null,"sortStyle":null,"supressSelect":false,"value":"4004214","valueField":null},{"beginGroup":false,"connector":0,"displayText":null,"endGroup":false,"field":{"displayName":null,"displayType":null,"displayUnits":null,"fieldKey":"300091","originalRequestField":null,"secondaryKeys":[]},"functionName":null,"invariantValue":null,"mathOperator":0,"mathValue":null,"operator":7,"queryItemId":"00000000-0000-0000-0000-000000000000","relativeOperation":false,"listKey":null,"sortOrder":null,"sortStyle":null,"supressSelect":false,"value":"'Senior Debt','Subordinated Debt','Senior Subordinated Debt','Junior Subordinated Debt','Subsidiary Trust Preferred','Subsidiary Pfd Partnership Interest','GIC-backed Note','Covered Bonds','Revenue Bonds','Bond or Note'","valueField":null},{"beginGroup":false,"connector":0,"displayText":null,"endGroup":false,"field":{"displayName":null,"displayType":null,"displayUnits":null,"fieldKey":"301857","originalRequestField":null,"secondaryKeys":[]},"functionName":null,"invariantValue":null,"mathOperator":0,"mathValue":null,"operator":7,"queryItemId":"00000000-0000-0000-0000-000000000000","relativeOperation":false,"listKey":null,"sortOrder":null,"sortStyle":null,"supressSelect":false,"value":"'0'","valueField":null},{"beginGroup":false,"connector":0,"displayText":null,"endGroup":false,"field":{"displayName":null,"displayType":null,"displayUnits":null,"fieldKey":"301818","originalRequestField":null,"secondaryKeys":[]},"functionName":null,"invariantValue":null,"mathOp</v>
      </c>
    </row>
    <row r="9" spans="1:40" x14ac:dyDescent="0.2">
      <c r="AJ9" t="s">
        <v>659</v>
      </c>
      <c r="AK9" t="str">
        <f>SUBSTITUTE(AJ9,"DUMMY_KEY",MI_Key)</f>
        <v>aItemList":[{"keyOptionId":"8467","caption":"From","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column":0,"columnFormOrder":60,"criteriaIdName":"","required":false,"dateDefaultType":"","criteriaItemList":[{"keyOptionId":"8474","caption":"From","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queryLineGroups":[{"groupName":"QueryLines","queryLines":[{"beginGroup":false,"connector":0,"displayText":null,"endGroup":false,"field":{"displayName":null,"displayType":null,"displayUnits":null,"fieldKey":"300085","originalRequestField":null,"secondaryKeys":[]},"functionName":null,"invariantValue":null,"mathOperator":0,"mathValue":null,"operator":0,"queryItemId":"00000000-0000-0000-0000-000000000000","relativeOperation":false,"sortOrder":null,"sortStyle":null,"supressSelect":false,"value":"4004214","valueField":null},{"beginGroup":false,"connector":0,"displayText":null,"endGroup":false,"field":{"displayName":null,"displayType":null,"displayUnits":null,"fieldKey":"300091","originalRequestField":null,"secondaryKeys":[]},"functionName":null,"invariantValue":null,"mathOperator":0,"mathValue":null,"operator":7,"queryItemId":"00000000-0000-0000-0000-000000000000","relativeOperation":false,"sortOrder":null,"sortStyle":null,"supressSelect":false,"value":"'Preferred Equity','Preferred Security','Depositary Receipt (Preferred Security)'","valueField":null},{"beginGroup":false,"connector":0,"displayText":null,"endGroup":false,"field":{"displayName":null,"displayType":null,"displayUnits":null,"fieldKey":"301857","originalRequestField":null,"secondaryKeys":[]},"functionName":null,"invariantValue":null,"mathOperator":0,"mathValue":null,"operator":7,"queryItemId":"00000000-0000-0000-0000-000000000000","relativeOperation":false,"sortOrder":null,"sortStyle":null,"supressSelect":false,"value":"'0'","valueField":null}]},{"groupName":"WhiteAndBlackListCriteria","queryLines":[]}],"saveQueryType":0,"standardDeviationQuery":false,"version":null},"reports":null,"showProductMagnitude":false,"skip":0,"sortBy":null,"sortDesc":false,"sourceTimeZoneIDItemKey":null,"timeoutOverride":0,"top":0,"useNewOnPremDomain":false}],"saveQueryType":0,"sourceTimeZoneIDItemKey":null}</v>
      </c>
    </row>
  </sheetData>
  <pageMargins left="0.7" right="0.7" top="0.75" bottom="0.75" header="0.3" footer="0.3"/>
  <pageSetup orientation="portrait" horizontalDpi="90" verticalDpi="9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5A6A26FDAC9BF4EA1FE5ED516FE5143" ma:contentTypeVersion="18" ma:contentTypeDescription="Create a new document." ma:contentTypeScope="" ma:versionID="9c09f82c5ee28fbf1a352893a9220d8f">
  <xsd:schema xmlns:xsd="http://www.w3.org/2001/XMLSchema" xmlns:xs="http://www.w3.org/2001/XMLSchema" xmlns:p="http://schemas.microsoft.com/office/2006/metadata/properties" xmlns:ns2="5fe155e5-e33d-4841-8cd3-d55e51c1bb09" xmlns:ns3="c0d2cb11-e59a-439e-ba1c-da77417d3bf8" targetNamespace="http://schemas.microsoft.com/office/2006/metadata/properties" ma:root="true" ma:fieldsID="7dcb2ca47ea9468f9677297f925818bb" ns2:_="" ns3:_="">
    <xsd:import namespace="5fe155e5-e33d-4841-8cd3-d55e51c1bb09"/>
    <xsd:import namespace="c0d2cb11-e59a-439e-ba1c-da77417d3bf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Date" minOccurs="0"/>
                <xsd:element ref="ns2:MediaServiceObjectDetectorVersions" minOccurs="0"/>
                <xsd:element ref="ns2:MediaServiceSearchProperties" minOccurs="0"/>
                <xsd:element ref="ns2:MediaServiceGenerationTime" minOccurs="0"/>
                <xsd:element ref="ns2:MediaServiceEventHashCode"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fe155e5-e33d-4841-8cd3-d55e51c1bb0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Date" ma:index="17" nillable="true" ma:displayName="Date" ma:format="DateOnly" ma:internalName="Date">
      <xsd:simpleType>
        <xsd:restriction base="dms:DateTim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76f79bde-b34b-4e33-a562-f79c102b9a25" ma:termSetId="09814cd3-568e-fe90-9814-8d621ff8fb84" ma:anchorId="fba54fb3-c3e1-fe81-a776-ca4b69148c4d" ma:open="true" ma:isKeyword="false">
      <xsd:complexType>
        <xsd:sequence>
          <xsd:element ref="pc:Terms" minOccurs="0" maxOccurs="1"/>
        </xsd:sequence>
      </xsd:complexType>
    </xsd:element>
    <xsd:element name="MediaServiceOCR" ma:index="25"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0d2cb11-e59a-439e-ba1c-da77417d3bf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253160da-aabf-4116-8593-9bf85f947d6c}" ma:internalName="TaxCatchAll" ma:showField="CatchAllData" ma:web="c0d2cb11-e59a-439e-ba1c-da77417d3bf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c0d2cb11-e59a-439e-ba1c-da77417d3bf8">
      <UserInfo>
        <DisplayName/>
        <AccountId xsi:nil="true"/>
        <AccountType/>
      </UserInfo>
    </SharedWithUsers>
    <MediaLengthInSeconds xmlns="5fe155e5-e33d-4841-8cd3-d55e51c1bb09" xsi:nil="true"/>
    <lcf76f155ced4ddcb4097134ff3c332f xmlns="5fe155e5-e33d-4841-8cd3-d55e51c1bb09">
      <Terms xmlns="http://schemas.microsoft.com/office/infopath/2007/PartnerControls"/>
    </lcf76f155ced4ddcb4097134ff3c332f>
    <TaxCatchAll xmlns="c0d2cb11-e59a-439e-ba1c-da77417d3bf8" xsi:nil="true"/>
    <Date xmlns="5fe155e5-e33d-4841-8cd3-d55e51c1bb09" xsi:nil="true"/>
  </documentManagement>
</p:properties>
</file>

<file path=customXml/itemProps1.xml><?xml version="1.0" encoding="utf-8"?>
<ds:datastoreItem xmlns:ds="http://schemas.openxmlformats.org/officeDocument/2006/customXml" ds:itemID="{7C39289F-0EDA-47E7-A35B-C07370743825}">
  <ds:schemaRefs>
    <ds:schemaRef ds:uri="http://schemas.microsoft.com/sharepoint/v3/contenttype/forms"/>
  </ds:schemaRefs>
</ds:datastoreItem>
</file>

<file path=customXml/itemProps2.xml><?xml version="1.0" encoding="utf-8"?>
<ds:datastoreItem xmlns:ds="http://schemas.openxmlformats.org/officeDocument/2006/customXml" ds:itemID="{DE52C6CD-1F91-4FD0-9A77-33EB8269CA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fe155e5-e33d-4841-8cd3-d55e51c1bb09"/>
    <ds:schemaRef ds:uri="c0d2cb11-e59a-439e-ba1c-da77417d3bf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F659FB8-8588-4D3A-9703-C98C16130934}">
  <ds:schemaRefs>
    <ds:schemaRef ds:uri="http://www.w3.org/XML/1998/namespace"/>
    <ds:schemaRef ds:uri="http://schemas.microsoft.com/office/2006/metadata/properties"/>
    <ds:schemaRef ds:uri="http://purl.org/dc/terms/"/>
    <ds:schemaRef ds:uri="http://schemas.openxmlformats.org/package/2006/metadata/core-properties"/>
    <ds:schemaRef ds:uri="http://purl.org/dc/elements/1.1/"/>
    <ds:schemaRef ds:uri="c0d2cb11-e59a-439e-ba1c-da77417d3bf8"/>
    <ds:schemaRef ds:uri="http://purl.org/dc/dcmitype/"/>
    <ds:schemaRef ds:uri="http://schemas.microsoft.com/office/2006/documentManagement/types"/>
    <ds:schemaRef ds:uri="http://schemas.microsoft.com/office/infopath/2007/PartnerControls"/>
    <ds:schemaRef ds:uri="5fe155e5-e33d-4841-8cd3-d55e51c1bb0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60</vt:i4>
      </vt:variant>
    </vt:vector>
  </HeadingPairs>
  <TitlesOfParts>
    <vt:vector size="64" baseType="lpstr">
      <vt:lpstr>DCF</vt:lpstr>
      <vt:lpstr>Reverse_DCF_Overview</vt:lpstr>
      <vt:lpstr>Reverse_DCF</vt:lpstr>
      <vt:lpstr>Language_Index</vt:lpstr>
      <vt:lpstr>AutoPeers</vt:lpstr>
      <vt:lpstr>Beta_Selection</vt:lpstr>
      <vt:lpstr>Button2</vt:lpstr>
      <vt:lpstr>Button9</vt:lpstr>
      <vt:lpstr>CAP_CONV</vt:lpstr>
      <vt:lpstr>CAP_CURR</vt:lpstr>
      <vt:lpstr>CAP_ID</vt:lpstr>
      <vt:lpstr>CAP_MAG</vt:lpstr>
      <vt:lpstr>Clear_Data</vt:lpstr>
      <vt:lpstr>Clear_DT</vt:lpstr>
      <vt:lpstr>Clear_FI</vt:lpstr>
      <vt:lpstr>Copy</vt:lpstr>
      <vt:lpstr>Count_A</vt:lpstr>
      <vt:lpstr>Count_B</vt:lpstr>
      <vt:lpstr>Currency_List</vt:lpstr>
      <vt:lpstr>Currency_Selection</vt:lpstr>
      <vt:lpstr>CurrMagClear</vt:lpstr>
      <vt:lpstr>Def_Beta</vt:lpstr>
      <vt:lpstr>DS_1</vt:lpstr>
      <vt:lpstr>DS_2</vt:lpstr>
      <vt:lpstr>Entity_Name</vt:lpstr>
      <vt:lpstr>ES_1</vt:lpstr>
      <vt:lpstr>ES_2</vt:lpstr>
      <vt:lpstr>FormFI_1</vt:lpstr>
      <vt:lpstr>FormFI_2</vt:lpstr>
      <vt:lpstr>FormL1</vt:lpstr>
      <vt:lpstr>FormL2</vt:lpstr>
      <vt:lpstr>FormL3</vt:lpstr>
      <vt:lpstr>Index_Sel</vt:lpstr>
      <vt:lpstr>Language_Data</vt:lpstr>
      <vt:lpstr>Language_Option</vt:lpstr>
      <vt:lpstr>Language_Option2</vt:lpstr>
      <vt:lpstr>List1</vt:lpstr>
      <vt:lpstr>List2</vt:lpstr>
      <vt:lpstr>List3</vt:lpstr>
      <vt:lpstr>List4</vt:lpstr>
      <vt:lpstr>LookR</vt:lpstr>
      <vt:lpstr>Lookup_Column</vt:lpstr>
      <vt:lpstr>Lookup_Column1</vt:lpstr>
      <vt:lpstr>Magnitude_List</vt:lpstr>
      <vt:lpstr>Magnitude_Selection</vt:lpstr>
      <vt:lpstr>MI_ID</vt:lpstr>
      <vt:lpstr>MI_Key</vt:lpstr>
      <vt:lpstr>Paste</vt:lpstr>
      <vt:lpstr>Paste_Q</vt:lpstr>
      <vt:lpstr>Period</vt:lpstr>
      <vt:lpstr>DCF!Print_Area</vt:lpstr>
      <vt:lpstr>DCF!Print_Titles</vt:lpstr>
      <vt:lpstr>QComps</vt:lpstr>
      <vt:lpstr>RiskFreeClear</vt:lpstr>
      <vt:lpstr>RiskFreeRate</vt:lpstr>
      <vt:lpstr>SA_1</vt:lpstr>
      <vt:lpstr>SA_2</vt:lpstr>
      <vt:lpstr>SPG_Fx1</vt:lpstr>
      <vt:lpstr>SPG_Fx2</vt:lpstr>
      <vt:lpstr>SPG_Fx3</vt:lpstr>
      <vt:lpstr>SPG_Fx4</vt:lpstr>
      <vt:lpstr>Start</vt:lpstr>
      <vt:lpstr>Step2</vt:lpstr>
      <vt:lpstr>Ticker_Exch</vt:lpstr>
    </vt:vector>
  </TitlesOfParts>
  <Company>S&amp;P Global Market Intelligence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Nandan Bagga</dc:creator>
  <cp:lastModifiedBy>Gunda, Gokulnath</cp:lastModifiedBy>
  <cp:lastPrinted>2025-02-17T13:56:04Z</cp:lastPrinted>
  <dcterms:created xsi:type="dcterms:W3CDTF">2017-05-04T15:05:34Z</dcterms:created>
  <dcterms:modified xsi:type="dcterms:W3CDTF">2026-08-20T04:53:58Z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{F8E633F6-56B4-4A44-A5DF-73FFE5E5DE8E}</vt:lpwstr>
  </property>
  <property fmtid="{D5CDD505-2E9C-101B-9397-08002B2CF9AE}" pid="3" name="ContentTypeId">
    <vt:lpwstr>0x01010095A6A26FDAC9BF4EA1FE5ED516FE5143</vt:lpwstr>
  </property>
  <property fmtid="{D5CDD505-2E9C-101B-9397-08002B2CF9AE}" pid="4" name="Order">
    <vt:r8>4108800</vt:r8>
  </property>
  <property fmtid="{D5CDD505-2E9C-101B-9397-08002B2CF9AE}" pid="5" name="xd_Signature">
    <vt:bool>false</vt:bool>
  </property>
  <property fmtid="{D5CDD505-2E9C-101B-9397-08002B2CF9AE}" pid="6" name="xd_ProgID">
    <vt:lpwstr/>
  </property>
  <property fmtid="{D5CDD505-2E9C-101B-9397-08002B2CF9AE}" pid="7" name="_ExtendedDescription">
    <vt:lpwstr/>
  </property>
  <property fmtid="{D5CDD505-2E9C-101B-9397-08002B2CF9AE}" pid="8" name="TriggerFlowInfo">
    <vt:lpwstr/>
  </property>
  <property fmtid="{D5CDD505-2E9C-101B-9397-08002B2CF9AE}" pid="9" name="ComplianceAssetId">
    <vt:lpwstr/>
  </property>
  <property fmtid="{D5CDD505-2E9C-101B-9397-08002B2CF9AE}" pid="10" name="TemplateUrl">
    <vt:lpwstr/>
  </property>
  <property fmtid="{D5CDD505-2E9C-101B-9397-08002B2CF9AE}" pid="11" name="MediaServiceImageTags">
    <vt:lpwstr/>
  </property>
  <property fmtid="{D5CDD505-2E9C-101B-9397-08002B2CF9AE}" pid="12" name="MSIP_Label_6267e522-0091-4d88-9989-f382df9eb3cc_Enabled">
    <vt:lpwstr>true</vt:lpwstr>
  </property>
  <property fmtid="{D5CDD505-2E9C-101B-9397-08002B2CF9AE}" pid="13" name="MSIP_Label_6267e522-0091-4d88-9989-f382df9eb3cc_SetDate">
    <vt:lpwstr>2026-03-12T08:25:45Z</vt:lpwstr>
  </property>
  <property fmtid="{D5CDD505-2E9C-101B-9397-08002B2CF9AE}" pid="14" name="MSIP_Label_6267e522-0091-4d88-9989-f382df9eb3cc_Method">
    <vt:lpwstr>Privileged</vt:lpwstr>
  </property>
  <property fmtid="{D5CDD505-2E9C-101B-9397-08002B2CF9AE}" pid="15" name="MSIP_Label_6267e522-0091-4d88-9989-f382df9eb3cc_Name">
    <vt:lpwstr>General</vt:lpwstr>
  </property>
  <property fmtid="{D5CDD505-2E9C-101B-9397-08002B2CF9AE}" pid="16" name="MSIP_Label_6267e522-0091-4d88-9989-f382df9eb3cc_SiteId">
    <vt:lpwstr>8f3e36ea-8039-4b40-81a7-7dc0599e8645</vt:lpwstr>
  </property>
  <property fmtid="{D5CDD505-2E9C-101B-9397-08002B2CF9AE}" pid="17" name="MSIP_Label_6267e522-0091-4d88-9989-f382df9eb3cc_ActionId">
    <vt:lpwstr>5c88c4c3-bb5d-4f33-9a0e-683a32b71c55</vt:lpwstr>
  </property>
  <property fmtid="{D5CDD505-2E9C-101B-9397-08002B2CF9AE}" pid="18" name="MSIP_Label_6267e522-0091-4d88-9989-f382df9eb3cc_ContentBits">
    <vt:lpwstr>0</vt:lpwstr>
  </property>
  <property fmtid="{D5CDD505-2E9C-101B-9397-08002B2CF9AE}" pid="19" name="MSIP_Label_6267e522-0091-4d88-9989-f382df9eb3cc_Tag">
    <vt:lpwstr>10, 0, 1, 1</vt:lpwstr>
  </property>
  <property fmtid="{D5CDD505-2E9C-101B-9397-08002B2CF9AE}" pid="20" name="snltemplateid">
    <vt:r8>433117451</vt:r8>
  </property>
  <property fmtid="{D5CDD505-2E9C-101B-9397-08002B2CF9AE}" pid="21" name="KeyFile">
    <vt:r8>433117451</vt:r8>
  </property>
</Properties>
</file>