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C:\Users\chahat_khanna\Downloads\"/>
    </mc:Choice>
  </mc:AlternateContent>
  <xr:revisionPtr revIDLastSave="0" documentId="13_ncr:1_{47B04110-61AF-46DD-88AC-1E1D633503D5}" xr6:coauthVersionLast="47" xr6:coauthVersionMax="47" xr10:uidLastSave="{00000000-0000-0000-0000-000000000000}"/>
  <bookViews>
    <workbookView xWindow="22932" yWindow="624" windowWidth="30936" windowHeight="16776" firstSheet="1" activeTab="1" xr2:uid="{00000000-000D-0000-FFFF-FFFF00000000}"/>
  </bookViews>
  <sheets>
    <sheet name="__snloffice" sheetId="5" state="veryHidden" r:id="rId1"/>
    <sheet name="TearSheet" sheetId="4" r:id="rId2"/>
    <sheet name="PeerAnalysis" sheetId="7" r:id="rId3"/>
  </sheets>
  <definedNames>
    <definedName name="_xlnm._FilterDatabase" localSheetId="2" hidden="1">PeerAnalysis!#REF!</definedName>
    <definedName name="_xlnm._FilterDatabase" localSheetId="1" hidden="1">TearSheet!#REF!</definedName>
    <definedName name="Data">TearSheet!$AC$3:$AI$3</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46002.4281828704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2">PeerAnalysis!$B$10:$W$64</definedName>
    <definedName name="_xlnm.Print_Area" localSheetId="1">TearSheet!$B$25:$T$63</definedName>
    <definedName name="snl__7173D697_5E2D_497C_BBC3_897A26060050_" localSheetId="1" hidden="1">PeerAnalysis!$E$10:$E$22</definedName>
    <definedName name="snl__72A59A49_BB67_44CC_A6C3_9D28E590D1F9_" localSheetId="1" hidden="1">PeerAnalysis!$E$10:$E$21</definedName>
    <definedName name="snl__77F99CD8_EB64_4426_836C_63BCA3D12FEA_" localSheetId="1" hidden="1">PeerAnalysis!$E$12:$E$24</definedName>
    <definedName name="snl__BA5C0AD7_E3FE_4191_BEDB_0CD4D37E80A6_" localSheetId="2" hidden="1">PeerAnalysis!$AA$12:$AA$24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W56" i="7" l="1" a="1"/>
  <c r="W56" i="7" l="1"/>
  <c r="V56" i="7" a="1"/>
  <c r="V56" i="7" l="1"/>
  <c r="U56" i="7" a="1"/>
  <c r="U56" i="7" l="1"/>
  <c r="T56" i="7" a="1"/>
  <c r="T56" i="7" l="1"/>
  <c r="S56" i="7" a="1"/>
  <c r="S56" i="7" l="1"/>
  <c r="R56" i="7" a="1"/>
  <c r="R56" i="7" l="1"/>
  <c r="Q56" i="7" a="1"/>
  <c r="Q56" i="7" l="1"/>
  <c r="P56" i="7" a="1"/>
  <c r="P56" i="7" l="1"/>
  <c r="O56" i="7" a="1"/>
  <c r="O56" i="7" l="1"/>
  <c r="N56" i="7" a="1"/>
  <c r="N56" i="7" l="1"/>
  <c r="M56" i="7" a="1"/>
  <c r="M56" i="7" l="1"/>
  <c r="L56" i="7" a="1"/>
  <c r="L56" i="7" l="1"/>
  <c r="K56" i="7" a="1"/>
  <c r="K56" i="7" l="1"/>
  <c r="J56" i="7" a="1"/>
  <c r="J56" i="7" l="1"/>
  <c r="I56" i="7" a="1"/>
  <c r="I56" i="7" l="1"/>
  <c r="H56" i="7" a="1"/>
  <c r="H56" i="7" l="1"/>
  <c r="G56" i="7" a="1"/>
  <c r="G56" i="7" l="1"/>
  <c r="F56" i="7" a="1"/>
  <c r="F56" i="7" l="1"/>
  <c r="W37" i="7" a="1"/>
  <c r="W37" i="7" l="1"/>
  <c r="V37" i="7" a="1"/>
  <c r="V37" i="7" l="1"/>
  <c r="U37" i="7" a="1"/>
  <c r="U37" i="7" l="1"/>
  <c r="T37" i="7" a="1"/>
  <c r="T37" i="7" l="1"/>
  <c r="S37" i="7" a="1"/>
  <c r="S37" i="7" l="1"/>
  <c r="R37" i="7" a="1"/>
  <c r="R37" i="7" l="1"/>
  <c r="Q37" i="7" a="1"/>
  <c r="Q37" i="7" l="1"/>
  <c r="P37" i="7" a="1"/>
  <c r="P37" i="7" l="1"/>
  <c r="O37" i="7" a="1"/>
  <c r="O37" i="7" l="1"/>
  <c r="N37" i="7" a="1"/>
  <c r="N37" i="7" l="1"/>
  <c r="M37" i="7" a="1"/>
  <c r="M37" i="7" l="1"/>
  <c r="L37" i="7" a="1"/>
  <c r="L37" i="7" l="1"/>
  <c r="K37" i="7" a="1"/>
  <c r="K37" i="7" l="1"/>
  <c r="J37" i="7" a="1"/>
  <c r="J37" i="7" l="1"/>
  <c r="I37" i="7" a="1"/>
  <c r="I37" i="7" l="1"/>
  <c r="H37" i="7" a="1"/>
  <c r="H37" i="7" l="1"/>
  <c r="G37" i="7" a="1"/>
  <c r="G37" i="7" l="1"/>
  <c r="F37" i="7" a="1"/>
  <c r="F37" i="7" l="1"/>
  <c r="W19" i="7" a="1"/>
  <c r="W19" i="7" l="1"/>
  <c r="V19" i="7" a="1"/>
  <c r="V19" i="7" l="1"/>
  <c r="U19" i="7" a="1"/>
  <c r="U19" i="7" l="1"/>
  <c r="T19" i="7" a="1"/>
  <c r="T19" i="7" l="1"/>
  <c r="S19" i="7" a="1"/>
  <c r="S19" i="7" l="1"/>
  <c r="R19" i="7" a="1"/>
  <c r="R19" i="7" l="1"/>
  <c r="Q19" i="7" a="1"/>
  <c r="Q19" i="7" l="1"/>
  <c r="P19" i="7" a="1"/>
  <c r="P19" i="7" l="1"/>
  <c r="O19" i="7" a="1"/>
  <c r="O19" i="7" l="1"/>
  <c r="N19" i="7" a="1"/>
  <c r="N19" i="7" l="1"/>
  <c r="M19" i="7" a="1"/>
  <c r="M19" i="7" l="1"/>
  <c r="L19" i="7" a="1"/>
  <c r="L19" i="7" l="1"/>
  <c r="K19" i="7" a="1"/>
  <c r="K19" i="7" l="1"/>
  <c r="J19" i="7" a="1"/>
  <c r="J19" i="7" l="1"/>
  <c r="I19" i="7" a="1"/>
  <c r="I19" i="7" l="1"/>
  <c r="H19" i="7" a="1"/>
  <c r="H19" i="7" l="1"/>
  <c r="G19" i="7" a="1"/>
  <c r="G19" i="7" l="1"/>
  <c r="F19" i="7" a="1"/>
  <c r="F19" i="7" l="1"/>
  <c r="AD40" i="4" a="1"/>
  <c r="AD40" i="4" l="1"/>
  <c r="B7" i="7"/>
  <c r="R8" i="7"/>
  <c r="F11" i="7"/>
  <c r="G11" i="7"/>
  <c r="H11" i="7"/>
  <c r="I11" i="7"/>
  <c r="J11" i="7"/>
  <c r="S12" i="7"/>
  <c r="E13" i="7"/>
  <c r="E14" i="7"/>
  <c r="E15" i="7"/>
  <c r="E16" i="7"/>
  <c r="E17" i="7"/>
  <c r="E18" i="7"/>
  <c r="E19" i="7"/>
  <c r="E20" i="7"/>
  <c r="E21" i="7"/>
  <c r="E22" i="7"/>
  <c r="E23" i="7"/>
  <c r="E24" i="7"/>
  <c r="E25" i="7"/>
  <c r="R27" i="7"/>
  <c r="G29" i="7"/>
  <c r="F29" i="7" s="1"/>
  <c r="H29" i="7"/>
  <c r="M29" i="7"/>
  <c r="L29" i="7"/>
  <c r="N29" i="7"/>
  <c r="S29" i="7"/>
  <c r="R29" i="7"/>
  <c r="T29" i="7"/>
  <c r="D31" i="7"/>
  <c r="E31" i="7" s="1"/>
  <c r="D32" i="7"/>
  <c r="E32" i="7"/>
  <c r="D33" i="7"/>
  <c r="E33" i="7"/>
  <c r="D34" i="7"/>
  <c r="E34" i="7"/>
  <c r="D35" i="7"/>
  <c r="E35" i="7"/>
  <c r="D36" i="7"/>
  <c r="E36" i="7"/>
  <c r="D37" i="7"/>
  <c r="E37" i="7" s="1"/>
  <c r="D38" i="7"/>
  <c r="E38" i="7"/>
  <c r="D39" i="7"/>
  <c r="E39" i="7"/>
  <c r="D40" i="7"/>
  <c r="E40" i="7" s="1"/>
  <c r="D41" i="7"/>
  <c r="E41" i="7" s="1"/>
  <c r="D42" i="7"/>
  <c r="E42" i="7" s="1"/>
  <c r="E43" i="7"/>
  <c r="F45" i="7"/>
  <c r="L45" i="7"/>
  <c r="R45" i="7"/>
  <c r="F46" i="7"/>
  <c r="L46" i="7"/>
  <c r="R46" i="7"/>
  <c r="G48" i="7"/>
  <c r="F48" i="7"/>
  <c r="H48" i="7"/>
  <c r="M48" i="7"/>
  <c r="N48" i="7" s="1"/>
  <c r="L48" i="7"/>
  <c r="S48" i="7"/>
  <c r="D50" i="7"/>
  <c r="E50" i="7" s="1"/>
  <c r="D51" i="7"/>
  <c r="E51" i="7" s="1"/>
  <c r="D52" i="7"/>
  <c r="E52" i="7"/>
  <c r="D53" i="7"/>
  <c r="E53" i="7"/>
  <c r="D54" i="7"/>
  <c r="E54" i="7" s="1"/>
  <c r="D55" i="7"/>
  <c r="E55" i="7" s="1"/>
  <c r="D56" i="7"/>
  <c r="E56" i="7"/>
  <c r="D57" i="7"/>
  <c r="E57" i="7"/>
  <c r="D58" i="7"/>
  <c r="E58" i="7"/>
  <c r="D59" i="7"/>
  <c r="E59" i="7" s="1"/>
  <c r="D60" i="7"/>
  <c r="E60" i="7" s="1"/>
  <c r="D61" i="7"/>
  <c r="E61" i="7" s="1"/>
  <c r="E62" i="7"/>
  <c r="AC1" i="4"/>
  <c r="AD1" i="4" s="1"/>
  <c r="AE1" i="4" s="1"/>
  <c r="AE5" i="4" s="1"/>
  <c r="AF1" i="4"/>
  <c r="AK1" i="4"/>
  <c r="AM1" i="4" s="1"/>
  <c r="F28" i="7" s="1"/>
  <c r="AL1" i="4"/>
  <c r="AN1" i="4"/>
  <c r="AF33" i="4"/>
  <c r="AG33" i="4"/>
  <c r="G27" i="4"/>
  <c r="F27" i="4"/>
  <c r="E27" i="4" s="1"/>
  <c r="H27" i="4"/>
  <c r="AB3" i="4"/>
  <c r="AD5" i="4"/>
  <c r="K25" i="4"/>
  <c r="AI40" i="4"/>
  <c r="B19" i="7" a="1"/>
  <c r="AA12" i="7" a="1"/>
  <c r="H20" i="4" a="1"/>
  <c r="B2" i="7" a="1"/>
  <c r="B25" i="4" a="1"/>
  <c r="E11" i="4" a="1"/>
  <c r="AD34" i="4" a="1"/>
  <c r="AD39" i="4" a="1"/>
  <c r="AD38" i="4" a="1"/>
  <c r="B19" i="7" l="1"/>
  <c r="AD38" i="4"/>
  <c r="AD39" i="4"/>
  <c r="AD34" i="4"/>
  <c r="E11" i="4"/>
  <c r="B25" i="4"/>
  <c r="B2" i="7"/>
  <c r="H20" i="4"/>
  <c r="AA12" i="7"/>
  <c r="I27" i="4"/>
  <c r="AA2" i="4"/>
  <c r="AA4" i="4" s="1"/>
  <c r="AA3" i="4"/>
  <c r="AG1" i="4"/>
  <c r="AF5" i="4"/>
  <c r="AC5" i="4"/>
  <c r="R48" i="7"/>
  <c r="T48" i="7"/>
  <c r="R12" i="7"/>
  <c r="T12" i="7"/>
  <c r="L38" i="7" a="1"/>
  <c r="K60" i="7" a="1"/>
  <c r="H55" i="7" a="1"/>
  <c r="M31" i="7" a="1"/>
  <c r="S22" i="7" a="1"/>
  <c r="Q59" i="7" a="1"/>
  <c r="Q51" i="7" a="1"/>
  <c r="F55" i="7" a="1"/>
  <c r="W42" i="7" a="1"/>
  <c r="T57" i="7" a="1"/>
  <c r="J57" i="7" a="1"/>
  <c r="K50" i="7" a="1"/>
  <c r="R32" i="7" a="1"/>
  <c r="L35" i="7" a="1"/>
  <c r="P54" i="7" a="1"/>
  <c r="V41" i="7" a="1"/>
  <c r="Q40" i="7" a="1"/>
  <c r="Q62" i="7" a="1"/>
  <c r="J53" i="7" a="1"/>
  <c r="G39" i="7" a="1"/>
  <c r="S33" i="7" a="1"/>
  <c r="J41" i="7" a="1"/>
  <c r="V18" i="7" a="1"/>
  <c r="T58" i="7" a="1"/>
  <c r="G52" i="7" a="1"/>
  <c r="J34" i="7" a="1"/>
  <c r="T43" i="7" a="1"/>
  <c r="H61" i="7" a="1"/>
  <c r="G36" i="7" a="1"/>
  <c r="U25" i="7" a="1"/>
  <c r="P60" i="7" a="1"/>
  <c r="B18" i="7" a="1"/>
  <c r="S38" i="7" a="1"/>
  <c r="R21" i="7" a="1"/>
  <c r="F60" i="7" a="1"/>
  <c r="T23" i="7" a="1"/>
  <c r="R23" i="7" a="1"/>
  <c r="P55" i="7" a="1"/>
  <c r="L31" i="7" a="1"/>
  <c r="U22" i="7" a="1"/>
  <c r="W20" i="7" a="1"/>
  <c r="G59" i="7" a="1"/>
  <c r="H51" i="7" a="1"/>
  <c r="J42" i="7" a="1"/>
  <c r="M57" i="7" a="1"/>
  <c r="P57" i="7" a="1"/>
  <c r="N50" i="7" a="1"/>
  <c r="H32" i="7" a="1"/>
  <c r="O35" i="7" a="1"/>
  <c r="T15" i="7" a="1"/>
  <c r="F54" i="7" a="1"/>
  <c r="N41" i="7" a="1"/>
  <c r="I40" i="7" a="1"/>
  <c r="V14" i="7" a="1"/>
  <c r="U62" i="7" a="1"/>
  <c r="P62" i="7" a="1"/>
  <c r="S53" i="7" a="1"/>
  <c r="P39" i="7" a="1"/>
  <c r="K33" i="7" a="1"/>
  <c r="I54" i="7" a="1"/>
  <c r="AD45" i="4" a="1"/>
  <c r="L58" i="7" a="1"/>
  <c r="B17" i="7" a="1"/>
  <c r="V52" i="7" a="1"/>
  <c r="Q34" i="7" a="1"/>
  <c r="L43" i="7" a="1"/>
  <c r="W61" i="7" a="1"/>
  <c r="R16" i="7" a="1"/>
  <c r="V36" i="7" a="1"/>
  <c r="W23" i="7" a="1"/>
  <c r="N55" i="7" a="1"/>
  <c r="L55" i="7" a="1"/>
  <c r="Q31" i="7" a="1"/>
  <c r="U20" i="7" a="1"/>
  <c r="W59" i="7" a="1"/>
  <c r="V51" i="7" a="1"/>
  <c r="O42" i="7" a="1"/>
  <c r="G57" i="7" a="1"/>
  <c r="F42" i="7" a="1"/>
  <c r="R50" i="7" a="1"/>
  <c r="P32" i="7" a="1"/>
  <c r="Q35" i="7" a="1"/>
  <c r="S15" i="7" a="1"/>
  <c r="AD36" i="4" a="1"/>
  <c r="N54" i="7" a="1"/>
  <c r="S41" i="7" a="1"/>
  <c r="L40" i="7" a="1"/>
  <c r="O62" i="7" a="1"/>
  <c r="V53" i="7" a="1"/>
  <c r="N53" i="7" a="1"/>
  <c r="N39" i="7" a="1"/>
  <c r="Q33" i="7" a="1"/>
  <c r="H58" i="7" a="1"/>
  <c r="W17" i="7" a="1"/>
  <c r="H52" i="7" a="1"/>
  <c r="O34" i="7" a="1"/>
  <c r="N43" i="7" a="1"/>
  <c r="N61" i="7" a="1"/>
  <c r="M36" i="7" a="1"/>
  <c r="G38" i="7" a="1"/>
  <c r="H60" i="7" a="1"/>
  <c r="S60" i="7" a="1"/>
  <c r="G55" i="7" a="1"/>
  <c r="W31" i="7" a="1"/>
  <c r="U31" i="7" a="1"/>
  <c r="V20" i="7" a="1"/>
  <c r="H59" i="7" a="1"/>
  <c r="L51" i="7" a="1"/>
  <c r="H42" i="7" a="1"/>
  <c r="V57" i="7" a="1"/>
  <c r="J50" i="7" a="1"/>
  <c r="W32" i="7" a="1"/>
  <c r="I35" i="7" a="1"/>
  <c r="W54" i="7" a="1"/>
  <c r="M41" i="7" a="1"/>
  <c r="U40" i="7" a="1"/>
  <c r="F62" i="7" a="1"/>
  <c r="O53" i="7" a="1"/>
  <c r="Q53" i="7" a="1"/>
  <c r="W39" i="7" a="1"/>
  <c r="P33" i="7" a="1"/>
  <c r="S24" i="7" a="1"/>
  <c r="T24" i="7" a="1"/>
  <c r="R18" i="7" a="1"/>
  <c r="F58" i="7" a="1"/>
  <c r="Q52" i="7" a="1"/>
  <c r="N34" i="7" a="1"/>
  <c r="M43" i="7" a="1"/>
  <c r="U61" i="7" a="1"/>
  <c r="AD37" i="4" a="1"/>
  <c r="U13" i="7" a="1"/>
  <c r="W25" i="7" a="1"/>
  <c r="R60" i="7" a="1"/>
  <c r="V23" i="7" a="1"/>
  <c r="H31" i="7" a="1"/>
  <c r="N59" i="7" a="1"/>
  <c r="J51" i="7" a="1"/>
  <c r="U42" i="7" a="1"/>
  <c r="K42" i="7" a="1"/>
  <c r="N57" i="7" a="1"/>
  <c r="AD41" i="4" a="1"/>
  <c r="Q50" i="7" a="1"/>
  <c r="S32" i="7" a="1"/>
  <c r="I32" i="7" a="1"/>
  <c r="P35" i="7" a="1"/>
  <c r="R15" i="7" a="1"/>
  <c r="G54" i="7" a="1"/>
  <c r="U41" i="7" a="1"/>
  <c r="K40" i="7" a="1"/>
  <c r="V62" i="7" a="1"/>
  <c r="H53" i="7" a="1"/>
  <c r="S39" i="7" a="1"/>
  <c r="H39" i="7" a="1"/>
  <c r="U33" i="7" a="1"/>
  <c r="G58" i="7" a="1"/>
  <c r="V58" i="7" a="1"/>
  <c r="U17" i="7" a="1"/>
  <c r="I52" i="7" a="1"/>
  <c r="M34" i="7" a="1"/>
  <c r="I43" i="7" a="1"/>
  <c r="F61" i="7" a="1"/>
  <c r="T25" i="7" a="1"/>
  <c r="K36" i="7" a="1"/>
  <c r="F38" i="7" a="1"/>
  <c r="U21" i="7" a="1"/>
  <c r="J60" i="7" a="1"/>
  <c r="J55" i="7" a="1"/>
  <c r="I31" i="7" a="1"/>
  <c r="J31" i="7" a="1"/>
  <c r="S59" i="7" a="1"/>
  <c r="M59" i="7" a="1"/>
  <c r="U51" i="7" a="1"/>
  <c r="N42" i="7" a="1"/>
  <c r="R42" i="7" a="1"/>
  <c r="S57" i="7" a="1"/>
  <c r="I50" i="7" a="1"/>
  <c r="L32" i="7" a="1"/>
  <c r="O32" i="7" a="1"/>
  <c r="H35" i="7" a="1"/>
  <c r="R54" i="7" a="1"/>
  <c r="M54" i="7" a="1"/>
  <c r="T41" i="7" a="1"/>
  <c r="S40" i="7" a="1"/>
  <c r="T14" i="7" a="1"/>
  <c r="M62" i="7" a="1"/>
  <c r="U53" i="7" a="1"/>
  <c r="L39" i="7" a="1"/>
  <c r="O39" i="7" a="1"/>
  <c r="G33" i="7" a="1"/>
  <c r="R24" i="7" a="1"/>
  <c r="U18" i="7" a="1"/>
  <c r="O58" i="7" a="1"/>
  <c r="U52" i="7" a="1"/>
  <c r="W34" i="7" a="1"/>
  <c r="R25" i="7" a="1"/>
  <c r="T16" i="7" a="1"/>
  <c r="B13" i="7" a="1"/>
  <c r="K38" i="7" a="1"/>
  <c r="AD42" i="4" a="1"/>
  <c r="T60" i="7" a="1"/>
  <c r="O55" i="7" a="1"/>
  <c r="T31" i="7" a="1"/>
  <c r="T21" i="7" a="1"/>
  <c r="P59" i="7" a="1"/>
  <c r="O51" i="7" a="1"/>
  <c r="S42" i="7" a="1"/>
  <c r="F57" i="7" a="1"/>
  <c r="U57" i="7" a="1"/>
  <c r="T50" i="7" a="1"/>
  <c r="V50" i="7" a="1"/>
  <c r="Q32" i="7" a="1"/>
  <c r="U35" i="7" a="1"/>
  <c r="F35" i="7" a="1"/>
  <c r="V15" i="7" a="1"/>
  <c r="O54" i="7" a="1"/>
  <c r="F41" i="7" a="1"/>
  <c r="P40" i="7" a="1"/>
  <c r="N62" i="7" a="1"/>
  <c r="L62" i="7" a="1"/>
  <c r="F53" i="7" a="1"/>
  <c r="F39" i="7" a="1"/>
  <c r="M33" i="7" a="1"/>
  <c r="H62" i="7" a="1"/>
  <c r="V24" i="7" a="1"/>
  <c r="S18" i="7" a="1"/>
  <c r="N58" i="7" a="1"/>
  <c r="S17" i="7" a="1"/>
  <c r="N52" i="7" a="1"/>
  <c r="I34" i="7" a="1"/>
  <c r="S43" i="7" a="1"/>
  <c r="O61" i="7" a="1"/>
  <c r="N36" i="7" a="1"/>
  <c r="S25" i="7" a="1"/>
  <c r="O60" i="7" a="1"/>
  <c r="U38" i="7" a="1"/>
  <c r="W50" i="7" a="1"/>
  <c r="F51" i="4" a="1"/>
  <c r="G43" i="4" a="1"/>
  <c r="H26" i="4" a="1"/>
  <c r="E47" i="4" a="1"/>
  <c r="N51" i="7" a="1"/>
  <c r="H51" i="4" a="1"/>
  <c r="U24" i="7" a="1"/>
  <c r="F26" i="4" a="1"/>
  <c r="J32" i="7" a="1"/>
  <c r="K39" i="7" a="1"/>
  <c r="L36" i="7" a="1"/>
  <c r="I53" i="7" a="1"/>
  <c r="S16" i="7" a="1"/>
  <c r="E54" i="4" a="1"/>
  <c r="H54" i="4" a="1"/>
  <c r="F33" i="7" a="1"/>
  <c r="E35" i="4" a="1"/>
  <c r="I36" i="7" a="1"/>
  <c r="V54" i="7" a="1"/>
  <c r="K32" i="7" a="1"/>
  <c r="U14" i="7" a="1"/>
  <c r="Q58" i="7" a="1"/>
  <c r="R33" i="7" a="1"/>
  <c r="E28" i="4" a="1"/>
  <c r="F37" i="4" a="1"/>
  <c r="F46" i="4" a="1"/>
  <c r="F40" i="7" a="1"/>
  <c r="V25" i="7" a="1"/>
  <c r="H33" i="4" a="1"/>
  <c r="G46" i="4" a="1"/>
  <c r="H35" i="4" a="1"/>
  <c r="H43" i="4" a="1"/>
  <c r="W55" i="7" a="1"/>
  <c r="E37" i="4" a="1"/>
  <c r="E57" i="4" a="1"/>
  <c r="R35" i="7" a="1"/>
  <c r="W16" i="7" a="1"/>
  <c r="I33" i="7" a="1"/>
  <c r="M39" i="7" a="1"/>
  <c r="F28" i="4" a="1"/>
  <c r="F31" i="4" a="1"/>
  <c r="H37" i="4" a="1"/>
  <c r="G44" i="4" a="1"/>
  <c r="F52" i="4" a="1"/>
  <c r="E61" i="4" a="1"/>
  <c r="S14" i="7" a="1"/>
  <c r="S36" i="7" a="1"/>
  <c r="J52" i="7" a="1"/>
  <c r="H28" i="4" a="1"/>
  <c r="H31" i="4" a="1"/>
  <c r="F47" i="4" a="1"/>
  <c r="G52" i="4" a="1"/>
  <c r="G43" i="7" a="1"/>
  <c r="G34" i="7" a="1"/>
  <c r="I61" i="7" a="1"/>
  <c r="F58" i="4" a="1"/>
  <c r="L34" i="7" a="1"/>
  <c r="J61" i="7" a="1"/>
  <c r="S61" i="7" a="1"/>
  <c r="F50" i="4" a="1"/>
  <c r="E53" i="4" a="1"/>
  <c r="V17" i="7" a="1"/>
  <c r="T34" i="7" a="1"/>
  <c r="R43" i="7" a="1"/>
  <c r="T36" i="7" a="1"/>
  <c r="H47" i="4" a="1"/>
  <c r="J40" i="7" a="1"/>
  <c r="E34" i="4" a="1"/>
  <c r="F39" i="4" a="1"/>
  <c r="E32" i="4" a="1"/>
  <c r="H36" i="4" a="1"/>
  <c r="F45" i="4" a="1"/>
  <c r="G53" i="4" a="1"/>
  <c r="H58" i="4" a="1"/>
  <c r="V61" i="7" a="1"/>
  <c r="E58" i="4" a="1"/>
  <c r="P43" i="7" a="1"/>
  <c r="G53" i="7" a="1"/>
  <c r="E26" i="4" a="1"/>
  <c r="F34" i="4" a="1"/>
  <c r="H42" i="4" a="1"/>
  <c r="H45" i="4" a="1"/>
  <c r="U34" i="7" a="1"/>
  <c r="U43" i="7" a="1"/>
  <c r="F32" i="4" a="1"/>
  <c r="H34" i="4" a="1"/>
  <c r="H50" i="4" a="1"/>
  <c r="F59" i="4" a="1"/>
  <c r="E39" i="4" a="1"/>
  <c r="G50" i="4" a="1"/>
  <c r="F60" i="4" a="1"/>
  <c r="V13" i="7" a="1"/>
  <c r="M52" i="7" a="1"/>
  <c r="G60" i="4" a="1"/>
  <c r="W13" i="7" a="1"/>
  <c r="M61" i="7" a="1"/>
  <c r="H39" i="4" a="1"/>
  <c r="E45" i="4" a="1"/>
  <c r="G58" i="4" a="1"/>
  <c r="E30" i="4" a="1"/>
  <c r="E33" i="4" a="1"/>
  <c r="F42" i="4" a="1"/>
  <c r="H53" i="4" a="1"/>
  <c r="F57" i="4" a="1"/>
  <c r="H61" i="4" a="1"/>
  <c r="F30" i="4" a="1"/>
  <c r="E36" i="4" a="1"/>
  <c r="E50" i="4" a="1"/>
  <c r="H59" i="4" a="1"/>
  <c r="U36" i="7" a="1"/>
  <c r="H30" i="4" a="1"/>
  <c r="F33" i="4" a="1"/>
  <c r="F36" i="4" a="1"/>
  <c r="G42" i="4" a="1"/>
  <c r="E44" i="4" a="1"/>
  <c r="S13" i="7" a="1"/>
  <c r="F35" i="4" a="1"/>
  <c r="E42" i="4" a="1"/>
  <c r="G51" i="4" a="1"/>
  <c r="F54" i="4" a="1"/>
  <c r="G59" i="4" a="1"/>
  <c r="R36" i="7" a="1"/>
  <c r="V43" i="7" a="1"/>
  <c r="E31" i="4" a="1"/>
  <c r="H32" i="4" a="1"/>
  <c r="H44" i="4" a="1"/>
  <c r="G47" i="4" a="1"/>
  <c r="E51" i="4" a="1"/>
  <c r="E59" i="4" a="1"/>
  <c r="H60" i="4" a="1"/>
  <c r="H36" i="7" a="1"/>
  <c r="F43" i="4" a="1"/>
  <c r="E46" i="4" a="1"/>
  <c r="H52" i="4" a="1"/>
  <c r="G57" i="4" a="1"/>
  <c r="F61" i="4" a="1"/>
  <c r="G26" i="4" a="1"/>
  <c r="G28" i="4" a="1"/>
  <c r="G30" i="4" a="1"/>
  <c r="G31" i="4" a="1"/>
  <c r="G32" i="4" a="1"/>
  <c r="G33" i="4" a="1"/>
  <c r="G34" i="4" a="1"/>
  <c r="G35" i="4" a="1"/>
  <c r="G36" i="4" a="1"/>
  <c r="G37" i="4" a="1"/>
  <c r="G39" i="4" a="1"/>
  <c r="E43" i="4" a="1"/>
  <c r="F44" i="4" a="1"/>
  <c r="G45" i="4" a="1"/>
  <c r="H46" i="4" a="1"/>
  <c r="E52" i="4" a="1"/>
  <c r="F53" i="4" a="1"/>
  <c r="G54" i="4" a="1"/>
  <c r="H57" i="4" a="1"/>
  <c r="E60" i="4" a="1"/>
  <c r="G61" i="4" a="1"/>
  <c r="N38" i="7" a="1"/>
  <c r="Q38" i="7" a="1"/>
  <c r="M60" i="7" a="1"/>
  <c r="S23" i="7" a="1"/>
  <c r="AD44" i="4" a="1"/>
  <c r="S55" i="7" a="1"/>
  <c r="S31" i="7" a="1"/>
  <c r="S20" i="7" a="1"/>
  <c r="F59" i="7" a="1"/>
  <c r="G51" i="7" a="1"/>
  <c r="I42" i="7" a="1"/>
  <c r="W57" i="7" a="1"/>
  <c r="Q57" i="7" a="1"/>
  <c r="M50" i="7" a="1"/>
  <c r="P50" i="7" a="1"/>
  <c r="G32" i="7" a="1"/>
  <c r="N35" i="7" a="1"/>
  <c r="W35" i="7" a="1"/>
  <c r="U54" i="7" a="1"/>
  <c r="Q41" i="7" a="1"/>
  <c r="G40" i="7" a="1"/>
  <c r="G62" i="7" a="1"/>
  <c r="K62" i="7" a="1"/>
  <c r="R53" i="7" a="1"/>
  <c r="V39" i="7" a="1"/>
  <c r="W33" i="7" a="1"/>
  <c r="K58" i="7" a="1"/>
  <c r="F52" i="7" a="1"/>
  <c r="P34" i="7" a="1"/>
  <c r="K43" i="7" a="1"/>
  <c r="G61" i="7" a="1"/>
  <c r="F36" i="7" a="1"/>
  <c r="V38" i="7" a="1"/>
  <c r="N60" i="7" a="1"/>
  <c r="M38" i="7" a="1"/>
  <c r="W21" i="7" a="1"/>
  <c r="V60" i="7" a="1"/>
  <c r="G60" i="7" a="1"/>
  <c r="U55" i="7" a="1"/>
  <c r="M55" i="7" a="1"/>
  <c r="R31" i="7" a="1"/>
  <c r="I59" i="7" a="1"/>
  <c r="M51" i="7" a="1"/>
  <c r="P42" i="7" a="1"/>
  <c r="O57" i="7" a="1"/>
  <c r="F50" i="7" a="1"/>
  <c r="O50" i="7" a="1"/>
  <c r="T32" i="7" a="1"/>
  <c r="G35" i="7" a="1"/>
  <c r="S35" i="7" a="1"/>
  <c r="Q54" i="7" a="1"/>
  <c r="P41" i="7" a="1"/>
  <c r="W40" i="7" a="1"/>
  <c r="W62" i="7" a="1"/>
  <c r="P53" i="7" a="1"/>
  <c r="U39" i="7" a="1"/>
  <c r="J33" i="7" a="1"/>
  <c r="W18" i="7" a="1"/>
  <c r="J58" i="7" a="1"/>
  <c r="R52" i="7" a="1"/>
  <c r="F34" i="7" a="1"/>
  <c r="O43" i="7" a="1"/>
  <c r="Q61" i="7" a="1"/>
  <c r="P36" i="7" a="1"/>
  <c r="AD46" i="4" a="1"/>
  <c r="P31" i="7" a="1"/>
  <c r="I38" i="7" a="1"/>
  <c r="H38" i="7" a="1"/>
  <c r="L60" i="7" a="1"/>
  <c r="U23" i="7" a="1"/>
  <c r="K55" i="7" a="1"/>
  <c r="N31" i="7" a="1"/>
  <c r="V22" i="7" a="1"/>
  <c r="W22" i="7" a="1"/>
  <c r="R59" i="7" a="1"/>
  <c r="P51" i="7" a="1"/>
  <c r="T51" i="7" a="1"/>
  <c r="T42" i="7" a="1"/>
  <c r="L57" i="7" a="1"/>
  <c r="G50" i="7" a="1"/>
  <c r="U32" i="7" a="1"/>
  <c r="J35" i="7" a="1"/>
  <c r="U15" i="7" a="1"/>
  <c r="S54" i="7" a="1"/>
  <c r="O41" i="7" a="1"/>
  <c r="O40" i="7" a="1"/>
  <c r="M40" i="7" a="1"/>
  <c r="R14" i="7" a="1"/>
  <c r="I62" i="7" a="1"/>
  <c r="K53" i="7" a="1"/>
  <c r="I39" i="7" a="1"/>
  <c r="T33" i="7" a="1"/>
  <c r="U58" i="7" a="1"/>
  <c r="W52" i="7" a="1"/>
  <c r="K34" i="7" a="1"/>
  <c r="Q43" i="7" a="1"/>
  <c r="K61" i="7" a="1"/>
  <c r="U16" i="7" a="1"/>
  <c r="R13" i="7" a="1"/>
  <c r="W36" i="7" a="1"/>
  <c r="T38" i="7" a="1"/>
  <c r="V21" i="7" a="1"/>
  <c r="S21" i="7" a="1"/>
  <c r="U60" i="7" a="1"/>
  <c r="T55" i="7" a="1"/>
  <c r="F31" i="7" a="1"/>
  <c r="AD43" i="4" a="1"/>
  <c r="J59" i="7" a="1"/>
  <c r="I51" i="7" a="1"/>
  <c r="S51" i="7" a="1"/>
  <c r="L42" i="7" a="1"/>
  <c r="K57" i="7" a="1"/>
  <c r="L50" i="7" a="1"/>
  <c r="M32" i="7" a="1"/>
  <c r="M35" i="7" a="1"/>
  <c r="J54" i="7" a="1"/>
  <c r="G41" i="7" a="1"/>
  <c r="H40" i="7" a="1"/>
  <c r="W14" i="7" a="1"/>
  <c r="R62" i="7" a="1"/>
  <c r="W53" i="7" a="1"/>
  <c r="T39" i="7" a="1"/>
  <c r="L33" i="7" a="1"/>
  <c r="W15" i="7" a="1"/>
  <c r="W24" i="7" a="1"/>
  <c r="M58" i="7" a="1"/>
  <c r="T17" i="7" a="1"/>
  <c r="O52" i="7" a="1"/>
  <c r="S34" i="7" a="1"/>
  <c r="J43" i="7" a="1"/>
  <c r="P61" i="7" a="1"/>
  <c r="O36" i="7" a="1"/>
  <c r="R55" i="7" a="1"/>
  <c r="V55" i="7" a="1"/>
  <c r="T59" i="7" a="1"/>
  <c r="T52" i="7" a="1"/>
  <c r="K41" i="7" a="1"/>
  <c r="M53" i="7" a="1"/>
  <c r="P52" i="7" a="1"/>
  <c r="L61" i="7" a="1"/>
  <c r="O31" i="7" a="1"/>
  <c r="K59" i="7" a="1"/>
  <c r="W41" i="7" a="1"/>
  <c r="T53" i="7" a="1"/>
  <c r="R34" i="7" a="1"/>
  <c r="W43" i="7" a="1"/>
  <c r="O33" i="7" a="1"/>
  <c r="I57" i="7" a="1"/>
  <c r="G31" i="7" a="1"/>
  <c r="U59" i="7" a="1"/>
  <c r="H41" i="7" a="1"/>
  <c r="L53" i="7" a="1"/>
  <c r="V34" i="7" a="1"/>
  <c r="H50" i="7" a="1"/>
  <c r="Q60" i="7" a="1"/>
  <c r="V31" i="7" a="1"/>
  <c r="O59" i="7" a="1"/>
  <c r="L41" i="7" a="1"/>
  <c r="R39" i="7" a="1"/>
  <c r="T18" i="7" a="1"/>
  <c r="H34" i="7" a="1"/>
  <c r="Q36" i="7" a="1"/>
  <c r="R17" i="7" a="1"/>
  <c r="H43" i="7" a="1"/>
  <c r="G42" i="7" a="1"/>
  <c r="S50" i="7" a="1"/>
  <c r="H33" i="7" a="1"/>
  <c r="R61" i="7" a="1"/>
  <c r="I60" i="7" a="1"/>
  <c r="K31" i="7" a="1"/>
  <c r="W51" i="7" a="1"/>
  <c r="V35" i="7" a="1"/>
  <c r="V40" i="7" a="1"/>
  <c r="J39" i="7" a="1"/>
  <c r="W58" i="7" a="1"/>
  <c r="J36" i="7" a="1"/>
  <c r="R51" i="7" a="1"/>
  <c r="T54" i="7" a="1"/>
  <c r="W60" i="7" a="1"/>
  <c r="R22" i="7" a="1"/>
  <c r="F51" i="7" a="1"/>
  <c r="K35" i="7" a="1"/>
  <c r="R40" i="7" a="1"/>
  <c r="Q39" i="7" a="1"/>
  <c r="P58" i="7" a="1"/>
  <c r="H54" i="7" a="1"/>
  <c r="I60" i="4" a="1"/>
  <c r="I31" i="4" a="1"/>
  <c r="I30" i="4" a="1"/>
  <c r="I59" i="4" a="1"/>
  <c r="I32" i="4" a="1"/>
  <c r="I45" i="4" a="1"/>
  <c r="I50" i="4" a="1"/>
  <c r="I43" i="4" a="1"/>
  <c r="I28" i="4" a="1"/>
  <c r="I35" i="4" a="1"/>
  <c r="I33" i="4" a="1"/>
  <c r="I39" i="4" a="1"/>
  <c r="I42" i="4" a="1"/>
  <c r="I44" i="4" a="1"/>
  <c r="I46" i="4" a="1"/>
  <c r="I52" i="4" a="1"/>
  <c r="I54" i="4" a="1"/>
  <c r="I34" i="4" a="1"/>
  <c r="I37" i="4" a="1"/>
  <c r="I51" i="4" a="1"/>
  <c r="I57" i="4" a="1"/>
  <c r="I53" i="4" a="1"/>
  <c r="I61" i="4" a="1"/>
  <c r="I36" i="4" a="1"/>
  <c r="I26" i="4" a="1"/>
  <c r="I47" i="4" a="1"/>
  <c r="I58" i="4" a="1"/>
  <c r="K51" i="7" a="1"/>
  <c r="U50" i="7" a="1"/>
  <c r="T35" i="7" a="1"/>
  <c r="N40" i="7" a="1"/>
  <c r="V33" i="7" a="1"/>
  <c r="I58" i="7" a="1"/>
  <c r="T13" i="7" a="1"/>
  <c r="T62" i="7" a="1"/>
  <c r="F32" i="7" a="1"/>
  <c r="S52" i="7" a="1"/>
  <c r="W38" i="7" a="1"/>
  <c r="T22" i="7" a="1"/>
  <c r="V42" i="7" a="1"/>
  <c r="V32" i="7" a="1"/>
  <c r="N33" i="7" a="1"/>
  <c r="T61" i="7" a="1"/>
  <c r="P38" i="7" a="1"/>
  <c r="T20" i="7" a="1"/>
  <c r="M42" i="7" a="1"/>
  <c r="N32" i="7" a="1"/>
  <c r="K54" i="7" a="1"/>
  <c r="AD35" i="4" a="1"/>
  <c r="I41" i="7" a="1"/>
  <c r="S58" i="7" a="1"/>
  <c r="V16" i="7" a="1"/>
  <c r="J38" i="7" a="1"/>
  <c r="Q55" i="7" a="1"/>
  <c r="R20" i="7" a="1"/>
  <c r="R57" i="7" a="1"/>
  <c r="V59" i="7" a="1"/>
  <c r="L54" i="7" a="1"/>
  <c r="J62" i="7" a="1"/>
  <c r="L52" i="7" a="1"/>
  <c r="T40" i="7" a="1"/>
  <c r="Q42" i="7" a="1"/>
  <c r="R38" i="7" a="1"/>
  <c r="I55" i="7" a="1"/>
  <c r="L59" i="7" a="1"/>
  <c r="H57" i="7" a="1"/>
  <c r="R58" i="7" a="1"/>
  <c r="R41" i="7" a="1"/>
  <c r="S62" i="7" a="1"/>
  <c r="K52" i="7" a="1"/>
  <c r="F43" i="7" a="1"/>
  <c r="O38" i="7" a="1"/>
  <c r="O38" i="7" l="1"/>
  <c r="F43" i="7"/>
  <c r="K52" i="7"/>
  <c r="S62" i="7"/>
  <c r="R41" i="7"/>
  <c r="R58" i="7"/>
  <c r="H57" i="7"/>
  <c r="L59" i="7"/>
  <c r="I55" i="7"/>
  <c r="R38" i="7"/>
  <c r="Q42" i="7"/>
  <c r="T40" i="7"/>
  <c r="L52" i="7"/>
  <c r="J62" i="7"/>
  <c r="L54" i="7"/>
  <c r="V59" i="7"/>
  <c r="R57" i="7"/>
  <c r="R20" i="7"/>
  <c r="Q55" i="7"/>
  <c r="J38" i="7"/>
  <c r="V16" i="7"/>
  <c r="S58" i="7"/>
  <c r="I41" i="7"/>
  <c r="AD35" i="4"/>
  <c r="K54" i="7"/>
  <c r="N32" i="7"/>
  <c r="M42" i="7"/>
  <c r="T20" i="7"/>
  <c r="P38" i="7"/>
  <c r="T61" i="7"/>
  <c r="N33" i="7"/>
  <c r="V32" i="7"/>
  <c r="V42" i="7"/>
  <c r="T22" i="7"/>
  <c r="W38" i="7"/>
  <c r="S52" i="7"/>
  <c r="F32" i="7"/>
  <c r="T62" i="7"/>
  <c r="T13" i="7"/>
  <c r="I58" i="7"/>
  <c r="V33" i="7"/>
  <c r="N40" i="7"/>
  <c r="T35" i="7"/>
  <c r="U50" i="7"/>
  <c r="K51" i="7"/>
  <c r="I58" i="4"/>
  <c r="I47" i="4"/>
  <c r="I26" i="4"/>
  <c r="I36" i="4"/>
  <c r="I61" i="4"/>
  <c r="I53" i="4"/>
  <c r="I57" i="4"/>
  <c r="I51" i="4"/>
  <c r="I37" i="4"/>
  <c r="I38" i="4" s="1" a="1"/>
  <c r="I38" i="4" s="1"/>
  <c r="I34" i="4"/>
  <c r="I54" i="4"/>
  <c r="I52" i="4"/>
  <c r="I46" i="4"/>
  <c r="I44" i="4"/>
  <c r="I42" i="4"/>
  <c r="I39" i="4"/>
  <c r="I33" i="4"/>
  <c r="I35" i="4"/>
  <c r="I28" i="4"/>
  <c r="I43" i="4"/>
  <c r="I50" i="4"/>
  <c r="I45" i="4"/>
  <c r="I32" i="4"/>
  <c r="I59" i="4"/>
  <c r="I30" i="4"/>
  <c r="I31" i="4"/>
  <c r="I60" i="4"/>
  <c r="H54" i="7"/>
  <c r="P58" i="7"/>
  <c r="Q39" i="7"/>
  <c r="R40" i="7"/>
  <c r="K35" i="7"/>
  <c r="F51" i="7"/>
  <c r="R22" i="7"/>
  <c r="W60" i="7"/>
  <c r="T54" i="7"/>
  <c r="R51" i="7"/>
  <c r="J36" i="7"/>
  <c r="W58" i="7"/>
  <c r="J39" i="7"/>
  <c r="V40" i="7"/>
  <c r="V35" i="7"/>
  <c r="W51" i="7"/>
  <c r="K31" i="7"/>
  <c r="I60" i="7"/>
  <c r="R61" i="7"/>
  <c r="H33" i="7"/>
  <c r="S50" i="7"/>
  <c r="G42" i="7"/>
  <c r="H43" i="7"/>
  <c r="R17" i="7"/>
  <c r="Q36" i="7"/>
  <c r="H34" i="7"/>
  <c r="T18" i="7"/>
  <c r="R39" i="7"/>
  <c r="L41" i="7"/>
  <c r="O59" i="7"/>
  <c r="V31" i="7"/>
  <c r="Q60" i="7"/>
  <c r="H50" i="7"/>
  <c r="V34" i="7"/>
  <c r="L53" i="7"/>
  <c r="H41" i="7"/>
  <c r="U59" i="7"/>
  <c r="G31" i="7"/>
  <c r="I57" i="7"/>
  <c r="O33" i="7"/>
  <c r="W43" i="7"/>
  <c r="R34" i="7"/>
  <c r="T53" i="7"/>
  <c r="W41" i="7"/>
  <c r="K59" i="7"/>
  <c r="O31" i="7"/>
  <c r="L61" i="7"/>
  <c r="P52" i="7"/>
  <c r="M53" i="7"/>
  <c r="K41" i="7"/>
  <c r="T52" i="7"/>
  <c r="T59" i="7"/>
  <c r="V55" i="7"/>
  <c r="R55" i="7"/>
  <c r="O36" i="7"/>
  <c r="P61" i="7"/>
  <c r="J43" i="7"/>
  <c r="S34" i="7"/>
  <c r="O52" i="7"/>
  <c r="T17" i="7"/>
  <c r="M58" i="7"/>
  <c r="W24" i="7"/>
  <c r="W15" i="7"/>
  <c r="L33" i="7"/>
  <c r="T39" i="7"/>
  <c r="W53" i="7"/>
  <c r="R62" i="7"/>
  <c r="W14" i="7"/>
  <c r="H40" i="7"/>
  <c r="G41" i="7"/>
  <c r="J54" i="7"/>
  <c r="M35" i="7"/>
  <c r="M32" i="7"/>
  <c r="L50" i="7"/>
  <c r="K57" i="7"/>
  <c r="L42" i="7"/>
  <c r="S51" i="7"/>
  <c r="I51" i="7"/>
  <c r="J59" i="7"/>
  <c r="AD43" i="4"/>
  <c r="F31" i="7"/>
  <c r="T55" i="7"/>
  <c r="U60" i="7"/>
  <c r="S21" i="7"/>
  <c r="V21" i="7"/>
  <c r="T38" i="7"/>
  <c r="W36" i="7"/>
  <c r="R13" i="7"/>
  <c r="U16" i="7"/>
  <c r="K61" i="7"/>
  <c r="Q43" i="7"/>
  <c r="K34" i="7"/>
  <c r="W52" i="7"/>
  <c r="U58" i="7"/>
  <c r="T33" i="7"/>
  <c r="I39" i="7"/>
  <c r="K53" i="7"/>
  <c r="I62" i="7"/>
  <c r="R14" i="7"/>
  <c r="M40" i="7"/>
  <c r="O40" i="7"/>
  <c r="O41" i="7"/>
  <c r="S54" i="7"/>
  <c r="U15" i="7"/>
  <c r="J35" i="7"/>
  <c r="U32" i="7"/>
  <c r="G50" i="7"/>
  <c r="L57" i="7"/>
  <c r="T42" i="7"/>
  <c r="T51" i="7"/>
  <c r="P51" i="7"/>
  <c r="R59" i="7"/>
  <c r="W22" i="7"/>
  <c r="V22" i="7"/>
  <c r="N31" i="7"/>
  <c r="K55" i="7"/>
  <c r="U23" i="7"/>
  <c r="L60" i="7"/>
  <c r="H38" i="7"/>
  <c r="I38" i="7"/>
  <c r="P31" i="7"/>
  <c r="AD46" i="4"/>
  <c r="P36" i="7"/>
  <c r="Q61" i="7"/>
  <c r="O43" i="7"/>
  <c r="F34" i="7"/>
  <c r="R52" i="7"/>
  <c r="J58" i="7"/>
  <c r="W18" i="7"/>
  <c r="J33" i="7"/>
  <c r="U39" i="7"/>
  <c r="P53" i="7"/>
  <c r="W62" i="7"/>
  <c r="W40" i="7"/>
  <c r="P41" i="7"/>
  <c r="Q54" i="7"/>
  <c r="S35" i="7"/>
  <c r="G35" i="7"/>
  <c r="T32" i="7"/>
  <c r="O50" i="7"/>
  <c r="F50" i="7"/>
  <c r="O57" i="7"/>
  <c r="P42" i="7"/>
  <c r="M51" i="7"/>
  <c r="I59" i="7"/>
  <c r="R31" i="7"/>
  <c r="M55" i="7"/>
  <c r="U55" i="7"/>
  <c r="G60" i="7"/>
  <c r="V60" i="7"/>
  <c r="W21" i="7"/>
  <c r="M38" i="7"/>
  <c r="N60" i="7"/>
  <c r="V38" i="7"/>
  <c r="F36" i="7"/>
  <c r="G61" i="7"/>
  <c r="K43" i="7"/>
  <c r="P34" i="7"/>
  <c r="F52" i="7"/>
  <c r="K58" i="7"/>
  <c r="W33" i="7"/>
  <c r="V39" i="7"/>
  <c r="R53" i="7"/>
  <c r="K62" i="7"/>
  <c r="G62" i="7"/>
  <c r="G40" i="7"/>
  <c r="Q41" i="7"/>
  <c r="U54" i="7"/>
  <c r="W35" i="7"/>
  <c r="N35" i="7"/>
  <c r="G32" i="7"/>
  <c r="P50" i="7"/>
  <c r="M50" i="7"/>
  <c r="Q57" i="7"/>
  <c r="W57" i="7"/>
  <c r="I42" i="7"/>
  <c r="G51" i="7"/>
  <c r="F59" i="7"/>
  <c r="S20" i="7"/>
  <c r="S31" i="7"/>
  <c r="S55" i="7"/>
  <c r="AD44" i="4"/>
  <c r="S23" i="7"/>
  <c r="M60" i="7"/>
  <c r="Q38" i="7"/>
  <c r="N38" i="7"/>
  <c r="G61" i="4"/>
  <c r="AE31" i="4" s="1"/>
  <c r="E60" i="4"/>
  <c r="AC30" i="4" s="1"/>
  <c r="H57" i="4"/>
  <c r="G54" i="4"/>
  <c r="AE26" i="4" s="1"/>
  <c r="F53" i="4"/>
  <c r="AD25" i="4" s="1"/>
  <c r="E52" i="4"/>
  <c r="H46" i="4"/>
  <c r="G45" i="4"/>
  <c r="AE19" i="4" s="1"/>
  <c r="F44" i="4"/>
  <c r="AD18" i="4" s="1"/>
  <c r="E43" i="4"/>
  <c r="AC17" i="4" s="1"/>
  <c r="G39" i="4"/>
  <c r="AE15" i="4" s="1"/>
  <c r="G37" i="4"/>
  <c r="G36" i="4"/>
  <c r="AE13" i="4" s="1"/>
  <c r="G35" i="4"/>
  <c r="AE12" i="4" s="1"/>
  <c r="G34" i="4"/>
  <c r="AE11" i="4" s="1"/>
  <c r="G33" i="4"/>
  <c r="AE10" i="4" s="1"/>
  <c r="G32" i="4"/>
  <c r="AE9" i="4" s="1"/>
  <c r="G31" i="4"/>
  <c r="AE8" i="4" s="1"/>
  <c r="G30" i="4"/>
  <c r="AE7" i="4" s="1"/>
  <c r="G28" i="4"/>
  <c r="G26" i="4"/>
  <c r="AE2" i="4" s="1"/>
  <c r="F61" i="4"/>
  <c r="AD31" i="4" s="1"/>
  <c r="G57" i="4"/>
  <c r="AE27" i="4" s="1"/>
  <c r="H52" i="4"/>
  <c r="E46" i="4"/>
  <c r="AC20" i="4" s="1"/>
  <c r="F43" i="4"/>
  <c r="AD17" i="4" s="1"/>
  <c r="H36" i="7"/>
  <c r="H60" i="4"/>
  <c r="AF30" i="4" s="1"/>
  <c r="E59" i="4"/>
  <c r="E51" i="4"/>
  <c r="G47" i="4"/>
  <c r="AE21" i="4" s="1"/>
  <c r="H44" i="4"/>
  <c r="H32" i="4"/>
  <c r="E31" i="4"/>
  <c r="V43" i="7"/>
  <c r="R36" i="7"/>
  <c r="G59" i="4"/>
  <c r="AE29" i="4" s="1"/>
  <c r="F54" i="4"/>
  <c r="AD26" i="4" s="1"/>
  <c r="G51" i="4"/>
  <c r="AE23" i="4" s="1"/>
  <c r="E42" i="4"/>
  <c r="F35" i="4"/>
  <c r="AD12" i="4" s="1"/>
  <c r="S13" i="7"/>
  <c r="E44" i="4"/>
  <c r="G42" i="4"/>
  <c r="AE16" i="4" s="1"/>
  <c r="F36" i="4"/>
  <c r="AD13" i="4" s="1"/>
  <c r="F33" i="4"/>
  <c r="AD10" i="4" s="1"/>
  <c r="H30" i="4"/>
  <c r="U36" i="7"/>
  <c r="H59" i="4"/>
  <c r="AF29" i="4" s="1"/>
  <c r="E50" i="4"/>
  <c r="AC22" i="4" s="1"/>
  <c r="E36" i="4"/>
  <c r="AC13" i="4" s="1"/>
  <c r="F30" i="4"/>
  <c r="AD7" i="4" s="1"/>
  <c r="H61" i="4"/>
  <c r="AF31" i="4" s="1"/>
  <c r="F57" i="4"/>
  <c r="AD27" i="4" s="1"/>
  <c r="H53" i="4"/>
  <c r="AF25" i="4" s="1"/>
  <c r="F42" i="4"/>
  <c r="AD16" i="4" s="1"/>
  <c r="E33" i="4"/>
  <c r="E30" i="4"/>
  <c r="G58" i="4"/>
  <c r="AE28" i="4" s="1"/>
  <c r="E45" i="4"/>
  <c r="H39" i="4"/>
  <c r="M61" i="7"/>
  <c r="W13" i="7"/>
  <c r="G60" i="4"/>
  <c r="AE30" i="4" s="1"/>
  <c r="M52" i="7"/>
  <c r="V13" i="7"/>
  <c r="F60" i="4"/>
  <c r="AD30" i="4" s="1"/>
  <c r="G50" i="4"/>
  <c r="AE22" i="4" s="1"/>
  <c r="E39" i="4"/>
  <c r="F59" i="4"/>
  <c r="AD29" i="4" s="1"/>
  <c r="H50" i="4"/>
  <c r="H34" i="4"/>
  <c r="F32" i="4"/>
  <c r="AD9" i="4" s="1"/>
  <c r="U43" i="7"/>
  <c r="U34" i="7"/>
  <c r="H45" i="4"/>
  <c r="H42" i="4"/>
  <c r="AF16" i="4" s="1"/>
  <c r="F34" i="4"/>
  <c r="AD11" i="4" s="1"/>
  <c r="E26" i="4"/>
  <c r="AC2" i="4" s="1"/>
  <c r="G53" i="7"/>
  <c r="P43" i="7"/>
  <c r="E58" i="4"/>
  <c r="AC28" i="4" s="1"/>
  <c r="V61" i="7"/>
  <c r="H58" i="4"/>
  <c r="G53" i="4"/>
  <c r="AE25" i="4" s="1"/>
  <c r="F45" i="4"/>
  <c r="AD19" i="4" s="1"/>
  <c r="H36" i="4"/>
  <c r="E32" i="4"/>
  <c r="F39" i="4"/>
  <c r="AD15" i="4" s="1"/>
  <c r="E34" i="4"/>
  <c r="J40" i="7"/>
  <c r="H47" i="4"/>
  <c r="T36" i="7"/>
  <c r="R43" i="7"/>
  <c r="T34" i="7"/>
  <c r="V17" i="7"/>
  <c r="E53" i="4"/>
  <c r="F50" i="4"/>
  <c r="AD22" i="4" s="1"/>
  <c r="S61" i="7"/>
  <c r="J61" i="7"/>
  <c r="L34" i="7"/>
  <c r="F58" i="4"/>
  <c r="AD28" i="4" s="1"/>
  <c r="I61" i="7"/>
  <c r="G34" i="7"/>
  <c r="G43" i="7"/>
  <c r="G52" i="4"/>
  <c r="AE24" i="4" s="1"/>
  <c r="F47" i="4"/>
  <c r="AD21" i="4" s="1"/>
  <c r="H31" i="4"/>
  <c r="AF8" i="4" s="1"/>
  <c r="H28" i="4"/>
  <c r="J52" i="7"/>
  <c r="S36" i="7"/>
  <c r="S14" i="7"/>
  <c r="E61" i="4"/>
  <c r="AC31" i="4" s="1"/>
  <c r="F52" i="4"/>
  <c r="AD24" i="4" s="1"/>
  <c r="G44" i="4"/>
  <c r="AE18" i="4" s="1"/>
  <c r="H37" i="4"/>
  <c r="AF14" i="4" s="1"/>
  <c r="F31" i="4"/>
  <c r="AD8" i="4" s="1"/>
  <c r="F28" i="4"/>
  <c r="M39" i="7"/>
  <c r="I33" i="7"/>
  <c r="W16" i="7"/>
  <c r="R35" i="7"/>
  <c r="E57" i="4"/>
  <c r="E37" i="4"/>
  <c r="W55" i="7"/>
  <c r="H43" i="4"/>
  <c r="H35" i="4"/>
  <c r="AF12" i="4" s="1"/>
  <c r="G46" i="4"/>
  <c r="AE20" i="4" s="1"/>
  <c r="H33" i="4"/>
  <c r="AF10" i="4" s="1"/>
  <c r="V25" i="7"/>
  <c r="F40" i="7"/>
  <c r="F46" i="4"/>
  <c r="AD20" i="4" s="1"/>
  <c r="F37" i="4"/>
  <c r="E28" i="4"/>
  <c r="AC6" i="4" s="1"/>
  <c r="R33" i="7"/>
  <c r="Q58" i="7"/>
  <c r="U14" i="7"/>
  <c r="K32" i="7"/>
  <c r="V54" i="7"/>
  <c r="I36" i="7"/>
  <c r="E35" i="4"/>
  <c r="F33" i="7"/>
  <c r="H54" i="4"/>
  <c r="E54" i="4"/>
  <c r="AC26" i="4" s="1"/>
  <c r="S16" i="7"/>
  <c r="I53" i="7"/>
  <c r="L36" i="7"/>
  <c r="K39" i="7"/>
  <c r="J32" i="7"/>
  <c r="F26" i="4"/>
  <c r="AD2" i="4" s="1"/>
  <c r="U24" i="7"/>
  <c r="H51" i="4"/>
  <c r="N51" i="7"/>
  <c r="E47" i="4"/>
  <c r="AC21" i="4" s="1"/>
  <c r="H26" i="4"/>
  <c r="AF2" i="4" s="1"/>
  <c r="G43" i="4"/>
  <c r="AE17" i="4" s="1"/>
  <c r="F51" i="4"/>
  <c r="AD23" i="4" s="1"/>
  <c r="W50" i="7"/>
  <c r="U38" i="7"/>
  <c r="O60" i="7"/>
  <c r="S25" i="7"/>
  <c r="N36" i="7"/>
  <c r="O61" i="7"/>
  <c r="S43" i="7"/>
  <c r="I34" i="7"/>
  <c r="N52" i="7"/>
  <c r="S17" i="7"/>
  <c r="N58" i="7"/>
  <c r="S18" i="7"/>
  <c r="V24" i="7"/>
  <c r="H62" i="7"/>
  <c r="M33" i="7"/>
  <c r="F39" i="7"/>
  <c r="F53" i="7"/>
  <c r="L62" i="7"/>
  <c r="N62" i="7"/>
  <c r="P40" i="7"/>
  <c r="F41" i="7"/>
  <c r="O54" i="7"/>
  <c r="V15" i="7"/>
  <c r="F35" i="7"/>
  <c r="U35" i="7"/>
  <c r="Q32" i="7"/>
  <c r="V50" i="7"/>
  <c r="T50" i="7"/>
  <c r="U57" i="7"/>
  <c r="F57" i="7"/>
  <c r="S42" i="7"/>
  <c r="O51" i="7"/>
  <c r="P59" i="7"/>
  <c r="T21" i="7"/>
  <c r="T31" i="7"/>
  <c r="O55" i="7"/>
  <c r="T60" i="7"/>
  <c r="AD42" i="4"/>
  <c r="K38" i="7"/>
  <c r="B13" i="7"/>
  <c r="B31" i="7" s="1"/>
  <c r="B50" i="7" s="1"/>
  <c r="T16" i="7"/>
  <c r="R25" i="7"/>
  <c r="W34" i="7"/>
  <c r="U52" i="7"/>
  <c r="O58" i="7"/>
  <c r="U18" i="7"/>
  <c r="R24" i="7"/>
  <c r="G33" i="7"/>
  <c r="O39" i="7"/>
  <c r="L39" i="7"/>
  <c r="U53" i="7"/>
  <c r="M62" i="7"/>
  <c r="T14" i="7"/>
  <c r="S40" i="7"/>
  <c r="T41" i="7"/>
  <c r="M54" i="7"/>
  <c r="R54" i="7"/>
  <c r="H35" i="7"/>
  <c r="O32" i="7"/>
  <c r="L32" i="7"/>
  <c r="I50" i="7"/>
  <c r="S57" i="7"/>
  <c r="R42" i="7"/>
  <c r="N42" i="7"/>
  <c r="U51" i="7"/>
  <c r="M59" i="7"/>
  <c r="S59" i="7"/>
  <c r="J31" i="7"/>
  <c r="I31" i="7"/>
  <c r="J55" i="7"/>
  <c r="J60" i="7"/>
  <c r="U21" i="7"/>
  <c r="F38" i="7"/>
  <c r="K36" i="7"/>
  <c r="T25" i="7"/>
  <c r="F61" i="7"/>
  <c r="I43" i="7"/>
  <c r="M34" i="7"/>
  <c r="I52" i="7"/>
  <c r="U17" i="7"/>
  <c r="V58" i="7"/>
  <c r="G58" i="7"/>
  <c r="U33" i="7"/>
  <c r="H39" i="7"/>
  <c r="S39" i="7"/>
  <c r="H53" i="7"/>
  <c r="V62" i="7"/>
  <c r="K40" i="7"/>
  <c r="U41" i="7"/>
  <c r="G54" i="7"/>
  <c r="R15" i="7"/>
  <c r="P35" i="7"/>
  <c r="I32" i="7"/>
  <c r="S32" i="7"/>
  <c r="Q50" i="7"/>
  <c r="AD41" i="4"/>
  <c r="N57" i="7"/>
  <c r="K42" i="7"/>
  <c r="U42" i="7"/>
  <c r="J51" i="7"/>
  <c r="N59" i="7"/>
  <c r="H31" i="7"/>
  <c r="V23" i="7"/>
  <c r="R60" i="7"/>
  <c r="W25" i="7"/>
  <c r="U13" i="7"/>
  <c r="AD37" i="4"/>
  <c r="U61" i="7"/>
  <c r="M43" i="7"/>
  <c r="N34" i="7"/>
  <c r="Q52" i="7"/>
  <c r="F58" i="7"/>
  <c r="R18" i="7"/>
  <c r="T24" i="7"/>
  <c r="S24" i="7"/>
  <c r="P33" i="7"/>
  <c r="W39" i="7"/>
  <c r="Q53" i="7"/>
  <c r="O53" i="7"/>
  <c r="F62" i="7"/>
  <c r="U40" i="7"/>
  <c r="M41" i="7"/>
  <c r="W54" i="7"/>
  <c r="I35" i="7"/>
  <c r="W32" i="7"/>
  <c r="J50" i="7"/>
  <c r="V57" i="7"/>
  <c r="H42" i="7"/>
  <c r="L51" i="7"/>
  <c r="H59" i="7"/>
  <c r="V20" i="7"/>
  <c r="U31" i="7"/>
  <c r="W31" i="7"/>
  <c r="G55" i="7"/>
  <c r="S60" i="7"/>
  <c r="H60" i="7"/>
  <c r="G38" i="7"/>
  <c r="M36" i="7"/>
  <c r="N61" i="7"/>
  <c r="N43" i="7"/>
  <c r="O34" i="7"/>
  <c r="H52" i="7"/>
  <c r="W17" i="7"/>
  <c r="H58" i="7"/>
  <c r="Q33" i="7"/>
  <c r="N39" i="7"/>
  <c r="N53" i="7"/>
  <c r="V53" i="7"/>
  <c r="O62" i="7"/>
  <c r="L40" i="7"/>
  <c r="S41" i="7"/>
  <c r="N54" i="7"/>
  <c r="AD36" i="4"/>
  <c r="S15" i="7"/>
  <c r="Q35" i="7"/>
  <c r="P32" i="7"/>
  <c r="R50" i="7"/>
  <c r="F42" i="7"/>
  <c r="G57" i="7"/>
  <c r="O42" i="7"/>
  <c r="V51" i="7"/>
  <c r="W59" i="7"/>
  <c r="U20" i="7"/>
  <c r="Q31" i="7"/>
  <c r="L55" i="7"/>
  <c r="N55" i="7"/>
  <c r="W23" i="7"/>
  <c r="V36" i="7"/>
  <c r="R16" i="7"/>
  <c r="W61" i="7"/>
  <c r="L43" i="7"/>
  <c r="Q34" i="7"/>
  <c r="V52" i="7"/>
  <c r="B17" i="7"/>
  <c r="B35" i="7" s="1"/>
  <c r="B54" i="7" s="1"/>
  <c r="L58" i="7"/>
  <c r="AD45" i="4"/>
  <c r="I54" i="7"/>
  <c r="K33" i="7"/>
  <c r="P39" i="7"/>
  <c r="S53" i="7"/>
  <c r="P62" i="7"/>
  <c r="U62" i="7"/>
  <c r="V14" i="7"/>
  <c r="I40" i="7"/>
  <c r="N41" i="7"/>
  <c r="F54" i="7"/>
  <c r="T15" i="7"/>
  <c r="O35" i="7"/>
  <c r="H32" i="7"/>
  <c r="N50" i="7"/>
  <c r="P57" i="7"/>
  <c r="M57" i="7"/>
  <c r="J42" i="7"/>
  <c r="H51" i="7"/>
  <c r="G59" i="7"/>
  <c r="W20" i="7"/>
  <c r="U22" i="7"/>
  <c r="L31" i="7"/>
  <c r="P55" i="7"/>
  <c r="R23" i="7"/>
  <c r="T23" i="7"/>
  <c r="F60" i="7"/>
  <c r="R21" i="7"/>
  <c r="S38" i="7"/>
  <c r="B18" i="7"/>
  <c r="B36" i="7" s="1"/>
  <c r="B55" i="7" s="1"/>
  <c r="P60" i="7"/>
  <c r="U25" i="7"/>
  <c r="G36" i="7"/>
  <c r="H61" i="7"/>
  <c r="T43" i="7"/>
  <c r="J34" i="7"/>
  <c r="G52" i="7"/>
  <c r="T58" i="7"/>
  <c r="V18" i="7"/>
  <c r="J41" i="7"/>
  <c r="S33" i="7"/>
  <c r="G39" i="7"/>
  <c r="J53" i="7"/>
  <c r="Q62" i="7"/>
  <c r="Q40" i="7"/>
  <c r="V41" i="7"/>
  <c r="P54" i="7"/>
  <c r="L35" i="7"/>
  <c r="R32" i="7"/>
  <c r="K50" i="7"/>
  <c r="J57" i="7"/>
  <c r="T57" i="7"/>
  <c r="W42" i="7"/>
  <c r="F55" i="7"/>
  <c r="Q51" i="7"/>
  <c r="Q59" i="7"/>
  <c r="S22" i="7"/>
  <c r="M31" i="7"/>
  <c r="H55" i="7"/>
  <c r="K60" i="7"/>
  <c r="L38" i="7"/>
  <c r="AG2" i="4"/>
  <c r="J27" i="4"/>
  <c r="AC10" i="4"/>
  <c r="AC12" i="4"/>
  <c r="AC14" i="4"/>
  <c r="AC16" i="4"/>
  <c r="AC18" i="4"/>
  <c r="AC15" i="4"/>
  <c r="AC23" i="4"/>
  <c r="AC9" i="4"/>
  <c r="AC8" i="4"/>
  <c r="AC7" i="4"/>
  <c r="AC25" i="4"/>
  <c r="AC29" i="4"/>
  <c r="AC27" i="4"/>
  <c r="AC24" i="4"/>
  <c r="AC19" i="4"/>
  <c r="AC11" i="4"/>
  <c r="AF9" i="4"/>
  <c r="AF28" i="4"/>
  <c r="AF24" i="4"/>
  <c r="AF26" i="4"/>
  <c r="AF7" i="4"/>
  <c r="AF18" i="4"/>
  <c r="AF22" i="4"/>
  <c r="AF27" i="4"/>
  <c r="AF17" i="4"/>
  <c r="AF20" i="4"/>
  <c r="AF11" i="4"/>
  <c r="AF23" i="4"/>
  <c r="AF15" i="4"/>
  <c r="AF21" i="4"/>
  <c r="AF19" i="4"/>
  <c r="AF13" i="4"/>
  <c r="F9" i="7"/>
  <c r="AH1" i="4"/>
  <c r="AG5" i="4"/>
  <c r="B16" i="7" a="1"/>
  <c r="B25" i="7" a="1"/>
  <c r="B15" i="7" a="1"/>
  <c r="B21" i="7" a="1"/>
  <c r="B23" i="7" a="1"/>
  <c r="F25" i="7" a="1"/>
  <c r="F18" i="7" a="1"/>
  <c r="F20" i="7" a="1"/>
  <c r="F23" i="7" a="1"/>
  <c r="F16" i="7" a="1"/>
  <c r="F17" i="7" a="1"/>
  <c r="F21" i="7" a="1"/>
  <c r="F15" i="7" a="1"/>
  <c r="F22" i="7" a="1"/>
  <c r="F14" i="7" a="1"/>
  <c r="F13" i="7" a="1"/>
  <c r="F24" i="7" a="1"/>
  <c r="B14" i="7" a="1"/>
  <c r="B20" i="7" a="1"/>
  <c r="B24" i="7" a="1"/>
  <c r="B22" i="7" a="1"/>
  <c r="J46" i="4" a="1"/>
  <c r="J51" i="4" a="1"/>
  <c r="J30" i="4" a="1"/>
  <c r="J36" i="4" a="1"/>
  <c r="J54" i="4" a="1"/>
  <c r="J33" i="4" a="1"/>
  <c r="J35" i="4" a="1"/>
  <c r="J61" i="4" a="1"/>
  <c r="J52" i="4" a="1"/>
  <c r="J28" i="4" a="1"/>
  <c r="J58" i="4" a="1"/>
  <c r="J39" i="4" a="1"/>
  <c r="J43" i="4" a="1"/>
  <c r="J47" i="4" a="1"/>
  <c r="J26" i="4" a="1"/>
  <c r="J31" i="4" a="1"/>
  <c r="J45" i="4" a="1"/>
  <c r="J34" i="4" a="1"/>
  <c r="J37" i="4" a="1"/>
  <c r="J32" i="4" a="1"/>
  <c r="J44" i="4" a="1"/>
  <c r="J57" i="4" a="1"/>
  <c r="J60" i="4" a="1"/>
  <c r="J42" i="4" a="1"/>
  <c r="J53" i="4" a="1"/>
  <c r="J59" i="4" a="1"/>
  <c r="J50" i="4" a="1"/>
  <c r="J50" i="4" l="1"/>
  <c r="J59" i="4"/>
  <c r="J53" i="4"/>
  <c r="J42" i="4"/>
  <c r="J60" i="4"/>
  <c r="J57" i="4"/>
  <c r="J44" i="4"/>
  <c r="J32" i="4"/>
  <c r="J37" i="4"/>
  <c r="J38" i="4" s="1" a="1"/>
  <c r="J38" i="4" s="1"/>
  <c r="J34" i="4"/>
  <c r="J45" i="4"/>
  <c r="J31" i="4"/>
  <c r="J26" i="4"/>
  <c r="AH2" i="4" s="1"/>
  <c r="J47" i="4"/>
  <c r="J43" i="4"/>
  <c r="J39" i="4"/>
  <c r="J58" i="4"/>
  <c r="J28" i="4"/>
  <c r="J29" i="4" s="1" a="1"/>
  <c r="J29" i="4" s="1"/>
  <c r="J52" i="4"/>
  <c r="J61" i="4"/>
  <c r="J35" i="4"/>
  <c r="J33" i="4"/>
  <c r="J54" i="4"/>
  <c r="J36" i="4"/>
  <c r="J30" i="4"/>
  <c r="J51" i="4"/>
  <c r="J46" i="4"/>
  <c r="B22" i="7"/>
  <c r="B40" i="7" s="1"/>
  <c r="B59" i="7" s="1"/>
  <c r="B24" i="7"/>
  <c r="B42" i="7" s="1"/>
  <c r="B61" i="7" s="1"/>
  <c r="B20" i="7"/>
  <c r="B38" i="7" s="1"/>
  <c r="B57" i="7" s="1"/>
  <c r="B14" i="7"/>
  <c r="B32" i="7" s="1"/>
  <c r="B51" i="7" s="1"/>
  <c r="F24" i="7"/>
  <c r="F13" i="7"/>
  <c r="F14" i="7"/>
  <c r="F22" i="7"/>
  <c r="F15" i="7"/>
  <c r="F21" i="7"/>
  <c r="F17" i="7"/>
  <c r="F16" i="7"/>
  <c r="F23" i="7"/>
  <c r="F20" i="7"/>
  <c r="F18" i="7"/>
  <c r="F25" i="7"/>
  <c r="B37" i="7"/>
  <c r="B56" i="7" s="1"/>
  <c r="B23" i="7"/>
  <c r="B41" i="7" s="1"/>
  <c r="B60" i="7" s="1"/>
  <c r="B21" i="7"/>
  <c r="B39" i="7" s="1"/>
  <c r="B58" i="7" s="1"/>
  <c r="B15" i="7"/>
  <c r="B33" i="7" s="1"/>
  <c r="B52" i="7" s="1"/>
  <c r="B25" i="7"/>
  <c r="B43" i="7" s="1"/>
  <c r="B62" i="7" s="1"/>
  <c r="B16" i="7"/>
  <c r="B34" i="7" s="1"/>
  <c r="B53" i="7" s="1"/>
  <c r="F38" i="4" a="1"/>
  <c r="F38" i="4" s="1"/>
  <c r="AD14" i="4"/>
  <c r="K27" i="4"/>
  <c r="I29" i="4" a="1"/>
  <c r="I29" i="4" s="1"/>
  <c r="AI1" i="4"/>
  <c r="AI5" i="4" s="1"/>
  <c r="AH5" i="4"/>
  <c r="F29" i="4" a="1"/>
  <c r="F29" i="4" s="1"/>
  <c r="AD3" i="4"/>
  <c r="AD6" i="4"/>
  <c r="H29" i="4" a="1"/>
  <c r="H29" i="4" s="1"/>
  <c r="AF3" i="4"/>
  <c r="AG6" i="4"/>
  <c r="AG8" i="4"/>
  <c r="AG25" i="4"/>
  <c r="AG27" i="4"/>
  <c r="AG11" i="4"/>
  <c r="AG9" i="4"/>
  <c r="AG24" i="4"/>
  <c r="AG26" i="4"/>
  <c r="AG14" i="4"/>
  <c r="AG30" i="4"/>
  <c r="AG17" i="4"/>
  <c r="AG20" i="4"/>
  <c r="AG23" i="4"/>
  <c r="AG12" i="4"/>
  <c r="AG15" i="4"/>
  <c r="AG16" i="4"/>
  <c r="AG22" i="4"/>
  <c r="AG28" i="4"/>
  <c r="AG7" i="4"/>
  <c r="AG19" i="4"/>
  <c r="AG13" i="4"/>
  <c r="AG29" i="4"/>
  <c r="AG31" i="4"/>
  <c r="AG21" i="4"/>
  <c r="AG18" i="4"/>
  <c r="AG10" i="4"/>
  <c r="AG3" i="4"/>
  <c r="G38" i="4" a="1"/>
  <c r="G38" i="4" s="1"/>
  <c r="AE14" i="4"/>
  <c r="J9" i="7"/>
  <c r="I9" i="7"/>
  <c r="G9" i="7"/>
  <c r="AF6" i="4"/>
  <c r="AC3" i="4"/>
  <c r="H38" i="4" a="1"/>
  <c r="H38" i="4" s="1"/>
  <c r="G29" i="4" a="1"/>
  <c r="G29" i="4" s="1"/>
  <c r="AE3" i="4"/>
  <c r="AE6" i="4"/>
  <c r="J14" i="7" a="1"/>
  <c r="J17" i="7" a="1"/>
  <c r="J21" i="7" a="1"/>
  <c r="J18" i="7" a="1"/>
  <c r="J20" i="7" a="1"/>
  <c r="J15" i="7" a="1"/>
  <c r="J22" i="7" a="1"/>
  <c r="J23" i="7" a="1"/>
  <c r="J24" i="7" a="1"/>
  <c r="J25" i="7" a="1"/>
  <c r="J13" i="7" a="1"/>
  <c r="J16" i="7" a="1"/>
  <c r="I24" i="7" a="1"/>
  <c r="I25" i="7" a="1"/>
  <c r="I21" i="7" a="1"/>
  <c r="I15" i="7" a="1"/>
  <c r="I16" i="7" a="1"/>
  <c r="I23" i="7" a="1"/>
  <c r="I20" i="7" a="1"/>
  <c r="I22" i="7" a="1"/>
  <c r="I17" i="7" a="1"/>
  <c r="I14" i="7" a="1"/>
  <c r="I13" i="7" a="1"/>
  <c r="I18" i="7" a="1"/>
  <c r="G20" i="7" a="1"/>
  <c r="G15" i="7" a="1"/>
  <c r="G18" i="7" a="1"/>
  <c r="G14" i="7" a="1"/>
  <c r="G22" i="7" a="1"/>
  <c r="G25" i="7" a="1"/>
  <c r="G24" i="7" a="1"/>
  <c r="G21" i="7" a="1"/>
  <c r="G16" i="7" a="1"/>
  <c r="G23" i="7" a="1"/>
  <c r="G17" i="7" a="1"/>
  <c r="G13" i="7" a="1"/>
  <c r="K32" i="4" a="1"/>
  <c r="K54" i="4" a="1"/>
  <c r="K37" i="4" a="1"/>
  <c r="K57" i="4" a="1"/>
  <c r="K31" i="4" a="1"/>
  <c r="K35" i="4" a="1"/>
  <c r="K52" i="4" a="1"/>
  <c r="K28" i="4" a="1"/>
  <c r="K44" i="4" a="1"/>
  <c r="K30" i="4" a="1"/>
  <c r="K33" i="4" a="1"/>
  <c r="K36" i="4" a="1"/>
  <c r="K46" i="4" a="1"/>
  <c r="K43" i="4" a="1"/>
  <c r="K26" i="4" a="1"/>
  <c r="K47" i="4" a="1"/>
  <c r="K34" i="4" a="1"/>
  <c r="K39" i="4" a="1"/>
  <c r="K45" i="4" a="1"/>
  <c r="K53" i="4" a="1"/>
  <c r="K42" i="4" a="1"/>
  <c r="K51" i="4" a="1"/>
  <c r="K50" i="4" a="1"/>
  <c r="K58" i="4" a="1"/>
  <c r="K59" i="4" a="1"/>
  <c r="K60" i="4" a="1"/>
  <c r="K61" i="4" a="1"/>
  <c r="K61" i="4" l="1"/>
  <c r="K60" i="4"/>
  <c r="AI30" i="4" s="1"/>
  <c r="K59" i="4"/>
  <c r="K58" i="4"/>
  <c r="K50" i="4"/>
  <c r="AI22" i="4" s="1"/>
  <c r="K51" i="4"/>
  <c r="K42" i="4"/>
  <c r="K53" i="4"/>
  <c r="AI25" i="4" s="1"/>
  <c r="K45" i="4"/>
  <c r="AI19" i="4" s="1"/>
  <c r="K39" i="4"/>
  <c r="AI15" i="4" s="1"/>
  <c r="K34" i="4"/>
  <c r="K47" i="4"/>
  <c r="AI21" i="4" s="1"/>
  <c r="K26" i="4"/>
  <c r="AI2" i="4" s="1"/>
  <c r="K43" i="4"/>
  <c r="AI17" i="4" s="1"/>
  <c r="K46" i="4"/>
  <c r="AI20" i="4" s="1"/>
  <c r="K36" i="4"/>
  <c r="AI13" i="4" s="1"/>
  <c r="K33" i="4"/>
  <c r="K30" i="4"/>
  <c r="K44" i="4"/>
  <c r="AI18" i="4" s="1"/>
  <c r="K28" i="4"/>
  <c r="K29" i="4" s="1" a="1"/>
  <c r="K29" i="4" s="1"/>
  <c r="K52" i="4"/>
  <c r="K35" i="4"/>
  <c r="K31" i="4"/>
  <c r="K57" i="4"/>
  <c r="K37" i="4"/>
  <c r="K38" i="4" s="1" a="1"/>
  <c r="K38" i="4" s="1"/>
  <c r="K54" i="4"/>
  <c r="K32" i="4"/>
  <c r="G13" i="7"/>
  <c r="G17" i="7"/>
  <c r="G23" i="7"/>
  <c r="G16" i="7"/>
  <c r="G21" i="7"/>
  <c r="G24" i="7"/>
  <c r="G25" i="7"/>
  <c r="G22" i="7"/>
  <c r="G14" i="7"/>
  <c r="G18" i="7"/>
  <c r="G15" i="7"/>
  <c r="G20" i="7"/>
  <c r="I18" i="7"/>
  <c r="I13" i="7"/>
  <c r="I14" i="7"/>
  <c r="I17" i="7"/>
  <c r="I22" i="7"/>
  <c r="I20" i="7"/>
  <c r="I23" i="7"/>
  <c r="I16" i="7"/>
  <c r="I15" i="7"/>
  <c r="I21" i="7"/>
  <c r="I25" i="7"/>
  <c r="I24" i="7"/>
  <c r="J16" i="7"/>
  <c r="J13" i="7"/>
  <c r="J25" i="7"/>
  <c r="J24" i="7"/>
  <c r="J23" i="7"/>
  <c r="J22" i="7"/>
  <c r="J15" i="7"/>
  <c r="J20" i="7"/>
  <c r="J18" i="7"/>
  <c r="J21" i="7"/>
  <c r="J17" i="7"/>
  <c r="J14" i="7"/>
  <c r="AH21" i="4"/>
  <c r="AH23" i="4"/>
  <c r="AH13" i="4"/>
  <c r="AH11" i="4"/>
  <c r="AH9" i="4"/>
  <c r="AH28" i="4"/>
  <c r="AH10" i="4"/>
  <c r="AH29" i="4"/>
  <c r="AH8" i="4"/>
  <c r="AH14" i="4"/>
  <c r="AH17" i="4"/>
  <c r="AH20" i="4"/>
  <c r="AH26" i="4"/>
  <c r="AH18" i="4"/>
  <c r="AH12" i="4"/>
  <c r="AH24" i="4"/>
  <c r="AH6" i="4"/>
  <c r="AH25" i="4"/>
  <c r="AH30" i="4"/>
  <c r="AH7" i="4"/>
  <c r="AH19" i="4"/>
  <c r="AH31" i="4"/>
  <c r="AH16" i="4"/>
  <c r="AH15" i="4"/>
  <c r="AH27" i="4"/>
  <c r="AH22" i="4"/>
  <c r="AH3" i="4"/>
  <c r="K9" i="7"/>
  <c r="H9" i="7"/>
  <c r="AI6" i="4"/>
  <c r="AI7" i="4"/>
  <c r="AI29" i="4"/>
  <c r="AI31" i="4"/>
  <c r="AI11" i="4"/>
  <c r="AI12" i="4"/>
  <c r="AI28" i="4"/>
  <c r="AI14" i="4"/>
  <c r="AI26" i="4"/>
  <c r="AI8" i="4"/>
  <c r="AI23" i="4"/>
  <c r="AI9" i="4"/>
  <c r="AI27" i="4"/>
  <c r="AI10" i="4"/>
  <c r="AI24" i="4"/>
  <c r="AI16" i="4"/>
  <c r="M9" i="7"/>
  <c r="N9" i="7"/>
  <c r="K22" i="7" a="1"/>
  <c r="K17" i="7" a="1"/>
  <c r="K21" i="7" a="1"/>
  <c r="K13" i="7" a="1"/>
  <c r="K23" i="7" a="1"/>
  <c r="K20" i="7" a="1"/>
  <c r="K15" i="7" a="1"/>
  <c r="K24" i="7" a="1"/>
  <c r="K14" i="7" a="1"/>
  <c r="K18" i="7" a="1"/>
  <c r="K16" i="7" a="1"/>
  <c r="K25" i="7" a="1"/>
  <c r="H16" i="7" a="1"/>
  <c r="H22" i="7" a="1"/>
  <c r="H23" i="7" a="1"/>
  <c r="H14" i="7" a="1"/>
  <c r="H25" i="7" a="1"/>
  <c r="H15" i="7" a="1"/>
  <c r="H17" i="7" a="1"/>
  <c r="H20" i="7" a="1"/>
  <c r="H18" i="7" a="1"/>
  <c r="H21" i="7" a="1"/>
  <c r="H24" i="7" a="1"/>
  <c r="H13" i="7" a="1"/>
  <c r="M23" i="7" a="1"/>
  <c r="M25" i="7" a="1"/>
  <c r="M21" i="7" a="1"/>
  <c r="M18" i="7" a="1"/>
  <c r="M17" i="7" a="1"/>
  <c r="M24" i="7" a="1"/>
  <c r="M22" i="7" a="1"/>
  <c r="M16" i="7" a="1"/>
  <c r="M20" i="7" a="1"/>
  <c r="M13" i="7" a="1"/>
  <c r="M14" i="7" a="1"/>
  <c r="M15" i="7" a="1"/>
  <c r="N18" i="7" a="1"/>
  <c r="N16" i="7" a="1"/>
  <c r="N22" i="7" a="1"/>
  <c r="N23" i="7" a="1"/>
  <c r="N24" i="7" a="1"/>
  <c r="N14" i="7" a="1"/>
  <c r="N21" i="7" a="1"/>
  <c r="N15" i="7" a="1"/>
  <c r="N20" i="7" a="1"/>
  <c r="N17" i="7" a="1"/>
  <c r="N13" i="7" a="1"/>
  <c r="N25" i="7" a="1"/>
  <c r="N25" i="7" l="1"/>
  <c r="N13" i="7"/>
  <c r="N17" i="7"/>
  <c r="N20" i="7"/>
  <c r="N15" i="7"/>
  <c r="N21" i="7"/>
  <c r="N14" i="7"/>
  <c r="N24" i="7"/>
  <c r="N23" i="7"/>
  <c r="N22" i="7"/>
  <c r="N16" i="7"/>
  <c r="N18" i="7"/>
  <c r="M15" i="7"/>
  <c r="M14" i="7"/>
  <c r="M13" i="7"/>
  <c r="M20" i="7"/>
  <c r="M16" i="7"/>
  <c r="M22" i="7"/>
  <c r="M24" i="7"/>
  <c r="M17" i="7"/>
  <c r="M18" i="7"/>
  <c r="M21" i="7"/>
  <c r="M25" i="7"/>
  <c r="M23" i="7"/>
  <c r="H13" i="7"/>
  <c r="H24" i="7"/>
  <c r="H21" i="7"/>
  <c r="H18" i="7"/>
  <c r="H20" i="7"/>
  <c r="H17" i="7"/>
  <c r="H15" i="7"/>
  <c r="H25" i="7"/>
  <c r="H14" i="7"/>
  <c r="H23" i="7"/>
  <c r="H22" i="7"/>
  <c r="H16" i="7"/>
  <c r="K25" i="7"/>
  <c r="K16" i="7"/>
  <c r="K18" i="7"/>
  <c r="K14" i="7"/>
  <c r="K24" i="7"/>
  <c r="K15" i="7"/>
  <c r="K20" i="7"/>
  <c r="K23" i="7"/>
  <c r="K13" i="7"/>
  <c r="K21" i="7"/>
  <c r="K17" i="7"/>
  <c r="K22" i="7"/>
  <c r="Q9" i="7"/>
  <c r="L9" i="7"/>
  <c r="AI3" i="4"/>
  <c r="O9" i="7"/>
  <c r="Q17" i="7" a="1"/>
  <c r="Q25" i="7" a="1"/>
  <c r="Q21" i="7" a="1"/>
  <c r="Q14" i="7" a="1"/>
  <c r="Q24" i="7" a="1"/>
  <c r="Q16" i="7" a="1"/>
  <c r="Q22" i="7" a="1"/>
  <c r="Q23" i="7" a="1"/>
  <c r="Q18" i="7" a="1"/>
  <c r="Q15" i="7" a="1"/>
  <c r="Q20" i="7" a="1"/>
  <c r="Q13" i="7" a="1"/>
  <c r="L20" i="7" a="1"/>
  <c r="L23" i="7" a="1"/>
  <c r="L21" i="7" a="1"/>
  <c r="L17" i="7" a="1"/>
  <c r="L15" i="7" a="1"/>
  <c r="L22" i="7" a="1"/>
  <c r="L24" i="7" a="1"/>
  <c r="L14" i="7" a="1"/>
  <c r="L13" i="7" a="1"/>
  <c r="L25" i="7" a="1"/>
  <c r="L18" i="7" a="1"/>
  <c r="L16" i="7" a="1"/>
  <c r="O24" i="7" a="1"/>
  <c r="O15" i="7" a="1"/>
  <c r="O22" i="7" a="1"/>
  <c r="O16" i="7" a="1"/>
  <c r="O20" i="7" a="1"/>
  <c r="O17" i="7" a="1"/>
  <c r="O14" i="7" a="1"/>
  <c r="O18" i="7" a="1"/>
  <c r="O23" i="7" a="1"/>
  <c r="O21" i="7" a="1"/>
  <c r="O25" i="7" a="1"/>
  <c r="O13" i="7" a="1"/>
  <c r="O13" i="7" l="1"/>
  <c r="O25" i="7"/>
  <c r="O21" i="7"/>
  <c r="O23" i="7"/>
  <c r="O18" i="7"/>
  <c r="O14" i="7"/>
  <c r="O17" i="7"/>
  <c r="O20" i="7"/>
  <c r="O16" i="7"/>
  <c r="O22" i="7"/>
  <c r="O15" i="7"/>
  <c r="O24" i="7"/>
  <c r="L16" i="7"/>
  <c r="L18" i="7"/>
  <c r="L25" i="7"/>
  <c r="L13" i="7"/>
  <c r="L14" i="7"/>
  <c r="L24" i="7"/>
  <c r="L22" i="7"/>
  <c r="L15" i="7"/>
  <c r="L17" i="7"/>
  <c r="L21" i="7"/>
  <c r="L23" i="7"/>
  <c r="L20" i="7"/>
  <c r="Q13" i="7"/>
  <c r="Q20" i="7"/>
  <c r="Q15" i="7"/>
  <c r="Q18" i="7"/>
  <c r="Q23" i="7"/>
  <c r="Q22" i="7"/>
  <c r="Q16" i="7"/>
  <c r="Q24" i="7"/>
  <c r="Q14" i="7"/>
  <c r="Q21" i="7"/>
  <c r="Q25" i="7"/>
  <c r="Q17" i="7"/>
  <c r="P9" i="7"/>
  <c r="P15" i="7" a="1"/>
  <c r="P18" i="7" a="1"/>
  <c r="P23" i="7" a="1"/>
  <c r="P25" i="7" a="1"/>
  <c r="P21" i="7" a="1"/>
  <c r="P20" i="7" a="1"/>
  <c r="P16" i="7" a="1"/>
  <c r="P22" i="7" a="1"/>
  <c r="P14" i="7" a="1"/>
  <c r="P24" i="7" a="1"/>
  <c r="P17" i="7" a="1"/>
  <c r="P13" i="7" a="1"/>
  <c r="P13" i="7" l="1"/>
  <c r="P17" i="7"/>
  <c r="P24" i="7"/>
  <c r="P14" i="7"/>
  <c r="P22" i="7"/>
  <c r="P16" i="7"/>
  <c r="P20" i="7"/>
  <c r="P21" i="7"/>
  <c r="P25" i="7"/>
  <c r="P23" i="7"/>
  <c r="P18" i="7"/>
  <c r="P15"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<sst xmlns="http://schemas.openxmlformats.org/spreadsheetml/2006/main" count="658" uniqueCount="471">
  <si>
    <t>Net margin</t>
  </si>
  <si>
    <t>EBITDA margin</t>
  </si>
  <si>
    <t>Operating margin</t>
  </si>
  <si>
    <t>SG&amp;A / Sales</t>
  </si>
  <si>
    <t>Gross margin</t>
  </si>
  <si>
    <t>Net cash flows provided by / (used in) operating activities</t>
  </si>
  <si>
    <t>Net cash flow from operations</t>
  </si>
  <si>
    <t>(Increase) / decrease in working capital</t>
  </si>
  <si>
    <t>Change in working capital</t>
  </si>
  <si>
    <t>Capital expenditures</t>
  </si>
  <si>
    <t>Capex</t>
  </si>
  <si>
    <t>Net Debt</t>
  </si>
  <si>
    <t>Total non-current liabilities</t>
  </si>
  <si>
    <t>Non-Current Liabilities</t>
  </si>
  <si>
    <t>Total current liabilities</t>
  </si>
  <si>
    <t>Current Liabilities</t>
  </si>
  <si>
    <t>Total non-Current Assets</t>
  </si>
  <si>
    <t>Non-Current Assets</t>
  </si>
  <si>
    <t>Total Current Assets</t>
  </si>
  <si>
    <t>Current Assets</t>
  </si>
  <si>
    <t>Cash, short-term investments and marketable securities</t>
  </si>
  <si>
    <t>Cash and Equivalents</t>
  </si>
  <si>
    <t>Dividend per share</t>
  </si>
  <si>
    <t>DPS</t>
  </si>
  <si>
    <t>EPS-Diluted-Applicable to Common Stockholders, Primary</t>
  </si>
  <si>
    <t>EPS</t>
  </si>
  <si>
    <t>Net income / (loss), Primary</t>
  </si>
  <si>
    <t>NPAT</t>
  </si>
  <si>
    <t>Income / (loss) from continuing operations before income taxes</t>
  </si>
  <si>
    <t>Pre tax profit</t>
  </si>
  <si>
    <t>EBITDA, Primary</t>
  </si>
  <si>
    <t>EBITDA</t>
  </si>
  <si>
    <t>Operating income/(loss), Primary</t>
  </si>
  <si>
    <t>EBIT</t>
  </si>
  <si>
    <t>Total operating expenses</t>
  </si>
  <si>
    <t>Operating Expenses</t>
  </si>
  <si>
    <t>Selling, general and administrative expenses</t>
  </si>
  <si>
    <t>SG&amp;A</t>
  </si>
  <si>
    <t>Gross Profit / (loss)</t>
  </si>
  <si>
    <t>Gross Profit</t>
  </si>
  <si>
    <t>Sales</t>
  </si>
  <si>
    <t>SD</t>
  </si>
  <si>
    <t>Magnitude</t>
  </si>
  <si>
    <t>USD</t>
  </si>
  <si>
    <t>Millions</t>
  </si>
  <si>
    <t>M</t>
  </si>
  <si>
    <t>Actuals</t>
  </si>
  <si>
    <t>Abs</t>
  </si>
  <si>
    <t>Thousands</t>
  </si>
  <si>
    <t>K</t>
  </si>
  <si>
    <t>Billions</t>
  </si>
  <si>
    <t>B</t>
  </si>
  <si>
    <t>Trillions</t>
  </si>
  <si>
    <t>T</t>
  </si>
  <si>
    <t>support.CapIQPro@spglobal.com</t>
  </si>
  <si>
    <t>AED</t>
  </si>
  <si>
    <t>ARS</t>
  </si>
  <si>
    <t>AR$</t>
  </si>
  <si>
    <t>AUD</t>
  </si>
  <si>
    <t>BGN</t>
  </si>
  <si>
    <t>лв</t>
  </si>
  <si>
    <t>BHD</t>
  </si>
  <si>
    <t>BRL</t>
  </si>
  <si>
    <t>R$</t>
  </si>
  <si>
    <t>BSD</t>
  </si>
  <si>
    <t>CAD</t>
  </si>
  <si>
    <t>C$</t>
  </si>
  <si>
    <t>CHF</t>
  </si>
  <si>
    <t>CNY</t>
  </si>
  <si>
    <t>CRC</t>
  </si>
  <si>
    <t>EGP</t>
  </si>
  <si>
    <t>EUR</t>
  </si>
  <si>
    <t>€</t>
  </si>
  <si>
    <t>GBP</t>
  </si>
  <si>
    <t>£</t>
  </si>
  <si>
    <t>HKD</t>
  </si>
  <si>
    <t>HK$</t>
  </si>
  <si>
    <t>HUF</t>
  </si>
  <si>
    <t>IDR</t>
  </si>
  <si>
    <t>ILS</t>
  </si>
  <si>
    <t>INR</t>
  </si>
  <si>
    <t>JOD</t>
  </si>
  <si>
    <t>JPY</t>
  </si>
  <si>
    <t>¥</t>
  </si>
  <si>
    <t>KRW</t>
  </si>
  <si>
    <t>KWD</t>
  </si>
  <si>
    <t>LKR</t>
  </si>
  <si>
    <t>MXN</t>
  </si>
  <si>
    <t>MYR</t>
  </si>
  <si>
    <t>RM</t>
  </si>
  <si>
    <t>NOK</t>
  </si>
  <si>
    <t>NZD</t>
  </si>
  <si>
    <t>NZ$</t>
  </si>
  <si>
    <t>OMR</t>
  </si>
  <si>
    <t>PAB</t>
  </si>
  <si>
    <t>PHP</t>
  </si>
  <si>
    <t>PKR</t>
  </si>
  <si>
    <t>PLN</t>
  </si>
  <si>
    <t>QAR</t>
  </si>
  <si>
    <t>RUB</t>
  </si>
  <si>
    <t>SAR</t>
  </si>
  <si>
    <t>SEK</t>
  </si>
  <si>
    <t>SGD</t>
  </si>
  <si>
    <t>S$</t>
  </si>
  <si>
    <t>THB</t>
  </si>
  <si>
    <t>฿</t>
  </si>
  <si>
    <t>TWD</t>
  </si>
  <si>
    <t>NT$</t>
  </si>
  <si>
    <t>$</t>
  </si>
  <si>
    <t>ZAR</t>
  </si>
  <si>
    <t>R</t>
  </si>
  <si>
    <t>CLP</t>
  </si>
  <si>
    <t>PEN</t>
  </si>
  <si>
    <t>COP</t>
  </si>
  <si>
    <t>HNL</t>
  </si>
  <si>
    <t>L</t>
  </si>
  <si>
    <t>GTQ</t>
  </si>
  <si>
    <t>ALL</t>
  </si>
  <si>
    <t>TRY</t>
  </si>
  <si>
    <t>VND</t>
  </si>
  <si>
    <t>HRK</t>
  </si>
  <si>
    <t>ISK</t>
  </si>
  <si>
    <t>MAD</t>
  </si>
  <si>
    <t>RON</t>
  </si>
  <si>
    <t>RSD</t>
  </si>
  <si>
    <t>TND</t>
  </si>
  <si>
    <t>BDT</t>
  </si>
  <si>
    <t>AFN</t>
  </si>
  <si>
    <t>AMD</t>
  </si>
  <si>
    <t>AZN</t>
  </si>
  <si>
    <t>BAM</t>
  </si>
  <si>
    <t>KHR</t>
  </si>
  <si>
    <t>DOP</t>
  </si>
  <si>
    <t>GEL</t>
  </si>
  <si>
    <t>KES</t>
  </si>
  <si>
    <t>KGS</t>
  </si>
  <si>
    <t>MDL</t>
  </si>
  <si>
    <t>MNT</t>
  </si>
  <si>
    <t>WST</t>
  </si>
  <si>
    <t>TJS</t>
  </si>
  <si>
    <t>TMT</t>
  </si>
  <si>
    <t>UAH</t>
  </si>
  <si>
    <t>UZS</t>
  </si>
  <si>
    <t>BYN</t>
  </si>
  <si>
    <t>VES</t>
  </si>
  <si>
    <t>Symbol</t>
  </si>
  <si>
    <t>Code</t>
  </si>
  <si>
    <t>Please contact S&amp;P Capital IQ Pro Support with any questions or comments:</t>
  </si>
  <si>
    <t>Email:</t>
  </si>
  <si>
    <t>Total revenue</t>
  </si>
  <si>
    <t xml:space="preserve"> - growth YoY</t>
  </si>
  <si>
    <t>Select Metric ---&gt;</t>
  </si>
  <si>
    <t>Data</t>
  </si>
  <si>
    <t>Selected Metric</t>
  </si>
  <si>
    <t>Instructions:</t>
  </si>
  <si>
    <t>Chart 1 :</t>
  </si>
  <si>
    <t>Contact:</t>
  </si>
  <si>
    <t>Notes:</t>
  </si>
  <si>
    <t>Argentine Peso</t>
  </si>
  <si>
    <t>Armenian Dram</t>
  </si>
  <si>
    <t>Australian Dollar</t>
  </si>
  <si>
    <t>Bahamian Dollar</t>
  </si>
  <si>
    <t>Bahraini Dinar</t>
  </si>
  <si>
    <t>Belarusian Ruble</t>
  </si>
  <si>
    <t>Brazilian Real</t>
  </si>
  <si>
    <t>Bulgarian Lev</t>
  </si>
  <si>
    <t>Canadian Dollar</t>
  </si>
  <si>
    <t>Chilean Peso</t>
  </si>
  <si>
    <t>Colombian Peso</t>
  </si>
  <si>
    <t>Costa Rican Colon</t>
  </si>
  <si>
    <t>Croatian Kuna</t>
  </si>
  <si>
    <t>Dominican Peso</t>
  </si>
  <si>
    <t>Egyptian Pound</t>
  </si>
  <si>
    <t>Euro</t>
  </si>
  <si>
    <t>Hong Kong Dollar</t>
  </si>
  <si>
    <t>Indian Rupee</t>
  </si>
  <si>
    <t>Jordanian Dinar</t>
  </si>
  <si>
    <t>Kenyan Shilling</t>
  </si>
  <si>
    <t>Kuwaiti Dinar</t>
  </si>
  <si>
    <t>Malaysian Ringgit</t>
  </si>
  <si>
    <t>Mexican Peso</t>
  </si>
  <si>
    <t>Moldovan Leu</t>
  </si>
  <si>
    <t>New Israeli Shekel</t>
  </si>
  <si>
    <t>New Taiwan Dollar</t>
  </si>
  <si>
    <t>New Zealand Dollar</t>
  </si>
  <si>
    <t>Norwegian Krone</t>
  </si>
  <si>
    <t>Philippine Peso</t>
  </si>
  <si>
    <t>Qatari Rial</t>
  </si>
  <si>
    <t>Russian Ruble</t>
  </si>
  <si>
    <t>Saudi Riyal</t>
  </si>
  <si>
    <t>Serbian Dinar</t>
  </si>
  <si>
    <t>Singapore Dollar</t>
  </si>
  <si>
    <t>South African Rand</t>
  </si>
  <si>
    <t>South Korean Won</t>
  </si>
  <si>
    <t>Sri Lanka Rupee</t>
  </si>
  <si>
    <t>Swedish Krona</t>
  </si>
  <si>
    <t>Swiss Franc</t>
  </si>
  <si>
    <t>Tunisian Dinar</t>
  </si>
  <si>
    <t>(Ticker, Entity ID or Exchange:Ticker)</t>
  </si>
  <si>
    <r>
      <rPr>
        <b/>
        <sz val="8"/>
        <rFont val="Arial"/>
        <family val="2"/>
      </rPr>
      <t>Step 2</t>
    </r>
    <r>
      <rPr>
        <sz val="8"/>
        <rFont val="Arial"/>
        <family val="2"/>
      </rPr>
      <t>: Enter Latest Completed Year.</t>
    </r>
  </si>
  <si>
    <r>
      <rPr>
        <b/>
        <sz val="8"/>
        <rFont val="Arial"/>
        <family val="2"/>
      </rPr>
      <t>Step 1</t>
    </r>
    <r>
      <rPr>
        <sz val="8"/>
        <rFont val="Arial"/>
        <family val="2"/>
      </rPr>
      <t>: Enter Company Identifier.</t>
    </r>
  </si>
  <si>
    <t>Income Statement</t>
  </si>
  <si>
    <t>Balance Sheet</t>
  </si>
  <si>
    <t>Cash Flow</t>
  </si>
  <si>
    <t>Margins/ Ratios</t>
  </si>
  <si>
    <r>
      <t xml:space="preserve">This template includes </t>
    </r>
    <r>
      <rPr>
        <b/>
        <sz val="8"/>
        <rFont val="Arial"/>
        <family val="2"/>
      </rPr>
      <t>Visible Alpha data</t>
    </r>
    <r>
      <rPr>
        <sz val="8"/>
        <rFont val="Arial"/>
        <family val="2"/>
      </rPr>
      <t xml:space="preserve">, which requires a </t>
    </r>
    <r>
      <rPr>
        <b/>
        <sz val="8"/>
        <rFont val="Arial"/>
        <family val="2"/>
      </rPr>
      <t>separate subscription</t>
    </r>
    <r>
      <rPr>
        <sz val="8"/>
        <rFont val="Arial"/>
        <family val="2"/>
      </rPr>
      <t>. Contact S&amp;P Capital IQ Pro Support or your Account Manager for access.</t>
    </r>
  </si>
  <si>
    <t>Company Name</t>
  </si>
  <si>
    <t>Exchange:Ticker</t>
  </si>
  <si>
    <t>Market Data</t>
  </si>
  <si>
    <t>Price Performance (%)</t>
  </si>
  <si>
    <t>52W</t>
  </si>
  <si>
    <t>MTD</t>
  </si>
  <si>
    <t>YTD</t>
  </si>
  <si>
    <t>1Y</t>
  </si>
  <si>
    <t>3Y</t>
  </si>
  <si>
    <t>5Y</t>
  </si>
  <si>
    <t>LTM</t>
  </si>
  <si>
    <t>NTM</t>
  </si>
  <si>
    <t>STM</t>
  </si>
  <si>
    <t>1D</t>
  </si>
  <si>
    <t>1W</t>
  </si>
  <si>
    <t>1M</t>
  </si>
  <si>
    <t>3M</t>
  </si>
  <si>
    <t>2Y</t>
  </si>
  <si>
    <t>QTD</t>
  </si>
  <si>
    <t>Periods</t>
  </si>
  <si>
    <t>NYSE:ORCL</t>
  </si>
  <si>
    <t>NASDAQGS:ADBE</t>
  </si>
  <si>
    <t>SP_PRICE_CLOSE</t>
  </si>
  <si>
    <t>SP_PRICE_HIGH</t>
  </si>
  <si>
    <t>SP_PRICE_LOW</t>
  </si>
  <si>
    <t>SP_MARKETCAP</t>
  </si>
  <si>
    <t>IQ_TEV</t>
  </si>
  <si>
    <t>SP_PRICE_CHANGE</t>
  </si>
  <si>
    <t>EPS Diluted, Applicable to common stockholders</t>
  </si>
  <si>
    <t>Dividends per share</t>
  </si>
  <si>
    <t>Total stockholders' equity</t>
  </si>
  <si>
    <t>Free cash flow</t>
  </si>
  <si>
    <t>Total assets</t>
  </si>
  <si>
    <t>Financials</t>
  </si>
  <si>
    <t>Ratios</t>
  </si>
  <si>
    <t>Valuation</t>
  </si>
  <si>
    <t>Total revenue, YoY (%)</t>
  </si>
  <si>
    <t>Price / Earnings (x)</t>
  </si>
  <si>
    <t>Gross profit/(loss), YoY (%)</t>
  </si>
  <si>
    <t>Price / Sales (x)</t>
  </si>
  <si>
    <t>EBITDA, YoY (%)</t>
  </si>
  <si>
    <t>Price / Book Value (x)</t>
  </si>
  <si>
    <t>Operating income/(loss), YoY (%)</t>
  </si>
  <si>
    <t>Price / Free Cash Flow (x)</t>
  </si>
  <si>
    <t>Net income/(loss), YoY (%)</t>
  </si>
  <si>
    <t>Enterprise Value / EBITDA (x)</t>
  </si>
  <si>
    <t>EPS Diluted, YoY (%)</t>
  </si>
  <si>
    <t>Enterprise Value / Operating Income (x)</t>
  </si>
  <si>
    <t>Capital expenditures, YoY (%)</t>
  </si>
  <si>
    <t>Enterprise Value / Sales (x)</t>
  </si>
  <si>
    <t>Free cash flow (FCF), YoY (%)</t>
  </si>
  <si>
    <t>Enterprise Value / Free Cash Flow (x)</t>
  </si>
  <si>
    <t>Gross margin (%)</t>
  </si>
  <si>
    <t>Free Cash Flow Yield (%)</t>
  </si>
  <si>
    <t>Operating margin (%)</t>
  </si>
  <si>
    <t>Earnings Yield (%)</t>
  </si>
  <si>
    <t>Net margin (%)</t>
  </si>
  <si>
    <t>Dividend Yield (%)</t>
  </si>
  <si>
    <t>Return on average equity (%)</t>
  </si>
  <si>
    <t>Price / Earnings, GAAP (x)</t>
  </si>
  <si>
    <t>Return on average equity, TTM (%)</t>
  </si>
  <si>
    <t>Price / Earnings, Operating (x)</t>
  </si>
  <si>
    <t>Return on average assets, TTM (%)</t>
  </si>
  <si>
    <t>Price / Earnings, Blended (x)</t>
  </si>
  <si>
    <t>Return on average capital employed (ROACE) (%)</t>
  </si>
  <si>
    <t>Price / Sales, GAAP (x)</t>
  </si>
  <si>
    <t>Post-tax return on invested capital (ROIC) (%)</t>
  </si>
  <si>
    <t>Price / Sales, Operating (x)</t>
  </si>
  <si>
    <t>EPS Diluted, Applicable to common stockholders, YoY (%)</t>
  </si>
  <si>
    <t>Price / Sales, Blended (x)</t>
  </si>
  <si>
    <t>Enterprise Value / EBITDA, GAAP (x)</t>
  </si>
  <si>
    <t>Enterprise Value / EBITDA, Operating (x)</t>
  </si>
  <si>
    <t>Enterprise Value / EBITDA, Blended (x)</t>
  </si>
  <si>
    <t>Enterprise Value / Operating Income, GAAP (x)</t>
  </si>
  <si>
    <t>Enterprise Value / Operating Income, Operating (x)</t>
  </si>
  <si>
    <t>Enterprise Value / Operating Income, Blended (x)</t>
  </si>
  <si>
    <t>Enterprise Value / Sales, GAAP (x)</t>
  </si>
  <si>
    <t>Enterprise Value / Sales, Operating (x)</t>
  </si>
  <si>
    <t>Enterprise Value / Sales, Blended (x)</t>
  </si>
  <si>
    <t>Earnings Yield, GAAP (%)</t>
  </si>
  <si>
    <t>Earnings Yield, Operating (%)</t>
  </si>
  <si>
    <t>Earnings Yield, Blended (%)</t>
  </si>
  <si>
    <t>Price / Tangible Book Value (x)</t>
  </si>
  <si>
    <t>Enterprise Value / Liscenced Beds (x)</t>
  </si>
  <si>
    <t>Price / Funds from Operations (FFO) (x)</t>
  </si>
  <si>
    <t>Price / Adjusted Funds from Operations (AFFO) (x)</t>
  </si>
  <si>
    <t>FFO Yield (%)</t>
  </si>
  <si>
    <t>AFFO Yield (%)</t>
  </si>
  <si>
    <t>Price / Embedded Value (x)</t>
  </si>
  <si>
    <t>Enterprise Value / Number of Restaurants (x)</t>
  </si>
  <si>
    <t>Enterprise Value / EBITDAaL (x)</t>
  </si>
  <si>
    <t>Price / Pre Provision Net Revenue (PPNR), Blended (x)</t>
  </si>
  <si>
    <t>PEG Ratio 1-year (x)</t>
  </si>
  <si>
    <t>PEG Ratio 1-year, GAAP (x)</t>
  </si>
  <si>
    <t>PEG Ratio 1-year, Operating (x)</t>
  </si>
  <si>
    <t>PEG Ratio 1-year, Blended (x)</t>
  </si>
  <si>
    <t>PEG Ratio 3-year (x)</t>
  </si>
  <si>
    <t>PEG Ratio 3-year, GAAP (x)</t>
  </si>
  <si>
    <t>PEG Ratio 3-year, Operating (x)</t>
  </si>
  <si>
    <t>PEG Ratio 3-year, Blended (x)</t>
  </si>
  <si>
    <t>PEG Ratio 5-year (x)</t>
  </si>
  <si>
    <t>PEG Ratio 5-year, GAAP (x)</t>
  </si>
  <si>
    <t>PEG Ratio 5-year, Blended (x)</t>
  </si>
  <si>
    <t>Price / Fee-related Earnings (x)</t>
  </si>
  <si>
    <t>Price / Distributable Earnings (x)</t>
  </si>
  <si>
    <t>Enterprise Value / Gross Profit (x)</t>
  </si>
  <si>
    <t>Price / Operating capital generation (OCG) - Own funds (x)</t>
  </si>
  <si>
    <t>Price / Book value, Adjusted for net NPA (x)</t>
  </si>
  <si>
    <t>Enterprise value excl. lease / Sales (x)</t>
  </si>
  <si>
    <t>Enterprise value excl. lease / Sales, GAAP (x)</t>
  </si>
  <si>
    <t>Enterprise value excl. lease / Sales, Operating (x)</t>
  </si>
  <si>
    <t>Enterprise value excl. lease / Sales, Blended (x)</t>
  </si>
  <si>
    <t>Enterprise value excl. lease / Gross profit (x)</t>
  </si>
  <si>
    <t>Enterprise value excl. lease / EBITDA (x)</t>
  </si>
  <si>
    <t>Enterprise value excl. lease / EBITDA, GAAP (x)</t>
  </si>
  <si>
    <t>Enterprise value excl. lease / EBITDA, Operating (x)</t>
  </si>
  <si>
    <t>Enterprise value excl. lease / EBITDA, Blended (x)</t>
  </si>
  <si>
    <t>Enterprise value excl. lease / Operating income (x)</t>
  </si>
  <si>
    <t>Enterprise value excl. lease / Operating income, GAAP (x)</t>
  </si>
  <si>
    <t>Enterprise value excl. lease / Operating income, Operating (x)</t>
  </si>
  <si>
    <t>Enterprise value excl. lease / Operating income, Blended (x)</t>
  </si>
  <si>
    <t>Enterprise value excl. lease / Free cash flow (x)</t>
  </si>
  <si>
    <t>Performance Valuations</t>
  </si>
  <si>
    <t>MI Keys</t>
  </si>
  <si>
    <t>Ratios &amp; Margins</t>
  </si>
  <si>
    <t>MSFT</t>
  </si>
  <si>
    <t>NASDAQGS:NVDA</t>
  </si>
  <si>
    <t>NASDAQGS:AAPL</t>
  </si>
  <si>
    <t>NASDAQGS:AVGO</t>
  </si>
  <si>
    <t>NYSE:CRM</t>
  </si>
  <si>
    <t>NYSE:IBM</t>
  </si>
  <si>
    <t>Chart 2 :</t>
  </si>
  <si>
    <t>NASDAQGS:GOOGL</t>
  </si>
  <si>
    <t>NASDAQGS:INTC</t>
  </si>
  <si>
    <t>Currency Name</t>
  </si>
  <si>
    <t>ISO Code</t>
  </si>
  <si>
    <t>Mag.</t>
  </si>
  <si>
    <t>Reported Currency</t>
  </si>
  <si>
    <t>Reported</t>
  </si>
  <si>
    <t>000</t>
  </si>
  <si>
    <t>British Pound Sterling</t>
  </si>
  <si>
    <t>Japanese Yen</t>
  </si>
  <si>
    <t>U.S. Dollar</t>
  </si>
  <si>
    <t>Afghan Afghani</t>
  </si>
  <si>
    <t>Albanian Lek</t>
  </si>
  <si>
    <t>dr</t>
  </si>
  <si>
    <t>AU$</t>
  </si>
  <si>
    <t>Azerbaijani Manat</t>
  </si>
  <si>
    <t>m</t>
  </si>
  <si>
    <t>B$</t>
  </si>
  <si>
    <t>BD</t>
  </si>
  <si>
    <t>Bangladeshi Taka</t>
  </si>
  <si>
    <t>Bt.</t>
  </si>
  <si>
    <t>Br</t>
  </si>
  <si>
    <t>Bosnian Convertible Marks</t>
  </si>
  <si>
    <t>KM</t>
  </si>
  <si>
    <t>Cambodian Riel</t>
  </si>
  <si>
    <t>៛</t>
  </si>
  <si>
    <t>CL$</t>
  </si>
  <si>
    <t>Chinese Yuan Renminbi</t>
  </si>
  <si>
    <t>CN¥</t>
  </si>
  <si>
    <t>Col$</t>
  </si>
  <si>
    <t>¢</t>
  </si>
  <si>
    <t>kn</t>
  </si>
  <si>
    <t>Czech Koruna</t>
  </si>
  <si>
    <t>CZK</t>
  </si>
  <si>
    <t>Kc</t>
  </si>
  <si>
    <t>Danish Krone</t>
  </si>
  <si>
    <t>DKK</t>
  </si>
  <si>
    <t>Dkr</t>
  </si>
  <si>
    <t>RD$</t>
  </si>
  <si>
    <t>£E.</t>
  </si>
  <si>
    <t>Georgian Lari</t>
  </si>
  <si>
    <t>ლ</t>
  </si>
  <si>
    <t>Guatemalan Quetzal</t>
  </si>
  <si>
    <t>Q.</t>
  </si>
  <si>
    <t>Honduran Lempira</t>
  </si>
  <si>
    <t>L.</t>
  </si>
  <si>
    <t>Hungarian Forint</t>
  </si>
  <si>
    <t>Ft.</t>
  </si>
  <si>
    <t>Icelandic Krona</t>
  </si>
  <si>
    <t>kr</t>
  </si>
  <si>
    <t>Rs.</t>
  </si>
  <si>
    <t>Indonesian Rupiah</t>
  </si>
  <si>
    <t>Rp.</t>
  </si>
  <si>
    <t>JD</t>
  </si>
  <si>
    <t>Kazakhstan Tenge</t>
  </si>
  <si>
    <t>KZT</t>
  </si>
  <si>
    <t>Kshs.</t>
  </si>
  <si>
    <t>KD</t>
  </si>
  <si>
    <t>Kyrgyzstani Som</t>
  </si>
  <si>
    <t>Macedonian Denar</t>
  </si>
  <si>
    <t>MKD</t>
  </si>
  <si>
    <t>Mex$</t>
  </si>
  <si>
    <t>Mongolian Tugrik</t>
  </si>
  <si>
    <t>₮</t>
  </si>
  <si>
    <t>Moroccan Dirham</t>
  </si>
  <si>
    <t>د.م.</t>
  </si>
  <si>
    <t>₪</t>
  </si>
  <si>
    <t>NKr</t>
  </si>
  <si>
    <t>Omani Rial</t>
  </si>
  <si>
    <t>RO</t>
  </si>
  <si>
    <t>Pakistani Rupee</t>
  </si>
  <si>
    <t>Rs</t>
  </si>
  <si>
    <t>Panamanian Balboa</t>
  </si>
  <si>
    <t>Peruvian Sol</t>
  </si>
  <si>
    <t>S/.</t>
  </si>
  <si>
    <t>Polish Zloty</t>
  </si>
  <si>
    <t>zl</t>
  </si>
  <si>
    <t>ر.ق</t>
  </si>
  <si>
    <t>Romanian Leu</t>
  </si>
  <si>
    <t>Samoan Tala</t>
  </si>
  <si>
    <t>WS$</t>
  </si>
  <si>
    <t>SR</t>
  </si>
  <si>
    <t>₩</t>
  </si>
  <si>
    <t>₨</t>
  </si>
  <si>
    <t>SFr.</t>
  </si>
  <si>
    <t>Tajik Somoni</t>
  </si>
  <si>
    <t>TJR</t>
  </si>
  <si>
    <t>Thai Baht</t>
  </si>
  <si>
    <t>د.ت</t>
  </si>
  <si>
    <t>Turkish Lira</t>
  </si>
  <si>
    <t>TL</t>
  </si>
  <si>
    <t>Turkmenistan Manat</t>
  </si>
  <si>
    <t>Uae Dirham</t>
  </si>
  <si>
    <t>Dhs.</t>
  </si>
  <si>
    <t>Ukraine Hryvnia</t>
  </si>
  <si>
    <t>Uzbekistani Som</t>
  </si>
  <si>
    <t>Venezuelan Bolívar</t>
  </si>
  <si>
    <t>Bs. S</t>
  </si>
  <si>
    <t>Vietnam Dong</t>
  </si>
  <si>
    <t>₫</t>
  </si>
  <si>
    <t>Data Type &gt;&gt;</t>
  </si>
  <si>
    <t>Diluted EPS</t>
  </si>
  <si>
    <t>(Format: FY2026, CY2026, FQ12026, CQ12026)</t>
  </si>
  <si>
    <t>Margin / Ratio Analysis</t>
  </si>
  <si>
    <t>Changing the Input for Period or Metrics dropdown requires refreshing the entire sheet. Refer to Step 7.</t>
  </si>
  <si>
    <t>Source</t>
  </si>
  <si>
    <t>Consensus.VAActuals</t>
  </si>
  <si>
    <t>Consensus.Median</t>
  </si>
  <si>
    <t>VAActuals.Median</t>
  </si>
  <si>
    <t>Broker Code</t>
  </si>
  <si>
    <t>Enter Broker Code&gt;&gt;</t>
  </si>
  <si>
    <r>
      <rPr>
        <b/>
        <sz val="8"/>
        <rFont val="Arial"/>
        <family val="2"/>
      </rPr>
      <t>Step 6</t>
    </r>
    <r>
      <rPr>
        <sz val="8"/>
        <rFont val="Arial"/>
        <family val="2"/>
      </rPr>
      <t>: Select the Source.</t>
    </r>
  </si>
  <si>
    <t>Disclaimer:</t>
  </si>
  <si>
    <t>This template provides an overview of a company and its peers, combining historical financials, consensus estimates, and key performance metrics. It supports peer company analysis across market data, valuation, profitability, earnings, ratios, and growth metrics. The model utilizes Visible Alpha data from the S&amp;P Capital IQ Pro Plug-In.</t>
  </si>
  <si>
    <r>
      <t xml:space="preserve">Step 7: </t>
    </r>
    <r>
      <rPr>
        <sz val="8"/>
        <rFont val="Arial"/>
        <family val="2"/>
      </rPr>
      <t>To</t>
    </r>
    <r>
      <rPr>
        <b/>
        <sz val="8"/>
        <rFont val="Arial"/>
        <family val="2"/>
      </rPr>
      <t xml:space="preserve"> REFRESH</t>
    </r>
    <r>
      <rPr>
        <sz val="8"/>
        <rFont val="Arial"/>
        <family val="2"/>
      </rPr>
      <t>, Go to S&amp;P Cap IQ Pro in the Ribbon &gt; Refresh Data &gt; All Sheets.</t>
    </r>
  </si>
  <si>
    <r>
      <rPr>
        <b/>
        <sz val="8"/>
        <rFont val="Arial"/>
        <family val="2"/>
      </rPr>
      <t>Step 3</t>
    </r>
    <r>
      <rPr>
        <sz val="8"/>
        <rFont val="Arial"/>
        <family val="2"/>
      </rPr>
      <t>: Enter As of Date.</t>
    </r>
  </si>
  <si>
    <r>
      <rPr>
        <b/>
        <sz val="8"/>
        <rFont val="Arial"/>
        <family val="2"/>
      </rPr>
      <t>Step 4</t>
    </r>
    <r>
      <rPr>
        <sz val="8"/>
        <rFont val="Arial"/>
        <family val="2"/>
      </rPr>
      <t>: Select the Currency.</t>
    </r>
  </si>
  <si>
    <r>
      <rPr>
        <b/>
        <sz val="8"/>
        <rFont val="Arial"/>
        <family val="2"/>
      </rPr>
      <t>Step 5</t>
    </r>
    <r>
      <rPr>
        <sz val="8"/>
        <rFont val="Arial"/>
        <family val="2"/>
      </rPr>
      <t>: Select the Magnitude.</t>
    </r>
  </si>
  <si>
    <t>Source: S&amp;P Capital IQ Pro</t>
  </si>
  <si>
    <t>NASDAQGS:AMD</t>
  </si>
  <si>
    <t>Financials &amp; Peer Analysis</t>
  </si>
  <si>
    <t>NYSE:DELL</t>
  </si>
  <si>
    <t>Net cash flows provided by/(used in) investing activities</t>
  </si>
  <si>
    <t>Net cash flows provided by/(used in) financing activities</t>
  </si>
  <si>
    <t>FY2025</t>
  </si>
  <si>
    <t>Override Peers</t>
  </si>
  <si>
    <r>
      <t xml:space="preserve">To </t>
    </r>
    <r>
      <rPr>
        <b/>
        <sz val="8"/>
        <rFont val="Arial"/>
        <family val="2"/>
      </rPr>
      <t>REFRESH</t>
    </r>
    <r>
      <rPr>
        <sz val="8"/>
        <rFont val="Arial"/>
        <family val="2"/>
      </rPr>
      <t>, Go to S&amp;P Cap IQ Pro in the Ribbon &gt; Refresh Data &gt; Entire Sheet.</t>
    </r>
  </si>
  <si>
    <t>To include data for a peer not already listed in E13:E24, you can manually add the peer in the range D13:E24.</t>
  </si>
  <si>
    <t>Net cash flow from investing activities</t>
  </si>
  <si>
    <t>Net cash flow from financing activities</t>
  </si>
  <si>
    <t>Subject Company &gt;&gt;</t>
  </si>
  <si>
    <t>NASDAQGS:META</t>
  </si>
  <si>
    <t>允䅁䡁䉑䅁允䅁䅁杒婂䍁䄰杍睁䑁䅉杍䅁䅁䅉䅁䍁䅁䅁䅁啁䅁䅁䅈䅁䙁䅍䅕時䙁䅁杕䩂䕁䅍兒時䕁䅧兓䡂䕁䅧䅁㝃䅁䅁杣䅁䍁䅣睗呂䙁䅁睒時䙁䅙兙獂䡁䅕兙あ䝁䅫睢畂䕁䄰兤獂䡁䅑兡睂䝁䅷党穂䙁䄸杖䉂䕁䅍睢瑂䝁䅉睢時䡁䅙免杁䍁䅧免灁䍁䄴䅥獂䡁䅍䅥摂䕁䅑兙あ䝁䅅睊桁䍁䅑睑歁䑁䅉䅏䅁䑁䅣䅁千䅁䅁睔睂䡁䅑兡療䝁䄴督㙁䕁䅑兙あ䝁䅅䅖㕂䡁䅁党㥁䙁䅍䅒獁䙁䅍睢ㅂ䡁䅉睙求䑁䄰睙療䝁䄴督求䝁䄴督ㅂ䡁䅍杌㉂䝁䅅兙橂䡁䅑兤桂䝁䅷督獁䕁䄰兙湂䝁䅫䅤ㅂ䝁䅑党㥁䕁䅅杙穂䍁䅷睑ㅂ䡁䅉杣求䝁䄴睙㕂䑁䄰兖呂䕁䅑䅁卂䅁䅁杇䅁䝁䅍兤祂䡁䅉党畂䝁䅍入㥁䙁䅕睕䕂䅁䅁児䅁䡁䅁䅁偂䡁䅁䅤灂䝁䄸杢穂䑁䅯䅒桂䡁䅑兙啂䡁䅫䅣求䑁䄰睕䕂䍁䅷睕祂䝁䅍児橂䝁䄸杢穂䝁䅕杢穂䡁䅕督畁䡁䅙兙桂䝁䅍䅤ㅂ䝁䅅䅢穂䍁䅷兔桂䝁䅣児䉂䝁䅉督獁䕁䄴兑㥁䅁䅁朶䅁䝁䅯䅁偂䡁䅁䅤灂䝁䄸杢穂䑁䅯䅒桂䡁䅑兙啂䡁䅫䅣求䑁䄰睕䕂䍁䅷睕祂䝁䅍児䑂䝁䄸杢穂䝁䅕杢穂䡁䅕督畁䕁䄰党歂䝁䅫兙畂䍁䅷兔桂䝁䅣児䉂䝁䅉督獁䕁䄴兑㥁䅁䅁兊䅅䉁䅉䅁佂䙁䅫睕䙂䑁䅯䅒奂䕁䅍䅁佁允䅁杄䅁䍁䅉杒婂䍁䄰杉流䅁䅁兎䅁䙁䄴䅁䙂䙁䅁睕杁䕁䅑兡獂䡁䅕䅤求䝁䅑䅌杁䕁䅅䅣睂䝁䅷兡橂䝁䅅杙獂䝁䅕䅉あ䝁䄸䅉橂䝁䄸兢瑂䝁䄸杢杁䡁䅍䅤療䝁䅍睡潂䝁䄸䅢歂䝁䅕杣穂䅁䅁杶䅁䝁䅯䅁湁䙁䅳睕兂䕁䅣睘䝂䝁䅫杢桂䝁䄴睙灂䝁䅅䅢䥂䝁䅫睚潂䝁䅷兡湂䝁䅧䅤穂䙁䄸杖䉂䙁䄸杤硁䍁䅁䅋硁䍁䅫杌㑂䝁䅷督㑂䙁䄰兔桂䝁䅫杢湁䍁䅅䅊䕂䍁䅑李ㅁ䅁䅁兴䅁䅁䄴䅁橁䕁䅕杕卂䕁䄸杕䅁䕁䅫䅁楁䅁䅁睔睂䝁䅕杣桂䡁䅑兡畂䝁䅣䅉瑂䝁䅅杣湂䝁䅫杢䅁䑁䅉䅁楁䅁䅁睉䩂䕁䄴杖䉂䕁䅷兓䕂䙁䅉兒坂䕁䅫睕䩂䕁䄸杔䅁䅁䅧䅁慁䅁䅁䅖療䡁䅑兙獂䍁䅁兙穂䡁䅍党あ䡁䅍䅁呄䅁䅁杋䅁䍁䅍兓佂䙁䅙兑䵂䕁䅫䅒杁䕁䄰兒啂䙁䅉兓䑂䍁䅁杔䉂䕁䄰兒䅁䅁䅕䅁捁䅁䅁兒䍂䕁䅫䅖䕂䕁䅅䅉瑂䝁䅅杣湂䝁䅫杢䅁䑁䅁䅁獁䅁䅁睔睂䡁䅑兡療䝁䄴督㙁䕁䅍兤祂䡁䅉児噂䙁䅍䅒獁䕁䄴兑㥁䑁䅁䅁㉃䅁䅁䅫䅁䙁䅳杓求䝁䅙杚求䡁䅉兡求䡁䅍䅔䵂䕁䅍睘祁䑁䅁李睁䑁䅙李硁䑁䅉睘䑂䡁䅕督あ䝁䄸兢䩂䝁䄴䅚求䡁䅧睘䑂䕁䅫兕兂䡁䅉睢畁䡁䅧䅢穂䝁䄰兘䩂䝁䄴督あ䡁䅉兤橂䡁䅑兡療䝁䄴督桁䍁䅑䅕歁䑁䅅睍㙁䍁䅑䅕歁䑁䅉䅍䅁䡁䄴䅁楁䅁䅁睉䩂䕁䄴杖䉂䕁䅷兓䕂䕁䅍兖卂䙁䅉兒佂䕁䅍兗䅁䥁䅕䅁⭂䅁䅁睊扂䙁䅍䅕䡂䙁䄸杖桂䝁䅷兤桂䡁䅑兡療䝁䄴兔ㅂ䝁䅷䅤灂䡁䅁䅢求䡁䅍睘坂䕁䅅睑療䝁䄰杙療䙁䄸杤硁䍁䅁䅋硁䍁䅫杌㑂䝁䅷督㑂䙁䄰䅒桂䡁䅑兙湁䍁䅅䅊䑂䍁䅑睍祁䑁䅯䅊䑂䍁䅑䅎穁䅁䅁䅏䅁䉁䅁䅁䝂䙁䅅䅎祁䑁䅁杍ぁ䅁䅁党䅅䉁䅁䅁䑂䙁䅅睍祁䑁䅁杍㉁䅁䅁䅎䅅䝁䅑䅁扂䙁䅍䅕䡂䙁䄸杒灂䝁䄴兙畂䝁䅍兡桂䝁䅷䅓灂䝁䅣䅡獂䝁䅫睚潂䡁䅑督時䙁䅙兑時䙁䅣兓兂䍁䄴䅥獂䡁䅍䅥摂䙁䅉党睂䝁䄸杣あ䍁䅅䅊䕂䍁䅑李ㅁ䅁䅁眴䅁䡁䅯䅁偂䡁䅁䅤灂䝁䄸杢穂䑁䅯䅒桂䡁䅑兙啂䡁䅫䅣求䑁䄰睕䕂䍁䅷睕橂䡁䅉児橂䝁䄸杢穂䝁䅕杢穂䡁䅕督畁䡁䅙兙桂䝁䅍䅤ㅂ䝁䅅䅢穂䍁䅷兔桂䝁䅣児䉂䝁䅉督獁䕁䅍兤祂䡁䅉児噂䙁䅍䅒䅁䕁䅑䅁敁䅁䅁睉䩂䕁䄴杖䉂䕁䅷兓䕂䙁䅁兒卂䕁䅫睔䕂䅁䅁李䅁䅁䄴䅁䑂䙁䅫杍睁䑁䅉兎䅁䵁䄰䅁杁䅁䅁䅒桂䡁䅫䅉䑂䝁䅷睢穂䝁䅕䅉兂䡁䅉兡橂䝁䅕䅁祂䅁䅁杈䅁䕁䅙杣求䝁䅕䅉橂䝁䅅督潂䍁䅁杚獂䝁䄸睤䅁乁䄸䅁䅃䅁䅁睊扂䙁䅍䅕䡂䙁䄸杖桂䝁䅷兤桂䡁䅑兡療䝁䄴兔ㅂ䝁䅷䅤灂䡁䅁䅢求䡁䅍睘坂䕁䅅睑療䝁䄰杙療䙁䄸杤硁䍁䅁䅋硁䍁䅫杌㑂䝁䅷督㑂䙁䄰䅒桂䡁䅑兙湁䍁䅅䅊䙂䍁䅑杍㕁䑁䅯䅊䩂䕁䅧䅊祁䑁䅫䅁㕁䅁䅁杍䅁䙁䅁兙獂䝁䄸䅉䉂䝁䅷䅤療䍁䅁杔求䡁䅑睤療䡁䅉睡穂䍁䅷䅉䩂䝁䄴睙畁䅁䅁杅䅅䍁䄴䅁啂䝁䄸䅤桂䝁䅷䅉祂䝁䅕杤求䝁䄴兤求䍁䅷䅉婂䝁䄸兗杁䍁䅧兊灁䅁䅁䅄䅅䥁䅁䅁湁䙁䅳睕兂䕁䅣睘坂䝁䅅䅢ㅂ䝁䅅䅤灂䝁䄸杢乂䡁䅕䅢あ䝁䅫䅣獂䝁䅕督時䙁䅙兑䑂䝁䄸兢楂䝁䄸睘㉂䑁䅅䅉潁䑁䅅克畁䡁䅧䅢穂䡁䅧兘䕂䝁䅅䅤桂䍁䅣光歁䕁䅕䅊穁䑁䅁杏歁䕁䅫䅓歁䑁䅍䅍䅁䑁䅯䅁捁䅁䅁睕兂䙁䄸兕噂䕁䅫睑䱂䙁䄸睑偂䕁䄰䅕䅁䩁䅑䅁佁䅁䅁杒婂䑁䅉䅍祁䑁䅧䅁浂䅁䅁杕䅁䍁䅧兓畂䝁䅍杣求䝁䅅督求䍁䅫䅉癁䍁䅁䅚求䝁䅍杣求䝁䅅督求䍁䅁兡畂䍁䅁睤療䡁䅉睡灂䝁䄴睚杁䝁䅍兙睂䝁䅫䅤桂䝁䅷䅁湁䅁䅁䅥䅁䕁䄸䅣あ䝁䅫睢畂䡁䅍杏䑂䡁䅕杣祂䑁䄰兖呂䕁䅑䅌乂䝁䅅睚㥁䕁䄰䅌䕂䝁䅅䅤桂䙁䅑入睂䝁䅕児呂䕁䅑䅌呂䡁䅉睙㥁䕁䅍睢畂䡁䅍党畂䡁䅍兤穂䍁䄴兔求䝁䅑兡桂䝁䄴䅌佂䕁䅅児䅁䍁䉍䅁煁䅁䅁睑桂䡁䅁兡あ䝁䅅䅢杁䝁䅕䅥睂䝁䅕杢歂䝁䅫䅤ㅂ䡁䅉党穂䅁䅁䅋䅁䉁䅁䅁䝂䙁䅫兌祁䑁䅁杍㉁䅁䅁充䅁䙁䅧䅁䩂䝁䄴䅤求䡁䅉杢桂䡁䅑兡療䝁䄴兙獂䍁䅁村ㅂ䡁䅍兡畂䝁䅕督穂䍁䅁兔桂䝁䅍䅡灂䝁䄴党穂䍁䅁睑療䡁䅉䅣療䡁䅉兙あ䝁䅫睢畂䅁䅁兕䅁䝁䄴䅁䑂䝁䅅督潂䍁䅷䅉穂䝁䅧睢祂䡁䅑兌あ䝁䅕杣瑂䍁䅁兡畂䡁䅙党穂䡁䅑兢求䝁䄴䅤穂䍁䅁兙畂䝁䅑䅉瑂䝁䅅杣牂䝁䅕䅤桂䝁䅉䅢求䍁䅁督求䝁䅍兤祂䝁䅫䅤灂䝁䅕督䅁䍁䅁䅁あ䅁䅁杔求䡁䅑䅉橂䝁䅅督潂䍁䅁杚獂䝁䄸睤穂䍁䅁䅣祂䝁䄸杤灂䝁䅑党歂䍁䅁杙㕂䍁䄸䅋ㅂ䡁䅍党歂䍁䅁兡畂䍁䅫䅉浂䝁䅫杢桂䝁䄴睙灂䝁䄴睚杁䝁䅅睙あ䝁䅫杤灂䡁䅑兡求䡁䅍䅁歂允䅁䅓䅁䕁䄸䅣あ䝁䅫睢畂䡁䅍杏䑂䡁䅕杣祂䑁䄰兖呂䕁䅑䅌乂䝁䅅睚㥁䙁䅑杣灂䝁䅷䅢灂䝁䄸杢穂䍁䅷杔䉂䑁䄰䅍䅁䱁䅯䅁䍂䅁䅁睔睂䝁䅕杣桂䡁䅑兡畂䝁䅣䅉灂䝁䄴睙療䝁䄰党癁䍁䅧䅢療䡁䅍督灁䍁䅷䅉兂䡁䅉兡瑂䝁䅅杣㕂䅁䅁䅇䅁䙁䅯䅁偂䡁䅁䅤灂䝁䄸杢穂䑁䅯䅒桂䡁䅑兙啂䡁䅫䅣求䑁䄰睕䕂䍁䅷睕療䡁䅕杣橂䝁䅕児獁䕁䄰兙湂䑁䄰兑楂䡁䅍䅌䑂䡁䅕杣祂䑁䄰兖呂䕁䅑䅁乂䅁䅁䅖䅁䕁䄸䅣あ䝁䅫睢畂䡁䅍杏䉂䝁䅣睚祂䝁䅕睚桂䡁䅑党㥁䡁䅣兑坂䕁䅣䅌佂䕁䅅児橁䕁䄴睌䉂䍁䅷杒灂䝁䅷䅢㥁䕁䅑兙灂䝁䅷入䅁䡁䅷䅁允䅁䅁睑剂䑁䅉杍睁䑁䅉李䅁䑁䉕䅁啃䅁䅁睔睂䡁䅑兡療䝁䄴督㙁䕁䅑兙あ䝁䅅䅖㕂䡁䅁党㥁䙁䅍䅒獁䙁䅍睢ㅂ䡁䅉睙求䑁䄰睙療䝁䄴督求䝁䄴督ㅂ䡁䅍杌㉂䝁䅅兙橂䡁䅑兤桂䝁䅷督獁䕁䄰兙湂䝁䄴兡あ䡁䅕䅚求䑁䄰兑楂䡁䅍䅌䑂䡁䅕杣祂䝁䅕杢橂䡁䅫児噂䙁䅍䅒䅁䙁䅕䅁㡁䅁䅁䅒灂䡁䅙兡歂䝁䅕杢歂䍁䅁兑歂䝁䅯兤穂䡁䅑党歂䍁䅁睑獂䝁䄸督求䍁䅁䅕祂䝁䅫睙求䅁䅁睤䅁䥁䅁䅁偂䡁䅁䅤灂䝁䄸杢穂䑁䅯睑ㅂ䡁䅉杣㥁䙁䅕睕䕂䍁䅷兔桂䝁䅣児乂䍁䅷䅒桂䡁䅑兙啂䡁䅫䅣求䑁䄰睕䕂䍁䅷睕祂䝁䅍児橂䝁䄸杢穂䝁䅕杢穂䡁䅕督畁䡁䅙兙桂䝁䅍䅤ㅂ䝁䅅䅢穂䍁䅷杔䉂䑁䄰䅍䅁乁䅉䅁捁䅁䅁杔䉂䙁䅍䅒䉂䙁䅅睒呂䑁䅯兑䕂䕁䅉兒䅁䥁䅯䅁敁䅁䅁䅒灂䡁䅙兡歂䝁䅕杢歂䍁䅁兗灂䝁䅕䅢歂䅁䅁睋䅁䅁䄴䅁䝂䙁䅫杍睁䑁䅉睍䅁䝁䅯䅁畂䅁䅁睔睂䡁䅑兡療䝁䄴督㙁䕁䅅睚湂䡁䅉党湂䝁䅅䅤求䑁䄰睤䉂䙁䅙睒獁䕁䅑兙あ䝁䅕督㥁䕁䅉党浂䝁䄸杣求䍁䅷杔䉂䑁䄰睉佂䍁䄸兑獁䕁䅙兡獂䝁䅷児䕂䝁䅅兡獂䡁䅫䅁䑃䅁䅁李䅁䙁䅍睢ㅂ䡁䅉睙求䑁䄰睙療䝁䄴督求䝁䄴督ㅂ䡁䅍杌㉂䝁䅅兙橂䡁䅑兤桂䝁䅷督䅁䅁䅷䅁流䅁䅁䅒灂䡁䅙兡歂䝁䅕杢歂䍁䅁䅣求䡁䅉䅉穂䝁䅧兙祂䝁䅕䅁敁䅁䅁䅅䅁䑁䅑䅍睁䑁䅑杍硁䑁䅑䅁牃䅁䅁䅉䅁䕁䅕村䩂䙁䅑䅒䉂䍁䅷䅉兂䡁䅉兡瑂䝁䅅杣㕂䅁䅁杆䅁䝁䄴䅁䙂䙁䅁睕瑁䕁䅑兡獂䡁䅕䅤求䝁䅑兌䉂䡁䅁䅣獂䝁䅫睙桂䝁䅉䅢求䍁䅁䅤療䍁䅁睑療䝁䄰兢療䝁䄴䅉呂䡁䅑睢橂䝁䅳䅡療䝁䅷䅚求䡁䅉督獁䍁䅁䅕祂䝁䅫兢桂䡁䅉入䅁䉁䄰䅁杂䅁䅁睔睂䡁䅑兡療䝁䄴督㙁䕁䅑兙あ䝁䅅䅖㕂䡁䅁党㥁䙁䅍䅒獁䙁䅍杣橂䑁䄰睑療䝁䄴督求䝁䄴督ㅂ䡁䅍杌坂䕁䅅兑橂䡁䅑兤桂䝁䅷督獁䕁䄴兑㥁䅁䅁先䅅䉁䄴䅁䙂䝁䅅杣畂䝁䅫杢湂䡁䅍䅉婂䝁䅫党獂䝁䅑䅁灁䅁䅁䅬䅁䕁䄸䅣あ䝁䅫睢畂䡁䅍杏䕂䝁䅅䅤桂䙁䅑入睂䝁䅕児䑂䕁䅑䅌呂䝁䄸兤祂䝁䅍党㥁䝁䅍睢畂䡁䅍党畂䡁䅍兤穂䍁䄴杤桂䝁䅅睙あ䡁䅕兙獂䡁䅍䅌乂䝁䅅睚畂䝁䅫䅤ㅂ䝁䅑党㥁䕁䅅杙穂䍁䅷睑ㅂ䡁䅉杣求䝁䄴睙㕂䑁䄰兖呂䕁䅑䅁扂䅁䅁䅎䅁䕁䅕杢あ䝁䅕杣睂䡁䅉兡穂䝁䅕䅉坂䝁䅅䅢ㅂ䝁䅕䅉癁䍁䅁兒䍂䕁䅫䅖䕂䕁䅅䅁獁䅁䅁䅃䅁䕁䅫村乂䅁䅁䅕䅁䑁䅯䅁佂䝁䅕䅤杁䝁䅫杢橂䝁䄸兢求䍁䅁睌杁䍁䅧䅢療䡁䅍督灁䍁䅷䅉兂䡁䅉兡瑂䝁䅅杣㕂䅁䅁睆䅁䉁䅧䅁䩂䝁䄴䅤ㅂ䝁䅫䅤杁䕁䅫杢橂䍁䄴䅁㥄䅁䅁䅢䅁䙁䅳睕兂䕁䅣睘䝂䝁䅫杢桂䝁䄴睙灂䝁䅅䅢穂䕁䅅杢歂䙁䅁党求䡁䅉兑畂䝁䅅䅢㕂䡁䅍兡穂䙁䄸杖䉂䍁䄴䅥獂䡁䅍䅥摂䙁䅑党桂䡁䅉睕潂䝁䅕党あ䍁䅅䅊䙂䍁䅑兎䅁䝁䉉䅁允䅁䅁杒婂䍁䄰杍睁䑁䅉睍䅁䉁䅁䅁允䅁䅁杒婂䍁䄰杍睁䑁䅉䅎䅁䅁䄴䅁あ䅁䅁睔睂䡁䅑兡療䝁䄴督㙁䕁䅑兙あ䝁䅅䅖㕂䡁䅁党㥁䙁䅍䅒獁䙁䅍杣橂䑁䄰睙療䝁䄴督求䝁䄴督ㅂ䡁䅍杌㉂䝁䅅兙橂䡁䅑兤桂䝁䅷督獁䕁䄰兙湂䑁䄰䅌䑂䡁䅕杣祂䑁䄰兖呂䕁䅑䅁橂䅁䅁䅄䅁䕁䄰兙湂䑁䄰克䅁䑁䅑䅁䕂䅁䅁睔睂䡁䅑兡療䝁䄴督㙁䕁䅍兤祂䡁䅉児噂䙁䅍䅒獁䕁䄰兙湂䑁䄰村灂䝁䅷䅢灂䝁䄸杢穂䍁䅷杔䉂䑁䄰䅁䵂允䅁䅅䅁䕁䅙兗瑁䑁䅉䅍祁䑁䅕䅁呁䅁䅁䅅䅁䕁䅙兗瑁䑁䅉䅍祁䑁䅣䅁十䅁䅁䅡䅁䕁䄸䅣あ䝁䅫睢畂䡁䅍杏䉂䝁䅣睚祂䝁䅕睚桂䡁䅑党㥁䕁䄰睡あ䕁䅍兙睂䙁䅣党灂䝁䅣䅡あ䝁䅕䅚獁䕁䄴兑㥁䍁䅍杔癁䕁䅅䅌䝂䝁䅫䅢獂䑁䄰䅒桂䝁䅫䅢㕂䅁䅁杤䅁䉁䅷䅁兂䡁䅉兡橂䝁䅕䅉癁䍁䅁睕桂䝁䅷党穂䅁䅁䄴䅁䑁䅑䅁啂䝁䄸䅤桂䝁䅷䅉橂䡁䅕杣祂䝁䅕杢あ䍁䅁䅢灂䝁䅅杙灂䝁䅷兡あ䝁䅫党穂䅁䅁杉䅁䉁䅁䅁䝂䙁䅫兌祁䑁䅁杍㑁䅁䅁睄䅁䅁䄴䅁䝂䙁䅫杍睁䑁䅉杍䅁䝁䅣䅁佁䅁䅁杒婂䑁䅉䅍祁䑁䅑䅁牂䅁䅁杄䅁䕁䅙兗祁䑁䅁杍ㅁ䅁䅁党䅁䝁䅧䅁佂䝁䅕䅤杁䝁䅫杢橂䝁䄸兢求䍁䅁睌杁䍁䅧䅢療䡁䅍督灁䍁䅁杚祂䝁䄸兢杁䝁䅍睢畂䡁䅑兡畂䡁䅕兡畂䝁䅣䅉療䡁䅁党祂䝁䅅䅤灂䝁䄸杢穂䍁䅁䅋䑂䕁䅙克䅁䍁䅙䅁佁䅁䅁杒婂䑁䅉䅍祁䑁䅙䅁灂䅁䅁䅌䅁䕁䅣杣療䡁䅍督杁䙁䅁杣療䝁䅙兡あ䍁䅁睌杁䍁䅧䅢療䡁䅍督灁䅁䅁䅈䅁䥁䅉䅁偂䡁䅁䅤灂䝁䄸杢穂䑁䅯䅒桂䡁䅑兙啂䡁䅫䅣求䑁䄰睕䕂䍁䅷睕祂䝁䅍児䑂䝁䄸杢穂䝁䅕杢穂䡁䅕督畁䙁䅙兑䉂䝁䅍䅤ㅂ䝁䅅䅢穂䍁䅷兔桂䝁䅣児桂䝁䅉督獁䕁䅍兤祂䡁䅉児噂䙁䅍䅒獁䕁䄴兑㥁䅁䅁睈䅅䅁䄴䅁䝂䙁䅫杍睁䑁䅉睎䅁䝁䅧䅁慁䅁䅁睒祂䝁䄸督穂䍁䅁兢桂䡁䅉睚灂䝁䄴䅁畁䅁䅁䅉䅁䕁䅫兕時䕁䅍睔乂䙁䅁兑佂䙁䅫睘佂䕁䅅兔䙂䅁䅁兒䅁䡁䄴䅁䩂䝁䄴睙療䝁䄰党杁䍁䄸䅉潁䝁䅷睢穂䡁䅍克杁䝁䅙杣療䝁䄰䅉橂䝁䄸杢あ䝁䅫杢ㅂ䝁䅫杢湂䍁䅁睢睂䝁䅕杣桂䡁䅑兡療䝁䄴督杁䝁䅉党浂䝁䄸杣求䍁䅁兡畂䝁䅍睢瑂䝁䅕䅉あ䝁䅅䅥求䡁䅍䅁慁䅁䅁权䅁䕁䄰睕䝂䙁䅑䅁䅁䅁䅁䅅䅁䕁䄰兙湂䑁䄰兑楂䡁䅍䅁⽁䅁䅁杅䅁䕁䄴兗呂䕁䅕杏䥂䙁䅁兒䅁䩁䅙䅁佁䅁䅁兔桂䝁䅣児瑂䍁䅫䅁穁䅁䅁杍䅁䙁䅑睢あ䝁䅅䅢杁䝁䄴睢畂䍁䄰睑ㅂ䡁䅉杣求䝁䄴䅤杁䕁䅅督穂䝁䅕䅤穂䅁䅁睉䅁䉁䅷䅁乂䝁䅅睚畂䝁䅫䅤ㅂ䝁䅑党㥁䕁䅅杙穂䅁䅁材䅁䍁䅷䅁乂䝁䅫睙祂䝁䄸督療䝁䅙䅤杁䕁䅍睢祂䡁䅁睢祂䝁䅅䅤灂䝁䄸杢䅁䕁䅣䅁䝁䅁䅁杔䉂䅁䅁兆䅁䡁䅙䅁扂䙁䅍䅕䡂䙁䄸杒灂䝁䄴兙畂䝁䅍兡桂䝁䅷督䉂䝁䄴䅚兂䝁䅕党祂䕁䅅杢桂䝁䅷入穂䝁䅫督時䙁䅙兑畁䡁䅧䅢穂䡁䅧兘兂䝁䅕党祂䕁䅅杢桂䝁䅷入穂䝁䅫督桁䍁䅑兑䉂䍁䅑免祁䅁䅁兢䅅䉁䅉䅁佂䝁䅕䅤杁䕁䅑党楂䡁䅑䅁晁䅁䅁䅫䅁䕁䄸䅣あ䝁䅫睢畂䡁䅍杏䕂䝁䅅䅤桂䙁䅑入睂䝁䅕児䑂䕁䅑䅌呂䝁䄸兤祂䝁䅍党㥁䝁䅍睢畂䡁䅍党畂䡁䅍兤穂䍁䄴杤桂䝁䅅睙あ䡁䅕兙獂䡁䅍䅌乂䝁䅅睚畂䝁䅫䅤ㅂ䝁䅑党㥁䕁䄰䅌䑂䡁䅕杣祂䝁䅕杢橂䡁䅫児噂䙁䅍䅒䅁䙁䅯䅁㑂䅁䅁杔求䡁䅑䅉橂䝁䅅督潂䍁䅁杚獂䝁䄸睤穂䍁䅁䅣祂䝁䄸杤灂䝁䅑党歂䍁䅁杙㕂䍁䅁睌杁䍁䅧兤穂䝁䅕䅚杁䝁䅫杢灁䍁䅁睢睂䝁䅕杣桂䡁䅑兡畂䝁䅣䅉桂䝁䅍䅤灂䡁䅙兡あ䝁䅫党穂䅁䅁兊䅁䉁䅁䅁䝂䙁䅅杍祁䑁䅁杍㉁䅁䅁睌䅅䉁䅙䅁佂䝁䅕䅤杁䝁䄰兙祂䝁䅣兡畂䅁䅁睌䅁䥁䅉䅁偂䡁䅁䅤灂䝁䄸杢穂䑁䅯兑湂䝁䅣杣求䝁䅣兙あ䝁䅕児乂䝁䅳䅤䑂䝁䅅䅣塂䝁䅕兡湂䝁䅧䅤求䝁䅑䅌䕂䝁䅅䅤求䡁䅍児䍂䝁䅕杚療䡁䅉党獁䕁䄴兑㥁䍁䅍杔癁䕁䅅䅌䝂䝁䅫䅢獂䑁䄰䅒桂䝁䅫䅢㕂䅁䅁兣䅁䍁䅧䅁偂䡁䅁䅤灂䝁䄸杢穂䑁䅯䅒桂䡁䅑兙啂䡁䅫䅣求䑁䄰睕䕂䅁䅁睂䅁䝁䄴䅁偂䡁䅁䅤灂䝁䄸杢穂䑁䅯䅒桂䡁䅑兙啂䡁䅫䅣求䑁䄰睕䕂䍁䅷睕橂䡁䅉児獁䕁䅅䅚煂䑁䄰䅌䡂䡁䅉睢㍂䡁䅑䅡㥁䍁䅷兔桂䝁䅣児䉂䝁䅉督獁䕁䅍兤祂䡁䅉児噂䙁䅍䅒䅁䕁䅁䅁煂䅁䅁睔睂䡁䅑兡療䝁䄴督㙁䕁䅑兙あ䝁䅅䅖㕂䡁䅁党㥁䙁䅍䅒獁䙁䅍睙祂䑁䄰䅌䉂䝁䅑条㥁䍁䅷睒祂䝁䄸睤あ䝁䅧児獁䕁䄰兙湂䑁䄰兔獁䕁䅍兤祂䡁䅉児噂䙁䅍䅒䅁䕁䅅䅁允䅁䅁䅎硁䑁䅑䅎硁䑁䅕李䅁䅁䉧䅁啂䅁䅁睔睂䡁䅑兡療䝁䄴督㙁䕁䅑兙あ䝁䅅䅖㕂䡁䅁党㥁䙁䅍䅒獁䙁䅍睙祂䑁䄰䅌乂䝁䅅睚㥁䕁䅅杙穂䍁䅷睑ㅂ䡁䅉杣㥁䙁䅕睕䕂䅁䅁杓䅁䝁䅙䅁扂䙁䅍䅕䡂䙁䄸杒灂䝁䄴兙畂䝁䅍兡桂䝁䅷䅓灂䝁䅣䅡獂䝁䅫睚潂䡁䅑督時䙁䅙兑時䙁䅣兓兂䍁䄴䅥獂䡁䅍䅥摂䙁䅉党睂䝁䄸杣あ䍁䅅䅊䉂䕁䅕䅊㉁䑁䅙䅁䙁允䅁䅕䅁䕁䄸䅣あ䝁䅫睢畂䡁䅍杏䕂䝁䅅䅤桂䙁䅑入睂䝁䅕児呂䕁䅑䅌呂䝁䅍杣㥁䍁䅷兔桂䝁䅣児乂䍁䅷睑ㅂ䡁䅉杣㥁䙁䅕睕䕂䅁䅁睓䅁䩁䅁䅁偂䡁䅁䅤灂䝁䄸杢穂䑁䅯䅒桂䡁䅑兙啂䡁䅫䅣求䑁䄰睕䕂䍁䅷睕橂䡁䅉児橂䝁䄸杢穂䝁䅕杢穂䡁䅕督畁䡁䅙兙桂䝁䅍䅤ㅂ䝁䅅䅢穂䍁䅷兑歂䝁䅯児獁䕁䅣杣療䡁䅣䅤潂䑁䄰䅌乂䝁䅅睚㥁䕁䄰䅌䑂䡁䅕杣祂䑁䄰兖呂䕁䅑䅁䍂䅁䅁条䅁䕁䄸䅣あ䝁䅫睢畂䡁䅍杏䕂䝁䅅䅤桂䙁䅑入睂䝁䅕児呂䕁䅑䅌呂䝁䅍杣㥁䝁䅍睢畂䡁䅍党畂䡁䅍兤穂䍁䄴杤桂䝁䅅睙あ䡁䅕兙獂䡁䅍䅌䑂䡁䅕杣祂䑁䄰兖呂䕁䅑䅁䥂䅁䅁杤䅁䕁䄸䅣あ䝁䅫睢畂䡁䅍杏䕂䝁䅅䅤桂䙁䅑入睂䝁䅕児呂䕁䅑䅌呂䝁䅍杣㥁䝁䅍睢畂䡁䅍党畂䡁䅍兤穂䍁䄴杤桂䝁䅅睙あ䡁䅕兙獂䡁䅍䅌乂䝁䅅睚㥁䕁䄰䅌䑂䡁䅕杣祂䑁䄰兖呂䕁䅑䅁䑂䅁䅁杖䅁䕁䄸䅣あ䝁䅫睢畂䡁䅍杏䕂䝁䅅䅤桂䙁䅑入睂䝁䅕児呂䕁䅑䅌呂䝁䄸兤祂䝁䅍党㥁䍁䅷兔桂䝁䅣児乂䍁䅷睑ㅂ䡁䅉杣㥁䙁䅕睕䕂䅁䅁䅔䅁䅁䄴䅁䝂䙁䅫杍睁䑁䅍䅍䅁䥁䅫䅁䅃䅁䅁睔睂䡁䅑兡療䝁䄴督㙁䕁䅑兙あ䝁䅅䅖㕂䡁䅁党㥁䙁䅍䅒獁䙁䅍睢ㅂ䡁䅉睙求䑁䄰睙療䝁䄴督求䝁䄴督ㅂ䡁䅍杌㉂䝁䅅兙橂䡁䅑兤桂䝁䅷督獁䕁䄰兙湂䑁䄰兑楂䡁䅍䅌䑂䡁䅕杣祂䑁䄰兖呂䕁䅑䅁佂䅁䅁䅨䅁䙁䅳杓求䝁䅙杚求䡁䅉兡求䡁䅍䅔䵂䕁䅍睘祁䑁䅁李睁䑁䅙李硁䑁䅉睘䑂䡁䅕督あ䝁䄸兢䩂䝁䄴䅚求䡁䅧睘䑂䕁䅫兕兂䡁䅉睢畁䡁䅧䅢穂䝁䄰兘䩂䝁䄴督あ䡁䅉兤橂䡁䅑兡療䝁䄴督桁䍁䅑睒歁䑁䅅兏䅁䝁䄸䅁䥃䅁䅁睔睂䡁䅑兡療䝁䄴督㙁䕁䅑兙あ䝁䅅䅖㕂䡁䅁党㥁䙁䅍䅒獁䙁䅍睢ㅂ䡁䅉睙求䑁䄰睙療䝁䄴督求䝁䄴督ㅂ䡁䅍杌㉂䝁䅅兙橂䡁䅑兤桂䝁䅷督獁䕁䄰兙湂䑁䄰兑楂䡁䅍䅌䑂䡁䅕杣祂䝁䅕杢橂䡁䅫児噂䙁䅍䅒䅁䙁䅍䅁㡂䅁䅁睔睂䡁䅑兡療䝁䄴督㙁䕁䅑兙あ䝁䅅䅖㕂䡁䅁党㥁䙁䅍䅒獁䙁䅍睢ㅂ䡁䅉睙求䑁䄰睙療䝁䄴督求䝁䄴督ㅂ䡁䅍杌㉂䝁䅅兙橂䡁䅑兤桂䝁䅷督獁䕁䄰兙湂䑁䄰兔獁䕁䅍兤祂䡁䅉児噂䙁䅍䅒䅁䕁䄸䅁啃䅁䅁睔睂䡁䅑兡療䝁䄴督㙁䕁䅑兙あ䝁䅅䅖㕂䡁䅁党㥁䙁䅍䅒獁䙁䅍睢ㅂ䡁䅉睙求䑁䄰睙療䝁䄴督求䝁䄴督ㅂ䡁䅍杌㉂䝁䅅兙橂䡁䅑兤桂䝁䅷督獁䕁䄰兙湂䝁䄴兡あ䡁䅕䅚求䝁䄴兡あ䡁䅕䅚求䑁䄰兔獁䕁䅍兤祂䡁䅉児噂䙁䅍䅒䅁䙁䅣䅁㙂䅁䅁睔睂䡁䅑兡療䝁䄴督㙁䕁䅑兙あ䝁䅅䅖㕂䡁䅁党㥁䙁䅍䅒獁䙁䅍睢ㅂ䡁䅉睙求䑁䄰睙療䝁䄴督求䝁䄴督ㅂ䡁䅍杌㉂䝁䅅兙橂䡁䅑兤桂䝁䅷督獁䕁䄰兙湂䝁䄴兡あ䡁䅕䅚求䑁䄰兑楂䡁䅍䅁捂䅁䅁䅪䅁䕁䄸䅣あ䝁䅫睢畂䡁䅍杏䕂䝁䅅䅤桂䙁䅑入睂䝁䅕児呂䕁䅑䅌呂䝁䄸兤祂䝁䅍党㥁䝁䅍睢畂䡁䅍党畂䡁䅍兤穂䍁䄴杤桂䝁䅅睙あ䡁䅕兙獂䡁䅍䅌乂䝁䅅睚畂䝁䅫䅤ㅂ䝁䅑党㥁䕁䅅杙穂䍁䅷睑ㅂ䡁䅉杣㥁䙁䅕睕䕂䅁䅁杖䅁䥁䅧䅁偂䡁䅁䅤灂䝁䄸杢穂䑁䅯䅒桂䡁䅑兙啂䡁䅫䅣求䑁䄰睕䕂䍁䅷睕療䡁䅕杣橂䝁䅕児橂䝁䄸杢穂䝁䅕杢穂䡁䅕督畁䡁䅙兙桂䝁䅍䅤ㅂ䝁䅅䅢穂䍁䅷兔桂䝁䅣杢灂䡁䅑兤歂䝁䅕児乂䍁䅷睑ㅂ䡁䅉杣㥁䙁䅕睕䕂䅁䅁䅖䅁䙁䅁䅁偂䡁䅁䅤灂䝁䄸杢穂䑁䅯䅒桂䡁䅑兙啂䡁䅫䅣求䑁䄰睕䕂䍁䅷睕祂䝁䅍児噂䕁䅉睕獁䕁䄰兙湂䑁䄰兑楂䡁䅍䅌佂䕁䅅児䅁䕁䉕䅁元䅁䅁睔睂䡁䅑兡療䝁䄴督㙁䕁䅑兙あ䝁䅅䅖㕂䡁䅁党㥁䙁䅍䅒獁䙁䅍睢ㅂ䡁䅉睙求䑁䄰睙療䝁䄴督求䝁䄴督ㅂ䡁䅍杌㉂䝁䅅兙橂䡁䅑兤桂䝁䅷督獁䕁䄰兙湂䝁䄴兡あ䡁䅕䅚求䑁䄰兔獁䕁䅍兤祂䡁䅉党畂䝁䅍入㥁䙁䅕睕䕂䅁䅁䅗䅁䉁䅷䅁佂䕁䅅睕䕂䕁䅅兕䡂䙁䅍杏乂䕁䅕䅖䉂䅁䅁杂䅅䝁䅯䅁偂䡁䅁䅤灂䝁䄸杢穂䑁䅯䅒桂䡁䅑兙啂䡁䅫䅣求䑁䄰睕䕂䍁䅷睕祂䝁䅍児橂䝁䄸杢穂䝁䅕杢穂䡁䅕督畁䡁䅙兙桂䝁䅍䅤ㅂ䝁䅅䅢穂䍁䅷睑ㅂ䡁䅉杣㥁䙁䅕睕䕂䅁䅁兙䅁䝁䅧䅁偂䡁䅁䅤灂䝁䄸杢穂䑁䅯䅒桂䡁䅑兙啂䡁䅫䅣求䑁䄰睕䕂䍁䅷睕祂䝁䅍児橂䝁䄸杢穂䝁䅕杢穂䡁䅕督畁䡁䅙兙桂䝁䅍䅤ㅂ䝁䅅䅢穂䍁䅷兔桂䝁䅣児䉂䝁䅉督䅁䝁䅑䅁㉂䅁䅁睔睂䡁䅑兡療䝁䄴督㙁䕁䅑兙あ䝁䅅䅖㕂䡁䅁党㥁䙁䅍䅒獁䙁䅍杣橂䑁䄰睙療䝁䄴督求䝁䄴督ㅂ䡁䅍杌㉂䝁䅅兙橂䡁䅑兤桂䝁䅷督獁䕁䄰兙湂䑁䄰兔獁䕁䅍兤祂䡁䅉児䉂䕁䅕䅒䅁䥁䅣䅁䍃䅁䅁睔睂䡁䅑兡療䝁䄴督㙁䕁䅑兙あ䝁䅅䅖㕂䡁䅁党㥁䙁䅍䅒獁䙁䅍杣橂䑁䄰睙療䝁䄴督求䝁䄴督ㅂ䡁䅍杌㉂䝁䅅兙橂䡁䅑兤桂䝁䅷督獁䕁䄰兙湂䑁䄰兔獁䕁䅍兤祂䡁䅉児噂䙁䅍䅉䕂䝁䄸䅢獂䝁䅅杣䅁䥁䅑䅁㉂䅁䅁睔睂䡁䅑兡療䝁䄴督㙁䕁䅑兙あ䝁䅅䅖㕂䡁䅁党㥁䙁䅍䅒獁䙁䅍杣橂䑁䄰睙療䝁䄴督求䝁䄴督ㅂ䡁䅍杌㉂䝁䅅兙橂䡁䅑兤桂䝁䅷督獁䕁䄰兙湂䑁䄰兔獁䕁䅍兤祂䡁䅉児噂䙁䅍䅒䅁䝁䅁䅁㙂䅁䅁睔睂䡁䅑兡療䝁䄴督㙁䕁䅑兙あ䝁䅅䅖㕂䡁䅁党㥁䙁䅍䅒獁䙁䅍杣橂䑁䄰睙療䝁䄴督求䝁䄴督ㅂ䡁䅍杌㉂䝁䅅兙橂䡁䅑兤桂䝁䅷督獁䕁䄰兙湂䑁䄰兙楂䡁䅍䅌䑂䡁䅕杣祂䑁䄰兑䙂䕁䅑䅁䥃䅁䅁杨䅁䕁䄸䅣あ䝁䅫睢畂䡁䅍杏䕂䝁䅅䅤桂䙁䅑入睂䝁䅕児呂䕁䅑䅌呂䡁䅉睙㥁䝁䅍睢畂䡁䅍党畂䡁䅍兤穂䍁䄴杤桂䝁䅅睙あ䡁䅕兙獂䡁䅍䅌乂䝁䅅睚㥁䝁䅅杙穂䍁䅷睑ㅂ䡁䅉杣㥁䙁䅕睕杁䕁䅑睢獂䝁䅷兙祂䅁䅁杨䅁䡁䅯䅁偂䡁䅁䅤灂䝁䄸杢穂䑁䅯䅒桂䡁䅑兙啂䡁䅫䅣求䑁䄰睕䕂䍁䅷睕祂䝁䅍児橂䝁䄸杢穂䝁䅕杢穂䡁䅕督畁䡁䅙兙桂䝁䅍䅤ㅂ䝁䅅䅢穂䍁䅷兔桂䝁䅣児桂䝁䅉督獁䕁䅍兤祂䡁䅉児噂䙁䅍䅒䅁䝁䅉䅁䝁䅁䅁免䕂䅁䅁睃䅅䉁䅙䅁偂䡁䅁䅤灂䝁䄸杢穂䑁䅯睕䕂䅁䅁䅂䅁䉁䅁䅁ぁ䑁䅙杍ㅁ䑁䅁兏㕁䅁䅁杰䅁䍁䅉䅁兂䡁䅉兡橂䝁䅕䅉癁䍁䅁兒桂䡁䅉杢灂䝁䄴睚穂䅁䅁兌䅁䙁䄴䅁偂䡁䅁䅤灂䝁䄸杢穂䑁䅯䅒桂䡁䅑兙啂䡁䅫䅣求䑁䄰睕䕂䍁䅷睕祂䝁䅍児噂䕁䅉睕獁䕁䄰兙湂䑁䄰睓獁䕁䅍兤祂䡁䅉児噂䙁䅍䅒獁䕁䄴兑㥁䅁䅁兔䅅䍁䄴䅁兂䡁䅉兡橂䝁䅕䅉癁䍁䅁杒祂䝁䅕党杁䕁䅍兙穂䝁䅧䅉䝂䝁䅷睢㍂䅁䅁杋䅁䅁䅧䅁䵂䙁䅑兔䅁䵁䅕䅁慁䅁䅁睕䡂䍁䅙兑杁䍁䄸䅉呂䝁䅅䅢求䡁䅍䅁硁䅁䅁䅧䅁䙁䅍䅕䡂䕁䄸䅣あ䝁䅫睢畂䡁䅍杏䕂䝁䅅䅤桂䙁䅑入睂䝁䅕児呂䕁䅑䅌呂䝁䄸兤祂䝁䅍党㥁䝁䅍睢畂䡁䅍党畂䡁䅍兤穂䍁䄴杤桂䝁䅅睙あ䡁䅕兙獂䡁䅍䅌乂䝁䅅睚畂䝁䅫䅤ㅂ䝁䅑党㥁䕁䅅杙穂䅁䅁杘䅁䩁䅯䅁呂䙁䅁睒偂䡁䅁䅤灂䝁䄸杢穂䑁䅯䅒桂䡁䅑兙啂䡁䅫䅣求䑁䄰睕䕂䍁䅷睕療䡁䅕杣橂䝁䅕児橂䝁䄸杢穂䝁䅕杢穂䡁䅕督畁䡁䅙兙桂䝁䅍䅤ㅂ䝁䅅䅢穂䍁䅷兔桂䝁䅣杢灂䡁䅑兤歂䝁䅕児䉂䝁䅉督獁䕁䅍兤祂䡁䅉党畂䝁䅍入㥁䙁䅕睕䕂䅁䅁睘䅁䑁䅉䅁䡂䡁䅉睢穂䡁䅍䅉睂䡁䅉睢浂䝁䅫䅤癁䍁䅧䅢療䡁䅍督灁䍁䅷䅉婂䝁䄸兗䅁䅁䈰䅁坃䅁䅁睕兂䕁䅣睔睂䡁䅑兡療䝁䄴督㙁䕁䅑兙あ䝁䅅䅖㕂䡁䅁党㥁䙁䅍䅒獁䙁䅍睢ㅂ䡁䅉睙求䑁䄰睙療䝁䄴督求䝁䄴督ㅂ䡁䅍杌㉂䝁䅅兙橂䡁䅑兤桂䝁䅷督獁䕁䄰兙湂䝁䄴兡あ䡁䅕䅚求䑁䄰兔獁䕁䅍兤祂䡁䅉党畂䝁䅍入㥁䙁䅕睕䕂䅁䅁兘䅁䉁䅉䅁呂䙁䅁睒啂䝁䅅杙獂䝁䅕䅁㝁䅁䅁䅣䅁䙁䅳睕兂䕁䅣睘坂䝁䅅䅢ㅂ䝁䅅䅤灂䝁䄸杢䉂䝁䄴䅚兂䝁䅕党祂䕁䅅杢桂䝁䅷入穂䝁䅫督時䙁䅙兑時䡁䅙杍畁䡁䅧䅢穂䡁䅧兘啂䝁䅕兙祂䙁䅍䅡求䝁䅕䅤桁䍁䅑兒歁䑁䅕䅁捂允䅁䅉䅁䙁䅍䅕時䕁䅍睔乂䙁䅁兑佂䙁䅫睘佂䕁䅅兔䙂䅁䅁杒䅁䡁䅉䅁偂䡁䅁䅤灂䝁䄸杢穂䑁䅯睑ㅂ䡁䅉杣㥁䙁䅕睕䕂䍁䅷䅒桂䡁䅑兙啂䡁䅫䅣求䑁䄰睕䕂䍁䅷睕祂䝁䅍児䑂䝁䄸杢穂䝁䅕杢穂䡁䅕督畁䙁䅙兑䉂䝁䅍䅤ㅂ䝁䅅䅢穂䍁䅷杔䉂䑁䄰䅁杁允䅁杈䅁䙁䅍䅕時䙁䅁杕䩂䕁䅍兒時䕁䅍䅔偂䙁䅍兒䅁䝁䄴䅁流䅁䅁睕兂䙁䄸䅕卂䕁䅫睑䙂䙁䄸睑䵂䕁䄸睕䙂䙁䄸兑䕂䕁䅯䅁ㅂ䅁䅁䅂䅁䑁䅁䅁䵄䅁䅁杄䅁䙁䅍睘ㅁ䑁䅙兎祁䅁䅁杂䅁䉁䅁䅁䝂䙁䅅免祁䑁䅁杍㉁䅁䅁杌䅅䉁䅁䅁䑂䙁䅅䅎祁䑁䅁杍㉁䅁䅁睎䅅䙁䅯䅁呂䝁䅕䅢獂䝁䅫杢湂䍁䅷䅉湂䝁䅕杢求䡁䅉兙獂䍁䅁兙畂䝁䅑䅉桂䝁䅑兢灂䝁䄴兡穂䡁䅑杣桂䡁䅑兡㉂䝁䅕䅉求䡁䅧䅣求䝁䄴督求䡁䅍䅁婁䅁䅁李䅁䙁䅍睢ㅂ䡁䅉睙求䑁䅯睙療䝁䄴督求䝁䄴督ㅂ䡁䅍杌㉂䝁䅅兙橂䡁䅑兤桂䝁䅷督䅁䅁䅳䅁䝃䅁䅁睗䭂䝁䅕杚浂䝁䅕杣灂䝁䅕督䵂䕁䅷睑時䑁䅉䅍㉁䑁䅁李㉁䑁䅅杍時䕁䅍兤穂䡁䅑睢瑂䕁䅫杢歂䝁䅕䅥時䕁䅍兓剂䙁䅁杣療䍁䄴䅥獂䡁䅍兢摂䕁䅑兙あ䝁䅅睘乂䡁䅕䅢あ䝁䅫䅣獂䝁䅕督桁䍁䅑睑歁䑁䅣䅁䍃䅁䅁䅊䅁䙁䅍睢ㅂ䡁䅉睙求䑁䄰杖䉂䍁䅁兑橂䡁䅑兤桂䝁䅷督䅁䅁䄰䅁允䅁䅁䅎祁䑁䅉杍祁䑁䅧李䅁䭁䅷䅁煁䅁䅁杒祂䝁䅕党杁䕁䅍兙穂䝁䅧䅉䝂䝁䅷睢㍂䍁䅁兗灂䝁䅕䅢歂䅁䅁杗䅅䉁䅷䅁䉂䝁䅷䅣潂䝁䅅杙求䡁䅑䅉䩂䝁䄴睙畁䅁䅁朹䅁䉁䄴䅁呂䡁䅉睙㥁䙁䅙兑杁䕁䅅睙あ䡁䅕兙獂䡁䅍䅁䭁䅁䅁杒䅁䕁䄸䅣あ䝁䅫睢畂䡁䅍杏䑂䡁䅕杣祂䑁䄰兖呂䕁䅑䅌乂䝁䅅睚㥁䕁䄰兡獂䝁䅷兡療䝁䄴督獁䕁䄴兑㥁䍁䄰䅁奄䅁䅁䅍䅁䙁䅍杣橂䑁䄰睙療䝁䄴督求䝁䄴督ㅂ䡁䅍杌㉂䝁䅅兙橂䡁䅑兤桂䝁䅷督䅁䅁䅫䅁煁䅁䅁䅖療䡁䅑兙獂䍁䅁睑ㅂ䡁䅉杣求䝁䄴䅤杁䕁䅅督穂䝁䅕䅤穂䅁䅁䅊䅁䉁䅯䅁佂䝁䅕䅤䉂䡁䅁䅣獁䍁䅁兓畂䝁䅍杌䅁䩁䅅䅁䥁䅁䅁兎祁䙁䅣䅁㡃䅁䅁䅐䅁䙁䅑睢あ䝁䅅䅢杁䝁䄴睢畂䍁䄰睙ㅂ䡁䅉杣求䝁䄴䅤杁䝁䅷兡桂䝁䅉兡獂䝁䅫䅤灂䝁䅕督䅁䍁䅅䅁祁䅁䅁䅖療䡁䅑兙獂䍁䅁睢睂䝁䅕杣桂䡁䅑兡畂䝁䅣䅉求䡁䅧䅣求䝁䄴督求䡁䅍䅁扁䅁䅁䅈䅁䙁䅑睢あ䝁䅅䅢杁䡁䅉党㉂䝁䅕杢ㅂ䝁䅕䅁婂䅁䅁杌䅁䙁䅑睢あ䝁䅅䅢杁䡁䅉党㉂䝁䅕杢ㅂ䝁䅕䅌杁䙁䅁杣灂䝁䄰兙祂䡁䅫䅁䉁䅁䅁杨䅁䙁䅳杓求䝁䅙杚求䡁䅉兡求䡁䅍䅔䵂䕁䅍睘祁䑁䅁李睁䑁䅙李硁䑁䅉睘䑂䡁䅕督あ䝁䄸兢䩂䝁䄴䅚求䡁䅧睘䑂䕁䅫兕兂䡁䅉睢畁䡁䅧䅢穂䝁䄰兘䕂䝁䅅䅤桂䙁䄸兔ㅂ䝁䅷䅤灂䡁䅁䅢求䡁䅍光歁䕁䅑䅊㍁䅁䅁入䅁䥁䅙䅁扂䕁䅯党浂䝁䅙党祂䝁䅫党穂䕁䅷䅔䑂䙁䄸杍睁䑁䅙䅍㉁䑁䅙免祁䙁䄸睑ㅂ䡁䅍䅤療䝁䄰兓畂䝁䅑党㑂䙁䄸睑䩂䙁䅅䅕祂䝁䄸杌㑂䝁䅷督瑂䙁䄰䅒桂䡁䅑兙時䕁䄰兤獂䡁䅑兡睂䝁䅷党穂䍁䅅䅊䙂䍁䅑睎䅁䥁䅁䅁䍃䅁䅁睗䭂䝁䅕杚浂䝁䅕杣灂䝁䅕督䵂䕁䅷睑時䑁䅉䅍㉁䑁䅁李㉁䑁䅅杍時䕁䅍兤穂䡁䅑睢瑂䕁䅫杢歂䝁䅕䅥時䕁䅍兓剂䙁䅁杣療䍁䄴䅥獂䡁䅍兢摂䕁䅑兙あ䝁䅅睘卂䝁䅕䅤ㅂ䡁䅉杢穂䍁䅅䅊䑂䍁䅑睎䅁䝁䅷䅁捁䅁䅁杔䉂䙁䅍䅒䉂䙁䅅睒呂䑁䅯兓佂䙁䅑睑䅁䥁䄴䅁䍃䅁䅁睗䭂䝁䅕杚浂䝁䅕杣灂䝁䅕督䵂䕁䅷睑時䑁䅉䅍㉁䑁䅁李㉁䑁䅅杍時䕁䅍兤穂䡁䅑睢瑂䕁䅫杢歂䝁䅕䅥時䕁䅍兓剂䙁䅁杣療䍁䄴䅥獂䡁䅍兢摂䕁䅑兙あ䝁䅅睘卂䝁䅕䅤ㅂ䡁䅉杢穂䍁䅅䅊䕂䍁䅑睎䅁䡁䅧䅁䍃䅁䅁睗䭂䝁䅕杚浂䝁䅕杣灂䝁䅕督䵂䕁䅷睑時䑁䅉䅍㉁䑁䅁李㉁䑁䅅杍時䕁䅍兤穂䡁䅑睢瑂䕁䅫杢歂䝁䅕䅥時䕁䅍兓剂䙁䅁杣療䍁䄴䅥獂䡁䅍兢摂䕁䅑兙あ䝁䅅睘卂䝁䅕䅤ㅂ䡁䅉杢穂䍁䅅䅊䙂䍁䅑睎䅁䡁䄸䅁䍃䅁䅁睗䭂䝁䅕杚浂䝁䅕杣灂䝁䅕督䵂䕁䅷睑時䑁䅉䅍㉁䑁䅁李㉁䑁䅅杍時䕁䅍兤穂䡁䅑睢瑂䕁䅫杢歂䝁䅕䅥時䕁䅍兓剂䙁䅁杣療䍁䄴䅥獂䡁䅍兢摂䕁䅑兙あ䝁䅅睘卂䝁䅕䅤ㅂ䡁䅉杢穂䍁䅅䅊䭂䍁䅑睎䅁䥁䅅䅁䍃䅁䅁睗䭂䝁䅕杚浂䝁䅕杣灂䝁䅕督䵂䕁䅷睑時䑁䅉䅍㉁䑁䅁李㉁䑁䅅杍時䕁䅍兤穂䡁䅑睢瑂䕁䅫杢歂䝁䅕䅥時䕁䅍兓剂䙁䅁杣療䍁䄴䅥獂䡁䅍兢摂䕁䅑兙あ䝁䅅睘卂䝁䅕䅤ㅂ䡁䅉杢穂䍁䅅䅊䱂䍁䅑睎䅁䡁䅍䅁䍃䅁䅁睗䭂䝁䅕杚浂䝁䅕杣灂䝁䅕督䵂䕁䅷睑時䑁䅉䅍㉁䑁䅁李㉁䑁䅅杍時䕁䅍兤穂䡁䅑睢瑂䕁䅫杢歂䝁䅕䅥時䕁䅍兓剂䙁䅁杣療䍁䄴䅥獂䡁䅍兢摂䕁䅑兙あ䝁䅅睘卂䝁䅕䅤ㅂ䡁䅉杢穂䍁䅅䅊䵂䍁䅑睎䅁䡁䄰䅁䕃䅁䅁睗䭂䝁䅕杚浂䝁䅕杣灂䝁䅕督䵂䕁䅷睑時䑁䅉䅍㉁䑁䅁李㉁䑁䅅杍時䕁䅍兤穂䡁䅑睢瑂䕁䅫杢歂䝁䅕䅥時䕁䅍兓剂䙁䅁杣療䍁䄴䅥獂䡁䅍兢摂䕁䅫杢穂䡁䅑杣ㅂ䝁䅍䅤灂䝁䄸杢穂䍁䅅䅊䡂䍁䅑杍睁䅁䅁䅣䅁䡁䄴䅁偂䡁䅁䅤灂䝁䄸杢穂䑁䅯䅒桂䡁䅑兙啂䡁䅫䅣求䑁䄰睕䕂䍁䅷睕祂䝁䅍児䑂䝁䄸杢穂䝁䅕杢穂䡁䅕督畁䙁䅙兑䉂䝁䅍䅤ㅂ䝁䅅䅢穂䍁䅷兔桂䝁䅣児䍂䍁䅷睑ㅂ䡁䅉杣㥁䙁䅕睕䕂䍁䅷杔䉂䑁䄰䅁䭂允䅁䅫䅁䙁䅳杓求䝁䅙杚求䡁䅉兡求䡁䅍䅔䵂䕁䅍睘祁䑁䅁李睁䑁䅙李硁䑁䅉睘䑂䡁䅕督あ䝁䄸兢䩂䝁䄴䅚求䡁䅧睘䑂䕁䅫兕兂䡁䅉睢畁䡁䅧䅢穂䝁䄰兘䩂䝁䄴督あ䡁䅉兤橂䡁䅑兡療䝁䄴督桁䍁䅑䅔歁䑁䅅睍㙁䍁䅑䅔歁䑁䅅兎䅁䝁䄰䅁元䅁䅁睗䭂䝁䅕杚浂䝁䅕杣灂䝁䅕督䵂䕁䅷睑時䑁䅉䅍㉁䑁䅁李㉁䑁䅅杍時䕁䅍兤穂䡁䅑睢瑂䕁䅫杢歂䝁䅕䅥時䕁䅍兓剂䙁䅁杣療䍁䄴䅥獂䡁䅍兢摂䕁䅫杢穂䡁䅑杣ㅂ䝁䅍䅤灂䝁䄸杢穂䍁䅅䅊佂䍁䅑免穁䑁䅯䅊佂䍁䅑杍祁䅁䅁䅤䅁䉁䅧䅁剂䡁䅕兡橂䝁䅳䅉䑂䝁䄸兢睂䡁䅍䅁歃䅁䅁䅨䅁䙁䅳杓求䝁䅙杚求䡁䅉兡求䡁䅍䅔䵂䕁䅍睘祁䑁䅁李睁䑁䅙李硁䑁䅉睘䑂䡁䅕督あ䝁䄸兢䩂䝁䄴䅚求䡁䅧睘䑂䕁䅫兕兂䡁䅉睢畁䡁䅧䅢穂䝁䄰兘䩂䝁䄴䅤求䡁䅉兢求䝁䅑兡桂䡁䅑党桁䍁䅑䅔歁䑁䅑䅎䅁䡁䅯䅁䕃䅁䅁睗䭂䝁䅕杚浂䝁䅕杣灂䝁䅕督䵂䕁䅷睑時䑁䅉䅍㉁䑁䅁李㉁䑁䅅杍時䕁䅍兤穂䡁䅑睢瑂䕁䅫杢歂䝁䅕䅥時䕁䅍兓剂䙁䅁杣療䍁䄴䅥獂䡁䅍兢摂䕁䅫杢あ䝁䅕杣瑂䝁䅕䅚灂䝁䅅䅤求䍁䅅䅊乂䍁䅑䅎ぁ䅁䅁睥䅁䍁䅧䅁橂䝁䄸杢穂䝁䅕杢穂䡁䅕督畁䡁䅙兙桂䝁䅍䅤ㅂ䝁䅅䅢穂䅁䅁睁䅁䉁䅉䅁橂䡁䅕杣祂䑁䄰兖呂䕁䅑䅁㡁䅁䅁䅅䅁䕁䅙兕穁䑁䅉䅍祁䑁䅕䅁㙁允䅁杆䅁䕁䅅䅚療䝁䅉党杁䕁䅫杢橂䍁䄴䅁䱃䅁䅁杄䅁䕁䅙兗祁䑁䅁杍㕁䅁䅁䅪䅁䉁䅷䅁佂䕁䅅睕䕂䕁䅅兕䡂䙁䅍杏乂䙁䅍杒啂䅁䅁兪䅁䉁䅁䅁ぁ䑁䅍免㑁䑁䅙兎硁䅁䅁睅䅅䍁䅑䅁䩂䝁䄴䅤求䝁䅷䅉䑂䝁䄸杣睂䝁䄸杣桂䡁䅑兡療䝁䄴䅁偃䅁䅁䅈䅁䕁䄴兑呂䕁䅑兑剂䕁䅣睕㙁䕁䄴䅖䉂䙁䅁䅁元䅁䅁䅢䅁䍁䅣睗呂䙁䅁睒時䕁䅙兡畂䝁䅅杢橂䝁䅫兙獂䕁䅧兡湂䝁䅧䅢灂䝁䅣䅡あ䡁䅍睘坂䕁䅅睘㉂䑁䅅䅉潁䑁䅅克畁䡁䅧䅢穂䡁䅧兘乂䝁䅅兡畂䍁䅣光歁䕁䅅兓歁䑁䅑䅏䅁䩁䅉䅁潂䅁䅁睊扂䙁䅍䅕䡂䙁䄸杒灂䝁䄴兙畂䝁䅍兡桂䝁䅷䅓灂䝁䅣䅡獂䝁䅫睚潂䡁䅑督時䙁䅙兑時䡁䅙免杁䍁䅧免灁䍁䄴䅥獂䡁䅍䅥摂䕁䄰兙灂䝁䄴睊桁䍁䅑杒歁䑁䅫䅁呃䅁䅁杄䅁䕁䅍兗祁䑁䅁睍睁䅁䅁杕䅅䍁䅧䅁橁䕁䅫杔坂䕁䅅䅔䩂䕁䅑䅉䑂䕁䄸兔兂䕁䅅杔婂䍁䅁兓䕂䅁䅁公䅁䕁䅙䅁䥂䝁䅕睤獂䝁䅕䅤あ䍁䅁䅕桂䝁䅍睡桂䡁䅉䅚杁䕁䅕杢あ䝁䅕杣睂䡁䅉兡穂䝁䅕䅉䑂䝁䄸兢睂䝁䅅杢㕂䅁䅁睬䅁䉁䅑䅁佂䙁䅫睕䙂䑁䅯睔卂䕁䅍䅔䅁䩁䅧䅁流䅁䅁睔祂䝁䅅睙獂䝁䅕䅉䑂䝁䄸杣睂䝁䄸杣桂䡁䅑兡療䝁䄴䅁婃䅁䅁条䅁䍁䅣睗呂䙁䅁睒時䕁䅙兡畂䝁䅅杢橂䝁䅫兙獂䕁䅧兡湂䝁䅧䅢灂䝁䅣䅡あ䡁䅍睘坂䕁䅅睘㉂䑁䅅䅉潁䑁䅅克畁䡁䅧䅢穂䡁䅧兘乂䝁䅅兡畂䍁䅣光歁䕁䅑䅊㉁䑁䅙䅁楃䅁䅁杅䅁䕁䄴兗呂䕁䅕杏䉂䕁䅍杔䅁䩁䅯䅁捁䅁䅁兑橂䝁䅍党畂䡁䅑兤祂䝁䅕䅉睂䝁䅷睙䅁䩁䅳䅁獂䅁䅁睔睂䡁䅑兡療䝁䄴督㙁䕁䅍兤祂䡁䅉児噂䙁䅍䅒獁䕁䅑兙あ䝁䅅䅖㕂䡁䅁党㥁䙁䅍䅒獁䙁䅍杣橂䑁䄰睑療䝁䄴督求䝁䄴督ㅂ䡁䅍杌乂䝁䅕䅚灂䝁䅅杢獁䕁䄴兑㥁䅁䅁杊䅅䉁䅷䅁佂䕁䅅睕䕂䕁䅅兕䡂䙁䅍杏䑂䙁䅍睑偂䅁䅁䅮䅁䍁䅧䅁䑂䝁䅫督橂䝁䄸䅉呂䡁䅫督あ䝁䅕兢穂䍁䅷䅉䩂䝁䄴睙畁䅁䅁兮䅁䉁䅷䅁佂䕁䅅睕䕂䕁䅅兕䡂䙁䅍杏䑂䙁䅑睕䥂䅁䅁杮䅁䙁䅙䅁䑂䝁䄸睚畂䝁䅫来桂䝁䄴䅤杁䙁䅑党橂䝁䅧杢療䝁䅷睢湂䡁䅫䅉呂䝁䄸䅢ㅂ䡁䅑兡療䝁䄴督杁䕁䅍睢祂䡁䅁睢祂䝁䅅䅤灂䝁䄸杢䅁䩁䄸䅁允䅁䅁䅎㕁䑁䅣䅍ぁ䑁䅣睍䅁偁䅯䅁啁䅁䅁杔婂䙁䅍兒㙁䕁䅑兒䵂䕁䅷䅁权䅁䅁杌䅁䕁䅑党獂䝁䅷䅉啂䝁䅕睙潂䝁䄴睢獂䝁䄸睚灂䝁䅕督杁䕁䅫杢橂䍁䄴䅁桃䅁䅁䅚䅁䙁䅳睕兂䕁䅣睘䝂䝁䅫杢桂䝁䄴睙灂䝁䅅䅢䥂䝁䅫睚潂䝁䅷兡湂䝁䅧䅤穂䙁䄸杖䉂䙁䄸睖䩂䙁䅁杌㑂䝁䅷督㑂䙁䄰杕求䡁䅁睢祂䡁䅑光歁䕁䅑䅊㉁䑁䅣䅁䕁允䅁杅䅁䕁䄴兗呂䕁䅕杏䩂䕁䅉兔䅁偁䅣䅁潂䅁䅁睊扂䙁䅍䅕䡂䙁䄸杒灂䝁䄴兙畂䝁䅍兡桂䝁䅷䅓灂䝁䅣䅡獂䝁䅫睚潂䡁䅑督時䙁䅙兑時䡁䅙免杁䍁䅧免灁䍁䄴䅥獂䡁䅍䅥摂䕁䄰兙灂䝁䄴睊桁䍁䅑䅒歁䑁䅕䅁橃䅁䅁䅅䅁䕁䅙兕ぁ䑁䅉䅍祁䑁䅙䅁睁允䅁䅅䅁䕁䅍兕硁䑁䅉䅍祁䑁䅙䅁穁允䅁杇䅁䙁䅍䅕時䕁䅕杔啂䕁䅫䅖婂䙁䄸兓䕂䅁䅁兰䅁䉁䅁䅁ぁ䑁䅅䅎祁䑁䅣李睁䅁䅁睰䅁䉁䅯䅁呂䙁䅁睘兂䙁䅉兓䑂䕁䅕睘䵂䕁䄸睖䅁䱁䄰䅁允䅁䅁䅎㉁䑁䅑免穁䑁䅧睍䅁䭁䅧䅁允䅁䅁䅎睁䑁䅑睎㑁䑁䅕睎䅁䭁䅫䅁允䅁䅁䅎睁䑁䅑免穁䑁䅙睍䅁䭁䅯䅁允䅁䅁䅎穁䑁䅁兎ㅁ䑁䅙杍䅁䭁䄰䅁允䅁䅁䅎睁䑁䅑睎㑁䑁䅑睎䅁䭁䄴䅁捁䅁䅁杔䉂䙁䅍䅒䉂䙁䅅睒呂䑁䅯兕䑂䕁䄸兔䅁䭁䄸䅁允䅁䅁䅎睁䑁䅙杍ぁ䑁䅫李䅁䱁䅁䅁煂䅁䅁睊扂䙁䅍䅕䡂䙁䄸杒灂䝁䄴兙畂䝁䅍兡桂䝁䅷䅓灂䝁䅣䅡獂䝁䅫睚潂䡁䅑督時䙁䅙兑時䡁䅙免杁䍁䅧免灁䍁䄴䅥獂䡁䅍䅥摂䕁䄰兙灂䝁䄴睊桁䍁䅑䅒歁䑁䅙䅏䅁䱁䅅䅁歁䅁䅁睉䩂䕁䄴杖䉂䕁䅷兓䕂䕁䄰兑䡂䕁䄴兓啂䙁䅕䅒䙂䅁䅁睺䅁䕁䅁䅁偂䡁䅁䅤灂䝁䄸杢穂䑁䅯睑䉂䙁䅁䅖䩂䕁䄸杔㥁䕁䅕䅥橂䝁䅧兙畂䝁䅣党㙁䙁䅑兡橂䝁䅳党祂䅁䅁杳䅁䍁䅁䅁䙂䡁䅧睙潂䝁䅅杢湂䝁䅕杏啂䝁䅫睙牂䝁䅕杣䅁䱁䅍䅁獁䅁䅁兕噂䕁䅅䅔䑂䕁䄸兔乂䍁䅁兓畂䝁䅍睢祂䡁䅁睢祂䝁䅅䅤求䝁䅑䅁ぃ䅁䅁杇䅁䙁䅍䅕時䕁䄰兑卂䕁䅳兒啂䕁䅍兑兂䅁䅁睴䅁䉁䅁䅁䝂䙁䅅睍祁䑁䅁杍㉁䅁䅁兌䅅䅁䄴䅁䩂䙁䅅睘啂䕁䅕杖䅁䱁䅧䅁䝂䅁䅁睔睂䡁䅑兡療䝁䄴督㙁䕁䅍兤祂䡁䅉児噂䙁䅍䅒獁䕁䄰兙湂䑁䄰兔灂䝁䅷䅢灂䝁䄸杢穂䍁䅷杔䉂䑁䄰䅍䅁䱁䅫䅁佁䅁䅁睑婂䑁䅉䅍祁䑁䅑䅁⽃䅁䅁杣䅁䕁䄸䅣あ䝁䅫睢畂䡁䅍杏䑂䡁䅕杣祂䑁䄰兖呂䕁䅑䅌䕂䝁䅅䅤桂䙁䅑入睂䝁䅕児呂䕁䅑䅌呂䡁䅉睙㥁䝁䅍睢畂䡁䅍党畂䡁䅍兤穂䍁䄴杤桂䝁䅅睙あ䡁䅕兙獂䡁䅍䅌佂䕁䅅児䅁佁䅷䅁あ䅁䅁睔睂䡁䅑兡療䝁䄴督㙁䕁䅍兤祂䡁䅉児噂䙁䅍䅒獁䕁䅑兙あ䝁䅅䅖㕂䡁䅁党㥁䙁䅍䅒獁䙁䅍杣橂䑁䄰睙療䝁䄴督求䝁䄴督ㅂ䡁䅍杌㉂䝁䅅兙橂䡁䅑兤桂䝁䅷督獁䕁䄴兑㥁䑁䅁䅁䅄䅁䅁䅋䅁䕁䅑兡㉂䝁䅫䅚求䝁䄴䅚穂䍁䅁䅣求䡁䅉䅉穂䝁䅧兙祂䝁䅕䅁䉄䅁䅁杄䅁䕁䅍兗祁䑁䅁杍㉁䅁䅁杷䅁䅁䄴䅁䑂䙁䅫杍睁䑁䅉睎䅁䵁䅍䅁䥁䅁䅁杔啂䕁䄰䅁䕄䅁䅁䅉䅁䙁䅍䅕時䙁䅁杕䩂䕁䅍兒時䕁䅍䅓䉂䕁䄴睒䙂䅁䅁杸䅁䅁䅧䅁婂䙁䅑䅒䅁䵁䅣䅁䥁䅁䅁兔啂䕁䅑䅁䥄䅁䅁杂䅁䑁䅅兗䅁䵁䅫䅁䝁䅁䅁睍婂䅁䅁杹䅁䅁䅙䅁ㅁ䙁䅫䅁䱄䅁䅁杪䅁䕁䄸䅣あ䝁䅫睢畂䡁䅍杏䑂䡁䅕杣祂䑁䄰兖呂䕁䅑䅌乂䝁䅅睚㥁䕁䄰兡獂䝁䅷兡療䝁䄴督獁䕁䅑兙あ䝁䅅䅖㕂䡁䅁党㥁䙁䅍䅒獁䙁䅍杣橂䑁䄰睙療䝁䄴督求䝁䄴督ㅂ䡁䅍杌㉂䝁䅅兙橂䡁䅑兤桂䝁䅷督獁䕁䄴兑㥁䑁䅁䅁佄䅁䅁䅏䅁䕁䄸䅣あ䝁䅫睢畂䡁䅍杏䑂䡁䅕杣祂䑁䄰兖呂䕁䅑䅌乂䝁䅅睚㥁䕁䄰䅌佂䕁䅅児睁䅁䅁䄰䅁䉁䅷䅁佂䕁䅅睕䕂䕁䅅兕䡂䙁䅍杏兂䕁䅅杔塂䅁䅁充䅅䍁䅙䅁橁䕁䅫杔坂䕁䅅䅔䩂䕁䅑䅉乂䕁䅅睒佂䕁䅫䅖噂䕁䅑兒䅁乁䅅䅁㉁䅁䅁䅖療䡁䅑兙獂䍁䅁督あ䝁䄸睙牂䝁䅧睢獂䝁䅑党祂䡁䅍睊杁䝁䅕兣ㅂ䝁䅫䅤㕂䅁䅁䄱䅁䥁䅁䅁偂䡁䅁䅤灂䝁䄸杢穂䑁䅯睑ㅂ䡁䅉杣㥁䙁䅕睕䕂䍁䅷兔桂䝁䅣児乂䍁䅷䅒桂䡁䅑兙啂䡁䅫䅣求䑁䄰睕䕂䍁䅷睕祂䝁䅍児橂䝁䄸杢穂䝁䅕杢穂䡁䅕督畁䡁䅙兙桂䝁䅍䅤ㅂ䝁䅅䅢穂䍁䅷杔䉂䑁䄰兌䅁乁䅕䅁䕁䅁䅁兌䅁乁䅙䅁十䅁䅁睑剂䍁䄰免祁䑁䅁杍㉁䅁䅁睔䅅䍁䅷䅁偂䡁䅁䅤灂䝁䄸杢穂䑁䅯睑ㅂ䡁䅉杣㥁䙁䅕睕䕂䍁䅷杔䉂䑁䄰兌䅁乁䅣䅁あ䅁䅁睔睂䡁䅑兡療䝁䄴督㙁䕁䅍兤祂䡁䅉児噂䙁䅍䅒獁䕁䅑兙あ䝁䅅䅖㕂䡁䅁党㥁䙁䅍䅒獁䙁䅍杣橂䑁䄰睙療䝁䄴督求䝁䄴督ㅂ䡁䅍杌㉂䝁䅅兙橂䡁䅑兤桂䝁䅷督獁䕁䄴兑㥁䍁䄰䅁婄䅁䅁䅧䅁䕁䄸䅣あ䝁䅫睢畂䡁䅍杏䕂䝁䅅䅤桂䙁䅑入睂䝁䅕児呂䕁䅑䅌呂䡁䅉睙㥁䝁䅍睢畂䡁䅍党畂䡁䅍兤穂䍁䄴杤桂䝁䅅睙あ䡁䅕兙獂䡁䅍䅌乂䝁䅅睚㥁䕁䄰䅌䑂䡁䅕杣祂䑁䄰兖呂䕁䅑䅌佂䕁䅅児瑁䅁䅁朲䅁䥁䅑䅁偂䡁䅁䅤灂䝁䄸杢穂䑁䅯䅒桂䡁䅑兙啂䡁䅫䅣求䑁䄰睕䕂䍁䅷睕祂䝁䅍児橂䝁䄸杢穂䝁䅕杢穂䡁䅕督畁䡁䅙兙桂䝁䅍䅤ㅂ䝁䅅䅢穂䍁䅷兔桂䝁䅣児桂䝁䅉督獁䕁䅍兤祂䡁䅉児噂䙁䅍䅒獁䕁䄴兑㥁䍁䄰䅁扄䅁䅁杣䅁䕁䄸䅣あ䝁䅫睢畂䡁䅍杏䕂䝁䅅䅤桂䙁䅑入睂䝁䅕児呂䕁䅑䅌呂䡁䅉睙㥁䝁䅍睢畂䡁䅍党畂䡁䅍兤穂䍁䄴杤桂䝁䅅睙あ䡁䅕兙獂䡁䅍䅌乂䝁䅅睚㥁䕁䅅杙穂䍁䅷杔䉂䑁䄰兌䅁乁䅷䅁楂䅁䅁睔睂䡁䅑兡療䝁䄴督㙁䕁䅑兙あ䝁䅅䅖㕂䡁䅁党㥁䙁䅍䅒獁䙁䅍杣橂䑁䄰睙療䝁䄴督求䝁䄴督ㅂ䡁䅍杌㉂䝁䅅兙橂䡁䅑兤桂䝁䅷督獁䕁䄴兑㥁䑁䅁䅁摄䅁䅁杌䅁䕁䄸䅣あ䝁䅫睢畂䡁䅍杏䕂䝁䅅䅤桂䙁䅑入睂䝁䅕児歁䕁䅕䅊祁䑁䅍䅁祂允䅁杙䅁䕁䄸䅣あ䝁䅫睢畂䡁䅍杏䕂䝁䅅䅤桂䙁䅑入睂䝁䅕児呂䕁䅑䅌呂䡁䅉睙㥁䝁䅍睢畂䡁䅍党畂䡁䅍兤穂䍁䄴杤桂䝁䅅睙あ䡁䅕兙獂䡁䅍䅌佂䕁䅅児瑁䅁䅁朳䅁䍁䅙䅁兂䡁䅉兡橂䝁䅕䅉癁䍁䅁村療䝁䄸睡杁䙁䅙兙獂䡁䅕党䅁佁䅅䅁敂䅁䅁睔睂䡁䅑兡療䝁䄴督㙁䕁䅑兙あ䝁䅅䅖㕂䡁䅁党㥁䙁䅍䅒獁䙁䅍杣橂䑁䄰兖䍂䙁䅍䅌乂䝁䅅睚㥁䕁䄰䅌䑂䡁䅕杣祂䑁䄰兖呂䕁䅑䅌佂䕁䅅児䅁䕁䉅䅁允䅁䅁䅎睁䑁䅑䅏硁䑁䅕睎䅁偁䅷䅁流䅁䅁䅖療䡁䅑兙獂䍁䅁杣求䡁䅙党畂䡁䅕党獁䍁䅁兗療䙁䅫䅁楄䅁䅁杙䅁䙁䅳睕兂䕁䅣睘䝂䝁䅫杢桂䝁䄴睙灂䝁䅅䅢䥂䝁䅫睚潂䝁䅷兡湂䝁䅧䅤穂䙁䄸杖䉂䙁䄸睖䩂䙁䅁杌㑂䝁䅷督㑂䙁䄰杕求䡁䅁睢祂䡁䅑光歁䕁䅑䅊ㅁ䅁䅁䄵䅁䉁䅧䅁䙂䕁䅉兓啂䕁䅑兑獁䍁䅁兗療䙁䅫䅁汄䅁䅁杒䅁䕁䄸䅣あ䝁䅫睢畂䡁䅍杏䕂䝁䅅䅤桂䙁䅑入睂䝁䅕児呂䕁䅑䅌杁䙁䅍杣橂䑁䄰睑療䝁䄴督求䝁䄴督ㅂ䡁䅍䅁浄䅁䅁杦䅁䕁䄸䅣あ䝁䅫睢畂䡁䅍杏䕂䝁䅅䅤桂䙁䅑入睂䝁䅕児呂䕁䅑䅌呂䡁䅉睙㥁䝁䅍睢畂䡁䅍党畂䡁䅍兤穂䍁䄴杤桂䝁䅅睙あ䡁䅕兙獂䡁䅍䅌乂䝁䅅睚㥁䕁䄰䅌䑂䡁䅕杣祂䑁䄰兖呂䕁䅑䅌佂䕁䅅児䅁佁䅣䅁㑂䅁䅁睔睂䡁䅑兡療䝁䄴督㙁䕁䅑兙あ䝁䅅䅖㕂䡁䅁党㥁䙁䅍䅒獁䙁䅍杣橂䑁䄰睑療䝁䄴督求䝁䄴督ㅂ䡁䅍杌乂䝁䅕䅚灂䝁䅅杢獁䕁䄰兙湂䑁䄰兔獁䕁䅍兤祂䡁䅉児噂䙁䅍䅒獁䕁䄴兑㥁䅁䅁光䅅䝁䅁䅁偂䡁䅁䅤灂䝁䄸杢穂䑁䅯䅒桂䡁䅑兙啂䡁䅫䅣求䑁䄰睕䕂䍁䅷睕祂䝁䅍児橂䝁䄸杢穂䝁䅕杢穂䡁䅕督畁䡁䅙兙桂䝁䅍䅤ㅂ䝁䅅䅢穂䍁䅷杔䉂䑁䄰䅁潄䅁䅁杗䅁䕁䄸䅣あ䝁䅫睢畂䡁䅍杏䕂䝁䅅䅤桂䙁䅑入睂䝁䅕児呂䕁䅑䅌呂䡁䅉睙㥁䕁䅍睢畂䡁䅍党畂䡁䅍兤穂䍁䄴兔求䝁䅑兡桂䝁䄴䅌佂䕁䅅児䅁䍁䉉䅁⭂䅁䅁睔睂䡁䅑兡療䝁䄴督㙁䕁䅍兤祂䡁䅉児噂䙁䅍䅒獁䕁䄰兙湂䑁䄰兔獁䕁䅑兙あ䝁䅅䅖㕂䡁䅁党㥁䙁䅍䅒獁䙁䅍杣橂䑁䄰睙療䝁䄴督求䝁䄴督ㅂ䡁䅍杌㉂䝁䅅兙橂䡁䅑兤桂䝁䅷督獁䕁䄴兑㥁䅁䅁儶䅁䡁䄴䅁偂䡁䅁䅤灂䝁䄸杢穂䑁䅯睑ㅂ䡁䅉杣㥁䙁䅕睕䕂䍁䅷兔桂䝁䅣児乂䍁䅷䅒桂䡁䅑兙啂䡁䅫䅣求䑁䄰睕䕂䍁䅷睕祂䝁䅍児䑂䝁䄸杢穂䝁䅕杢穂䡁䅕督畁䙁䅙兙桂䝁䅍䅤ㅂ䝁䅅䅢穂䍁䅷杔䉂䑁䄰䅁㥁允䅁杧䅁䕁䄸䅣あ䝁䅫睢畂䡁䅍杏䕂䝁䅅䅤桂䙁䅑入睂䝁䅕児呂䕁䅑䅌呂䡁䅉睙㥁䝁䅍睢畂䡁䅍党畂䡁䅍兤穂䍁䄴杤桂䝁䅅睙あ䡁䅕兙獂䡁䅍䅌乂䝁䅅睚㥁䝁䅅杙穂䍁䅷睑ㅂ䡁䅉杣㥁䙁䅕睕䕂䍁䅷杔䉂䑁䄰䅁牄䅁䅁䅦䅁䕁䄸䅣あ䝁䅫睢畂䡁䅍杏䕂䝁䅅䅤桂䙁䅑入睂䝁䅕児呂䕁䅑䅌呂䡁䅉睙㥁䕁䅍睢畂䡁䅍党畂䡁䅍兤穂䍁䄴兔求䝁䅑兡桂䝁䄴䅌乂䝁䅅睚㥁䝁䅅杙穂䍁䅷睑ㅂ䡁䅉杣㥁䙁䅕睕䕂䍁䅷杔䉂䑁䄰䅁歁允䅁杋䅁䕁䄸䅣あ䝁䅫睢畂䡁䅍杏䑂䡁䅕杣祂䑁䄰兖呂䕁䅑䅌佂䕁䅅児䅁佁䄰䅁䕂䅁䅁睔睂䡁䅑兡療䝁䄴督㙁䕁䅍兤祂䡁䅉児噂䙁䅍䅒獁䕁䄰兙湂䑁䄰兔灂䝁䅷䅢灂䝁䄸杢穂䍁䅷杔䉂䑁䄰䅁畄䅁䅁杆䅁䕁䅅䅣睂䝁䅷党杁䕁䅫杢橂䍁䄴䅁㑄䅁䅁䅈䅁䕁䄴兑呂䕁䅑兑剂䕁䅣睕㙁䕁䅅兑兂䕁䅷䅁癄䅁䅁䅅䅁䑁䅑䅍祁䑁䅑䅎睁䑁䅅䅁偁允䅁䅅䅁䑁䅑䅍睁䑁䅑杍睁䑁䅕䅁睄䅁䅁䅈䅁䕁䄴兑呂䕁䅑兑剂䕁䅣睕㙁䕁䅅杖䡂䕁䄸䅁硄䅁䅁杈䅁䕁䄴兑呂䕁䅑兑剂䕁䅣睕㙁䕁䅣睔偂䕁䅣䅔䅁偁䅉䅁䝂䅁䅁睔睂䡁䅑兡療䝁䄴督㙁䕁䅍兤祂䡁䅉児噂䙁䅍䅒獁䕁䄰兙湂䑁䄰䅖潂䝁䄸兤穂䝁䅅杢歂䡁䅍䅌佂䕁䅅児䅁䍁䉫䅁十䅁䅁杔婂䙁䅍兒㙁䕁䅍杕乂䅁䅁眸䅁䉁䅁䅁ぁ䑁䅙睍穁䑁䅙免㑁䅁䅁䄹䅁䉁䅷䅁佂䕁䅅睕䕂䕁䅅兕䡂䙁䅍杏䩂䕁䄴䅖噂䅁䅁儹䅁䉁䅷䅁佂䕁䅅睕䕂䕁䅅兕䡂䙁䅍杏佂䙁䅙䅒䉂䅁䅁儫䅁䉁䅁䅁ぁ䑁䅁䅍睁䑁䅅兏穁䅁䅁眫䅁䍁䅯䅁乂䝁䅕䅤桂䍁䅁䅕獂䝁䅅䅤浂䝁䄸杣瑂䡁䅍䅌杁䕁䅫杢橂䍁䄴䅁䡁允䅁䅅䅁䑁䅑杍睁䑁䅕䅏ぁ䑁䅧䅁⭄䅁䅁杉䅁䙁䅍兙獂䝁䅕督浂䝁䄸杣橂䝁䅕䅌杁䕁䅫杢橂䍁䄴䅁⽄䅁䅁䅈䅁䕁䅉杣療䝁䅅䅚橂䝁䄸兢杁䕁䅫杢橂䍁䄴䅁䅁允䅁杘䅁䕁䄸䅣あ䝁䅫睢畂䡁䅍杏䑂䡁䅕杣祂䑁䄰兖呂䕁䅑䅌乂䝁䅅睚㥁䕁䅳䅌䕂䝁䅅䅤桂䙁䅑入睂䝁䅕児呂䕁䅑䅌呂䡁䅉睙㥁䙁䅕村呂䍁䅷杔䉂䑁䄰䅁佂允䅁䅅䅁䑁䅑䅍㕁䑁䅑杍㑁䑁䅙䅁䉁允䅁杊䅁䕁䄴杖䩂䕁䅑兓䉂䍁䅁睑療䡁䅉䅣療䡁䅉兙あ䝁䅫睢畂䅁䅁杁䅅䝁䅙䅁扂䙁䅍䅕䡂䙁䄸杒灂䝁䄴兙畂䝁䅍兡桂䝁䅷䅓灂䝁䅣䅡獂䝁䅫睚潂䡁䅑督時䙁䅙兑時䙁䅣兓兂䍁䄴䅥獂䡁䅍䅥摂䙁䅉党睂䝁䄸杣あ䍁䅅䅊䉂䕁䅕䅊㉁䑁䅣䅁䑁允䅁䅅䅁䑁䅑䅍祁䑁䅕睎ぁ䑁䅙䅁䩁允䅁杚䅁䙁䅳睕兂䕁䅣睘䝂䝁䅫杢桂䝁䄴睙灂䝁䅅䅢䥂䝁䅫睚潂䝁䅷兡湂䝁䅧䅤穂䙁䄸杖䉂䙁䄸睖䩂䙁䅁杌㑂䝁䅷督㑂䙁䄰杕求䡁䅁睢祂䡁䅑光歁䕁䅅䅓歁䑁䅙李䅁䅁䉯䅁畁䅁䅁䅒奂䕁䅍䅉啂䝁䅕睙潂䝁䄴睢獂䝁䄸睚㕂䍁䅁睑療䝁䄰䅣桂䝁䄴入䅁䉁䉁䅁畂䅁䅁睊扂䙁䅍䅕䡂䙁䄸杒灂䝁䄴兙畂䝁䅍兡桂䝁䅷督流䙁䅁党求䡁䅉睑療䝁䄰䅣桂䡁䅉兡穂䝁䅫睢畂䙁䄸杖䉂䍁䄴䅥獂䡁䅍䅥摂䙁䅉党睂䝁䄸杣あ䍁䅣光歁䕁䅑䅊㉁䑁䅣䅁啁允䅁䅢䅁䍁䅣睗呂䙁䅁睒時䕁䅙兡畂䝁䅅杢橂䝁䅫兙獂䡁䅍杊兂䝁䅕党祂䕁䅍睢瑂䡁䅁兙祂䝁䅫督灂䝁䄸杢時䙁䅙兑畁䡁䅧䅢穂䡁䅧兘卂䝁䅕䅣療䡁䅉䅤湁䍁䅅䅊䕂䍁䅑兎䅁䉁䉕䅁潂䅁䅁睊扂䙁䅍䅕䡂䙁䄸杒灂䝁䄴兙畂䝁䅍兡桂䝁䅷督流䙁䅁党求䡁䅉兑畂䝁䅅䅢㕂䡁䅍兡穂䙁䄸杖䉂䍁䄴䅥獂䡁䅍䅥摂䙁䅉党睂䝁䄸杣あ䍁䅣光歁䕁䅑䅊㉁䑁䅣䅁坁允䅁杚䅁䍁䅣睗呂䙁䅁睒時䕁䅙兡畂䝁䅅杢橂䝁䅫兙獂䡁䅍杊兂䝁䅕党祂䕁䅅杢桂䝁䅷入穂䝁䅫督時䙁䅙兑畁䡁䅧䅢穂䡁䅧兘卂䝁䅕䅣療䡁䅉䅤湁䍁䅅䅊䕂䍁䅑兎䅁䉁䉣䅁捁䅁䅁杔䉂䙁䅍䅒䉂䙁䅅睒呂䑁䅯兑乂䙁䅯杔䅁䉁䉧䅁允䅁䅁睍睁䑁䅁免㍁䑁䅫杍䅁䉁䉫䅁楁䅁䅁兑瑂䝁䅅来療䝁䄴杌橂䝁䄸兢獁䍁䅁兓畂䝁䅍杌䅁䉁䉯䅁⭂䅁䅁睔睂䡁䅑兡療䝁䄴督㙁䕁䅑兙あ䝁䅅䅖㕂䡁䅁党㥁䙁䅍䅒獁䙁䅍杣橂䑁䄰睑療䝁䄴督求䝁䄴督ㅂ䡁䅍杌坂䕁䅅兑橂䡁䅑兤桂䝁䅷督獁䕁䄰兙湂䑁䄰兔獁䕁䅍兤祂䡁䅉児噂䙁䅍䅒獁䕁䄴兑㥁䅁䅁睇䅅䡁䅁䅁偂䡁䅁䅤灂䝁䄸杢穂䑁䅯䅒桂䡁䅑兙啂䡁䅫䅣求䑁䄰睕䕂䍁䅷睕祂䝁䅍児䑂䝁䄸杢穂䝁䅕杢穂䡁䅕督畁䙁䅙兑䉂䝁䅍䅤ㅂ䝁䅅䅢穂䍁䅷兔桂䝁䅣児䉂䝁䅉督獁䕁䄴兑㥁䅁䅁䅈䅅䡁䄴䅁偂䡁䅁䅤灂䝁䄸杢穂䑁䅯睑ㅂ䡁䅉杣㥁䙁䅕睕䕂䍁䅷兔桂䝁䅣児乂䍁䅷䅒桂䡁䅑兙啂䡁䅫䅣求䑁䄰睕䕂䍁䅷睕祂䝁䅍児䑂䝁䄸杢穂䝁䅕杢穂䡁䅕督畁䙁䅙兑䉂䝁䅍䅤ㅂ䝁䅅䅢穂䍁䅷杔䉂䑁䄰䅁敁允䅁杦䅁䕁䄸䅣あ䝁䅫睢畂䡁䅍杏䕂䝁䅅䅤桂䙁䅑入睂䝁䅕児呂䕁䅑䅌呂䡁䅉睙㥁䕁䅍睢畂䡁䅍党畂䡁䅍兤穂䍁䄴杖䉂䕁䅅睙あ䡁䅕兙獂䡁䅍䅌乂䝁䅅睚㥁䕁䅳䅌䑂䡁䅕杣祂䑁䄰兖呂䕁䅑䅌佂䕁䅅児䅁䍁䉣䅁⭂䅁䅁睔睂䡁䅑兡療䝁䄴督㙁䕁䅍兤祂䡁䅉児噂䙁䅍䅒獁䕁䄰兙湂䑁䄰睓獁䕁䅑兙あ䝁䅅䅖㕂䡁䅁党㥁䙁䅍䅒獁䙁䅍杣橂䑁䄰睑療䝁䄴督求䝁䄴督ㅂ䡁䅍杌坂䕁䅅兑橂䡁䅑兤桂䝁䅷督獁䕁䄴兑㥁䅁䅁䅋䅅䉁䅁䅁䝂䙁䅅免祁䑁䅁杍㍁䅁䅁杋䅅䉁䅉䅁啂䝁䄸䅤桂䝁䅷䅉桂䡁䅍䅁牁允䅁䅅䅁䕁䅙兕祁䑁䅉䅍祁䑁䅑䅁灂允䅁䅅䅁䕁䅙兕睁䑁䅉䅍祁䑁䅙䅁獁允䅁䅅䅁䕁䅙兕硁䑁䅉䅍祁䑁䅕䅁浂允䅁䅅䅁䕁䅍兕ぁ䑁䅉䅍祁䑁䅕䅁硁允䅁䅅䅁䕁䅍兕硁䑁䅉䅍祁䑁䅣䅁祁允䅁䅅䅁䕁䅍兕穁䑁䅉䅍祁䑁䅕䅁剂允䅁䅅䅁䕁䅍兕祁䑁䅉䅍祁䑁䅣䅁㉁允䅁杕䅁䕁䄸䅣あ䝁䅫睢畂䡁䅍杏䑂䡁䅕杣祂䑁䄰兖呂䕁䅑䅌䕂䝁䅅䅤桂䙁䅑入睂䝁䅕児呂䕁䅑䅌呂䡁䅉睙㥁䙁䅕村呂䍁䅷杔䉂䑁䄰䅁䝂允䅁杦䅁䕁䄸䅣あ䝁䅫睢畂䡁䅍杏䕂䝁䅅䅤桂䙁䅑入睂䝁䅕児呂䕁䅑䅌呂䡁䅉睙㥁䕁䅍睢畂䡁䅍党畂䡁䅍兤穂䍁䄴杖桂䝁䅅睙あ䡁䅕兙獂䡁䅍䅌乂䝁䅅睚㥁䕁䄰䅌䑂䡁䅕杣祂䑁䄰兖呂䕁䅑䅌佂䕁䅅児䅁䑁䉧䅁允䅁䅁杒剂䑁䅑杍睁䑁䅉兎䅁䑁䉫䅁杂䅁䅁睔睂䡁䅑兡療䝁䄴督㙁䕁䅑兙あ䝁䅅䅖㕂䡁䅁党㥁䙁䅍䅒獁䙁䅍杣橂䑁䄰睑療䝁䄴督求䝁䄴督ㅂ䡁䅍杌坂䝁䅅兙橂䡁䅑兤桂䝁䅷督獁䕁䄴兑㥁䅁䅁睏䅅䥁䅉䅁偂䡁䅁䅤灂䝁䄸杢穂䑁䅯䅒桂䡁䅑兙啂䡁䅫䅣求䑁䄰睕䕂䍁䅷睕祂䝁䅍児䑂䝁䄸杢穂䝁䅕杢穂䡁䅕督畁䙁䅙兙桂䝁䅍䅤ㅂ䝁䅅䅢穂䍁䅷兔桂䝁䅣児桂䝁䅉督獁䕁䅍兤祂䡁䅉児噂䙁䅍䅒獁䕁䄴兑㥁䅁䅁䅐䅅䑁䅯䅁䉂䝁䅑杤桂䝁䄴睙求䝁䅑䅉乂䝁䅫睙祂䝁䄸䅉䕂䝁䅕杤灂䝁䅍党穂䍁䅷䅉䩂䝁䄴睙畁䅁䅁䅙䅅䡁䅁䅁偂䡁䅁䅤灂䝁䄸杢穂䑁䅯䅒桂䡁䅑兙啂䡁䅫䅣求䑁䄰睕䕂䍁䅷睕祂䝁䅍児䑂䝁䄸杢穂䝁䅕杢穂䡁䅕督畁䙁䅙兙桂䝁䅍䅤ㅂ䝁䅅䅢穂䍁䅷兔桂䝁䅣児䉂䝁䅉督獁䕁䄴兑㥁䅁䅁材䅅䝁䅙䅁湁䙁䅳睕兂䕁䅣睘䝂䝁䅫杢桂䝁䄴睙灂䝁䅅䅢穂䍁䅙䅕求䝁䅕杣䉂䝁䄴兙獂䡁䅫督灂䡁䅍睘坂䕁䅅杌㑂䝁䅷督㑂䙁䄰杕求䡁䅁睢祂䡁䅑睊桁䍁䅑兒歁䑁䅕䅁⽁允䅁杣䅁䕁䄸䅣あ䝁䅫睢畂䡁䅍杏䑂䡁䅕杣祂䑁䄰兖呂䕁䅑䅌䕂䝁䅅䅤桂䙁䅑入睂䝁䅕児呂䕁䅑䅌呂䡁䅉睙㥁䕁䅍睢畂䡁䅍党畂䡁䅍兤穂䍁䄴杖桂䝁䅅睙あ䡁䅕兙獂䡁䅍䅌佂䕁䅅児䅁䕁䉁䅁歂䅁䅁睗呂䙁䅁睒時䙁䅙兙獂䡁䅕兙あ䝁䅫睢畂䕁䅅杢歂䙁䅁党求䡁䅉兑畂䝁䅅䅢㕂䡁䅍兡穂䙁䄸杖䉂䍁䄴䅥獂䡁䅍䅥摂䙁䅉党睂䝁䄸杣あ䍁䅅䅊䙂䍁䅑兎䅁䙁䉧䅁䅂䅁䅁睔睂䡁䅑兡療䝁䄴督㙁䕁䅑兙あ䝁䅅䅖㕂䡁䅁党㥁䙁䅍䅒獁䙁䅍杣橂䑁䄰兖䍂䙁䅍䅌佂䕁䅅児䅁䕁䉉䅁敂䅁䅁睔睂䡁䅑兡療䝁䄴督㙁䕁䅍兤祂䡁䅉児噂䙁䅍䅒獁䕁䄰兙湂䑁䄰兔獁䕁䅑兙あ䝁䅅䅖㕂䡁䅁党㥁䙁䅍䅒獁䙁䅍杣橂䑁䄰兖䍂䙁䅍䅌佂䕁䅅児䅁䕁䉍䅁楂䅁䅁睔睂䡁䅑兡療䝁䄴督㙁䕁䅑兙あ䝁䅅䅖㕂䡁䅁党㥁䙁䅍䅒獁䙁䅍杣橂䑁䄰兖䍂䙁䅍䅌乂䝁䅅睚㥁䝁䅅杙穂䍁䅷睑ㅂ䡁䅉杣㥁䙁䅕睕䕂䍁䅷杔䉂䑁䄰䅁䕂允䅁䅤䅁䙁䅳睕兂䕁䅣睘䝂䝁䅫杢桂䝁䄴睙灂䝁䅅䅢穂䕁䅅杢歂䙁䅁党求䡁䅉兑畂䝁䅅䅢㕂䡁䅍兡穂䙁䄸杖䉂䍁䄴䅥獂䡁䅍䅥摂䙁䅁党求䡁䅉兑畂䝁䅅䅢㕂䡁䅍兡穂䍁䅅䅊䉂䕁䅑䅊㍁䅁䅁睡䅅䉁䅁䅁䝂䙁䅅免祁䑁䅁杍ぁ䅁䅁䅡䅅䅁䅧䅁呂䙁䅑兔䅁䕁䉣䅁⭂䅁䅁睔睂䡁䅑兡療䝁䄴督㙁䕁䅍兤祂䡁䅉児噂䙁䅍䅒獁䕁䄰兙湂䑁䄰村獁䕁䅑兙あ䝁䅅䅖㕂䡁䅁党㥁䙁䅍䅒獁䙁䅍杣橂䑁䄰睑療䝁䄴督求䝁䄴督ㅂ䡁䅍杌坂䕁䅅兑橂䡁䅑兤桂䝁䅷督獁䕁䄴兑㥁䅁䅁睓䅅䅁䅙䅁祁䙁䅫䅁䥂允䅁䅃䅁䙁䅅䅖䕂䅁䅁兓䅅䉁䅁䅁䑂䙁䅅䅍祁䑁䅁杍㉁䅁䅁䅕䅅䅁䄴䅁䑂䙁䅫杍睁䑁䅉䅏䅁䙁䉍䅁佁䅁䅁睑婂䑁䅉䅍祁䑁䅫䅁啂允䅁䅙䅁䙁䅳睕兂䕁䅣睘坂䝁䅅䅢ㅂ䝁䅅䅤灂䝁䄸杢兂䝁䅕党祂䕁䅅杢桂䝁䅷入穂䝁䅫督時䙁䅙兑畁䡁䅧䅢穂䡁䅧兘卂䝁䅕䅣療䡁䅉䅤桁䍁䅑䅒歁䑁䅙睎䅁䙁䉕䅁敂䅁䅁睗呂䙁䅁睒時䙁䅙兙獂䡁䅕兙あ䝁䅫睢畂䙁䅁党求䡁䅉兑畂䝁䅅䅢㕂䡁䅍兡穂䙁䄸杖䉂䍁䄴䅥獂䡁䅍䅥摂䙁䅉党睂䝁䄸杣あ䍁䅅䅊䙂䍁䅑兎䅁䙁䉙䅁獂䅁䅁睗呂䙁䅁睒時䙁䅙兙獂䡁䅕兙あ䝁䅫睢畂䕁䅅杢歂䙁䅁党求䡁䅉兑畂䝁䅅䅢㕂䡁䅍兡穂䙁䄸杖䉂䍁䄴䅥獂䡁䅍䅥摂䙁䅙兙獂䡁䅕兙あ䝁䅫睢畂䍁䅅䅊䕂䍁䅑睍硁䅁䅁睖䅅䝁䅯䅁扂䙁䅍䅕䡂䙁䄸杖桂䝁䅷兤桂䡁䅑兡療䝁䄴兑畂䝁䅑䅕求䝁䅕杣䉂䝁䄴兙獂䡁䅫督灂䡁䅍睘坂䕁䅅杌㑂䝁䅷督㑂䙁䄰杖桂䝁䅷兤桂䡁䅑兡療䝁䄴光歁䕁䅑䅊㕁䅁䅁兗䅅䡁䅁䅁扂䙁䅍䅕䡂䙁䄸杖桂䝁䅷兤桂䡁䅑兡療䝁䄴兑畂䝁䅑䅕求䝁䅕杣䉂䝁䄴兙獂䡁䅫督灂䡁䅍睘坂䕁䅅睘㉂䑁䅉杌㑂䝁䅷督㑂䙁䄰杖桂䝁䅷兤桂䡁䅑兡療䝁䄴光歁䕁䅑䅊㕁䅁䅁睗䅅䝁䅯䅁扂䙁䅍䅕䡂䙁䄸杖桂䝁䅷兤桂䡁䅑兡療䝁䄴兑畂䝁䅑䅕求䝁䅕杣䉂䝁䄴兙獂䡁䅫督灂䡁䅍睘坂䕁䅅杌㑂䝁䅷督㑂䙁䄰䅖求䝁䅅杣呂䝁䅧党求䡁䅑光歁䕁䅕䅊ㅁ䅁䅁兘䅅䉁䅯䅁佂䕁䅅睕䕂䕁䅅兕䡂䙁䅍杏䉂䕁䄰䅒䅁䙁䈴䅁允䅁䅁䅎睁䑁䅙李㍁䑁䅑睍䅁䙁䈸䅁祂䅁䅁睗呂䙁䅁睒時䕁䅙兡畂䝁䅅杢橂䝁䅫兙獂䡁䅍兑畂䝁䅑䅕求䝁䅕杣䉂䝁䄴兙獂䡁䅫督灂䡁䅍睘坂䕁䅅杌㑂䝁䅷督㑂䙁䄰䅕求䝁䅕杣䉂䝁䄴兙獂䡁䅫督灂䡁䅍光歁䕁䅑䅊㕁䅁䅁兙䅅䡁䅑䅁佂䝁䅕䅤杁䝁䅍兙穂䝁䅧䅉浂䝁䅷睢㍂䡁䅍䅉睂䡁䅉睢㉂䝁䅫䅚求䝁䅑䅉楂䡁䅫睌潁䡁䅕督求䝁䅑䅉灂䝁䄴克杁䝁䅫杢㉂䝁䅕督あ䝁䅫杢湂䍁䅁兙橂䡁䅑兡㉂䝁䅫䅤灂䝁䅕督䅁䝁䉍䅁允䅁䅁杒剂䑁䅉杍睁䑁䅉兎䅁䝁䉣䅁允䅁䅁杒剂䑁䅍杍睁䑁䅉䅎䅁䝁䉯䅁あ䅁䅁睗呂䙁䅁睒時䕁䅙兡畂䝁䅅杢橂䝁䅫兙獂䡁䅍兑畂䝁䅑䅕求䝁䅕杣䉂䝁䄴兙獂䡁䅫督灂䡁䅍睘坂䕁䅅杌㑂䝁䅷督㑂䙁䄰䅕求䝁䅕杣䉂䝁䄴兙獂䡁䅫督灂䡁䅍光歁䕁䅅兑歁䑁䅫䅁獂允䅁杉䅁䕁䅅睙あ䡁䅕兙獂䝁䄸杣䙂䡁䅍䅤灂䝁䄰兙あ䝁䅕䅁畂允䅁䅋䅁䕁䅍睢畂䡁䅍党畂䡁䅍兤穂䍁䄴杖䉂䕁䅅睙あ䡁䅕兙獂䡁䅍䅁療允䅁䅂䅁䕁䅅䅁睂允䅁䅂䅁䕁䅕䅁硂允䅁䅗䅁䕁䄸䅣あ䝁䅫睢畂䡁䅍杏䕂䝁䅅䅤桂䙁䅑入睂䝁䅕児呂䕁䅑䅌呂䡁䅉睙㥁䕁䅍睢畂䡁䅍党畂䡁䅍兤穂䍁䄴杖䉂䕁䅅睙あ䡁䅕兙獂䡁䅍䅁穂允䅁䅁䅁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</si>
</sst>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
    <numFmt numFmtId="165" formatCode="#,##0.0_);[Red]\(#,##0.0\)"/>
    <numFmt numFmtId="166" formatCode="0.0\x_);\(0.0\x\)"/>
    <numFmt numFmtId="167" formatCode="mmm"/>
    <numFmt numFmtId="168" formatCode="_(* #,##0_);_(* \(#,##0\);_(* &quot;-&quot;??_);_(@_)"/>
    <numFmt numFmtId="169" formatCode="_(* #,##0.0_);_(* \(#,##0.0\);_(* &quot;-&quot;??_);_(@_)"/>
    <numFmt numFmtId="170" formatCode="#,##0.00;[Red]\(#,##0.00\)"/>
    <numFmt numFmtId="171" formatCode="#,##0.00;\(#,##0.00\);\-;\-"/>
    <numFmt numFmtId="172" formatCode="#,##0.00\x;\(#,##0.00\)\x;\-;\-"/>
    <numFmt numFmtId="173" formatCode="#,##0.0;\(#,##0.0\);\-;\-"/>
    <numFmt numFmtId="174" formatCode="#,##0;\(#,##0\);\-;\-"/>
    <numFmt numFmtId="175" formatCode="[&gt;0]0.0&quot;%&quot;;[&lt;0]\(0.0&quot;%&quot;\);\-;\-"/>
  </numFmts>
  <fonts count="32" x14ac:knownFonts="1">
    <font>
      <sz val="8"/>
      <color theme="1"/>
      <name val="Arial"/>
      <family val="2"/>
    </font>
    <font>
      <sz val="10"/>
      <name val="Arial"/>
      <family val="2"/>
    </font>
    <font>
      <sz val="11"/>
      <color theme="1"/>
      <name val="Calibri"/>
      <family val="2"/>
      <scheme val="minor"/>
    </font>
    <font>
      <u/>
      <sz val="11"/>
      <color theme="10"/>
      <name val="Calibri"/>
      <family val="2"/>
      <scheme val="minor"/>
    </font>
    <font>
      <sz val="8"/>
      <name val="Arial"/>
      <family val="2"/>
    </font>
    <font>
      <sz val="8"/>
      <color theme="2" tint="-0.749961851863155"/>
      <name val="Arial"/>
      <family val="2"/>
    </font>
    <font>
      <sz val="8"/>
      <color rgb="FFFF0000"/>
      <name val="Arial"/>
      <family val="2"/>
    </font>
    <font>
      <b/>
      <sz val="8"/>
      <color theme="0"/>
      <name val="Arial"/>
      <family val="2"/>
    </font>
    <font>
      <sz val="8"/>
      <color theme="1"/>
      <name val="Arial"/>
      <family val="2"/>
    </font>
    <font>
      <b/>
      <sz val="18"/>
      <name val="Arial"/>
      <family val="2"/>
    </font>
    <font>
      <sz val="8"/>
      <color rgb="FF0000CC"/>
      <name val="Arial"/>
      <family val="2"/>
    </font>
    <font>
      <i/>
      <sz val="8"/>
      <name val="Arial"/>
      <family val="2"/>
    </font>
    <font>
      <b/>
      <u/>
      <sz val="9"/>
      <color rgb="FF000000"/>
      <name val="Arial"/>
      <family val="2"/>
    </font>
    <font>
      <b/>
      <sz val="12"/>
      <name val="Arial"/>
      <family val="2"/>
    </font>
    <font>
      <b/>
      <sz val="8"/>
      <color rgb="FF525252"/>
      <name val="Arial"/>
      <family val="2"/>
    </font>
    <font>
      <sz val="8"/>
      <color rgb="FF525252"/>
      <name val="Arial"/>
      <family val="2"/>
    </font>
    <font>
      <i/>
      <sz val="8"/>
      <color rgb="FF525252"/>
      <name val="Arial"/>
      <family val="2"/>
    </font>
    <font>
      <b/>
      <sz val="8"/>
      <name val="Arial"/>
      <family val="2"/>
    </font>
    <font>
      <u/>
      <sz val="8"/>
      <color rgb="FF223D92"/>
      <name val="Arial"/>
      <family val="2"/>
    </font>
    <font>
      <b/>
      <sz val="9"/>
      <name val="Arial"/>
      <family val="2"/>
    </font>
    <font>
      <b/>
      <u/>
      <sz val="8"/>
      <name val="Arial"/>
      <family val="2"/>
    </font>
    <font>
      <sz val="8"/>
      <color theme="0"/>
      <name val="Arial"/>
      <family val="2"/>
    </font>
    <font>
      <sz val="11"/>
      <name val="Calibri"/>
      <family val="2"/>
      <scheme val="minor"/>
    </font>
    <font>
      <b/>
      <u/>
      <sz val="9"/>
      <name val="Arial"/>
      <family val="2"/>
    </font>
    <font>
      <b/>
      <sz val="9"/>
      <color theme="0"/>
      <name val="Arial"/>
      <family val="2"/>
    </font>
    <font>
      <sz val="8"/>
      <color rgb="FF0000FF"/>
      <name val="Arial"/>
      <family val="2"/>
    </font>
    <font>
      <sz val="8"/>
      <color rgb="FF008000"/>
      <name val="Arial"/>
      <family val="2"/>
    </font>
    <font>
      <sz val="10"/>
      <color theme="1"/>
      <name val="Calibri"/>
      <family val="2"/>
      <scheme val="minor"/>
    </font>
    <font>
      <sz val="11"/>
      <color rgb="FF008000"/>
      <name val="Calibri"/>
      <family val="2"/>
      <scheme val="minor"/>
    </font>
    <font>
      <b/>
      <sz val="18"/>
      <color theme="1"/>
      <name val="Arial"/>
      <family val="2"/>
    </font>
    <font>
      <b/>
      <u/>
      <sz val="9"/>
      <color theme="1"/>
      <name val="Arial"/>
      <family val="2"/>
    </font>
    <font>
      <b/>
      <sz val="12"/>
      <color theme="1"/>
      <name val="Arial"/>
      <family val="2"/>
    </font>
  </fonts>
  <fills count="8">
    <fill>
      <patternFill patternType="none"/>
    </fill>
    <fill>
      <patternFill patternType="gray125"/>
    </fill>
    <fill>
      <patternFill patternType="solid">
        <fgColor rgb="FFFFFFCC"/>
        <bgColor indexed="64"/>
      </patternFill>
    </fill>
    <fill>
      <patternFill patternType="solid">
        <fgColor rgb="FFD9D9D9"/>
        <bgColor indexed="64"/>
      </patternFill>
    </fill>
    <fill>
      <patternFill patternType="solid">
        <fgColor indexed="9"/>
        <bgColor indexed="64"/>
      </patternFill>
    </fill>
    <fill>
      <patternFill patternType="solid">
        <fgColor rgb="FF525252"/>
        <bgColor indexed="64"/>
      </patternFill>
    </fill>
    <fill>
      <patternFill patternType="solid">
        <fgColor theme="0"/>
        <bgColor indexed="64"/>
      </patternFill>
    </fill>
    <fill>
      <patternFill patternType="solid">
        <fgColor rgb="FF525252"/>
        <bgColor rgb="FF000000"/>
      </patternFill>
    </fill>
  </fills>
  <borders count="90">
    <border>
      <left/>
      <right/>
      <top/>
      <bottom/>
      <diagonal/>
    </border>
    <border>
      <left style="hair">
        <color auto="1"/>
      </left>
      <right style="hair">
        <color auto="1"/>
      </right>
      <top/>
      <bottom/>
      <diagonal/>
    </border>
    <border>
      <left/>
      <right style="hair">
        <color auto="1"/>
      </right>
      <top/>
      <bottom/>
      <diagonal/>
    </border>
    <border>
      <left style="thin">
        <color rgb="FF525252"/>
      </left>
      <right style="thin">
        <color rgb="FF525252"/>
      </right>
      <top style="thin">
        <color rgb="FF525252"/>
      </top>
      <bottom style="thin">
        <color rgb="FF525252"/>
      </bottom>
      <diagonal/>
    </border>
    <border>
      <left/>
      <right style="thin">
        <color rgb="FF525252"/>
      </right>
      <top/>
      <bottom/>
      <diagonal/>
    </border>
    <border>
      <left style="thin">
        <color auto="1"/>
      </left>
      <right style="thin">
        <color auto="1"/>
      </right>
      <top style="thin">
        <color auto="1"/>
      </top>
      <bottom style="thin">
        <color auto="1"/>
      </bottom>
      <diagonal/>
    </border>
    <border>
      <left style="thin">
        <color rgb="FF525252"/>
      </left>
      <right/>
      <top style="thin">
        <color rgb="FF525252"/>
      </top>
      <bottom/>
      <diagonal/>
    </border>
    <border>
      <left/>
      <right/>
      <top style="thin">
        <color rgb="FF525252"/>
      </top>
      <bottom/>
      <diagonal/>
    </border>
    <border>
      <left/>
      <right style="thin">
        <color rgb="FF525252"/>
      </right>
      <top style="thin">
        <color rgb="FF525252"/>
      </top>
      <bottom/>
      <diagonal/>
    </border>
    <border>
      <left/>
      <right/>
      <top/>
      <bottom style="thin">
        <color rgb="FF525252"/>
      </bottom>
      <diagonal/>
    </border>
    <border>
      <left style="thin">
        <color rgb="FF525252"/>
      </left>
      <right/>
      <top/>
      <bottom/>
      <diagonal/>
    </border>
    <border>
      <left style="thin">
        <color theme="0"/>
      </left>
      <right style="thin">
        <color theme="0"/>
      </right>
      <top style="thin">
        <color theme="0"/>
      </top>
      <bottom/>
      <diagonal/>
    </border>
    <border>
      <left style="thin">
        <color theme="0"/>
      </left>
      <right/>
      <top style="thin">
        <color theme="0"/>
      </top>
      <bottom/>
      <diagonal/>
    </border>
    <border>
      <left/>
      <right/>
      <top/>
      <bottom style="thin">
        <color theme="0"/>
      </bottom>
      <diagonal/>
    </border>
    <border>
      <left style="thin">
        <color theme="0"/>
      </left>
      <right style="thin">
        <color theme="0"/>
      </right>
      <top/>
      <bottom/>
      <diagonal/>
    </border>
    <border>
      <left style="thin">
        <color theme="0"/>
      </left>
      <right style="thin">
        <color theme="0"/>
      </right>
      <top style="thin">
        <color rgb="FF525252"/>
      </top>
      <bottom/>
      <diagonal/>
    </border>
    <border>
      <left style="thin">
        <color theme="0"/>
      </left>
      <right style="thin">
        <color theme="0"/>
      </right>
      <top/>
      <bottom style="thin">
        <color rgb="FF525252"/>
      </bottom>
      <diagonal/>
    </border>
    <border>
      <left/>
      <right style="thin">
        <color theme="0"/>
      </right>
      <top/>
      <bottom/>
      <diagonal/>
    </border>
    <border>
      <left style="thin">
        <color theme="0"/>
      </left>
      <right style="hair">
        <color theme="0"/>
      </right>
      <top style="thin">
        <color theme="0"/>
      </top>
      <bottom/>
      <diagonal/>
    </border>
    <border>
      <left/>
      <right/>
      <top style="thin">
        <color rgb="FF525252"/>
      </top>
      <bottom style="thin">
        <color rgb="FF525252"/>
      </bottom>
      <diagonal/>
    </border>
    <border>
      <left style="thin">
        <color rgb="FF525252"/>
      </left>
      <right style="thin">
        <color rgb="FF525252"/>
      </right>
      <top/>
      <bottom/>
      <diagonal/>
    </border>
    <border>
      <left style="thin">
        <color rgb="FF525252"/>
      </left>
      <right style="hair">
        <color rgb="FF525252"/>
      </right>
      <top style="thin">
        <color rgb="FF525252"/>
      </top>
      <bottom/>
      <diagonal/>
    </border>
    <border>
      <left style="hair">
        <color rgb="FF525252"/>
      </left>
      <right style="hair">
        <color rgb="FF525252"/>
      </right>
      <top/>
      <bottom/>
      <diagonal/>
    </border>
    <border>
      <left style="hair">
        <color rgb="FF525252"/>
      </left>
      <right style="thin">
        <color rgb="FF525252"/>
      </right>
      <top style="thin">
        <color rgb="FF525252"/>
      </top>
      <bottom/>
      <diagonal/>
    </border>
    <border>
      <left style="thin">
        <color rgb="FF525252"/>
      </left>
      <right style="hair">
        <color rgb="FF525252"/>
      </right>
      <top/>
      <bottom/>
      <diagonal/>
    </border>
    <border>
      <left style="hair">
        <color rgb="FF525252"/>
      </left>
      <right style="thin">
        <color rgb="FF525252"/>
      </right>
      <top/>
      <bottom/>
      <diagonal/>
    </border>
    <border>
      <left style="hair">
        <color rgb="FF525252"/>
      </left>
      <right style="hair">
        <color rgb="FF525252"/>
      </right>
      <top style="thin">
        <color rgb="FF525252"/>
      </top>
      <bottom/>
      <diagonal/>
    </border>
    <border>
      <left/>
      <right style="hair">
        <color rgb="FF525252"/>
      </right>
      <top style="thin">
        <color rgb="FF525252"/>
      </top>
      <bottom/>
      <diagonal/>
    </border>
    <border>
      <left/>
      <right style="hair">
        <color rgb="FF525252"/>
      </right>
      <top/>
      <bottom/>
      <diagonal/>
    </border>
    <border>
      <left style="thin">
        <color theme="0"/>
      </left>
      <right/>
      <top/>
      <bottom/>
      <diagonal/>
    </border>
    <border>
      <left style="thin">
        <color rgb="FF525252"/>
      </left>
      <right/>
      <top style="thin">
        <color rgb="FF525252"/>
      </top>
      <bottom style="thin">
        <color rgb="FF525252"/>
      </bottom>
      <diagonal/>
    </border>
    <border>
      <left style="hair">
        <color theme="0"/>
      </left>
      <right/>
      <top style="hair">
        <color theme="0"/>
      </top>
      <bottom/>
      <diagonal/>
    </border>
    <border>
      <left/>
      <right/>
      <top style="hair">
        <color theme="0"/>
      </top>
      <bottom/>
      <diagonal/>
    </border>
    <border>
      <left style="thin">
        <color rgb="FF525252"/>
      </left>
      <right style="thin">
        <color rgb="FF525252"/>
      </right>
      <top style="thin">
        <color rgb="FF525252"/>
      </top>
      <bottom/>
      <diagonal/>
    </border>
    <border>
      <left/>
      <right style="thin">
        <color theme="0"/>
      </right>
      <top style="thin">
        <color rgb="FF525252"/>
      </top>
      <bottom/>
      <diagonal/>
    </border>
    <border>
      <left style="thin">
        <color rgb="FF525252"/>
      </left>
      <right style="hair">
        <color theme="0"/>
      </right>
      <top style="thin">
        <color rgb="FF525252"/>
      </top>
      <bottom style="thin">
        <color rgb="FF525252"/>
      </bottom>
      <diagonal/>
    </border>
    <border>
      <left style="hair">
        <color theme="0"/>
      </left>
      <right style="hair">
        <color theme="0"/>
      </right>
      <top style="thin">
        <color rgb="FF525252"/>
      </top>
      <bottom style="thin">
        <color rgb="FF525252"/>
      </bottom>
      <diagonal/>
    </border>
    <border>
      <left style="hair">
        <color theme="0"/>
      </left>
      <right style="thin">
        <color rgb="FF525252"/>
      </right>
      <top style="thin">
        <color rgb="FF525252"/>
      </top>
      <bottom style="thin">
        <color rgb="FF525252"/>
      </bottom>
      <diagonal/>
    </border>
    <border>
      <left style="thin">
        <color rgb="FF525252"/>
      </left>
      <right style="hair">
        <color rgb="FF525252"/>
      </right>
      <top style="hair">
        <color rgb="FF525252"/>
      </top>
      <bottom style="hair">
        <color rgb="FF525252"/>
      </bottom>
      <diagonal/>
    </border>
    <border>
      <left style="hair">
        <color rgb="FF525252"/>
      </left>
      <right style="hair">
        <color rgb="FF525252"/>
      </right>
      <top style="hair">
        <color rgb="FF525252"/>
      </top>
      <bottom style="hair">
        <color rgb="FF525252"/>
      </bottom>
      <diagonal/>
    </border>
    <border>
      <left style="hair">
        <color rgb="FF525252"/>
      </left>
      <right style="thin">
        <color rgb="FF525252"/>
      </right>
      <top style="hair">
        <color rgb="FF525252"/>
      </top>
      <bottom style="hair">
        <color rgb="FF525252"/>
      </bottom>
      <diagonal/>
    </border>
    <border>
      <left style="thin">
        <color rgb="FF525252"/>
      </left>
      <right style="hair">
        <color rgb="FF525252"/>
      </right>
      <top style="hair">
        <color rgb="FF525252"/>
      </top>
      <bottom style="thin">
        <color rgb="FF525252"/>
      </bottom>
      <diagonal/>
    </border>
    <border>
      <left style="hair">
        <color rgb="FF525252"/>
      </left>
      <right style="hair">
        <color rgb="FF525252"/>
      </right>
      <top style="hair">
        <color rgb="FF525252"/>
      </top>
      <bottom style="thin">
        <color rgb="FF525252"/>
      </bottom>
      <diagonal/>
    </border>
    <border>
      <left style="hair">
        <color rgb="FF525252"/>
      </left>
      <right style="thin">
        <color rgb="FF525252"/>
      </right>
      <top style="hair">
        <color rgb="FF525252"/>
      </top>
      <bottom style="thin">
        <color rgb="FF525252"/>
      </bottom>
      <diagonal/>
    </border>
    <border>
      <left style="thin">
        <color indexed="64"/>
      </left>
      <right style="thin">
        <color indexed="64"/>
      </right>
      <top style="thin">
        <color indexed="64"/>
      </top>
      <bottom/>
      <diagonal/>
    </border>
    <border>
      <left style="thin">
        <color rgb="FF525252"/>
      </left>
      <right/>
      <top style="thin">
        <color rgb="FF525252"/>
      </top>
      <bottom style="thin">
        <color auto="1"/>
      </bottom>
      <diagonal/>
    </border>
    <border>
      <left/>
      <right style="thin">
        <color rgb="FF525252"/>
      </right>
      <top style="thin">
        <color rgb="FF525252"/>
      </top>
      <bottom style="thin">
        <color rgb="FF525252"/>
      </bottom>
      <diagonal/>
    </border>
    <border>
      <left/>
      <right style="thin">
        <color indexed="64"/>
      </right>
      <top style="thin">
        <color indexed="64"/>
      </top>
      <bottom/>
      <diagonal/>
    </border>
    <border>
      <left style="thin">
        <color rgb="FF525252"/>
      </left>
      <right style="hair">
        <color rgb="FF525252"/>
      </right>
      <top style="thin">
        <color rgb="FF525252"/>
      </top>
      <bottom style="hair">
        <color rgb="FF525252"/>
      </bottom>
      <diagonal/>
    </border>
    <border>
      <left style="hair">
        <color rgb="FF525252"/>
      </left>
      <right style="hair">
        <color rgb="FF525252"/>
      </right>
      <top style="thin">
        <color rgb="FF525252"/>
      </top>
      <bottom style="hair">
        <color rgb="FF525252"/>
      </bottom>
      <diagonal/>
    </border>
    <border>
      <left style="hair">
        <color rgb="FF525252"/>
      </left>
      <right style="thin">
        <color rgb="FF525252"/>
      </right>
      <top style="thin">
        <color rgb="FF525252"/>
      </top>
      <bottom style="hair">
        <color rgb="FF525252"/>
      </bottom>
      <diagonal/>
    </border>
    <border>
      <left style="thin">
        <color rgb="FF525252"/>
      </left>
      <right style="thin">
        <color rgb="FF525252"/>
      </right>
      <top/>
      <bottom style="hair">
        <color rgb="FF525252"/>
      </bottom>
      <diagonal/>
    </border>
    <border>
      <left style="thin">
        <color rgb="FF525252"/>
      </left>
      <right style="thin">
        <color rgb="FF525252"/>
      </right>
      <top style="hair">
        <color rgb="FF525252"/>
      </top>
      <bottom style="hair">
        <color rgb="FF525252"/>
      </bottom>
      <diagonal/>
    </border>
    <border>
      <left style="thin">
        <color rgb="FF525252"/>
      </left>
      <right style="thin">
        <color rgb="FF525252"/>
      </right>
      <top style="hair">
        <color rgb="FF525252"/>
      </top>
      <bottom style="thin">
        <color rgb="FF525252"/>
      </bottom>
      <diagonal/>
    </border>
    <border>
      <left style="thin">
        <color rgb="FF5B5E5E"/>
      </left>
      <right style="hair">
        <color auto="1"/>
      </right>
      <top style="thin">
        <color rgb="FF5B5E5E"/>
      </top>
      <bottom style="hair">
        <color auto="1"/>
      </bottom>
      <diagonal/>
    </border>
    <border>
      <left style="hair">
        <color auto="1"/>
      </left>
      <right style="thin">
        <color rgb="FF525252"/>
      </right>
      <top style="thin">
        <color rgb="FF525252"/>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rgb="FF5B5E5E"/>
      </left>
      <right style="hair">
        <color auto="1"/>
      </right>
      <top style="hair">
        <color auto="1"/>
      </top>
      <bottom style="hair">
        <color auto="1"/>
      </bottom>
      <diagonal/>
    </border>
    <border>
      <left style="hair">
        <color auto="1"/>
      </left>
      <right style="thin">
        <color rgb="FF525252"/>
      </right>
      <top style="hair">
        <color auto="1"/>
      </top>
      <bottom style="hair">
        <color auto="1"/>
      </bottom>
      <diagonal/>
    </border>
    <border>
      <left style="thin">
        <color rgb="FF5B5E5E"/>
      </left>
      <right style="hair">
        <color auto="1"/>
      </right>
      <top style="hair">
        <color auto="1"/>
      </top>
      <bottom style="thin">
        <color rgb="FF5B5E5E"/>
      </bottom>
      <diagonal/>
    </border>
    <border>
      <left style="hair">
        <color auto="1"/>
      </left>
      <right style="thin">
        <color rgb="FF525252"/>
      </right>
      <top style="hair">
        <color auto="1"/>
      </top>
      <bottom style="thin">
        <color rgb="FF525252"/>
      </bottom>
      <diagonal/>
    </border>
    <border>
      <left style="hair">
        <color rgb="FF525252"/>
      </left>
      <right/>
      <top style="hair">
        <color rgb="FF525252"/>
      </top>
      <bottom style="thin">
        <color rgb="FF525252"/>
      </bottom>
      <diagonal/>
    </border>
    <border>
      <left/>
      <right/>
      <top style="hair">
        <color rgb="FF525252"/>
      </top>
      <bottom style="thin">
        <color rgb="FF525252"/>
      </bottom>
      <diagonal/>
    </border>
    <border>
      <left/>
      <right style="thin">
        <color rgb="FF525252"/>
      </right>
      <top style="hair">
        <color rgb="FF525252"/>
      </top>
      <bottom style="thin">
        <color rgb="FF525252"/>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hair">
        <color rgb="FF525252"/>
      </left>
      <right style="hair">
        <color rgb="FF525252"/>
      </right>
      <top style="thin">
        <color rgb="FF525252"/>
      </top>
      <bottom style="thin">
        <color rgb="FF525252"/>
      </bottom>
      <diagonal/>
    </border>
    <border>
      <left style="thin">
        <color theme="0"/>
      </left>
      <right/>
      <top style="thin">
        <color rgb="FF525252"/>
      </top>
      <bottom style="thin">
        <color theme="0"/>
      </bottom>
      <diagonal/>
    </border>
    <border>
      <left/>
      <right/>
      <top style="thin">
        <color rgb="FF525252"/>
      </top>
      <bottom style="thin">
        <color theme="0"/>
      </bottom>
      <diagonal/>
    </border>
    <border>
      <left/>
      <right style="thin">
        <color theme="0"/>
      </right>
      <top style="thin">
        <color rgb="FF525252"/>
      </top>
      <bottom style="thin">
        <color theme="0"/>
      </bottom>
      <diagonal/>
    </border>
    <border>
      <left/>
      <right style="thin">
        <color indexed="64"/>
      </right>
      <top/>
      <bottom/>
      <diagonal/>
    </border>
    <border>
      <left style="hair">
        <color rgb="FF525252"/>
      </left>
      <right style="hair">
        <color rgb="FF525252"/>
      </right>
      <top style="thin">
        <color theme="0"/>
      </top>
      <bottom/>
      <diagonal/>
    </border>
    <border>
      <left/>
      <right style="thin">
        <color rgb="FF525252"/>
      </right>
      <top/>
      <bottom style="thin">
        <color theme="0"/>
      </bottom>
      <diagonal/>
    </border>
    <border>
      <left style="hair">
        <color rgb="FF525252"/>
      </left>
      <right style="hair">
        <color rgb="FF525252"/>
      </right>
      <top style="hair">
        <color theme="0"/>
      </top>
      <bottom/>
      <diagonal/>
    </border>
    <border>
      <left style="hair">
        <color rgb="FF525252"/>
      </left>
      <right style="hair">
        <color rgb="FF525252"/>
      </right>
      <top style="hair">
        <color rgb="FF525252"/>
      </top>
      <bottom/>
      <diagonal/>
    </border>
    <border>
      <left style="thin">
        <color rgb="FF525252"/>
      </left>
      <right style="thin">
        <color rgb="FF525252"/>
      </right>
      <top style="thin">
        <color auto="1"/>
      </top>
      <bottom style="hair">
        <color rgb="FF525252"/>
      </bottom>
      <diagonal/>
    </border>
    <border>
      <left/>
      <right style="hair">
        <color rgb="FF525252"/>
      </right>
      <top style="thin">
        <color rgb="FF525252"/>
      </top>
      <bottom style="thin">
        <color rgb="FF525252"/>
      </bottom>
      <diagonal/>
    </border>
    <border>
      <left style="hair">
        <color rgb="FF525252"/>
      </left>
      <right/>
      <top style="thin">
        <color rgb="FF525252"/>
      </top>
      <bottom style="thin">
        <color rgb="FF525252"/>
      </bottom>
      <diagonal/>
    </border>
    <border>
      <left style="hair">
        <color theme="1"/>
      </left>
      <right style="hair">
        <color theme="1"/>
      </right>
      <top style="thin">
        <color rgb="FF525252"/>
      </top>
      <bottom style="thin">
        <color rgb="FF525252"/>
      </bottom>
      <diagonal/>
    </border>
    <border>
      <left style="hair">
        <color theme="1"/>
      </left>
      <right style="thin">
        <color rgb="FF525252"/>
      </right>
      <top style="thin">
        <color rgb="FF525252"/>
      </top>
      <bottom style="thin">
        <color rgb="FF525252"/>
      </bottom>
      <diagonal/>
    </border>
    <border>
      <left style="hair">
        <color rgb="FF525252"/>
      </left>
      <right style="thin">
        <color rgb="FF525252"/>
      </right>
      <top style="thin">
        <color rgb="FF525252"/>
      </top>
      <bottom style="thin">
        <color rgb="FF525252"/>
      </bottom>
      <diagonal/>
    </border>
    <border>
      <left style="thin">
        <color rgb="FF525252"/>
      </left>
      <right style="hair">
        <color rgb="FF525252"/>
      </right>
      <top style="thin">
        <color rgb="FF525252"/>
      </top>
      <bottom style="thin">
        <color rgb="FF525252"/>
      </bottom>
      <diagonal/>
    </border>
    <border>
      <left/>
      <right style="thin">
        <color indexed="64"/>
      </right>
      <top style="thin">
        <color rgb="FF525252"/>
      </top>
      <bottom style="thin">
        <color rgb="FF525252"/>
      </bottom>
      <diagonal/>
    </border>
    <border>
      <left/>
      <right style="thin">
        <color rgb="FF525252"/>
      </right>
      <top/>
      <bottom style="thin">
        <color rgb="FF525252"/>
      </bottom>
      <diagonal/>
    </border>
    <border>
      <left style="hair">
        <color auto="1"/>
      </left>
      <right style="thin">
        <color rgb="FF525252"/>
      </right>
      <top style="thin">
        <color rgb="FF525252"/>
      </top>
      <bottom/>
      <diagonal/>
    </border>
    <border>
      <left style="hair">
        <color auto="1"/>
      </left>
      <right style="thin">
        <color rgb="FF525252"/>
      </right>
      <top/>
      <bottom/>
      <diagonal/>
    </border>
    <border>
      <left/>
      <right style="hair">
        <color auto="1"/>
      </right>
      <top/>
      <bottom style="thin">
        <color rgb="FF525252"/>
      </bottom>
      <diagonal/>
    </border>
    <border>
      <left style="hair">
        <color auto="1"/>
      </left>
      <right style="thin">
        <color rgb="FF525252"/>
      </right>
      <top/>
      <bottom style="thin">
        <color rgb="FF525252"/>
      </bottom>
      <diagonal/>
    </border>
  </borders>
  <cellStyleXfs count="7">
    <xf numFmtId="0" fontId="0" fillId="0" borderId="0"/>
    <xf numFmtId="9" fontId="2" fillId="0" borderId="0" applyFont="0" applyFill="0" applyBorder="0" applyAlignment="0" applyProtection="0"/>
    <xf numFmtId="0" fontId="1" fillId="0" borderId="0"/>
    <xf numFmtId="43" fontId="2" fillId="0" borderId="0" applyFont="0" applyFill="0" applyBorder="0" applyAlignment="0" applyProtection="0"/>
    <xf numFmtId="0" fontId="3" fillId="0" borderId="0" applyNumberFormat="0" applyFill="0" applyBorder="0" applyAlignment="0" applyProtection="0"/>
    <xf numFmtId="0" fontId="8" fillId="0" borderId="0"/>
    <xf numFmtId="0" fontId="1" fillId="0" borderId="0"/>
  </cellStyleXfs>
  <cellXfs count="303">
    <xf numFmtId="0" fontId="0" fillId="0" borderId="0" xfId="0"/>
    <xf numFmtId="0" fontId="4" fillId="0" borderId="0" xfId="0" applyFont="1"/>
    <xf numFmtId="0" fontId="5" fillId="0" borderId="0" xfId="0" applyFont="1" applyAlignment="1">
      <alignment wrapText="1"/>
    </xf>
    <xf numFmtId="167" fontId="4" fillId="0" borderId="0" xfId="0" applyNumberFormat="1" applyFont="1"/>
    <xf numFmtId="0" fontId="5" fillId="0" borderId="0" xfId="0" applyFont="1" applyAlignment="1">
      <alignment vertical="center" wrapText="1"/>
    </xf>
    <xf numFmtId="0" fontId="4" fillId="0" borderId="0" xfId="2" applyFont="1" applyAlignment="1">
      <alignment vertical="center"/>
    </xf>
    <xf numFmtId="165" fontId="8" fillId="0" borderId="0" xfId="0" applyNumberFormat="1" applyFont="1"/>
    <xf numFmtId="164" fontId="4" fillId="0" borderId="2" xfId="1" applyNumberFormat="1" applyFont="1" applyFill="1" applyBorder="1" applyAlignment="1">
      <alignment horizontal="right"/>
    </xf>
    <xf numFmtId="164" fontId="4" fillId="0" borderId="0" xfId="1" applyNumberFormat="1" applyFont="1" applyFill="1" applyBorder="1" applyAlignment="1">
      <alignment horizontal="right"/>
    </xf>
    <xf numFmtId="166" fontId="4" fillId="0" borderId="0" xfId="2" applyNumberFormat="1" applyFont="1" applyAlignment="1">
      <alignment horizontal="right"/>
    </xf>
    <xf numFmtId="9" fontId="4" fillId="0" borderId="0" xfId="1" applyFont="1" applyFill="1" applyBorder="1"/>
    <xf numFmtId="164" fontId="4" fillId="0" borderId="0" xfId="1" applyNumberFormat="1" applyFont="1" applyFill="1" applyBorder="1"/>
    <xf numFmtId="0" fontId="6" fillId="0" borderId="0" xfId="0" applyFont="1" applyAlignment="1">
      <alignment vertical="center" wrapText="1"/>
    </xf>
    <xf numFmtId="0" fontId="4" fillId="0" borderId="0" xfId="0" applyFont="1" applyAlignment="1">
      <alignment horizontal="left" indent="1"/>
    </xf>
    <xf numFmtId="0" fontId="4" fillId="0" borderId="0" xfId="0" applyFont="1" applyAlignment="1">
      <alignment horizontal="left" indent="6"/>
    </xf>
    <xf numFmtId="0" fontId="4" fillId="0" borderId="0" xfId="0" applyFont="1" applyAlignment="1">
      <alignment horizontal="left"/>
    </xf>
    <xf numFmtId="0" fontId="11" fillId="0" borderId="0" xfId="0" applyFont="1" applyAlignment="1">
      <alignment horizontal="right"/>
    </xf>
    <xf numFmtId="0" fontId="12" fillId="0" borderId="0" xfId="0" applyFont="1" applyAlignment="1">
      <alignment horizontal="left"/>
    </xf>
    <xf numFmtId="0" fontId="15" fillId="0" borderId="0" xfId="0" applyFont="1"/>
    <xf numFmtId="0" fontId="16" fillId="4" borderId="0" xfId="0" applyFont="1" applyFill="1" applyAlignment="1">
      <alignment horizontal="left" vertical="top" indent="1"/>
    </xf>
    <xf numFmtId="0" fontId="18" fillId="0" borderId="0" xfId="4" applyFont="1" applyFill="1" applyBorder="1" applyAlignment="1" applyProtection="1"/>
    <xf numFmtId="0" fontId="19" fillId="0" borderId="0" xfId="0" applyFont="1"/>
    <xf numFmtId="38" fontId="8" fillId="0" borderId="2" xfId="0" applyNumberFormat="1" applyFont="1" applyBorder="1"/>
    <xf numFmtId="40" fontId="8" fillId="0" borderId="2" xfId="0" applyNumberFormat="1" applyFont="1" applyBorder="1"/>
    <xf numFmtId="164" fontId="8" fillId="0" borderId="2" xfId="1" applyNumberFormat="1" applyFont="1" applyFill="1" applyBorder="1"/>
    <xf numFmtId="0" fontId="21" fillId="0" borderId="0" xfId="0" applyFont="1"/>
    <xf numFmtId="0" fontId="22" fillId="0" borderId="0" xfId="0" applyFont="1"/>
    <xf numFmtId="0" fontId="14" fillId="0" borderId="5" xfId="0" applyFont="1" applyBorder="1" applyAlignment="1">
      <alignment horizontal="center" vertical="center"/>
    </xf>
    <xf numFmtId="0" fontId="23" fillId="0" borderId="0" xfId="0" applyFont="1"/>
    <xf numFmtId="0" fontId="7" fillId="5" borderId="11" xfId="0" applyFont="1" applyFill="1" applyBorder="1" applyAlignment="1">
      <alignment horizontal="right" vertical="center"/>
    </xf>
    <xf numFmtId="0" fontId="8" fillId="0" borderId="0" xfId="0" applyFont="1"/>
    <xf numFmtId="0" fontId="16" fillId="0" borderId="0" xfId="0" applyFont="1" applyAlignment="1">
      <alignment horizontal="left" indent="1"/>
    </xf>
    <xf numFmtId="0" fontId="26" fillId="0" borderId="0" xfId="0" applyFont="1"/>
    <xf numFmtId="0" fontId="26" fillId="0" borderId="0" xfId="0" applyFont="1" applyAlignment="1">
      <alignment horizontal="right"/>
    </xf>
    <xf numFmtId="40" fontId="26" fillId="0" borderId="0" xfId="0" applyNumberFormat="1" applyFont="1"/>
    <xf numFmtId="170" fontId="26" fillId="0" borderId="0" xfId="0" applyNumberFormat="1" applyFont="1"/>
    <xf numFmtId="14" fontId="26" fillId="0" borderId="0" xfId="0" applyNumberFormat="1" applyFont="1"/>
    <xf numFmtId="0" fontId="7" fillId="5" borderId="12" xfId="0" applyFont="1" applyFill="1" applyBorder="1" applyAlignment="1">
      <alignment vertical="center"/>
    </xf>
    <xf numFmtId="0" fontId="5" fillId="0" borderId="7" xfId="0" applyFont="1" applyBorder="1" applyAlignment="1">
      <alignment vertical="center" wrapText="1"/>
    </xf>
    <xf numFmtId="0" fontId="5" fillId="0" borderId="7" xfId="0" applyFont="1" applyBorder="1" applyAlignment="1">
      <alignment wrapText="1"/>
    </xf>
    <xf numFmtId="0" fontId="4" fillId="0" borderId="7" xfId="0" applyFont="1" applyBorder="1"/>
    <xf numFmtId="4" fontId="4" fillId="0" borderId="0" xfId="0" applyNumberFormat="1" applyFont="1" applyAlignment="1">
      <alignment horizontal="right"/>
    </xf>
    <xf numFmtId="0" fontId="7" fillId="5" borderId="9" xfId="0" applyFont="1" applyFill="1" applyBorder="1"/>
    <xf numFmtId="0" fontId="27" fillId="0" borderId="0" xfId="0" applyFont="1" applyAlignment="1">
      <alignment horizontal="left"/>
    </xf>
    <xf numFmtId="0" fontId="28" fillId="0" borderId="0" xfId="0" applyFont="1"/>
    <xf numFmtId="171" fontId="8" fillId="0" borderId="24" xfId="0" applyNumberFormat="1" applyFont="1" applyBorder="1" applyAlignment="1">
      <alignment horizontal="right" vertical="center"/>
    </xf>
    <xf numFmtId="171" fontId="8" fillId="0" borderId="22" xfId="0" applyNumberFormat="1" applyFont="1" applyBorder="1" applyAlignment="1">
      <alignment horizontal="right" vertical="center"/>
    </xf>
    <xf numFmtId="172" fontId="8" fillId="0" borderId="21" xfId="0" applyNumberFormat="1" applyFont="1" applyBorder="1" applyAlignment="1">
      <alignment horizontal="right" vertical="center"/>
    </xf>
    <xf numFmtId="172" fontId="8" fillId="0" borderId="26" xfId="0" applyNumberFormat="1" applyFont="1" applyBorder="1" applyAlignment="1">
      <alignment horizontal="right" vertical="center"/>
    </xf>
    <xf numFmtId="172" fontId="8" fillId="0" borderId="23" xfId="0" applyNumberFormat="1" applyFont="1" applyBorder="1" applyAlignment="1">
      <alignment horizontal="right" vertical="center"/>
    </xf>
    <xf numFmtId="172" fontId="8" fillId="0" borderId="24" xfId="0" applyNumberFormat="1" applyFont="1" applyBorder="1" applyAlignment="1">
      <alignment horizontal="right" vertical="center"/>
    </xf>
    <xf numFmtId="172" fontId="8" fillId="0" borderId="22" xfId="0" applyNumberFormat="1" applyFont="1" applyBorder="1" applyAlignment="1">
      <alignment horizontal="right" vertical="center"/>
    </xf>
    <xf numFmtId="172" fontId="8" fillId="0" borderId="25" xfId="0" applyNumberFormat="1" applyFont="1" applyBorder="1" applyAlignment="1">
      <alignment horizontal="right" vertical="center"/>
    </xf>
    <xf numFmtId="172" fontId="8" fillId="0" borderId="0" xfId="0" applyNumberFormat="1" applyFont="1" applyAlignment="1">
      <alignment horizontal="right" vertical="center"/>
    </xf>
    <xf numFmtId="0" fontId="4" fillId="0" borderId="0" xfId="0" applyFont="1" applyAlignment="1">
      <alignment vertical="center"/>
    </xf>
    <xf numFmtId="0" fontId="24" fillId="0" borderId="0" xfId="0" applyFont="1" applyAlignment="1">
      <alignment wrapText="1"/>
    </xf>
    <xf numFmtId="171" fontId="8" fillId="0" borderId="0" xfId="0" applyNumberFormat="1" applyFont="1" applyAlignment="1">
      <alignment horizontal="right" vertical="center"/>
    </xf>
    <xf numFmtId="0" fontId="10" fillId="0" borderId="0" xfId="0" applyFont="1" applyAlignment="1">
      <alignment vertical="center"/>
    </xf>
    <xf numFmtId="0" fontId="20" fillId="0" borderId="0" xfId="0" applyFont="1" applyAlignment="1">
      <alignment horizontal="right"/>
    </xf>
    <xf numFmtId="0" fontId="7" fillId="5" borderId="15" xfId="0" applyFont="1" applyFill="1" applyBorder="1" applyAlignment="1">
      <alignment vertical="center" wrapText="1"/>
    </xf>
    <xf numFmtId="0" fontId="7" fillId="5" borderId="15" xfId="0" applyFont="1" applyFill="1" applyBorder="1" applyAlignment="1">
      <alignment wrapText="1"/>
    </xf>
    <xf numFmtId="4" fontId="4" fillId="0" borderId="0" xfId="0" applyNumberFormat="1" applyFont="1"/>
    <xf numFmtId="0" fontId="4" fillId="0" borderId="2" xfId="0" applyFont="1" applyBorder="1"/>
    <xf numFmtId="0" fontId="7" fillId="5" borderId="15" xfId="0" applyFont="1" applyFill="1" applyBorder="1" applyAlignment="1">
      <alignment horizontal="centerContinuous" wrapText="1"/>
    </xf>
    <xf numFmtId="0" fontId="7" fillId="5" borderId="14" xfId="0" applyFont="1" applyFill="1" applyBorder="1" applyAlignment="1">
      <alignment horizontal="centerContinuous" wrapText="1"/>
    </xf>
    <xf numFmtId="0" fontId="7" fillId="5" borderId="16" xfId="0" applyFont="1" applyFill="1" applyBorder="1" applyAlignment="1">
      <alignment wrapText="1"/>
    </xf>
    <xf numFmtId="0" fontId="7" fillId="5" borderId="6" xfId="0" applyFont="1" applyFill="1" applyBorder="1" applyAlignment="1">
      <alignment vertical="center" wrapText="1"/>
    </xf>
    <xf numFmtId="0" fontId="7" fillId="5" borderId="34" xfId="0" applyFont="1" applyFill="1" applyBorder="1" applyAlignment="1">
      <alignment vertical="center" wrapText="1"/>
    </xf>
    <xf numFmtId="0" fontId="7" fillId="5" borderId="10" xfId="0" applyFont="1" applyFill="1" applyBorder="1" applyAlignment="1">
      <alignment vertical="center" wrapText="1"/>
    </xf>
    <xf numFmtId="0" fontId="7" fillId="5" borderId="17" xfId="0" applyFont="1" applyFill="1" applyBorder="1" applyAlignment="1">
      <alignment vertical="center" wrapText="1"/>
    </xf>
    <xf numFmtId="0" fontId="4" fillId="0" borderId="4" xfId="0" applyFont="1" applyBorder="1" applyAlignment="1">
      <alignment horizontal="left"/>
    </xf>
    <xf numFmtId="0" fontId="8" fillId="0" borderId="0" xfId="0" applyFont="1" applyAlignment="1">
      <alignment horizontal="left" vertical="top" wrapText="1"/>
    </xf>
    <xf numFmtId="0" fontId="7" fillId="5" borderId="35" xfId="0" applyFont="1" applyFill="1" applyBorder="1"/>
    <xf numFmtId="0" fontId="7" fillId="5" borderId="36" xfId="0" applyFont="1" applyFill="1" applyBorder="1"/>
    <xf numFmtId="0" fontId="7" fillId="5" borderId="37" xfId="0" applyFont="1" applyFill="1" applyBorder="1"/>
    <xf numFmtId="0" fontId="8" fillId="0" borderId="38" xfId="5" applyBorder="1"/>
    <xf numFmtId="0" fontId="8" fillId="0" borderId="39" xfId="5" applyBorder="1"/>
    <xf numFmtId="0" fontId="8" fillId="0" borderId="39" xfId="5" applyBorder="1" applyAlignment="1">
      <alignment horizontal="left"/>
    </xf>
    <xf numFmtId="0" fontId="8" fillId="0" borderId="40" xfId="5" quotePrefix="1" applyBorder="1"/>
    <xf numFmtId="0" fontId="8" fillId="0" borderId="40" xfId="5" applyBorder="1"/>
    <xf numFmtId="0" fontId="8" fillId="0" borderId="41" xfId="5" applyBorder="1"/>
    <xf numFmtId="0" fontId="8" fillId="0" borderId="42" xfId="5" applyBorder="1"/>
    <xf numFmtId="0" fontId="8" fillId="0" borderId="42" xfId="5" applyBorder="1" applyAlignment="1">
      <alignment horizontal="left"/>
    </xf>
    <xf numFmtId="0" fontId="8" fillId="0" borderId="43" xfId="5" applyBorder="1"/>
    <xf numFmtId="0" fontId="9" fillId="0" borderId="0" xfId="0" applyFont="1" applyAlignment="1">
      <alignment vertical="center"/>
    </xf>
    <xf numFmtId="0" fontId="9" fillId="0" borderId="0" xfId="0" applyFont="1" applyAlignment="1">
      <alignment horizontal="left" vertical="center"/>
    </xf>
    <xf numFmtId="0" fontId="9" fillId="0" borderId="0" xfId="0" applyFont="1" applyAlignment="1">
      <alignment horizontal="left" vertical="center" indent="2"/>
    </xf>
    <xf numFmtId="0" fontId="4" fillId="0" borderId="0" xfId="2" applyFont="1" applyAlignment="1">
      <alignment horizontal="left" vertical="center"/>
    </xf>
    <xf numFmtId="0" fontId="4" fillId="6" borderId="0" xfId="2" applyFont="1" applyFill="1" applyAlignment="1">
      <alignment vertical="center"/>
    </xf>
    <xf numFmtId="0" fontId="16" fillId="0" borderId="0" xfId="0" applyFont="1" applyAlignment="1">
      <alignment horizontal="right" vertical="center"/>
    </xf>
    <xf numFmtId="0" fontId="16" fillId="4" borderId="0" xfId="0" applyFont="1" applyFill="1" applyAlignment="1">
      <alignment horizontal="left" vertical="top"/>
    </xf>
    <xf numFmtId="0" fontId="17" fillId="0" borderId="0" xfId="0" applyFont="1" applyAlignment="1">
      <alignment horizontal="left" indent="2"/>
    </xf>
    <xf numFmtId="0" fontId="4" fillId="0" borderId="10" xfId="0" applyFont="1" applyBorder="1" applyAlignment="1">
      <alignment horizontal="left" vertical="center"/>
    </xf>
    <xf numFmtId="0" fontId="4" fillId="0" borderId="4" xfId="0" applyFont="1" applyBorder="1" applyAlignment="1">
      <alignment horizontal="left" vertical="center"/>
    </xf>
    <xf numFmtId="0" fontId="4" fillId="0" borderId="20" xfId="0" applyFont="1" applyBorder="1" applyAlignment="1">
      <alignment vertical="center"/>
    </xf>
    <xf numFmtId="0" fontId="4" fillId="0" borderId="33" xfId="0" applyFont="1" applyBorder="1" applyAlignment="1">
      <alignment vertical="center"/>
    </xf>
    <xf numFmtId="164" fontId="4" fillId="0" borderId="2" xfId="1" applyNumberFormat="1" applyFont="1" applyFill="1" applyBorder="1" applyAlignment="1">
      <alignment horizontal="right" vertical="center"/>
    </xf>
    <xf numFmtId="164" fontId="4" fillId="0" borderId="1" xfId="1" applyNumberFormat="1" applyFont="1" applyFill="1" applyBorder="1" applyAlignment="1">
      <alignment horizontal="right" vertical="center"/>
    </xf>
    <xf numFmtId="0" fontId="4" fillId="0" borderId="0" xfId="0" applyFont="1" applyAlignment="1">
      <alignment horizontal="right"/>
    </xf>
    <xf numFmtId="0" fontId="8" fillId="0" borderId="0" xfId="0" applyFont="1" applyAlignment="1">
      <alignment vertical="top" wrapText="1"/>
    </xf>
    <xf numFmtId="2" fontId="4" fillId="0" borderId="0" xfId="0" applyNumberFormat="1" applyFont="1"/>
    <xf numFmtId="0" fontId="15" fillId="0" borderId="0" xfId="0" applyFont="1" applyAlignment="1">
      <alignment horizontal="center" vertical="center"/>
    </xf>
    <xf numFmtId="0" fontId="0" fillId="0" borderId="0" xfId="0" applyAlignment="1">
      <alignment horizontal="left"/>
    </xf>
    <xf numFmtId="38" fontId="8" fillId="0" borderId="2" xfId="0" applyNumberFormat="1" applyFont="1" applyBorder="1" applyAlignment="1">
      <alignment horizontal="right" vertical="center"/>
    </xf>
    <xf numFmtId="40" fontId="8" fillId="0" borderId="2" xfId="0" applyNumberFormat="1" applyFont="1" applyBorder="1" applyAlignment="1">
      <alignment horizontal="right" vertical="center"/>
    </xf>
    <xf numFmtId="164" fontId="8" fillId="0" borderId="2" xfId="1" applyNumberFormat="1" applyFont="1" applyFill="1" applyBorder="1" applyAlignment="1">
      <alignment horizontal="right" vertical="center"/>
    </xf>
    <xf numFmtId="174" fontId="8" fillId="0" borderId="21" xfId="0" applyNumberFormat="1" applyFont="1" applyBorder="1" applyAlignment="1">
      <alignment horizontal="right" vertical="center"/>
    </xf>
    <xf numFmtId="174" fontId="8" fillId="0" borderId="26" xfId="0" applyNumberFormat="1" applyFont="1" applyBorder="1" applyAlignment="1">
      <alignment horizontal="right" vertical="center"/>
    </xf>
    <xf numFmtId="174" fontId="8" fillId="0" borderId="24" xfId="0" applyNumberFormat="1" applyFont="1" applyBorder="1" applyAlignment="1">
      <alignment horizontal="right" vertical="center"/>
    </xf>
    <xf numFmtId="174" fontId="8" fillId="0" borderId="22" xfId="0" applyNumberFormat="1" applyFont="1" applyBorder="1" applyAlignment="1">
      <alignment horizontal="right" vertical="center"/>
    </xf>
    <xf numFmtId="175" fontId="8" fillId="0" borderId="24" xfId="0" applyNumberFormat="1" applyFont="1" applyBorder="1" applyAlignment="1">
      <alignment horizontal="right" vertical="center"/>
    </xf>
    <xf numFmtId="175" fontId="8" fillId="0" borderId="28" xfId="0" applyNumberFormat="1" applyFont="1" applyBorder="1" applyAlignment="1">
      <alignment horizontal="right" vertical="center"/>
    </xf>
    <xf numFmtId="175" fontId="8" fillId="0" borderId="26" xfId="0" applyNumberFormat="1" applyFont="1" applyBorder="1" applyAlignment="1">
      <alignment horizontal="right" vertical="center"/>
    </xf>
    <xf numFmtId="175" fontId="8" fillId="0" borderId="23" xfId="0" applyNumberFormat="1" applyFont="1" applyBorder="1" applyAlignment="1">
      <alignment horizontal="right" vertical="center"/>
    </xf>
    <xf numFmtId="175" fontId="8" fillId="0" borderId="22" xfId="0" applyNumberFormat="1" applyFont="1" applyBorder="1" applyAlignment="1">
      <alignment horizontal="right" vertical="center"/>
    </xf>
    <xf numFmtId="175" fontId="8" fillId="0" borderId="25" xfId="0" applyNumberFormat="1" applyFont="1" applyBorder="1" applyAlignment="1">
      <alignment horizontal="right" vertical="center"/>
    </xf>
    <xf numFmtId="0" fontId="7" fillId="5" borderId="33" xfId="0" applyFont="1" applyFill="1" applyBorder="1"/>
    <xf numFmtId="0" fontId="7" fillId="7" borderId="47" xfId="0" applyFont="1" applyFill="1" applyBorder="1" applyAlignment="1">
      <alignment horizontal="left"/>
    </xf>
    <xf numFmtId="0" fontId="7" fillId="7" borderId="44" xfId="0" applyFont="1" applyFill="1" applyBorder="1" applyAlignment="1">
      <alignment horizontal="right"/>
    </xf>
    <xf numFmtId="169" fontId="4" fillId="0" borderId="39" xfId="3" applyNumberFormat="1" applyFont="1" applyFill="1" applyBorder="1"/>
    <xf numFmtId="0" fontId="14" fillId="0" borderId="39" xfId="0" applyFont="1" applyBorder="1" applyAlignment="1">
      <alignment horizontal="center" vertical="center"/>
    </xf>
    <xf numFmtId="168" fontId="4" fillId="0" borderId="39" xfId="3" applyNumberFormat="1" applyFont="1" applyFill="1" applyBorder="1" applyAlignment="1">
      <alignment horizontal="right"/>
    </xf>
    <xf numFmtId="43" fontId="4" fillId="0" borderId="39" xfId="3" applyFont="1" applyFill="1" applyBorder="1"/>
    <xf numFmtId="0" fontId="4" fillId="0" borderId="48" xfId="0" applyFont="1" applyBorder="1"/>
    <xf numFmtId="0" fontId="4" fillId="0" borderId="38" xfId="0" applyFont="1" applyBorder="1"/>
    <xf numFmtId="169" fontId="4" fillId="0" borderId="40" xfId="3" applyNumberFormat="1" applyFont="1" applyFill="1" applyBorder="1"/>
    <xf numFmtId="0" fontId="17" fillId="0" borderId="38" xfId="0" applyFont="1" applyBorder="1" applyAlignment="1">
      <alignment horizontal="left" vertical="center"/>
    </xf>
    <xf numFmtId="0" fontId="14" fillId="0" borderId="40" xfId="0" applyFont="1" applyBorder="1" applyAlignment="1">
      <alignment horizontal="center" vertical="center"/>
    </xf>
    <xf numFmtId="168" fontId="4" fillId="0" borderId="40" xfId="3" applyNumberFormat="1" applyFont="1" applyFill="1" applyBorder="1" applyAlignment="1">
      <alignment horizontal="right"/>
    </xf>
    <xf numFmtId="43" fontId="4" fillId="0" borderId="40" xfId="3" applyFont="1" applyFill="1" applyBorder="1"/>
    <xf numFmtId="0" fontId="4" fillId="0" borderId="41" xfId="0" applyFont="1" applyBorder="1"/>
    <xf numFmtId="43" fontId="4" fillId="0" borderId="42" xfId="3" applyFont="1" applyFill="1" applyBorder="1"/>
    <xf numFmtId="43" fontId="4" fillId="0" borderId="43" xfId="3" applyFont="1" applyFill="1" applyBorder="1"/>
    <xf numFmtId="0" fontId="8" fillId="6" borderId="3" xfId="0" applyFont="1" applyFill="1" applyBorder="1"/>
    <xf numFmtId="0" fontId="4" fillId="0" borderId="51" xfId="0" applyFont="1" applyBorder="1"/>
    <xf numFmtId="0" fontId="4" fillId="0" borderId="52" xfId="0" applyFont="1" applyBorder="1"/>
    <xf numFmtId="0" fontId="4" fillId="0" borderId="53" xfId="0" applyFont="1" applyBorder="1"/>
    <xf numFmtId="0" fontId="15" fillId="0" borderId="54" xfId="0" applyFont="1" applyBorder="1"/>
    <xf numFmtId="0" fontId="15" fillId="0" borderId="55" xfId="0" applyFont="1" applyBorder="1"/>
    <xf numFmtId="0" fontId="7" fillId="7" borderId="56" xfId="0" applyFont="1" applyFill="1" applyBorder="1" applyAlignment="1">
      <alignment horizontal="left"/>
    </xf>
    <xf numFmtId="0" fontId="7" fillId="7" borderId="57" xfId="0" applyFont="1" applyFill="1" applyBorder="1" applyAlignment="1">
      <alignment horizontal="left"/>
    </xf>
    <xf numFmtId="0" fontId="4" fillId="0" borderId="58" xfId="0" applyFont="1" applyBorder="1"/>
    <xf numFmtId="0" fontId="4" fillId="0" borderId="57" xfId="0" applyFont="1" applyBorder="1"/>
    <xf numFmtId="49" fontId="4" fillId="0" borderId="59" xfId="0" applyNumberFormat="1" applyFont="1" applyBorder="1"/>
    <xf numFmtId="0" fontId="4" fillId="0" borderId="59" xfId="0" quotePrefix="1" applyFont="1" applyBorder="1"/>
    <xf numFmtId="0" fontId="4" fillId="0" borderId="59" xfId="0" applyFont="1" applyBorder="1"/>
    <xf numFmtId="0" fontId="4" fillId="0" borderId="60" xfId="0" applyFont="1" applyBorder="1"/>
    <xf numFmtId="0" fontId="4" fillId="0" borderId="61" xfId="0" applyFont="1" applyBorder="1"/>
    <xf numFmtId="0" fontId="8" fillId="0" borderId="52" xfId="2" applyFont="1" applyBorder="1" applyAlignment="1">
      <alignment horizontal="left"/>
    </xf>
    <xf numFmtId="0" fontId="4" fillId="0" borderId="0" xfId="0" applyFont="1" applyAlignment="1">
      <alignment horizontal="center"/>
    </xf>
    <xf numFmtId="0" fontId="15" fillId="0" borderId="0" xfId="0" applyFont="1" applyAlignment="1">
      <alignment horizontal="left" vertical="top"/>
    </xf>
    <xf numFmtId="0" fontId="7" fillId="5" borderId="29" xfId="0" applyFont="1" applyFill="1" applyBorder="1" applyAlignment="1">
      <alignment wrapText="1"/>
    </xf>
    <xf numFmtId="0" fontId="24" fillId="0" borderId="7" xfId="0" applyFont="1" applyBorder="1" applyAlignment="1">
      <alignment wrapText="1"/>
    </xf>
    <xf numFmtId="174" fontId="8" fillId="0" borderId="8" xfId="0" applyNumberFormat="1" applyFont="1" applyBorder="1" applyAlignment="1">
      <alignment horizontal="right" vertical="center"/>
    </xf>
    <xf numFmtId="174" fontId="8" fillId="0" borderId="4" xfId="0" applyNumberFormat="1" applyFont="1" applyBorder="1" applyAlignment="1">
      <alignment horizontal="right" vertical="center"/>
    </xf>
    <xf numFmtId="171" fontId="8" fillId="0" borderId="72" xfId="0" applyNumberFormat="1" applyFont="1" applyBorder="1" applyAlignment="1">
      <alignment horizontal="right" vertical="center"/>
    </xf>
    <xf numFmtId="169" fontId="7" fillId="5" borderId="39" xfId="0" applyNumberFormat="1" applyFont="1" applyFill="1" applyBorder="1" applyAlignment="1">
      <alignment horizontal="right" vertical="center"/>
    </xf>
    <xf numFmtId="169" fontId="7" fillId="5" borderId="0" xfId="0" applyNumberFormat="1" applyFont="1" applyFill="1" applyAlignment="1">
      <alignment horizontal="right" vertical="center"/>
    </xf>
    <xf numFmtId="169" fontId="7" fillId="5" borderId="22" xfId="0" applyNumberFormat="1" applyFont="1" applyFill="1" applyBorder="1" applyAlignment="1">
      <alignment horizontal="right" vertical="center"/>
    </xf>
    <xf numFmtId="169" fontId="7" fillId="5" borderId="73" xfId="0" applyNumberFormat="1" applyFont="1" applyFill="1" applyBorder="1" applyAlignment="1">
      <alignment horizontal="right" vertical="center"/>
    </xf>
    <xf numFmtId="0" fontId="7" fillId="5" borderId="29" xfId="0" applyFont="1" applyFill="1" applyBorder="1" applyAlignment="1">
      <alignment vertical="center" wrapText="1"/>
    </xf>
    <xf numFmtId="169" fontId="7" fillId="5" borderId="75" xfId="0" applyNumberFormat="1" applyFont="1" applyFill="1" applyBorder="1" applyAlignment="1">
      <alignment horizontal="right" vertical="center"/>
    </xf>
    <xf numFmtId="169" fontId="7" fillId="5" borderId="76" xfId="0" applyNumberFormat="1" applyFont="1" applyFill="1" applyBorder="1" applyAlignment="1">
      <alignment horizontal="right" vertical="center"/>
    </xf>
    <xf numFmtId="0" fontId="8" fillId="0" borderId="0" xfId="0" applyFont="1" applyAlignment="1">
      <alignment horizontal="left"/>
    </xf>
    <xf numFmtId="0" fontId="8" fillId="0" borderId="77" xfId="0" applyFont="1" applyBorder="1"/>
    <xf numFmtId="0" fontId="8" fillId="0" borderId="52" xfId="0" applyFont="1" applyBorder="1"/>
    <xf numFmtId="0" fontId="8" fillId="0" borderId="53" xfId="0" applyFont="1" applyBorder="1"/>
    <xf numFmtId="0" fontId="7" fillId="7" borderId="45" xfId="0" applyFont="1" applyFill="1" applyBorder="1"/>
    <xf numFmtId="170" fontId="25" fillId="2" borderId="33" xfId="0" applyNumberFormat="1" applyFont="1" applyFill="1" applyBorder="1" applyAlignment="1">
      <alignment horizontal="center" vertical="center" wrapText="1"/>
    </xf>
    <xf numFmtId="0" fontId="4" fillId="3" borderId="3" xfId="2" applyFont="1" applyFill="1" applyBorder="1" applyAlignment="1">
      <alignment horizontal="left" vertical="center"/>
    </xf>
    <xf numFmtId="14" fontId="10" fillId="2" borderId="3" xfId="0" applyNumberFormat="1" applyFont="1" applyFill="1" applyBorder="1" applyAlignment="1">
      <alignment horizontal="center" vertical="center"/>
    </xf>
    <xf numFmtId="0" fontId="10" fillId="2" borderId="3" xfId="0" applyFont="1" applyFill="1" applyBorder="1" applyAlignment="1">
      <alignment horizontal="center" vertical="center"/>
    </xf>
    <xf numFmtId="0" fontId="13" fillId="0" borderId="0" xfId="0" applyFont="1"/>
    <xf numFmtId="0" fontId="4" fillId="0" borderId="19" xfId="0" applyFont="1" applyBorder="1"/>
    <xf numFmtId="0" fontId="4" fillId="0" borderId="19" xfId="2" applyFont="1" applyBorder="1" applyAlignment="1">
      <alignment horizontal="center" vertical="center"/>
    </xf>
    <xf numFmtId="0" fontId="4" fillId="0" borderId="68" xfId="2" applyFont="1" applyBorder="1" applyAlignment="1">
      <alignment horizontal="center" vertical="center"/>
    </xf>
    <xf numFmtId="0" fontId="4" fillId="0" borderId="79" xfId="2" applyFont="1" applyBorder="1" applyAlignment="1">
      <alignment horizontal="center" vertical="center"/>
    </xf>
    <xf numFmtId="173" fontId="8" fillId="0" borderId="27" xfId="0" applyNumberFormat="1" applyFont="1" applyBorder="1" applyAlignment="1">
      <alignment horizontal="right" vertical="center"/>
    </xf>
    <xf numFmtId="173" fontId="8" fillId="0" borderId="28" xfId="0" applyNumberFormat="1" applyFont="1" applyBorder="1" applyAlignment="1">
      <alignment horizontal="right" vertical="center"/>
    </xf>
    <xf numFmtId="173" fontId="8" fillId="0" borderId="33" xfId="0" applyNumberFormat="1" applyFont="1" applyBorder="1" applyAlignment="1">
      <alignment horizontal="right" vertical="center"/>
    </xf>
    <xf numFmtId="173" fontId="8" fillId="0" borderId="20" xfId="0" applyNumberFormat="1" applyFont="1" applyBorder="1" applyAlignment="1">
      <alignment horizontal="right" vertical="center"/>
    </xf>
    <xf numFmtId="173" fontId="8" fillId="0" borderId="23" xfId="0" applyNumberFormat="1" applyFont="1" applyBorder="1" applyAlignment="1">
      <alignment horizontal="right" vertical="center"/>
    </xf>
    <xf numFmtId="173" fontId="8" fillId="0" borderId="25" xfId="0" applyNumberFormat="1" applyFont="1" applyBorder="1" applyAlignment="1">
      <alignment horizontal="right" vertical="center"/>
    </xf>
    <xf numFmtId="169" fontId="7" fillId="5" borderId="30" xfId="0" applyNumberFormat="1" applyFont="1" applyFill="1" applyBorder="1" applyAlignment="1">
      <alignment horizontal="left" vertical="center"/>
    </xf>
    <xf numFmtId="169" fontId="7" fillId="5" borderId="19" xfId="0" applyNumberFormat="1" applyFont="1" applyFill="1" applyBorder="1" applyAlignment="1">
      <alignment horizontal="left"/>
    </xf>
    <xf numFmtId="169" fontId="7" fillId="5" borderId="19" xfId="0" applyNumberFormat="1" applyFont="1" applyFill="1" applyBorder="1" applyAlignment="1">
      <alignment horizontal="right"/>
    </xf>
    <xf numFmtId="169" fontId="7" fillId="5" borderId="19" xfId="0" applyNumberFormat="1" applyFont="1" applyFill="1" applyBorder="1" applyAlignment="1">
      <alignment horizontal="right" vertical="center"/>
    </xf>
    <xf numFmtId="169" fontId="7" fillId="5" borderId="46" xfId="0" applyNumberFormat="1" applyFont="1" applyFill="1" applyBorder="1" applyAlignment="1">
      <alignment horizontal="right" vertical="center"/>
    </xf>
    <xf numFmtId="169" fontId="7" fillId="5" borderId="19" xfId="0" applyNumberFormat="1" applyFont="1" applyFill="1" applyBorder="1" applyAlignment="1">
      <alignment horizontal="left" vertical="center"/>
    </xf>
    <xf numFmtId="169" fontId="7" fillId="5" borderId="80" xfId="0" applyNumberFormat="1" applyFont="1" applyFill="1" applyBorder="1" applyAlignment="1">
      <alignment horizontal="right" vertical="center"/>
    </xf>
    <xf numFmtId="169" fontId="7" fillId="5" borderId="46" xfId="0" applyNumberFormat="1" applyFont="1" applyFill="1" applyBorder="1" applyAlignment="1">
      <alignment horizontal="right"/>
    </xf>
    <xf numFmtId="0" fontId="30" fillId="0" borderId="0" xfId="0" applyFont="1" applyAlignment="1">
      <alignment vertical="center"/>
    </xf>
    <xf numFmtId="169" fontId="7" fillId="5" borderId="81" xfId="0" applyNumberFormat="1" applyFont="1" applyFill="1" applyBorder="1" applyAlignment="1">
      <alignment horizontal="right" vertical="center"/>
    </xf>
    <xf numFmtId="38" fontId="8" fillId="0" borderId="4" xfId="0" applyNumberFormat="1" applyFont="1" applyBorder="1" applyAlignment="1">
      <alignment horizontal="right" vertical="center"/>
    </xf>
    <xf numFmtId="164" fontId="8" fillId="0" borderId="4" xfId="1" applyNumberFormat="1" applyFont="1" applyFill="1" applyBorder="1" applyAlignment="1">
      <alignment horizontal="right" vertical="center"/>
    </xf>
    <xf numFmtId="0" fontId="29" fillId="0" borderId="9" xfId="6" applyFont="1" applyBorder="1" applyAlignment="1">
      <alignment horizontal="left" vertical="center" indent="54"/>
    </xf>
    <xf numFmtId="0" fontId="17" fillId="0" borderId="0" xfId="0" applyFont="1" applyAlignment="1">
      <alignment vertical="center"/>
    </xf>
    <xf numFmtId="173" fontId="8" fillId="0" borderId="0" xfId="0" applyNumberFormat="1" applyFont="1" applyAlignment="1">
      <alignment horizontal="right" vertical="center"/>
    </xf>
    <xf numFmtId="174" fontId="8" fillId="0" borderId="0" xfId="0" applyNumberFormat="1" applyFont="1" applyAlignment="1">
      <alignment horizontal="right" vertical="center"/>
    </xf>
    <xf numFmtId="175" fontId="8" fillId="0" borderId="0" xfId="0" applyNumberFormat="1" applyFont="1" applyAlignment="1">
      <alignment horizontal="right" vertical="center"/>
    </xf>
    <xf numFmtId="0" fontId="4" fillId="0" borderId="0" xfId="0" applyFont="1" applyAlignment="1">
      <alignment horizontal="left" vertical="center"/>
    </xf>
    <xf numFmtId="169" fontId="7" fillId="0" borderId="0" xfId="0" applyNumberFormat="1" applyFont="1" applyAlignment="1">
      <alignment horizontal="right" vertical="center"/>
    </xf>
    <xf numFmtId="0" fontId="7" fillId="0" borderId="0" xfId="0" applyFont="1" applyAlignment="1">
      <alignment vertical="center" wrapText="1"/>
    </xf>
    <xf numFmtId="0" fontId="7" fillId="0" borderId="0" xfId="0" applyFont="1" applyAlignment="1">
      <alignment wrapText="1"/>
    </xf>
    <xf numFmtId="173" fontId="8" fillId="0" borderId="3" xfId="0" applyNumberFormat="1" applyFont="1" applyBorder="1" applyAlignment="1">
      <alignment horizontal="right" vertical="center"/>
    </xf>
    <xf numFmtId="173" fontId="8" fillId="0" borderId="78" xfId="0" applyNumberFormat="1" applyFont="1" applyBorder="1" applyAlignment="1">
      <alignment horizontal="right" vertical="center"/>
    </xf>
    <xf numFmtId="173" fontId="8" fillId="0" borderId="82" xfId="0" applyNumberFormat="1" applyFont="1" applyBorder="1" applyAlignment="1">
      <alignment horizontal="right" vertical="center"/>
    </xf>
    <xf numFmtId="174" fontId="8" fillId="0" borderId="46" xfId="0" applyNumberFormat="1" applyFont="1" applyBorder="1" applyAlignment="1">
      <alignment horizontal="right" vertical="center"/>
    </xf>
    <xf numFmtId="175" fontId="8" fillId="0" borderId="68" xfId="0" applyNumberFormat="1" applyFont="1" applyBorder="1" applyAlignment="1">
      <alignment horizontal="right" vertical="center"/>
    </xf>
    <xf numFmtId="171" fontId="8" fillId="0" borderId="83" xfId="0" applyNumberFormat="1" applyFont="1" applyBorder="1" applyAlignment="1">
      <alignment horizontal="right" vertical="center"/>
    </xf>
    <xf numFmtId="171" fontId="8" fillId="0" borderId="68" xfId="0" applyNumberFormat="1" applyFont="1" applyBorder="1" applyAlignment="1">
      <alignment horizontal="right" vertical="center"/>
    </xf>
    <xf numFmtId="171" fontId="8" fillId="0" borderId="84" xfId="0" applyNumberFormat="1" applyFont="1" applyBorder="1" applyAlignment="1">
      <alignment horizontal="right" vertical="center"/>
    </xf>
    <xf numFmtId="0" fontId="7" fillId="5" borderId="16" xfId="0" applyFont="1" applyFill="1" applyBorder="1" applyAlignment="1">
      <alignment horizontal="left" vertical="center" wrapText="1"/>
    </xf>
    <xf numFmtId="0" fontId="4" fillId="0" borderId="30" xfId="0" applyFont="1" applyBorder="1" applyAlignment="1">
      <alignment horizontal="left" vertical="center"/>
    </xf>
    <xf numFmtId="0" fontId="4" fillId="0" borderId="3" xfId="0" applyFont="1" applyBorder="1" applyAlignment="1">
      <alignment vertical="center"/>
    </xf>
    <xf numFmtId="174" fontId="8" fillId="0" borderId="83" xfId="0" applyNumberFormat="1" applyFont="1" applyBorder="1" applyAlignment="1">
      <alignment horizontal="right" vertical="center"/>
    </xf>
    <xf numFmtId="174" fontId="8" fillId="0" borderId="68" xfId="0" applyNumberFormat="1" applyFont="1" applyBorder="1" applyAlignment="1">
      <alignment horizontal="right" vertical="center"/>
    </xf>
    <xf numFmtId="175" fontId="8" fillId="0" borderId="83" xfId="0" applyNumberFormat="1" applyFont="1" applyBorder="1" applyAlignment="1">
      <alignment horizontal="right" vertical="center"/>
    </xf>
    <xf numFmtId="175" fontId="8" fillId="0" borderId="78" xfId="0" applyNumberFormat="1" applyFont="1" applyBorder="1" applyAlignment="1">
      <alignment horizontal="right" vertical="center"/>
    </xf>
    <xf numFmtId="175" fontId="8" fillId="0" borderId="82" xfId="0" applyNumberFormat="1" applyFont="1" applyBorder="1" applyAlignment="1">
      <alignment horizontal="right" vertical="center"/>
    </xf>
    <xf numFmtId="0" fontId="4" fillId="0" borderId="19" xfId="0" applyFont="1" applyBorder="1" applyAlignment="1">
      <alignment horizontal="left" vertical="center"/>
    </xf>
    <xf numFmtId="172" fontId="8" fillId="0" borderId="83" xfId="0" applyNumberFormat="1" applyFont="1" applyBorder="1" applyAlignment="1">
      <alignment horizontal="right" vertical="center"/>
    </xf>
    <xf numFmtId="172" fontId="8" fillId="0" borderId="68" xfId="0" applyNumberFormat="1" applyFont="1" applyBorder="1" applyAlignment="1">
      <alignment horizontal="right" vertical="center"/>
    </xf>
    <xf numFmtId="172" fontId="8" fillId="0" borderId="82" xfId="0" applyNumberFormat="1" applyFont="1" applyBorder="1" applyAlignment="1">
      <alignment horizontal="right" vertical="center"/>
    </xf>
    <xf numFmtId="0" fontId="18" fillId="0" borderId="0" xfId="0" applyFont="1" applyAlignment="1">
      <alignment horizontal="left" vertical="center"/>
    </xf>
    <xf numFmtId="0" fontId="16" fillId="0" borderId="0" xfId="0" applyFont="1"/>
    <xf numFmtId="0" fontId="4" fillId="0" borderId="0" xfId="2" applyFont="1" applyAlignment="1">
      <alignment horizontal="center" vertical="center"/>
    </xf>
    <xf numFmtId="0" fontId="16" fillId="0" borderId="7" xfId="2" applyFont="1" applyBorder="1" applyAlignment="1">
      <alignment vertical="center"/>
    </xf>
    <xf numFmtId="0" fontId="10" fillId="2" borderId="3" xfId="0" applyFont="1" applyFill="1" applyBorder="1" applyAlignment="1">
      <alignment horizontal="left"/>
    </xf>
    <xf numFmtId="0" fontId="10" fillId="2" borderId="3" xfId="0" applyFont="1" applyFill="1" applyBorder="1" applyAlignment="1">
      <alignment horizontal="left" vertical="center"/>
    </xf>
    <xf numFmtId="169" fontId="4" fillId="0" borderId="49" xfId="3" applyNumberFormat="1" applyFont="1" applyFill="1" applyBorder="1"/>
    <xf numFmtId="169" fontId="4" fillId="0" borderId="50" xfId="3" applyNumberFormat="1" applyFont="1" applyFill="1" applyBorder="1"/>
    <xf numFmtId="0" fontId="4" fillId="0" borderId="3" xfId="0" applyFont="1" applyBorder="1"/>
    <xf numFmtId="170" fontId="4" fillId="0" borderId="0" xfId="2" applyNumberFormat="1" applyFont="1" applyAlignment="1">
      <alignment horizontal="left" vertical="center"/>
    </xf>
    <xf numFmtId="0" fontId="7" fillId="5" borderId="0" xfId="0" applyFont="1" applyFill="1" applyAlignment="1">
      <alignment vertical="center" wrapText="1"/>
    </xf>
    <xf numFmtId="0" fontId="7" fillId="5" borderId="17" xfId="0" applyFont="1" applyFill="1" applyBorder="1" applyAlignment="1">
      <alignment horizontal="center" vertical="center" wrapText="1"/>
    </xf>
    <xf numFmtId="0" fontId="31" fillId="0" borderId="0" xfId="0" applyFont="1"/>
    <xf numFmtId="0" fontId="4" fillId="0" borderId="4" xfId="0" applyFont="1" applyBorder="1"/>
    <xf numFmtId="0" fontId="4" fillId="0" borderId="85" xfId="0" applyFont="1" applyBorder="1"/>
    <xf numFmtId="0" fontId="31" fillId="0" borderId="7" xfId="0" applyFont="1" applyBorder="1"/>
    <xf numFmtId="0" fontId="9" fillId="0" borderId="7" xfId="0" applyFont="1" applyBorder="1" applyAlignment="1">
      <alignment vertical="center"/>
    </xf>
    <xf numFmtId="0" fontId="9" fillId="0" borderId="7" xfId="0" applyFont="1" applyBorder="1" applyAlignment="1">
      <alignment horizontal="left" vertical="center"/>
    </xf>
    <xf numFmtId="0" fontId="9" fillId="0" borderId="7" xfId="0" applyFont="1" applyBorder="1" applyAlignment="1">
      <alignment horizontal="left" vertical="center" indent="2"/>
    </xf>
    <xf numFmtId="38" fontId="8" fillId="0" borderId="86" xfId="0" applyNumberFormat="1" applyFont="1" applyBorder="1" applyAlignment="1">
      <alignment horizontal="right" vertical="center"/>
    </xf>
    <xf numFmtId="164" fontId="4" fillId="0" borderId="87" xfId="1" applyNumberFormat="1" applyFont="1" applyFill="1" applyBorder="1" applyAlignment="1">
      <alignment horizontal="right" vertical="center"/>
    </xf>
    <xf numFmtId="38" fontId="8" fillId="0" borderId="87" xfId="0" applyNumberFormat="1" applyFont="1" applyBorder="1" applyAlignment="1">
      <alignment horizontal="right" vertical="center"/>
    </xf>
    <xf numFmtId="40" fontId="8" fillId="0" borderId="87" xfId="0" applyNumberFormat="1" applyFont="1" applyBorder="1" applyAlignment="1">
      <alignment horizontal="right" vertical="center"/>
    </xf>
    <xf numFmtId="0" fontId="4" fillId="0" borderId="9" xfId="2" applyFont="1" applyBorder="1" applyAlignment="1">
      <alignment vertical="center"/>
    </xf>
    <xf numFmtId="40" fontId="8" fillId="0" borderId="88" xfId="0" applyNumberFormat="1" applyFont="1" applyBorder="1"/>
    <xf numFmtId="40" fontId="8" fillId="0" borderId="88" xfId="0" applyNumberFormat="1" applyFont="1" applyBorder="1" applyAlignment="1">
      <alignment horizontal="right" vertical="center"/>
    </xf>
    <xf numFmtId="40" fontId="8" fillId="0" borderId="89" xfId="0" applyNumberFormat="1" applyFont="1" applyBorder="1" applyAlignment="1">
      <alignment horizontal="right" vertical="center"/>
    </xf>
    <xf numFmtId="38" fontId="8" fillId="0" borderId="88" xfId="0" applyNumberFormat="1" applyFont="1" applyBorder="1"/>
    <xf numFmtId="38" fontId="8" fillId="0" borderId="88" xfId="0" applyNumberFormat="1" applyFont="1" applyBorder="1" applyAlignment="1">
      <alignment horizontal="right" vertical="center"/>
    </xf>
    <xf numFmtId="38" fontId="8" fillId="0" borderId="85" xfId="0" applyNumberFormat="1" applyFont="1" applyBorder="1" applyAlignment="1">
      <alignment horizontal="right" vertical="center"/>
    </xf>
    <xf numFmtId="0" fontId="4" fillId="0" borderId="9" xfId="2" applyFont="1" applyBorder="1" applyAlignment="1">
      <alignment horizontal="left" vertical="center"/>
    </xf>
    <xf numFmtId="170" fontId="4" fillId="0" borderId="9" xfId="2" applyNumberFormat="1" applyFont="1" applyBorder="1" applyAlignment="1">
      <alignment horizontal="left" vertical="center"/>
    </xf>
    <xf numFmtId="0" fontId="4" fillId="0" borderId="88" xfId="0" applyFont="1" applyBorder="1"/>
    <xf numFmtId="0" fontId="4" fillId="0" borderId="9" xfId="0" applyFont="1" applyBorder="1" applyAlignment="1">
      <alignment vertical="center"/>
    </xf>
    <xf numFmtId="164" fontId="8" fillId="0" borderId="88" xfId="1" applyNumberFormat="1" applyFont="1" applyFill="1" applyBorder="1"/>
    <xf numFmtId="164" fontId="8" fillId="0" borderId="88" xfId="1" applyNumberFormat="1" applyFont="1" applyFill="1" applyBorder="1" applyAlignment="1">
      <alignment horizontal="right" vertical="center"/>
    </xf>
    <xf numFmtId="164" fontId="8" fillId="0" borderId="85" xfId="1" applyNumberFormat="1" applyFont="1" applyFill="1" applyBorder="1" applyAlignment="1">
      <alignment horizontal="right" vertical="center"/>
    </xf>
    <xf numFmtId="0" fontId="16" fillId="0" borderId="0" xfId="2" applyFont="1" applyAlignment="1">
      <alignment vertical="center"/>
    </xf>
    <xf numFmtId="0" fontId="4" fillId="0" borderId="49" xfId="0" applyFont="1" applyBorder="1" applyAlignment="1">
      <alignment horizontal="left"/>
    </xf>
    <xf numFmtId="0" fontId="4" fillId="0" borderId="50" xfId="0" applyFont="1" applyBorder="1" applyAlignment="1">
      <alignment horizontal="left"/>
    </xf>
    <xf numFmtId="0" fontId="4" fillId="0" borderId="62" xfId="0" applyFont="1" applyBorder="1" applyAlignment="1">
      <alignment horizontal="left"/>
    </xf>
    <xf numFmtId="0" fontId="4" fillId="0" borderId="63" xfId="0" applyFont="1" applyBorder="1" applyAlignment="1">
      <alignment horizontal="left"/>
    </xf>
    <xf numFmtId="0" fontId="4" fillId="0" borderId="64" xfId="0" applyFont="1" applyBorder="1" applyAlignment="1">
      <alignment horizontal="left"/>
    </xf>
    <xf numFmtId="170" fontId="4" fillId="0" borderId="78" xfId="2" applyNumberFormat="1" applyFont="1" applyBorder="1" applyAlignment="1">
      <alignment horizontal="center" vertical="center"/>
    </xf>
    <xf numFmtId="0" fontId="16" fillId="0" borderId="3" xfId="0" applyFont="1" applyBorder="1"/>
    <xf numFmtId="0" fontId="20" fillId="0" borderId="0" xfId="0" applyFont="1" applyAlignment="1">
      <alignment horizontal="center" vertical="center"/>
    </xf>
    <xf numFmtId="0" fontId="17" fillId="0" borderId="0" xfId="0" applyFont="1" applyAlignment="1">
      <alignment horizontal="left" vertical="center"/>
    </xf>
    <xf numFmtId="0" fontId="10" fillId="2" borderId="30" xfId="0" applyFont="1" applyFill="1" applyBorder="1" applyAlignment="1">
      <alignment horizontal="center" vertical="center"/>
    </xf>
    <xf numFmtId="0" fontId="10" fillId="2" borderId="19" xfId="0" applyFont="1" applyFill="1" applyBorder="1" applyAlignment="1">
      <alignment horizontal="center" vertical="center"/>
    </xf>
    <xf numFmtId="0" fontId="10" fillId="2" borderId="46" xfId="0" applyFont="1" applyFill="1" applyBorder="1" applyAlignment="1">
      <alignment horizontal="center" vertical="center"/>
    </xf>
    <xf numFmtId="0" fontId="0" fillId="0" borderId="0" xfId="0" applyAlignment="1">
      <alignment horizontal="left" vertical="center" wrapText="1"/>
    </xf>
    <xf numFmtId="0" fontId="4" fillId="0" borderId="0" xfId="0" applyFont="1" applyAlignment="1">
      <alignment horizontal="left" vertical="top" wrapText="1"/>
    </xf>
    <xf numFmtId="0" fontId="8" fillId="0" borderId="0" xfId="0" applyFont="1" applyAlignment="1">
      <alignment horizontal="left" vertical="top" wrapText="1"/>
    </xf>
    <xf numFmtId="0" fontId="18" fillId="0" borderId="10" xfId="0" applyFont="1" applyBorder="1" applyAlignment="1">
      <alignment horizontal="left" vertical="center"/>
    </xf>
    <xf numFmtId="0" fontId="18" fillId="0" borderId="4" xfId="0" applyFont="1" applyBorder="1" applyAlignment="1">
      <alignment horizontal="left" vertical="center"/>
    </xf>
    <xf numFmtId="0" fontId="7" fillId="5" borderId="18" xfId="0" applyFont="1" applyFill="1" applyBorder="1" applyAlignment="1">
      <alignment horizontal="right" vertical="center" wrapText="1"/>
    </xf>
    <xf numFmtId="0" fontId="7" fillId="5" borderId="29" xfId="0" applyFont="1" applyFill="1" applyBorder="1" applyAlignment="1">
      <alignment horizontal="right" vertical="center" wrapText="1"/>
    </xf>
    <xf numFmtId="0" fontId="7" fillId="5" borderId="11" xfId="0" applyFont="1" applyFill="1" applyBorder="1" applyAlignment="1">
      <alignment horizontal="right" vertical="center" wrapText="1"/>
    </xf>
    <xf numFmtId="0" fontId="24" fillId="5" borderId="29" xfId="0" applyFont="1" applyFill="1" applyBorder="1" applyAlignment="1">
      <alignment horizontal="center" wrapText="1"/>
    </xf>
    <xf numFmtId="0" fontId="24" fillId="5" borderId="0" xfId="0" applyFont="1" applyFill="1" applyAlignment="1">
      <alignment horizontal="center" wrapText="1"/>
    </xf>
    <xf numFmtId="0" fontId="18" fillId="0" borderId="30" xfId="0" applyFont="1" applyBorder="1" applyAlignment="1">
      <alignment horizontal="left" vertical="center"/>
    </xf>
    <xf numFmtId="0" fontId="18" fillId="0" borderId="46" xfId="0" applyFont="1" applyBorder="1" applyAlignment="1">
      <alignment horizontal="left" vertical="center"/>
    </xf>
    <xf numFmtId="170" fontId="25" fillId="2" borderId="30" xfId="0" applyNumberFormat="1" applyFont="1" applyFill="1" applyBorder="1" applyAlignment="1">
      <alignment horizontal="center" vertical="center" wrapText="1"/>
    </xf>
    <xf numFmtId="170" fontId="25" fillId="2" borderId="19" xfId="0" applyNumberFormat="1" applyFont="1" applyFill="1" applyBorder="1" applyAlignment="1">
      <alignment horizontal="center" vertical="center" wrapText="1"/>
    </xf>
    <xf numFmtId="170" fontId="25" fillId="2" borderId="46" xfId="0" applyNumberFormat="1" applyFont="1" applyFill="1" applyBorder="1" applyAlignment="1">
      <alignment horizontal="center" vertical="center" wrapText="1"/>
    </xf>
    <xf numFmtId="0" fontId="24" fillId="5" borderId="13" xfId="0" applyFont="1" applyFill="1" applyBorder="1" applyAlignment="1">
      <alignment horizontal="center" wrapText="1"/>
    </xf>
    <xf numFmtId="0" fontId="24" fillId="5" borderId="74" xfId="0" applyFont="1" applyFill="1" applyBorder="1" applyAlignment="1">
      <alignment horizontal="center" wrapText="1"/>
    </xf>
    <xf numFmtId="0" fontId="7" fillId="5" borderId="31" xfId="0" applyFont="1" applyFill="1" applyBorder="1" applyAlignment="1">
      <alignment horizontal="center" vertical="center" wrapText="1"/>
    </xf>
    <xf numFmtId="0" fontId="7" fillId="5" borderId="32" xfId="0" applyFont="1" applyFill="1" applyBorder="1" applyAlignment="1">
      <alignment horizontal="center" vertical="center" wrapText="1"/>
    </xf>
    <xf numFmtId="170" fontId="25" fillId="2" borderId="6" xfId="0" applyNumberFormat="1" applyFont="1" applyFill="1" applyBorder="1" applyAlignment="1">
      <alignment horizontal="center" vertical="center" wrapText="1"/>
    </xf>
    <xf numFmtId="170" fontId="25" fillId="2" borderId="7" xfId="0" applyNumberFormat="1" applyFont="1" applyFill="1" applyBorder="1" applyAlignment="1">
      <alignment horizontal="center" vertical="center" wrapText="1"/>
    </xf>
    <xf numFmtId="170" fontId="25" fillId="2" borderId="8" xfId="0" applyNumberFormat="1" applyFont="1" applyFill="1" applyBorder="1" applyAlignment="1">
      <alignment horizontal="center" vertical="center" wrapText="1"/>
    </xf>
    <xf numFmtId="0" fontId="7" fillId="5" borderId="17" xfId="0" applyFont="1" applyFill="1" applyBorder="1" applyAlignment="1">
      <alignment horizontal="right" vertical="center" wrapText="1"/>
    </xf>
    <xf numFmtId="0" fontId="24" fillId="5" borderId="69" xfId="0" applyFont="1" applyFill="1" applyBorder="1" applyAlignment="1">
      <alignment horizontal="center" wrapText="1"/>
    </xf>
    <xf numFmtId="0" fontId="24" fillId="5" borderId="70" xfId="0" applyFont="1" applyFill="1" applyBorder="1" applyAlignment="1">
      <alignment horizontal="center" wrapText="1"/>
    </xf>
    <xf numFmtId="0" fontId="24" fillId="5" borderId="71" xfId="0" applyFont="1" applyFill="1" applyBorder="1" applyAlignment="1">
      <alignment horizontal="center" wrapText="1"/>
    </xf>
    <xf numFmtId="0" fontId="24" fillId="5" borderId="65" xfId="0" applyFont="1" applyFill="1" applyBorder="1" applyAlignment="1">
      <alignment horizontal="center" wrapText="1"/>
    </xf>
    <xf numFmtId="0" fontId="24" fillId="5" borderId="66" xfId="0" applyFont="1" applyFill="1" applyBorder="1" applyAlignment="1">
      <alignment horizontal="center" wrapText="1"/>
    </xf>
    <xf numFmtId="0" fontId="24" fillId="5" borderId="67" xfId="0" applyFont="1" applyFill="1" applyBorder="1" applyAlignment="1">
      <alignment horizontal="center" wrapText="1"/>
    </xf>
  </cellXfs>
  <cellStyles count="7">
    <cellStyle name="Comma" xfId="3" builtinId="3"/>
    <cellStyle name="Hyperlink" xfId="4" builtinId="8"/>
    <cellStyle name="Normal" xfId="0" builtinId="0" customBuiltin="1"/>
    <cellStyle name="Normal 2" xfId="2" xr:uid="{00000000-0005-0000-0000-000006000000}"/>
    <cellStyle name="Normal 3" xfId="6" xr:uid="{1B98A66D-282C-4E11-AAAA-22CA39843D94}"/>
    <cellStyle name="Normal 4" xfId="5" xr:uid="{FA6D26C4-3E23-425C-9E1C-D1D5ECC260BC}"/>
    <cellStyle name="Percent" xfId="1" builtinId="5"/>
  </cellStyles>
  <dxfs count="15">
    <dxf>
      <numFmt numFmtId="176" formatCode="[&gt;0]0.00&quot;%&quot;;[&lt;0]\(0.00&quot;%&quot;\);\-;\-"/>
    </dxf>
    <dxf>
      <numFmt numFmtId="176" formatCode="[&gt;0]0.00&quot;%&quot;;[&lt;0]\(0.00&quot;%&quot;\);\-;\-"/>
    </dxf>
    <dxf>
      <numFmt numFmtId="176" formatCode="[&gt;0]0.00&quot;%&quot;;[&lt;0]\(0.00&quot;%&quot;\);\-;\-"/>
    </dxf>
    <dxf>
      <numFmt numFmtId="176" formatCode="[&gt;0]0.00&quot;%&quot;;[&lt;0]\(0.00&quot;%&quot;\);\-;\-"/>
    </dxf>
    <dxf>
      <numFmt numFmtId="176" formatCode="[&gt;0]0.00&quot;%&quot;;[&lt;0]\(0.00&quot;%&quot;\);\-;\-"/>
    </dxf>
    <dxf>
      <numFmt numFmtId="176" formatCode="[&gt;0]0.00&quot;%&quot;;[&lt;0]\(0.00&quot;%&quot;\);\-;\-"/>
    </dxf>
    <dxf>
      <numFmt numFmtId="176" formatCode="[&gt;0]0.00&quot;%&quot;;[&lt;0]\(0.00&quot;%&quot;\);\-;\-"/>
    </dxf>
    <dxf>
      <numFmt numFmtId="176" formatCode="[&gt;0]0.00&quot;%&quot;;[&lt;0]\(0.00&quot;%&quot;\);\-;\-"/>
    </dxf>
    <dxf>
      <numFmt numFmtId="176" formatCode="[&gt;0]0.00&quot;%&quot;;[&lt;0]\(0.00&quot;%&quot;\);\-;\-"/>
    </dxf>
    <dxf>
      <numFmt numFmtId="176" formatCode="[&gt;0]0.00&quot;%&quot;;[&lt;0]\(0.00&quot;%&quot;\);\-;\-"/>
    </dxf>
    <dxf>
      <numFmt numFmtId="176" formatCode="[&gt;0]0.00&quot;%&quot;;[&lt;0]\(0.00&quot;%&quot;\);\-;\-"/>
    </dxf>
    <dxf>
      <numFmt numFmtId="176" formatCode="[&gt;0]0.00&quot;%&quot;;[&lt;0]\(0.00&quot;%&quot;\);\-;\-"/>
    </dxf>
    <dxf>
      <font>
        <color rgb="FF0000CC"/>
      </font>
      <fill>
        <patternFill>
          <bgColor rgb="FFFFFFCC"/>
        </patternFill>
      </fill>
      <border>
        <left style="thin">
          <color rgb="FF525252"/>
        </left>
        <right style="thin">
          <color rgb="FF525252"/>
        </right>
        <top style="thin">
          <color rgb="FF525252"/>
        </top>
        <bottom style="thin">
          <color rgb="FF525252"/>
        </bottom>
      </border>
    </dxf>
    <dxf>
      <font>
        <color theme="0"/>
      </font>
      <fill>
        <patternFill patternType="none">
          <bgColor auto="1"/>
        </patternFill>
      </fill>
    </dxf>
    <dxf>
      <font>
        <color theme="0"/>
      </font>
    </dxf>
  </dxfs>
  <tableStyles count="0" defaultTableStyle="TableStyleMedium2" defaultPivotStyle="PivotStyleLight16"/>
  <colors>
    <mruColors>
      <color rgb="FF72ADCD"/>
      <color rgb="FFFFAC17"/>
      <color rgb="FF525252"/>
      <color rgb="FF005E92"/>
      <color rgb="FFD17925"/>
      <color rgb="FFFFFFCC"/>
      <color rgb="FF0000CC"/>
      <color rgb="FFF36C35"/>
      <color rgb="FFC0C0C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12531468385712"/>
          <c:y val="6.5069506063294882E-2"/>
          <c:w val="0.82912625849117194"/>
          <c:h val="0.8411023156266958"/>
        </c:manualLayout>
      </c:layout>
      <c:barChart>
        <c:barDir val="col"/>
        <c:grouping val="clustered"/>
        <c:varyColors val="0"/>
        <c:ser>
          <c:idx val="0"/>
          <c:order val="0"/>
          <c:tx>
            <c:strRef>
              <c:f>TearSheet!$AB$3</c:f>
              <c:strCache>
                <c:ptCount val="1"/>
                <c:pt idx="0">
                  <c:v>Total revenue</c:v>
                </c:pt>
              </c:strCache>
            </c:strRef>
          </c:tx>
          <c:spPr>
            <a:solidFill>
              <a:srgbClr val="72ADCD">
                <a:alpha val="99000"/>
              </a:srgbClr>
            </a:solidFill>
            <a:ln>
              <a:noFill/>
            </a:ln>
            <a:effectLst/>
          </c:spPr>
          <c:invertIfNegative val="0"/>
          <c:cat>
            <c:strRef>
              <c:f>TearSheet!$AC$2:$AI$2</c:f>
              <c:strCache>
                <c:ptCount val="7"/>
                <c:pt idx="0">
                  <c:v>FY2023 (A)</c:v>
                </c:pt>
                <c:pt idx="1">
                  <c:v>FY2024 (A)</c:v>
                </c:pt>
                <c:pt idx="2">
                  <c:v>FY2025 (A)</c:v>
                </c:pt>
                <c:pt idx="3">
                  <c:v>FY2026 (A)</c:v>
                </c:pt>
                <c:pt idx="4">
                  <c:v>FY2027 (E)</c:v>
                </c:pt>
                <c:pt idx="5">
                  <c:v>FY2028 (E)</c:v>
                </c:pt>
                <c:pt idx="6">
                  <c:v>FY2029 (E)</c:v>
                </c:pt>
              </c:strCache>
            </c:strRef>
          </c:cat>
          <c:val>
            <c:numRef>
              <c:f>[0]!Data</c:f>
              <c:numCache>
                <c:formatCode>_(* #,##0.0_);_(* \(#,##0.0\);_(* "-"??_);_(@_)</c:formatCode>
                <c:ptCount val="7"/>
                <c:pt idx="0">
                  <c:v>211915</c:v>
                </c:pt>
                <c:pt idx="1">
                  <c:v>245122</c:v>
                </c:pt>
                <c:pt idx="2">
                  <c:v>281724</c:v>
                </c:pt>
                <c:pt idx="3">
                  <c:v>331839</c:v>
                </c:pt>
                <c:pt idx="4">
                  <c:v>391146.93971606396</c:v>
                </c:pt>
                <c:pt idx="5">
                  <c:v>467637.4691217253</c:v>
                </c:pt>
                <c:pt idx="6">
                  <c:v>568944.84627187508</c:v>
                </c:pt>
              </c:numCache>
            </c:numRef>
          </c:val>
          <c:extLst>
            <c:ext xmlns:c16="http://schemas.microsoft.com/office/drawing/2014/chart" uri="{C3380CC4-5D6E-409C-BE32-E72D297353CC}">
              <c16:uniqueId val="{00000000-3DE8-4029-B93C-B047959F559F}"/>
            </c:ext>
          </c:extLst>
        </c:ser>
        <c:dLbls>
          <c:showLegendKey val="0"/>
          <c:showVal val="0"/>
          <c:showCatName val="0"/>
          <c:showSerName val="0"/>
          <c:showPercent val="0"/>
          <c:showBubbleSize val="0"/>
        </c:dLbls>
        <c:gapWidth val="100"/>
        <c:axId val="1645829320"/>
        <c:axId val="1645829680"/>
      </c:barChart>
      <c:catAx>
        <c:axId val="1645829320"/>
        <c:scaling>
          <c:orientation val="minMax"/>
        </c:scaling>
        <c:delete val="0"/>
        <c:axPos val="b"/>
        <c:numFmt formatCode="#,##0.00" sourceLinked="0"/>
        <c:majorTickMark val="none"/>
        <c:minorTickMark val="none"/>
        <c:tickLblPos val="nextTo"/>
        <c:spPr>
          <a:noFill/>
          <a:ln w="0" cap="flat" cmpd="sng" algn="ctr">
            <a:solidFill>
              <a:srgbClr val="C0C0C0"/>
            </a:solidFill>
            <a:round/>
          </a:ln>
          <a:effectLst/>
        </c:spPr>
        <c:txPr>
          <a:bodyPr rot="-60000000" spcFirstLastPara="1" vertOverflow="ellipsis" vert="horz" wrap="square" anchor="ctr" anchorCtr="1"/>
          <a:lstStyle/>
          <a:p>
            <a:pPr>
              <a:defRPr sz="800" b="0" i="0" u="none" strike="noStrike"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45829680"/>
        <c:crosses val="autoZero"/>
        <c:auto val="1"/>
        <c:lblAlgn val="ctr"/>
        <c:lblOffset val="20"/>
        <c:tickMarkSkip val="1"/>
        <c:noMultiLvlLbl val="0"/>
      </c:catAx>
      <c:valAx>
        <c:axId val="1645829680"/>
        <c:scaling>
          <c:orientation val="minMax"/>
        </c:scaling>
        <c:delete val="0"/>
        <c:axPos val="l"/>
        <c:majorGridlines>
          <c:spPr>
            <a:ln w="0" cap="flat" cmpd="sng" algn="ctr">
              <a:solidFill>
                <a:srgbClr val="C0C0C0"/>
              </a:solidFill>
              <a:round/>
            </a:ln>
            <a:effectLst/>
          </c:spPr>
        </c:majorGridlines>
        <c:title>
          <c:tx>
            <c:strRef>
              <c:f>TearSheet!$AA$4</c:f>
              <c:strCache>
                <c:ptCount val="1"/>
                <c:pt idx="0">
                  <c:v>(in USD, M)</c:v>
                </c:pt>
              </c:strCache>
            </c:strRef>
          </c:tx>
          <c:overlay val="0"/>
          <c:spPr>
            <a:noFill/>
            <a:ln>
              <a:noFill/>
            </a:ln>
            <a:effectLst/>
          </c:spPr>
          <c:txPr>
            <a:bodyPr rot="-5400000" spcFirstLastPara="1" vertOverflow="ellipsis" vert="horz" wrap="square" anchor="ctr" anchorCtr="1"/>
            <a:lstStyle/>
            <a:p>
              <a:pPr>
                <a:defRPr sz="800" b="0" i="0" u="none" strike="noStrike"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0_);_(* \(#,##0.0\);_(* &quot;-&quot;??_);_(@_)" sourceLinked="1"/>
        <c:majorTickMark val="none"/>
        <c:minorTickMark val="none"/>
        <c:tickLblPos val="nextTo"/>
        <c:spPr>
          <a:noFill/>
          <a:ln>
            <a:solidFill>
              <a:srgbClr val="C0C0C0"/>
            </a:solidFill>
          </a:ln>
          <a:effectLst/>
        </c:spPr>
        <c:txPr>
          <a:bodyPr rot="-60000000" spcFirstLastPara="1" vertOverflow="ellipsis" vert="horz" wrap="square" anchor="ctr" anchorCtr="1"/>
          <a:lstStyle/>
          <a:p>
            <a:pPr>
              <a:defRPr sz="800" b="0" i="0" u="none" strike="noStrike"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45829320"/>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TearSheet!$AB$27</c:f>
              <c:strCache>
                <c:ptCount val="1"/>
                <c:pt idx="0">
                  <c:v>Gross margin</c:v>
                </c:pt>
              </c:strCache>
            </c:strRef>
          </c:tx>
          <c:spPr>
            <a:ln w="28575" cap="rnd">
              <a:solidFill>
                <a:srgbClr val="72ADCD"/>
              </a:solidFill>
              <a:round/>
            </a:ln>
            <a:effectLst/>
          </c:spPr>
          <c:marker>
            <c:symbol val="none"/>
          </c:marker>
          <c:cat>
            <c:strRef>
              <c:f>TearSheet!$AC$2:$AI$2</c:f>
              <c:strCache>
                <c:ptCount val="7"/>
                <c:pt idx="0">
                  <c:v>FY2023 (A)</c:v>
                </c:pt>
                <c:pt idx="1">
                  <c:v>FY2024 (A)</c:v>
                </c:pt>
                <c:pt idx="2">
                  <c:v>FY2025 (A)</c:v>
                </c:pt>
                <c:pt idx="3">
                  <c:v>FY2026 (A)</c:v>
                </c:pt>
                <c:pt idx="4">
                  <c:v>FY2027 (E)</c:v>
                </c:pt>
                <c:pt idx="5">
                  <c:v>FY2028 (E)</c:v>
                </c:pt>
                <c:pt idx="6">
                  <c:v>FY2029 (E)</c:v>
                </c:pt>
              </c:strCache>
            </c:strRef>
          </c:cat>
          <c:val>
            <c:numRef>
              <c:f>TearSheet!$AC$27:$AI$27</c:f>
              <c:numCache>
                <c:formatCode>_(* #,##0.00_);_(* \(#,##0.00\);_(* "-"??_);_(@_)</c:formatCode>
                <c:ptCount val="7"/>
                <c:pt idx="0">
                  <c:v>0.68920085883491022</c:v>
                </c:pt>
                <c:pt idx="1">
                  <c:v>0.69764443827971379</c:v>
                </c:pt>
                <c:pt idx="2">
                  <c:v>0.68823742386165176</c:v>
                </c:pt>
                <c:pt idx="3">
                  <c:v>0.67944093370580316</c:v>
                </c:pt>
                <c:pt idx="4">
                  <c:v>0.66096726356668323</c:v>
                </c:pt>
                <c:pt idx="5">
                  <c:v>0.64938314477107317</c:v>
                </c:pt>
                <c:pt idx="6">
                  <c:v>0.63949895628850539</c:v>
                </c:pt>
              </c:numCache>
            </c:numRef>
          </c:val>
          <c:smooth val="0"/>
          <c:extLst>
            <c:ext xmlns:c16="http://schemas.microsoft.com/office/drawing/2014/chart" uri="{C3380CC4-5D6E-409C-BE32-E72D297353CC}">
              <c16:uniqueId val="{00000000-CF91-4DDF-8228-738AD01E3CD7}"/>
            </c:ext>
          </c:extLst>
        </c:ser>
        <c:ser>
          <c:idx val="1"/>
          <c:order val="1"/>
          <c:tx>
            <c:strRef>
              <c:f>TearSheet!$AB$28</c:f>
              <c:strCache>
                <c:ptCount val="1"/>
                <c:pt idx="0">
                  <c:v>SG&amp;A / Sales</c:v>
                </c:pt>
              </c:strCache>
            </c:strRef>
          </c:tx>
          <c:spPr>
            <a:ln w="28575" cap="rnd">
              <a:solidFill>
                <a:schemeClr val="accent2"/>
              </a:solidFill>
              <a:round/>
            </a:ln>
            <a:effectLst/>
          </c:spPr>
          <c:marker>
            <c:symbol val="none"/>
          </c:marker>
          <c:dPt>
            <c:idx val="5"/>
            <c:marker>
              <c:symbol val="none"/>
            </c:marker>
            <c:bubble3D val="0"/>
            <c:spPr>
              <a:ln w="28575" cap="rnd">
                <a:solidFill>
                  <a:srgbClr val="D17925"/>
                </a:solidFill>
                <a:round/>
              </a:ln>
              <a:effectLst/>
            </c:spPr>
            <c:extLst>
              <c:ext xmlns:c16="http://schemas.microsoft.com/office/drawing/2014/chart" uri="{C3380CC4-5D6E-409C-BE32-E72D297353CC}">
                <c16:uniqueId val="{00000000-31A8-43C8-BE63-745EB2E9EE66}"/>
              </c:ext>
            </c:extLst>
          </c:dPt>
          <c:cat>
            <c:strRef>
              <c:f>TearSheet!$AC$2:$AI$2</c:f>
              <c:strCache>
                <c:ptCount val="7"/>
                <c:pt idx="0">
                  <c:v>FY2023 (A)</c:v>
                </c:pt>
                <c:pt idx="1">
                  <c:v>FY2024 (A)</c:v>
                </c:pt>
                <c:pt idx="2">
                  <c:v>FY2025 (A)</c:v>
                </c:pt>
                <c:pt idx="3">
                  <c:v>FY2026 (A)</c:v>
                </c:pt>
                <c:pt idx="4">
                  <c:v>FY2027 (E)</c:v>
                </c:pt>
                <c:pt idx="5">
                  <c:v>FY2028 (E)</c:v>
                </c:pt>
                <c:pt idx="6">
                  <c:v>FY2029 (E)</c:v>
                </c:pt>
              </c:strCache>
            </c:strRef>
          </c:cat>
          <c:val>
            <c:numRef>
              <c:f>TearSheet!$AC$28:$AI$28</c:f>
              <c:numCache>
                <c:formatCode>_(* #,##0.00_);_(* \(#,##0.00\);_(* "-"??_);_(@_)</c:formatCode>
                <c:ptCount val="7"/>
                <c:pt idx="0">
                  <c:v>0.10739683363612769</c:v>
                </c:pt>
                <c:pt idx="1">
                  <c:v>0.13081241177862452</c:v>
                </c:pt>
                <c:pt idx="2">
                  <c:v>0.11669932274140647</c:v>
                </c:pt>
                <c:pt idx="3">
                  <c:v>8.0490840437682121E-2</c:v>
                </c:pt>
                <c:pt idx="4">
                  <c:v>9.5265139166155699E-2</c:v>
                </c:pt>
                <c:pt idx="5">
                  <c:v>8.9306328732795204E-2</c:v>
                </c:pt>
                <c:pt idx="6">
                  <c:v>8.3192460518186878E-2</c:v>
                </c:pt>
              </c:numCache>
            </c:numRef>
          </c:val>
          <c:smooth val="0"/>
          <c:extLst>
            <c:ext xmlns:c16="http://schemas.microsoft.com/office/drawing/2014/chart" uri="{C3380CC4-5D6E-409C-BE32-E72D297353CC}">
              <c16:uniqueId val="{00000001-CF91-4DDF-8228-738AD01E3CD7}"/>
            </c:ext>
          </c:extLst>
        </c:ser>
        <c:ser>
          <c:idx val="2"/>
          <c:order val="2"/>
          <c:tx>
            <c:strRef>
              <c:f>TearSheet!$AB$29</c:f>
              <c:strCache>
                <c:ptCount val="1"/>
                <c:pt idx="0">
                  <c:v>Operating margin</c:v>
                </c:pt>
              </c:strCache>
            </c:strRef>
          </c:tx>
          <c:spPr>
            <a:ln w="28575" cap="rnd">
              <a:solidFill>
                <a:srgbClr val="525252"/>
              </a:solidFill>
              <a:round/>
            </a:ln>
            <a:effectLst/>
          </c:spPr>
          <c:marker>
            <c:symbol val="none"/>
          </c:marker>
          <c:cat>
            <c:strRef>
              <c:f>TearSheet!$AC$2:$AI$2</c:f>
              <c:strCache>
                <c:ptCount val="7"/>
                <c:pt idx="0">
                  <c:v>FY2023 (A)</c:v>
                </c:pt>
                <c:pt idx="1">
                  <c:v>FY2024 (A)</c:v>
                </c:pt>
                <c:pt idx="2">
                  <c:v>FY2025 (A)</c:v>
                </c:pt>
                <c:pt idx="3">
                  <c:v>FY2026 (A)</c:v>
                </c:pt>
                <c:pt idx="4">
                  <c:v>FY2027 (E)</c:v>
                </c:pt>
                <c:pt idx="5">
                  <c:v>FY2028 (E)</c:v>
                </c:pt>
                <c:pt idx="6">
                  <c:v>FY2029 (E)</c:v>
                </c:pt>
              </c:strCache>
            </c:strRef>
          </c:cat>
          <c:val>
            <c:numRef>
              <c:f>TearSheet!$AC$29:$AI$29</c:f>
              <c:numCache>
                <c:formatCode>_(* #,##0.00_);_(* \(#,##0.00\);_(* "-"??_);_(@_)</c:formatCode>
                <c:ptCount val="7"/>
                <c:pt idx="0">
                  <c:v>0.42325460679989618</c:v>
                </c:pt>
                <c:pt idx="1">
                  <c:v>0.44644299573273721</c:v>
                </c:pt>
                <c:pt idx="2">
                  <c:v>0.45621956240859851</c:v>
                </c:pt>
                <c:pt idx="3">
                  <c:v>0.46780593880862203</c:v>
                </c:pt>
                <c:pt idx="4">
                  <c:v>0.46439393070145207</c:v>
                </c:pt>
                <c:pt idx="5">
                  <c:v>0.46258442256515631</c:v>
                </c:pt>
                <c:pt idx="6">
                  <c:v>0.46421320824808604</c:v>
                </c:pt>
              </c:numCache>
            </c:numRef>
          </c:val>
          <c:smooth val="0"/>
          <c:extLst>
            <c:ext xmlns:c16="http://schemas.microsoft.com/office/drawing/2014/chart" uri="{C3380CC4-5D6E-409C-BE32-E72D297353CC}">
              <c16:uniqueId val="{00000002-CF91-4DDF-8228-738AD01E3CD7}"/>
            </c:ext>
          </c:extLst>
        </c:ser>
        <c:ser>
          <c:idx val="3"/>
          <c:order val="3"/>
          <c:tx>
            <c:strRef>
              <c:f>TearSheet!$AB$30</c:f>
              <c:strCache>
                <c:ptCount val="1"/>
                <c:pt idx="0">
                  <c:v>EBITDA margin</c:v>
                </c:pt>
              </c:strCache>
            </c:strRef>
          </c:tx>
          <c:spPr>
            <a:ln w="28575" cap="rnd">
              <a:solidFill>
                <a:srgbClr val="FFAC17"/>
              </a:solidFill>
              <a:round/>
            </a:ln>
            <a:effectLst/>
          </c:spPr>
          <c:marker>
            <c:symbol val="none"/>
          </c:marker>
          <c:cat>
            <c:strRef>
              <c:f>TearSheet!$AC$2:$AI$2</c:f>
              <c:strCache>
                <c:ptCount val="7"/>
                <c:pt idx="0">
                  <c:v>FY2023 (A)</c:v>
                </c:pt>
                <c:pt idx="1">
                  <c:v>FY2024 (A)</c:v>
                </c:pt>
                <c:pt idx="2">
                  <c:v>FY2025 (A)</c:v>
                </c:pt>
                <c:pt idx="3">
                  <c:v>FY2026 (A)</c:v>
                </c:pt>
                <c:pt idx="4">
                  <c:v>FY2027 (E)</c:v>
                </c:pt>
                <c:pt idx="5">
                  <c:v>FY2028 (E)</c:v>
                </c:pt>
                <c:pt idx="6">
                  <c:v>FY2029 (E)</c:v>
                </c:pt>
              </c:strCache>
            </c:strRef>
          </c:cat>
          <c:val>
            <c:numRef>
              <c:f>TearSheet!$AC$30:$AI$30</c:f>
              <c:numCache>
                <c:formatCode>_(* #,##0.00_);_(* \(#,##0.00\);_(* "-"??_);_(@_)</c:formatCode>
                <c:ptCount val="7"/>
                <c:pt idx="0">
                  <c:v>0.48866290729773731</c:v>
                </c:pt>
                <c:pt idx="1">
                  <c:v>0.53736506719103139</c:v>
                </c:pt>
                <c:pt idx="2">
                  <c:v>0.57744814073348383</c:v>
                </c:pt>
                <c:pt idx="3">
                  <c:v>0.59873745470676021</c:v>
                </c:pt>
                <c:pt idx="4">
                  <c:v>0.60872104528109827</c:v>
                </c:pt>
                <c:pt idx="5">
                  <c:v>0.61717466798288978</c:v>
                </c:pt>
                <c:pt idx="6">
                  <c:v>0.63279551225718766</c:v>
                </c:pt>
              </c:numCache>
            </c:numRef>
          </c:val>
          <c:smooth val="0"/>
          <c:extLst>
            <c:ext xmlns:c16="http://schemas.microsoft.com/office/drawing/2014/chart" uri="{C3380CC4-5D6E-409C-BE32-E72D297353CC}">
              <c16:uniqueId val="{00000003-CF91-4DDF-8228-738AD01E3CD7}"/>
            </c:ext>
          </c:extLst>
        </c:ser>
        <c:ser>
          <c:idx val="4"/>
          <c:order val="4"/>
          <c:tx>
            <c:strRef>
              <c:f>TearSheet!$AB$31</c:f>
              <c:strCache>
                <c:ptCount val="1"/>
                <c:pt idx="0">
                  <c:v>Net margin</c:v>
                </c:pt>
              </c:strCache>
            </c:strRef>
          </c:tx>
          <c:spPr>
            <a:ln w="28575" cap="rnd">
              <a:solidFill>
                <a:srgbClr val="005E92"/>
              </a:solidFill>
              <a:round/>
            </a:ln>
            <a:effectLst/>
          </c:spPr>
          <c:marker>
            <c:symbol val="none"/>
          </c:marker>
          <c:cat>
            <c:strRef>
              <c:f>TearSheet!$AC$2:$AI$2</c:f>
              <c:strCache>
                <c:ptCount val="7"/>
                <c:pt idx="0">
                  <c:v>FY2023 (A)</c:v>
                </c:pt>
                <c:pt idx="1">
                  <c:v>FY2024 (A)</c:v>
                </c:pt>
                <c:pt idx="2">
                  <c:v>FY2025 (A)</c:v>
                </c:pt>
                <c:pt idx="3">
                  <c:v>FY2026 (A)</c:v>
                </c:pt>
                <c:pt idx="4">
                  <c:v>FY2027 (E)</c:v>
                </c:pt>
                <c:pt idx="5">
                  <c:v>FY2028 (E)</c:v>
                </c:pt>
                <c:pt idx="6">
                  <c:v>FY2029 (E)</c:v>
                </c:pt>
              </c:strCache>
            </c:strRef>
          </c:cat>
          <c:val>
            <c:numRef>
              <c:f>TearSheet!$AC$31:$AI$31</c:f>
              <c:numCache>
                <c:formatCode>_(* #,##0.00_);_(* \(#,##0.00\);_(* "-"??_);_(@_)</c:formatCode>
                <c:ptCount val="7"/>
                <c:pt idx="0">
                  <c:v>0.34592480428216171</c:v>
                </c:pt>
                <c:pt idx="1">
                  <c:v>0.35955972944084985</c:v>
                </c:pt>
                <c:pt idx="2">
                  <c:v>0.3743096079851202</c:v>
                </c:pt>
                <c:pt idx="3">
                  <c:v>0.38809784262850355</c:v>
                </c:pt>
                <c:pt idx="4">
                  <c:v>0.37527445768714784</c:v>
                </c:pt>
                <c:pt idx="5">
                  <c:v>0.37338368023253793</c:v>
                </c:pt>
                <c:pt idx="6">
                  <c:v>0.37335806926551846</c:v>
                </c:pt>
              </c:numCache>
            </c:numRef>
          </c:val>
          <c:smooth val="0"/>
          <c:extLst>
            <c:ext xmlns:c16="http://schemas.microsoft.com/office/drawing/2014/chart" uri="{C3380CC4-5D6E-409C-BE32-E72D297353CC}">
              <c16:uniqueId val="{00000004-CF91-4DDF-8228-738AD01E3CD7}"/>
            </c:ext>
          </c:extLst>
        </c:ser>
        <c:dLbls>
          <c:showLegendKey val="0"/>
          <c:showVal val="0"/>
          <c:showCatName val="0"/>
          <c:showSerName val="0"/>
          <c:showPercent val="0"/>
          <c:showBubbleSize val="0"/>
        </c:dLbls>
        <c:smooth val="0"/>
        <c:axId val="413563648"/>
        <c:axId val="413560768"/>
      </c:lineChart>
      <c:catAx>
        <c:axId val="41356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13560768"/>
        <c:crosses val="autoZero"/>
        <c:auto val="1"/>
        <c:lblAlgn val="ctr"/>
        <c:lblOffset val="100"/>
        <c:noMultiLvlLbl val="0"/>
      </c:catAx>
      <c:valAx>
        <c:axId val="413560768"/>
        <c:scaling>
          <c:orientation val="minMax"/>
        </c:scaling>
        <c:delete val="0"/>
        <c:axPos val="l"/>
        <c:majorGridlines>
          <c:spPr>
            <a:ln w="3175" cap="flat" cmpd="sng" algn="ctr">
              <a:solidFill>
                <a:srgbClr val="C0C0C0"/>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13563648"/>
        <c:crosses val="autoZero"/>
        <c:crossBetween val="between"/>
      </c:valAx>
      <c:spPr>
        <a:noFill/>
        <a:ln>
          <a:noFill/>
        </a:ln>
        <a:effectLst/>
      </c:spPr>
    </c:plotArea>
    <c:legend>
      <c:legendPos val="b"/>
      <c:layout>
        <c:manualLayout>
          <c:xMode val="edge"/>
          <c:yMode val="edge"/>
          <c:x val="3.3332280092201662E-2"/>
          <c:y val="0.89874031545201427"/>
          <c:w val="0.9438574951947023"/>
          <c:h val="7.1527758655279716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chart" Target="../charts/chart2.xml"/><Relationship Id="rId4"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xdr:from>
      <xdr:col>11</xdr:col>
      <xdr:colOff>173991</xdr:colOff>
      <xdr:row>27</xdr:row>
      <xdr:rowOff>31747</xdr:rowOff>
    </xdr:from>
    <xdr:to>
      <xdr:col>19</xdr:col>
      <xdr:colOff>523875</xdr:colOff>
      <xdr:row>42</xdr:row>
      <xdr:rowOff>83182</xdr:rowOff>
    </xdr:to>
    <xdr:graphicFrame macro="">
      <xdr:nvGraphicFramePr>
        <xdr:cNvPr id="5" name="Chart 4">
          <a:extLst>
            <a:ext uri="{FF2B5EF4-FFF2-40B4-BE49-F238E27FC236}">
              <a16:creationId xmlns:a16="http://schemas.microsoft.com/office/drawing/2014/main" id="{DE927CD6-BEF7-5F77-C190-149E7A71C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19050</xdr:colOff>
      <xdr:row>1</xdr:row>
      <xdr:rowOff>9525</xdr:rowOff>
    </xdr:from>
    <xdr:ext cx="2670048" cy="504824"/>
    <xdr:pic>
      <xdr:nvPicPr>
        <xdr:cNvPr id="2" name="Picture 1">
          <a:extLst>
            <a:ext uri="{FF2B5EF4-FFF2-40B4-BE49-F238E27FC236}">
              <a16:creationId xmlns:a16="http://schemas.microsoft.com/office/drawing/2014/main" id="{ABFED82A-ED8F-4349-AC9C-6FA3788AD3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133350"/>
          <a:ext cx="2670048" cy="5048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12</xdr:col>
      <xdr:colOff>495934</xdr:colOff>
      <xdr:row>0</xdr:row>
      <xdr:rowOff>0</xdr:rowOff>
    </xdr:from>
    <xdr:to>
      <xdr:col>15</xdr:col>
      <xdr:colOff>93979</xdr:colOff>
      <xdr:row>2</xdr:row>
      <xdr:rowOff>30480</xdr:rowOff>
    </xdr:to>
    <xdr:pic>
      <xdr:nvPicPr>
        <xdr:cNvPr id="3" name="Graphic 2">
          <a:extLst>
            <a:ext uri="{FF2B5EF4-FFF2-40B4-BE49-F238E27FC236}">
              <a16:creationId xmlns:a16="http://schemas.microsoft.com/office/drawing/2014/main" id="{6FE79210-9006-4840-B8E3-F6E2D4080A8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59034" y="0"/>
          <a:ext cx="1762125" cy="739140"/>
        </a:xfrm>
        <a:prstGeom prst="rect">
          <a:avLst/>
        </a:prstGeom>
      </xdr:spPr>
    </xdr:pic>
    <xdr:clientData/>
  </xdr:twoCellAnchor>
  <xdr:twoCellAnchor>
    <xdr:from>
      <xdr:col>11</xdr:col>
      <xdr:colOff>142876</xdr:colOff>
      <xdr:row>45</xdr:row>
      <xdr:rowOff>28575</xdr:rowOff>
    </xdr:from>
    <xdr:to>
      <xdr:col>19</xdr:col>
      <xdr:colOff>504826</xdr:colOff>
      <xdr:row>61</xdr:row>
      <xdr:rowOff>28575</xdr:rowOff>
    </xdr:to>
    <xdr:graphicFrame macro="">
      <xdr:nvGraphicFramePr>
        <xdr:cNvPr id="6" name="Chart 5">
          <a:extLst>
            <a:ext uri="{FF2B5EF4-FFF2-40B4-BE49-F238E27FC236}">
              <a16:creationId xmlns:a16="http://schemas.microsoft.com/office/drawing/2014/main" id="{BEBE229F-7F89-4ED7-A6F4-4CA6067C5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support@capitaliq.spgloba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E643D-4D58-4A45-8546-423AD1A86C09}">
  <sheetPr codeName="Sheet1"/>
  <dimension ref="A1"/>
  <sheetViews>
    <sheetView workbookViewId="0"/>
  </sheetViews>
  <sheetFormatPr defaultRowHeight="10" x14ac:dyDescent="0.2"/>
  <sheetData>
    <row r="1" spans="1:1" x14ac:dyDescent="0.2">
      <c r="A1" t="s">
        <v>470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BB8CD-3A01-4685-9A5D-35EBDE503909}">
  <sheetPr codeName="Sheet2">
    <pageSetUpPr autoPageBreaks="0"/>
  </sheetPr>
  <dimension ref="A1:AO168"/>
  <sheetViews>
    <sheetView showGridLines="0" tabSelected="1" zoomScaleNormal="100" zoomScaleSheetLayoutView="69" workbookViewId="0"/>
  </sheetViews>
  <sheetFormatPr defaultColWidth="9" defaultRowHeight="11.25" customHeight="1" outlineLevelCol="1" x14ac:dyDescent="0.2"/>
  <cols>
    <col min="1" max="1" width="2.44140625" style="1" customWidth="1"/>
    <col min="2" max="2" width="37.44140625" style="1" customWidth="1"/>
    <col min="3" max="3" width="26.44140625" style="1" hidden="1" customWidth="1" outlineLevel="1"/>
    <col min="4" max="4" width="19.6640625" style="1" customWidth="1" collapsed="1"/>
    <col min="5" max="5" width="19.109375" style="1" customWidth="1"/>
    <col min="6" max="24" width="12.6640625" style="1" customWidth="1"/>
    <col min="25" max="25" width="15.44140625" style="1" customWidth="1"/>
    <col min="26" max="26" width="20.109375" style="1" customWidth="1"/>
    <col min="27" max="27" width="15.44140625" style="18" hidden="1" customWidth="1" outlineLevel="1"/>
    <col min="28" max="32" width="16.6640625" style="18" hidden="1" customWidth="1" outlineLevel="1"/>
    <col min="33" max="33" width="17.44140625" style="18" hidden="1" customWidth="1" outlineLevel="1"/>
    <col min="34" max="34" width="16.6640625" style="18" hidden="1" customWidth="1" outlineLevel="1"/>
    <col min="35" max="35" width="18.44140625" style="18" hidden="1" customWidth="1" outlineLevel="1"/>
    <col min="36" max="36" width="16.6640625" style="18" hidden="1" customWidth="1" outlineLevel="1"/>
    <col min="37" max="40" width="16.6640625" style="1" hidden="1" customWidth="1" outlineLevel="1"/>
    <col min="41" max="41" width="9" style="1" collapsed="1"/>
    <col min="42" max="16384" width="9" style="1"/>
  </cols>
  <sheetData>
    <row r="1" spans="2:40" ht="10.5" x14ac:dyDescent="0.2">
      <c r="AB1" s="27">
        <v>1</v>
      </c>
      <c r="AC1" s="27">
        <f t="shared" ref="AC1:AI1" si="0">AB1+1</f>
        <v>2</v>
      </c>
      <c r="AD1" s="27">
        <f t="shared" si="0"/>
        <v>3</v>
      </c>
      <c r="AE1" s="27">
        <f t="shared" si="0"/>
        <v>4</v>
      </c>
      <c r="AF1" s="27">
        <f t="shared" si="0"/>
        <v>5</v>
      </c>
      <c r="AG1" s="27">
        <f t="shared" si="0"/>
        <v>6</v>
      </c>
      <c r="AH1" s="27">
        <f t="shared" si="0"/>
        <v>7</v>
      </c>
      <c r="AI1" s="27">
        <f t="shared" si="0"/>
        <v>8</v>
      </c>
      <c r="AK1" s="133" t="str">
        <f>$E$14</f>
        <v>U.S. Dollar</v>
      </c>
      <c r="AL1" s="133" t="str">
        <f>VLOOKUP($AK$1,$AK$3:$AN$82,2,FALSE)</f>
        <v>USD</v>
      </c>
      <c r="AM1" s="133" t="str">
        <f>VLOOKUP($AK$1,$AK$3:$AN$82,3,FALSE)</f>
        <v>$</v>
      </c>
      <c r="AN1" s="133" t="str">
        <f>VLOOKUP($AK$1,$AK$3:$AN$82,4,FALSE)</f>
        <v>000</v>
      </c>
    </row>
    <row r="2" spans="2:40" ht="45" customHeight="1" x14ac:dyDescent="0.25">
      <c r="B2" s="195" t="s">
        <v>458</v>
      </c>
      <c r="D2" s="84"/>
      <c r="E2" s="85"/>
      <c r="F2" s="85"/>
      <c r="G2" s="86"/>
      <c r="Y2" s="25"/>
      <c r="Z2" s="25"/>
      <c r="AA2" s="98" t="str">
        <f>"(in "&amp;$AL$1&amp;", "&amp;$AG$33&amp;")"</f>
        <v>(in USD, M)</v>
      </c>
      <c r="AB2" s="117" t="s">
        <v>153</v>
      </c>
      <c r="AC2" s="118" t="str">
        <f t="shared" ref="AC2:AI2" si="1">E27&amp;" ("&amp;E26&amp;")"</f>
        <v>FY2023 (A)</v>
      </c>
      <c r="AD2" s="118" t="str">
        <f t="shared" si="1"/>
        <v>FY2024 (A)</v>
      </c>
      <c r="AE2" s="118" t="str">
        <f t="shared" si="1"/>
        <v>FY2025 (A)</v>
      </c>
      <c r="AF2" s="118" t="str">
        <f t="shared" si="1"/>
        <v>FY2026 (A)</v>
      </c>
      <c r="AG2" s="118" t="str">
        <f t="shared" si="1"/>
        <v>FY2027 (E)</v>
      </c>
      <c r="AH2" s="118" t="str">
        <f t="shared" si="1"/>
        <v>FY2028 (E)</v>
      </c>
      <c r="AI2" s="118" t="str">
        <f t="shared" si="1"/>
        <v>FY2029 (E)</v>
      </c>
      <c r="AJ2" s="25"/>
      <c r="AK2" s="72" t="s">
        <v>340</v>
      </c>
      <c r="AL2" s="73" t="s">
        <v>341</v>
      </c>
      <c r="AM2" s="73" t="s">
        <v>145</v>
      </c>
      <c r="AN2" s="74" t="s">
        <v>342</v>
      </c>
    </row>
    <row r="3" spans="2:40" ht="11.25" customHeight="1" x14ac:dyDescent="0.2">
      <c r="B3" s="40"/>
      <c r="C3" s="40"/>
      <c r="D3" s="40"/>
      <c r="E3" s="40"/>
      <c r="F3" s="40"/>
      <c r="G3" s="38"/>
      <c r="H3" s="38"/>
      <c r="I3" s="38"/>
      <c r="J3" s="38"/>
      <c r="K3" s="38"/>
      <c r="L3" s="38"/>
      <c r="M3" s="38"/>
      <c r="N3" s="39"/>
      <c r="O3" s="39"/>
      <c r="P3" s="2"/>
      <c r="AA3" s="98" t="str">
        <f>"(in "&amp;$AL$1&amp;")"</f>
        <v>(in USD)</v>
      </c>
      <c r="AB3" s="123" t="str">
        <f>$O$26</f>
        <v>Total revenue</v>
      </c>
      <c r="AC3" s="230">
        <f t="shared" ref="AC3:AI3" si="2">IF(OR(VLOOKUP($AB3,$C$28:$K$61,AC$5,0)="-",VLOOKUP($AB3,$C$28:$K$61,AC$5,0)=0),NA(),VLOOKUP($AB3,$C$28:$K$61,AC$5,0))</f>
        <v>211915</v>
      </c>
      <c r="AD3" s="230">
        <f t="shared" si="2"/>
        <v>245122</v>
      </c>
      <c r="AE3" s="230">
        <f t="shared" si="2"/>
        <v>281724</v>
      </c>
      <c r="AF3" s="230">
        <f t="shared" si="2"/>
        <v>331839</v>
      </c>
      <c r="AG3" s="230">
        <f t="shared" si="2"/>
        <v>391146.93971606396</v>
      </c>
      <c r="AH3" s="230">
        <f t="shared" si="2"/>
        <v>467637.4691217253</v>
      </c>
      <c r="AI3" s="231">
        <f t="shared" si="2"/>
        <v>568944.84627187508</v>
      </c>
      <c r="AJ3" s="1"/>
      <c r="AK3" s="75" t="s">
        <v>343</v>
      </c>
      <c r="AL3" s="76" t="s">
        <v>343</v>
      </c>
      <c r="AM3" s="77" t="s">
        <v>344</v>
      </c>
      <c r="AN3" s="78" t="s">
        <v>345</v>
      </c>
    </row>
    <row r="4" spans="2:40" ht="11.25" customHeight="1" x14ac:dyDescent="0.25">
      <c r="B4" s="28" t="s">
        <v>154</v>
      </c>
      <c r="C4" s="21"/>
      <c r="G4" s="4"/>
      <c r="H4" s="4"/>
      <c r="I4" s="4"/>
      <c r="J4" s="4"/>
      <c r="K4" s="4"/>
      <c r="L4" s="4"/>
      <c r="M4" s="4"/>
      <c r="N4" s="2"/>
      <c r="O4" s="2"/>
      <c r="P4" s="2"/>
      <c r="AA4" s="98" t="str">
        <f>IF(OR($O$26=$AB$14,$O$26=$AB$15),$AA$3,$AA$2)</f>
        <v>(in USD, M)</v>
      </c>
      <c r="AB4" s="124"/>
      <c r="AC4" s="119"/>
      <c r="AD4" s="119"/>
      <c r="AE4" s="119"/>
      <c r="AF4" s="119"/>
      <c r="AG4" s="119"/>
      <c r="AH4" s="119"/>
      <c r="AI4" s="125"/>
      <c r="AJ4" s="1"/>
      <c r="AK4" s="75" t="s">
        <v>173</v>
      </c>
      <c r="AL4" s="76" t="s">
        <v>71</v>
      </c>
      <c r="AM4" s="77" t="s">
        <v>72</v>
      </c>
      <c r="AN4" s="79" t="s">
        <v>345</v>
      </c>
    </row>
    <row r="5" spans="2:40" ht="11.25" customHeight="1" x14ac:dyDescent="0.25">
      <c r="B5" s="54" t="s">
        <v>200</v>
      </c>
      <c r="E5" s="171" t="s">
        <v>331</v>
      </c>
      <c r="F5" s="4"/>
      <c r="H5" s="17" t="s">
        <v>156</v>
      </c>
      <c r="I5" s="14"/>
      <c r="J5" s="4"/>
      <c r="K5" s="4"/>
      <c r="L5" s="4"/>
      <c r="M5" s="4"/>
      <c r="N5" s="4"/>
      <c r="O5" s="2"/>
      <c r="P5" s="2"/>
      <c r="AA5" s="1"/>
      <c r="AB5" s="126" t="s">
        <v>152</v>
      </c>
      <c r="AC5" s="120">
        <f t="shared" ref="AC5:AI5" si="3">AC1+1</f>
        <v>3</v>
      </c>
      <c r="AD5" s="120">
        <f t="shared" si="3"/>
        <v>4</v>
      </c>
      <c r="AE5" s="120">
        <f t="shared" si="3"/>
        <v>5</v>
      </c>
      <c r="AF5" s="120">
        <f t="shared" si="3"/>
        <v>6</v>
      </c>
      <c r="AG5" s="120">
        <f t="shared" si="3"/>
        <v>7</v>
      </c>
      <c r="AH5" s="120">
        <f t="shared" si="3"/>
        <v>8</v>
      </c>
      <c r="AI5" s="127">
        <f t="shared" si="3"/>
        <v>9</v>
      </c>
      <c r="AJ5" s="1"/>
      <c r="AK5" s="75" t="s">
        <v>346</v>
      </c>
      <c r="AL5" s="76" t="s">
        <v>73</v>
      </c>
      <c r="AM5" s="77" t="s">
        <v>74</v>
      </c>
      <c r="AN5" s="79" t="s">
        <v>345</v>
      </c>
    </row>
    <row r="6" spans="2:40" ht="11.25" customHeight="1" x14ac:dyDescent="0.2">
      <c r="B6" s="90" t="s">
        <v>198</v>
      </c>
      <c r="C6" s="19"/>
      <c r="E6" s="5"/>
      <c r="F6" s="4"/>
      <c r="H6" s="15" t="s">
        <v>147</v>
      </c>
      <c r="I6" s="14"/>
      <c r="J6" s="4"/>
      <c r="K6" s="4"/>
      <c r="L6" s="4"/>
      <c r="M6" s="4"/>
      <c r="N6" s="4"/>
      <c r="O6" s="2"/>
      <c r="P6" s="2"/>
      <c r="AA6" s="1"/>
      <c r="AB6" s="124" t="s">
        <v>149</v>
      </c>
      <c r="AC6" s="121">
        <f t="shared" ref="AC6:AI15" si="4">IF(OR(VLOOKUP($AB6,$C$28:$K$61,AC$5,0)="-",VLOOKUP($AB6,$C$28:$K$61,AC$5,0)=0),NA(),VLOOKUP($AB6,$C$28:$K$61,AC$5,0))</f>
        <v>211915</v>
      </c>
      <c r="AD6" s="121">
        <f t="shared" si="4"/>
        <v>245122</v>
      </c>
      <c r="AE6" s="121">
        <f t="shared" si="4"/>
        <v>281724</v>
      </c>
      <c r="AF6" s="121">
        <f t="shared" si="4"/>
        <v>331839</v>
      </c>
      <c r="AG6" s="121">
        <f t="shared" si="4"/>
        <v>391146.93971606396</v>
      </c>
      <c r="AH6" s="121">
        <f t="shared" si="4"/>
        <v>467637.4691217253</v>
      </c>
      <c r="AI6" s="128">
        <f t="shared" si="4"/>
        <v>568944.84627187508</v>
      </c>
      <c r="AJ6" s="1"/>
      <c r="AK6" s="75" t="s">
        <v>347</v>
      </c>
      <c r="AL6" s="76" t="s">
        <v>82</v>
      </c>
      <c r="AM6" s="77" t="s">
        <v>83</v>
      </c>
      <c r="AN6" s="79" t="s">
        <v>45</v>
      </c>
    </row>
    <row r="7" spans="2:40" ht="11.25" customHeight="1" x14ac:dyDescent="0.2">
      <c r="H7" s="16" t="s">
        <v>148</v>
      </c>
      <c r="I7" s="20" t="s">
        <v>54</v>
      </c>
      <c r="J7" s="2"/>
      <c r="K7" s="2"/>
      <c r="L7" s="2"/>
      <c r="M7" s="2"/>
      <c r="N7" s="2"/>
      <c r="O7" s="2"/>
      <c r="P7" s="2"/>
      <c r="AA7" s="1"/>
      <c r="AB7" s="124" t="s">
        <v>38</v>
      </c>
      <c r="AC7" s="121">
        <f t="shared" si="4"/>
        <v>146052</v>
      </c>
      <c r="AD7" s="121">
        <f t="shared" si="4"/>
        <v>171008</v>
      </c>
      <c r="AE7" s="121">
        <f t="shared" si="4"/>
        <v>193893</v>
      </c>
      <c r="AF7" s="121">
        <f t="shared" si="4"/>
        <v>225465</v>
      </c>
      <c r="AG7" s="121">
        <f t="shared" si="4"/>
        <v>258531.27703226585</v>
      </c>
      <c r="AH7" s="121">
        <f t="shared" si="4"/>
        <v>303584.18424611929</v>
      </c>
      <c r="AI7" s="128">
        <f t="shared" si="4"/>
        <v>363586.46031852491</v>
      </c>
      <c r="AJ7" s="1"/>
      <c r="AK7" s="75" t="s">
        <v>348</v>
      </c>
      <c r="AL7" s="76" t="s">
        <v>43</v>
      </c>
      <c r="AM7" s="77" t="s">
        <v>108</v>
      </c>
      <c r="AN7" s="79" t="s">
        <v>345</v>
      </c>
    </row>
    <row r="8" spans="2:40" ht="11.25" customHeight="1" x14ac:dyDescent="0.2">
      <c r="B8" s="54" t="s">
        <v>199</v>
      </c>
      <c r="E8" s="171" t="s">
        <v>462</v>
      </c>
      <c r="H8" s="4"/>
      <c r="J8" s="4"/>
      <c r="K8" s="4"/>
      <c r="L8" s="4"/>
      <c r="M8" s="4"/>
      <c r="AA8" s="1"/>
      <c r="AB8" s="124" t="s">
        <v>36</v>
      </c>
      <c r="AC8" s="121">
        <f t="shared" si="4"/>
        <v>30334</v>
      </c>
      <c r="AD8" s="121">
        <f t="shared" si="4"/>
        <v>32065</v>
      </c>
      <c r="AE8" s="121">
        <f t="shared" si="4"/>
        <v>32877</v>
      </c>
      <c r="AF8" s="121">
        <f t="shared" si="4"/>
        <v>26710</v>
      </c>
      <c r="AG8" s="121">
        <f t="shared" si="4"/>
        <v>37250.703605783703</v>
      </c>
      <c r="AH8" s="121">
        <f t="shared" si="4"/>
        <v>41663.24535217345</v>
      </c>
      <c r="AI8" s="128">
        <f t="shared" si="4"/>
        <v>47095.313757898388</v>
      </c>
      <c r="AJ8" s="1"/>
      <c r="AK8" s="75" t="s">
        <v>349</v>
      </c>
      <c r="AL8" s="76" t="s">
        <v>127</v>
      </c>
      <c r="AM8" s="77" t="s">
        <v>127</v>
      </c>
      <c r="AN8" s="79" t="s">
        <v>345</v>
      </c>
    </row>
    <row r="9" spans="2:40" ht="11.25" customHeight="1" x14ac:dyDescent="0.25">
      <c r="B9" s="90" t="s">
        <v>440</v>
      </c>
      <c r="C9" s="19"/>
      <c r="F9" s="4"/>
      <c r="H9" s="17" t="s">
        <v>157</v>
      </c>
      <c r="I9" s="4"/>
      <c r="J9" s="4"/>
      <c r="K9" s="4"/>
      <c r="L9" s="4"/>
      <c r="M9" s="4"/>
      <c r="AA9" s="1"/>
      <c r="AB9" s="124" t="s">
        <v>34</v>
      </c>
      <c r="AC9" s="121">
        <f t="shared" si="4"/>
        <v>57529</v>
      </c>
      <c r="AD9" s="121">
        <f t="shared" si="4"/>
        <v>61575</v>
      </c>
      <c r="AE9" s="121">
        <f t="shared" si="4"/>
        <v>65365</v>
      </c>
      <c r="AF9" s="121">
        <f t="shared" si="4"/>
        <v>70228</v>
      </c>
      <c r="AG9" s="121">
        <f t="shared" si="4"/>
        <v>76784.759863418585</v>
      </c>
      <c r="AH9" s="121">
        <f t="shared" si="4"/>
        <v>87159.935350929285</v>
      </c>
      <c r="AI9" s="128">
        <f t="shared" si="4"/>
        <v>99208.301586092362</v>
      </c>
      <c r="AJ9" s="1"/>
      <c r="AK9" s="75" t="s">
        <v>350</v>
      </c>
      <c r="AL9" s="76" t="s">
        <v>117</v>
      </c>
      <c r="AM9" s="77" t="s">
        <v>117</v>
      </c>
      <c r="AN9" s="79" t="s">
        <v>345</v>
      </c>
    </row>
    <row r="10" spans="2:40" ht="11.25" customHeight="1" x14ac:dyDescent="0.2">
      <c r="F10" s="4"/>
      <c r="H10" s="274" t="s">
        <v>451</v>
      </c>
      <c r="I10" s="274"/>
      <c r="J10" s="274"/>
      <c r="K10" s="274"/>
      <c r="L10" s="274"/>
      <c r="M10" s="274"/>
      <c r="N10" s="274"/>
      <c r="O10" s="274"/>
      <c r="AA10" s="1"/>
      <c r="AB10" s="124" t="s">
        <v>32</v>
      </c>
      <c r="AC10" s="121">
        <f t="shared" si="4"/>
        <v>88523</v>
      </c>
      <c r="AD10" s="121">
        <f t="shared" si="4"/>
        <v>109433</v>
      </c>
      <c r="AE10" s="121">
        <f t="shared" si="4"/>
        <v>128528</v>
      </c>
      <c r="AF10" s="121">
        <f t="shared" si="4"/>
        <v>155237</v>
      </c>
      <c r="AG10" s="121">
        <f t="shared" si="4"/>
        <v>181653.64593485947</v>
      </c>
      <c r="AH10" s="121">
        <f t="shared" si="4"/>
        <v>216163.43525713115</v>
      </c>
      <c r="AI10" s="128">
        <f t="shared" si="4"/>
        <v>263481.43820750865</v>
      </c>
      <c r="AJ10" s="1"/>
      <c r="AK10" s="75" t="s">
        <v>158</v>
      </c>
      <c r="AL10" s="76" t="s">
        <v>56</v>
      </c>
      <c r="AM10" s="77" t="s">
        <v>57</v>
      </c>
      <c r="AN10" s="79" t="s">
        <v>345</v>
      </c>
    </row>
    <row r="11" spans="2:40" ht="11.25" customHeight="1" x14ac:dyDescent="0.2">
      <c r="B11" s="54" t="s">
        <v>453</v>
      </c>
      <c r="E11" s="170" cm="1">
        <f t="array" ref="E11">_xll.SNL.Clients.Office.Excel.Functions.SPGDATE()</f>
        <v>46309</v>
      </c>
      <c r="F11" s="12"/>
      <c r="H11" s="274"/>
      <c r="I11" s="274"/>
      <c r="J11" s="274"/>
      <c r="K11" s="274"/>
      <c r="L11" s="274"/>
      <c r="M11" s="274"/>
      <c r="N11" s="274"/>
      <c r="O11" s="274"/>
      <c r="AA11" s="1"/>
      <c r="AB11" s="124" t="s">
        <v>30</v>
      </c>
      <c r="AC11" s="121">
        <f t="shared" si="4"/>
        <v>102384</v>
      </c>
      <c r="AD11" s="121">
        <f t="shared" si="4"/>
        <v>131720</v>
      </c>
      <c r="AE11" s="121">
        <f t="shared" si="4"/>
        <v>157961</v>
      </c>
      <c r="AF11" s="121">
        <f t="shared" si="4"/>
        <v>198685</v>
      </c>
      <c r="AG11" s="121">
        <f t="shared" si="4"/>
        <v>238124.88516509</v>
      </c>
      <c r="AH11" s="121">
        <f t="shared" si="4"/>
        <v>288816.91347706056</v>
      </c>
      <c r="AI11" s="128">
        <f t="shared" si="4"/>
        <v>361803.9901733544</v>
      </c>
      <c r="AJ11" s="1"/>
      <c r="AK11" s="75" t="s">
        <v>159</v>
      </c>
      <c r="AL11" s="76" t="s">
        <v>128</v>
      </c>
      <c r="AM11" s="77" t="s">
        <v>351</v>
      </c>
      <c r="AN11" s="79" t="s">
        <v>345</v>
      </c>
    </row>
    <row r="12" spans="2:40" ht="11.25" customHeight="1" x14ac:dyDescent="0.2">
      <c r="B12" s="19"/>
      <c r="C12" s="19"/>
      <c r="E12" s="5"/>
      <c r="F12" s="12"/>
      <c r="H12" s="274"/>
      <c r="I12" s="274"/>
      <c r="J12" s="274"/>
      <c r="K12" s="274"/>
      <c r="L12" s="274"/>
      <c r="M12" s="274"/>
      <c r="N12" s="274"/>
      <c r="O12" s="274"/>
      <c r="AA12" s="1"/>
      <c r="AB12" s="124" t="s">
        <v>28</v>
      </c>
      <c r="AC12" s="121">
        <f t="shared" si="4"/>
        <v>90482</v>
      </c>
      <c r="AD12" s="121">
        <f t="shared" si="4"/>
        <v>107787</v>
      </c>
      <c r="AE12" s="121">
        <f t="shared" si="4"/>
        <v>128390</v>
      </c>
      <c r="AF12" s="121">
        <f t="shared" si="4"/>
        <v>160709.72</v>
      </c>
      <c r="AG12" s="121">
        <f t="shared" si="4"/>
        <v>182893.39447856374</v>
      </c>
      <c r="AH12" s="121">
        <f t="shared" si="4"/>
        <v>217228.82706059195</v>
      </c>
      <c r="AI12" s="128">
        <f t="shared" si="4"/>
        <v>264678.57782417338</v>
      </c>
      <c r="AJ12" s="1"/>
      <c r="AK12" s="75" t="s">
        <v>160</v>
      </c>
      <c r="AL12" s="76" t="s">
        <v>58</v>
      </c>
      <c r="AM12" s="77" t="s">
        <v>352</v>
      </c>
      <c r="AN12" s="79" t="s">
        <v>345</v>
      </c>
    </row>
    <row r="13" spans="2:40" ht="11.25" customHeight="1" x14ac:dyDescent="0.2">
      <c r="H13" s="274"/>
      <c r="I13" s="274"/>
      <c r="J13" s="274"/>
      <c r="K13" s="274"/>
      <c r="L13" s="274"/>
      <c r="M13" s="274"/>
      <c r="N13" s="274"/>
      <c r="O13" s="274"/>
      <c r="AA13" s="1"/>
      <c r="AB13" s="124" t="s">
        <v>26</v>
      </c>
      <c r="AC13" s="121">
        <f t="shared" si="4"/>
        <v>72361</v>
      </c>
      <c r="AD13" s="121">
        <f t="shared" si="4"/>
        <v>88136</v>
      </c>
      <c r="AE13" s="121">
        <f t="shared" si="4"/>
        <v>101832</v>
      </c>
      <c r="AF13" s="121">
        <f t="shared" si="4"/>
        <v>133749</v>
      </c>
      <c r="AG13" s="121">
        <f t="shared" si="4"/>
        <v>146336.06883133948</v>
      </c>
      <c r="AH13" s="121">
        <f t="shared" si="4"/>
        <v>174134.28465320906</v>
      </c>
      <c r="AI13" s="128">
        <f t="shared" si="4"/>
        <v>212216.41219121983</v>
      </c>
      <c r="AJ13" s="1"/>
      <c r="AK13" s="75" t="s">
        <v>353</v>
      </c>
      <c r="AL13" s="76" t="s">
        <v>129</v>
      </c>
      <c r="AM13" s="77" t="s">
        <v>354</v>
      </c>
      <c r="AN13" s="79" t="s">
        <v>345</v>
      </c>
    </row>
    <row r="14" spans="2:40" ht="11.25" customHeight="1" x14ac:dyDescent="0.2">
      <c r="B14" s="54" t="s">
        <v>454</v>
      </c>
      <c r="E14" s="228" t="s">
        <v>348</v>
      </c>
      <c r="H14" s="1" t="s">
        <v>442</v>
      </c>
      <c r="AA14" s="1"/>
      <c r="AB14" s="124" t="s">
        <v>24</v>
      </c>
      <c r="AC14" s="121">
        <f t="shared" si="4"/>
        <v>9.6839640001338285</v>
      </c>
      <c r="AD14" s="121">
        <f t="shared" si="4"/>
        <v>11.80103099685345</v>
      </c>
      <c r="AE14" s="121">
        <f t="shared" si="4"/>
        <v>13.64125920964501</v>
      </c>
      <c r="AF14" s="121">
        <f t="shared" si="4"/>
        <v>17.944267793653989</v>
      </c>
      <c r="AG14" s="121">
        <f t="shared" si="4"/>
        <v>19.681468463281075</v>
      </c>
      <c r="AH14" s="121">
        <f t="shared" si="4"/>
        <v>23.435180249333349</v>
      </c>
      <c r="AI14" s="128">
        <f t="shared" si="4"/>
        <v>28.546009789178438</v>
      </c>
      <c r="AJ14" s="1"/>
      <c r="AK14" s="75" t="s">
        <v>161</v>
      </c>
      <c r="AL14" s="76" t="s">
        <v>64</v>
      </c>
      <c r="AM14" s="77" t="s">
        <v>355</v>
      </c>
      <c r="AN14" s="79" t="s">
        <v>345</v>
      </c>
    </row>
    <row r="15" spans="2:40" ht="11.25" customHeight="1" x14ac:dyDescent="0.2">
      <c r="F15" s="12"/>
      <c r="M15" s="12"/>
      <c r="AA15" s="1"/>
      <c r="AB15" s="124" t="s">
        <v>22</v>
      </c>
      <c r="AC15" s="121">
        <f t="shared" si="4"/>
        <v>2.7168447837150089</v>
      </c>
      <c r="AD15" s="121">
        <f t="shared" si="4"/>
        <v>3.0001682085786401</v>
      </c>
      <c r="AE15" s="121">
        <f t="shared" si="4"/>
        <v>3.32</v>
      </c>
      <c r="AF15" s="121">
        <f t="shared" si="4"/>
        <v>3.64</v>
      </c>
      <c r="AG15" s="121">
        <f t="shared" si="4"/>
        <v>3.772347910905351</v>
      </c>
      <c r="AH15" s="121">
        <f t="shared" si="4"/>
        <v>4.0732412536013749</v>
      </c>
      <c r="AI15" s="128">
        <f t="shared" si="4"/>
        <v>4.6334551675004878</v>
      </c>
      <c r="AJ15" s="1"/>
      <c r="AK15" s="75" t="s">
        <v>162</v>
      </c>
      <c r="AL15" s="76" t="s">
        <v>61</v>
      </c>
      <c r="AM15" s="77" t="s">
        <v>356</v>
      </c>
      <c r="AN15" s="79" t="s">
        <v>345</v>
      </c>
    </row>
    <row r="16" spans="2:40" ht="11.25" customHeight="1" x14ac:dyDescent="0.2">
      <c r="B16" s="54" t="s">
        <v>455</v>
      </c>
      <c r="E16" s="229" t="s">
        <v>44</v>
      </c>
      <c r="F16" s="12"/>
      <c r="H16" s="275" t="s">
        <v>205</v>
      </c>
      <c r="I16" s="275"/>
      <c r="J16" s="275"/>
      <c r="K16" s="275"/>
      <c r="L16" s="275"/>
      <c r="M16" s="275"/>
      <c r="N16" s="275"/>
      <c r="AA16" s="1"/>
      <c r="AB16" s="124" t="s">
        <v>20</v>
      </c>
      <c r="AC16" s="121">
        <f t="shared" ref="AC16:AI26" si="5">IF(OR(VLOOKUP($AB16,$C$28:$K$61,AC$5,0)="-",VLOOKUP($AB16,$C$28:$K$61,AC$5,0)=0),NA(),VLOOKUP($AB16,$C$28:$K$61,AC$5,0))</f>
        <v>111262</v>
      </c>
      <c r="AD16" s="121">
        <f t="shared" si="5"/>
        <v>75543</v>
      </c>
      <c r="AE16" s="121">
        <f t="shared" si="5"/>
        <v>94565</v>
      </c>
      <c r="AF16" s="121">
        <f t="shared" si="5"/>
        <v>76843</v>
      </c>
      <c r="AG16" s="121">
        <f t="shared" si="5"/>
        <v>76432.360561882524</v>
      </c>
      <c r="AH16" s="121">
        <f t="shared" si="5"/>
        <v>91971.938688740076</v>
      </c>
      <c r="AI16" s="128">
        <f t="shared" si="5"/>
        <v>137678.94892041368</v>
      </c>
      <c r="AJ16" s="1"/>
      <c r="AK16" s="75" t="s">
        <v>357</v>
      </c>
      <c r="AL16" s="76" t="s">
        <v>126</v>
      </c>
      <c r="AM16" s="77" t="s">
        <v>358</v>
      </c>
      <c r="AN16" s="79" t="s">
        <v>345</v>
      </c>
    </row>
    <row r="17" spans="1:40" ht="11.25" customHeight="1" x14ac:dyDescent="0.2">
      <c r="F17" s="3"/>
      <c r="H17" s="275"/>
      <c r="I17" s="275"/>
      <c r="J17" s="275"/>
      <c r="K17" s="275"/>
      <c r="L17" s="275"/>
      <c r="M17" s="275"/>
      <c r="N17" s="275"/>
      <c r="AA17" s="1"/>
      <c r="AB17" s="124" t="s">
        <v>18</v>
      </c>
      <c r="AC17" s="121">
        <f t="shared" si="5"/>
        <v>184257</v>
      </c>
      <c r="AD17" s="121">
        <f t="shared" si="5"/>
        <v>159734</v>
      </c>
      <c r="AE17" s="121">
        <f t="shared" si="5"/>
        <v>191131</v>
      </c>
      <c r="AF17" s="121">
        <f t="shared" si="5"/>
        <v>207710</v>
      </c>
      <c r="AG17" s="121">
        <f t="shared" si="5"/>
        <v>217427.20451296901</v>
      </c>
      <c r="AH17" s="121">
        <f t="shared" si="5"/>
        <v>251290.4494397791</v>
      </c>
      <c r="AI17" s="128">
        <f t="shared" si="5"/>
        <v>326323.59273896751</v>
      </c>
      <c r="AJ17" s="1"/>
      <c r="AK17" s="75" t="s">
        <v>163</v>
      </c>
      <c r="AL17" s="76" t="s">
        <v>143</v>
      </c>
      <c r="AM17" s="77" t="s">
        <v>359</v>
      </c>
      <c r="AN17" s="79" t="s">
        <v>345</v>
      </c>
    </row>
    <row r="18" spans="1:40" ht="11.25" customHeight="1" x14ac:dyDescent="0.2">
      <c r="A18"/>
      <c r="B18" s="87" t="s">
        <v>449</v>
      </c>
      <c r="C18" s="88"/>
      <c r="E18" s="229" t="s">
        <v>444</v>
      </c>
      <c r="I18" s="99"/>
      <c r="J18" s="99"/>
      <c r="K18" s="99"/>
      <c r="L18" s="99"/>
      <c r="M18" s="99"/>
      <c r="N18" s="71"/>
      <c r="AA18" s="1"/>
      <c r="AB18" s="124" t="s">
        <v>16</v>
      </c>
      <c r="AC18" s="121">
        <f t="shared" si="5"/>
        <v>227719</v>
      </c>
      <c r="AD18" s="121">
        <f t="shared" si="5"/>
        <v>352429</v>
      </c>
      <c r="AE18" s="121">
        <f t="shared" si="5"/>
        <v>427872</v>
      </c>
      <c r="AF18" s="121">
        <f t="shared" si="5"/>
        <v>550666</v>
      </c>
      <c r="AG18" s="121">
        <f t="shared" si="5"/>
        <v>666956.24036200554</v>
      </c>
      <c r="AH18" s="121">
        <f t="shared" si="5"/>
        <v>804918.6827088499</v>
      </c>
      <c r="AI18" s="128">
        <f t="shared" si="5"/>
        <v>990820.77975277265</v>
      </c>
      <c r="AJ18" s="1"/>
      <c r="AK18" s="75" t="s">
        <v>360</v>
      </c>
      <c r="AL18" s="76" t="s">
        <v>130</v>
      </c>
      <c r="AM18" s="77" t="s">
        <v>361</v>
      </c>
      <c r="AN18" s="79" t="s">
        <v>345</v>
      </c>
    </row>
    <row r="19" spans="1:40" ht="11.25" customHeight="1" x14ac:dyDescent="0.2">
      <c r="B19" s="150"/>
      <c r="H19" s="191" t="s">
        <v>450</v>
      </c>
      <c r="I19" s="99"/>
      <c r="J19" s="99"/>
      <c r="K19" s="99"/>
      <c r="L19" s="99"/>
      <c r="M19" s="99"/>
      <c r="N19" s="71"/>
      <c r="AA19" s="1"/>
      <c r="AB19" s="124" t="s">
        <v>14</v>
      </c>
      <c r="AC19" s="121">
        <f t="shared" si="5"/>
        <v>104149</v>
      </c>
      <c r="AD19" s="121">
        <f t="shared" si="5"/>
        <v>125286</v>
      </c>
      <c r="AE19" s="121">
        <f t="shared" si="5"/>
        <v>141218</v>
      </c>
      <c r="AF19" s="121">
        <f t="shared" si="5"/>
        <v>168825</v>
      </c>
      <c r="AG19" s="121">
        <f t="shared" si="5"/>
        <v>188107.26507309781</v>
      </c>
      <c r="AH19" s="121">
        <f t="shared" si="5"/>
        <v>215558.25651881617</v>
      </c>
      <c r="AI19" s="128">
        <f t="shared" si="5"/>
        <v>254477.67984410663</v>
      </c>
      <c r="AJ19" s="1"/>
      <c r="AK19" s="75" t="s">
        <v>164</v>
      </c>
      <c r="AL19" s="76" t="s">
        <v>62</v>
      </c>
      <c r="AM19" s="77" t="s">
        <v>63</v>
      </c>
      <c r="AN19" s="79" t="s">
        <v>345</v>
      </c>
    </row>
    <row r="20" spans="1:40" ht="11.25" customHeight="1" x14ac:dyDescent="0.2">
      <c r="C20" s="13"/>
      <c r="D20" s="89" t="s">
        <v>448</v>
      </c>
      <c r="E20" s="149"/>
      <c r="H20" s="276" t="str" cm="1">
        <f t="array" ref="H20">"Copyright © "&amp;YEAR(_xll.SNL.Clients.Office.Excel.Functions.SPGDATE())&amp;" S&amp;P Global Market Intelligence LLC (and its affiliates as applicable) – All rights reserved.  "&amp;"This model and/or any data in it are provided subject to the written agreement of S&amp;P Global Market Intelligence LLC governing the subscription service to which this model is applied."</f>
        <v>Copyright © 2026 S&amp;P Global Market Intelligence LLC (and its affiliates as applicable) – All rights reserved.  This model and/or any data in it are provided subject to the written agreement of S&amp;P Global Market Intelligence LLC governing the subscription service to which this model is applied.</v>
      </c>
      <c r="I20" s="276"/>
      <c r="J20" s="276"/>
      <c r="K20" s="276"/>
      <c r="L20" s="276"/>
      <c r="M20" s="276"/>
      <c r="N20" s="276"/>
      <c r="O20" s="276"/>
      <c r="AA20" s="1"/>
      <c r="AB20" s="124" t="s">
        <v>12</v>
      </c>
      <c r="AC20" s="121">
        <f t="shared" si="5"/>
        <v>101604</v>
      </c>
      <c r="AD20" s="121">
        <f t="shared" si="5"/>
        <v>118400</v>
      </c>
      <c r="AE20" s="121">
        <f t="shared" si="5"/>
        <v>134306</v>
      </c>
      <c r="AF20" s="121">
        <f t="shared" si="5"/>
        <v>147164</v>
      </c>
      <c r="AG20" s="121">
        <f t="shared" si="5"/>
        <v>157224.87589452305</v>
      </c>
      <c r="AH20" s="121">
        <f t="shared" si="5"/>
        <v>170249.62862701263</v>
      </c>
      <c r="AI20" s="128">
        <f t="shared" si="5"/>
        <v>198277.78132991749</v>
      </c>
      <c r="AJ20" s="1"/>
      <c r="AK20" s="75" t="s">
        <v>165</v>
      </c>
      <c r="AL20" s="76" t="s">
        <v>59</v>
      </c>
      <c r="AM20" s="77" t="s">
        <v>59</v>
      </c>
      <c r="AN20" s="79" t="s">
        <v>345</v>
      </c>
    </row>
    <row r="21" spans="1:40" ht="11.25" customHeight="1" x14ac:dyDescent="0.2">
      <c r="B21" s="196" t="s">
        <v>452</v>
      </c>
      <c r="H21" s="276"/>
      <c r="I21" s="276"/>
      <c r="J21" s="276"/>
      <c r="K21" s="276"/>
      <c r="L21" s="276"/>
      <c r="M21" s="276"/>
      <c r="N21" s="276"/>
      <c r="O21" s="276"/>
      <c r="AA21" s="1"/>
      <c r="AB21" s="124" t="s">
        <v>11</v>
      </c>
      <c r="AC21" s="121">
        <f t="shared" si="5"/>
        <v>-51297</v>
      </c>
      <c r="AD21" s="121">
        <f t="shared" si="5"/>
        <v>-8416</v>
      </c>
      <c r="AE21" s="121">
        <f t="shared" si="5"/>
        <v>-33977</v>
      </c>
      <c r="AF21" s="121">
        <f t="shared" si="5"/>
        <v>-20017</v>
      </c>
      <c r="AG21" s="121">
        <f t="shared" si="5"/>
        <v>-13032.55450139956</v>
      </c>
      <c r="AH21" s="121">
        <f t="shared" si="5"/>
        <v>-16775.178712899728</v>
      </c>
      <c r="AI21" s="128">
        <f t="shared" si="5"/>
        <v>-47697.724088561663</v>
      </c>
      <c r="AJ21" s="1"/>
      <c r="AK21" s="75" t="s">
        <v>362</v>
      </c>
      <c r="AL21" s="76" t="s">
        <v>131</v>
      </c>
      <c r="AM21" s="77" t="s">
        <v>363</v>
      </c>
      <c r="AN21" s="79" t="s">
        <v>45</v>
      </c>
    </row>
    <row r="22" spans="1:40" ht="11.25" customHeight="1" x14ac:dyDescent="0.2">
      <c r="B22" s="31"/>
      <c r="H22" s="276"/>
      <c r="I22" s="276"/>
      <c r="J22" s="276"/>
      <c r="K22" s="276"/>
      <c r="L22" s="276"/>
      <c r="M22" s="276"/>
      <c r="N22" s="276"/>
      <c r="O22" s="276"/>
      <c r="AA22" s="1"/>
      <c r="AB22" s="124" t="s">
        <v>9</v>
      </c>
      <c r="AC22" s="121">
        <f t="shared" si="5"/>
        <v>28107</v>
      </c>
      <c r="AD22" s="121">
        <f t="shared" si="5"/>
        <v>44477</v>
      </c>
      <c r="AE22" s="121">
        <f t="shared" si="5"/>
        <v>64551</v>
      </c>
      <c r="AF22" s="121">
        <f t="shared" si="5"/>
        <v>115948</v>
      </c>
      <c r="AG22" s="121">
        <f t="shared" si="5"/>
        <v>195481.70647693207</v>
      </c>
      <c r="AH22" s="121">
        <f t="shared" si="5"/>
        <v>223523.11233757038</v>
      </c>
      <c r="AI22" s="128">
        <f t="shared" si="5"/>
        <v>257861.81222154503</v>
      </c>
      <c r="AJ22" s="1"/>
      <c r="AK22" s="75" t="s">
        <v>166</v>
      </c>
      <c r="AL22" s="76" t="s">
        <v>65</v>
      </c>
      <c r="AM22" s="77" t="s">
        <v>66</v>
      </c>
      <c r="AN22" s="79" t="s">
        <v>345</v>
      </c>
    </row>
    <row r="23" spans="1:40" ht="11.25" customHeight="1" x14ac:dyDescent="0.2">
      <c r="B23" s="13"/>
      <c r="C23" s="13"/>
      <c r="D23" s="89" t="s">
        <v>438</v>
      </c>
      <c r="E23" s="169" t="s">
        <v>41</v>
      </c>
      <c r="AA23" s="1"/>
      <c r="AB23" s="124" t="s">
        <v>7</v>
      </c>
      <c r="AC23" s="121">
        <f t="shared" si="5"/>
        <v>-7923</v>
      </c>
      <c r="AD23" s="121">
        <f t="shared" si="5"/>
        <v>-3524</v>
      </c>
      <c r="AE23" s="121">
        <f t="shared" si="5"/>
        <v>-10788</v>
      </c>
      <c r="AF23" s="121">
        <f t="shared" si="5"/>
        <v>-14256</v>
      </c>
      <c r="AG23" s="121">
        <f t="shared" si="5"/>
        <v>-2648.0579548157966</v>
      </c>
      <c r="AH23" s="121">
        <f t="shared" si="5"/>
        <v>-5915.8246259915522</v>
      </c>
      <c r="AI23" s="128">
        <f t="shared" si="5"/>
        <v>-13816.389927180398</v>
      </c>
      <c r="AJ23" s="1"/>
      <c r="AK23" s="75" t="s">
        <v>167</v>
      </c>
      <c r="AL23" s="76" t="s">
        <v>111</v>
      </c>
      <c r="AM23" s="77" t="s">
        <v>364</v>
      </c>
      <c r="AN23" s="79" t="s">
        <v>45</v>
      </c>
    </row>
    <row r="24" spans="1:40" ht="11.25" customHeight="1" x14ac:dyDescent="0.2">
      <c r="B24" s="13"/>
      <c r="C24" s="13"/>
      <c r="AA24" s="1"/>
      <c r="AB24" s="124" t="s">
        <v>5</v>
      </c>
      <c r="AC24" s="121">
        <f t="shared" si="5"/>
        <v>87582</v>
      </c>
      <c r="AD24" s="121">
        <f t="shared" si="5"/>
        <v>118548</v>
      </c>
      <c r="AE24" s="121">
        <f t="shared" si="5"/>
        <v>136162</v>
      </c>
      <c r="AF24" s="121">
        <f t="shared" si="5"/>
        <v>182935</v>
      </c>
      <c r="AG24" s="121">
        <f t="shared" si="5"/>
        <v>215211.5788836318</v>
      </c>
      <c r="AH24" s="121">
        <f t="shared" si="5"/>
        <v>256160.56948950933</v>
      </c>
      <c r="AI24" s="128">
        <f t="shared" si="5"/>
        <v>308937.29252004443</v>
      </c>
      <c r="AJ24" s="1"/>
      <c r="AK24" s="75" t="s">
        <v>365</v>
      </c>
      <c r="AL24" s="76" t="s">
        <v>68</v>
      </c>
      <c r="AM24" s="77" t="s">
        <v>366</v>
      </c>
      <c r="AN24" s="79" t="s">
        <v>345</v>
      </c>
    </row>
    <row r="25" spans="1:40" ht="15.75" customHeight="1" x14ac:dyDescent="0.35">
      <c r="B25" s="172" t="str" cm="1">
        <f t="array" ref="B25">_xll.SNL.Clients.Office.Excel.Functions.SPG($E$5,"SP_COMPANY_NAME")</f>
        <v>Microsoft Corporation</v>
      </c>
      <c r="C25" s="172"/>
      <c r="K25" s="98" t="str">
        <f>"Data in ("&amp;AM1&amp;""&amp;AG33&amp;"), except per share"</f>
        <v>Data in ($M), except per share</v>
      </c>
      <c r="AA25" s="1"/>
      <c r="AB25" s="124" t="s">
        <v>460</v>
      </c>
      <c r="AC25" s="121">
        <f t="shared" si="5"/>
        <v>-22680</v>
      </c>
      <c r="AD25" s="121">
        <f t="shared" si="5"/>
        <v>-96970</v>
      </c>
      <c r="AE25" s="121">
        <f t="shared" si="5"/>
        <v>-72599</v>
      </c>
      <c r="AF25" s="121">
        <f t="shared" si="5"/>
        <v>-139500</v>
      </c>
      <c r="AG25" s="121">
        <f t="shared" si="5"/>
        <v>-189843.81925424063</v>
      </c>
      <c r="AH25" s="121">
        <f t="shared" si="5"/>
        <v>-218604.85172282899</v>
      </c>
      <c r="AI25" s="128">
        <f t="shared" si="5"/>
        <v>-252478.37202030691</v>
      </c>
      <c r="AJ25" s="1"/>
      <c r="AK25" s="75" t="s">
        <v>168</v>
      </c>
      <c r="AL25" s="76" t="s">
        <v>113</v>
      </c>
      <c r="AM25" s="77" t="s">
        <v>367</v>
      </c>
      <c r="AN25" s="79" t="s">
        <v>45</v>
      </c>
    </row>
    <row r="26" spans="1:40" ht="11.25" customHeight="1" x14ac:dyDescent="0.25">
      <c r="B26" s="173"/>
      <c r="C26" s="173"/>
      <c r="D26" s="174"/>
      <c r="E26" s="267" t="str" cm="1">
        <f t="array" ref="E26">_xll.SNL.Clients.Office.Excel.Functions.SPG($E$5,"ActualorEstimate",E$27,$E$11,_xll.SNL.Clients.Office.Excel.Functions.SPGOPTIONS("DataType",$E$23,"Src",$AI$40))</f>
        <v>A</v>
      </c>
      <c r="F26" s="175" t="str" cm="1">
        <f t="array" ref="F26">_xll.SNL.Clients.Office.Excel.Functions.SPG($E$5,"ActualorEstimate",F$27,$E$11,_xll.SNL.Clients.Office.Excel.Functions.SPGOPTIONS("DataType",$E$23,"Src",$AI$40))</f>
        <v>A</v>
      </c>
      <c r="G26" s="175" t="str" cm="1">
        <f t="array" ref="G26">_xll.SNL.Clients.Office.Excel.Functions.SPG($E$5,"ActualorEstimate",G$27,$E$11,_xll.SNL.Clients.Office.Excel.Functions.SPGOPTIONS("DataType",$E$23,"Src",$AI$40))</f>
        <v>A</v>
      </c>
      <c r="H26" s="175" t="str" cm="1">
        <f t="array" ref="H26">_xll.SNL.Clients.Office.Excel.Functions.SPG($E$5,"ActualorEstimate",H$27,$E$11,_xll.SNL.Clients.Office.Excel.Functions.SPGOPTIONS("DataType",$E$23,"Src",$AI$40))</f>
        <v>A</v>
      </c>
      <c r="I26" s="175" t="str" cm="1">
        <f t="array" ref="I26">_xll.SNL.Clients.Office.Excel.Functions.SPG($E$5,"ActualorEstimate",I$27,$E$11,_xll.SNL.Clients.Office.Excel.Functions.SPGOPTIONS("DataType",$E$23,"Src",$AI$40))</f>
        <v>E</v>
      </c>
      <c r="J26" s="175" t="str" cm="1">
        <f t="array" ref="J26">_xll.SNL.Clients.Office.Excel.Functions.SPG($E$5,"ActualorEstimate",J$27,$E$11,_xll.SNL.Clients.Office.Excel.Functions.SPGOPTIONS("DataType",$E$23,"Src",$AI$40))</f>
        <v>E</v>
      </c>
      <c r="K26" s="176" t="str" cm="1">
        <f t="array" ref="K26">_xll.SNL.Clients.Office.Excel.Functions.SPG($E$5,"ActualorEstimate",K$27,$E$11,_xll.SNL.Clients.Office.Excel.Functions.SPGOPTIONS("DataType",$E$23,"Src",$AI$40))</f>
        <v>E</v>
      </c>
      <c r="L26" s="58" t="s">
        <v>155</v>
      </c>
      <c r="M26" s="91" t="s">
        <v>151</v>
      </c>
      <c r="O26" s="271" t="s">
        <v>149</v>
      </c>
      <c r="P26" s="272"/>
      <c r="Q26" s="272"/>
      <c r="R26" s="273"/>
      <c r="AA26" s="1"/>
      <c r="AB26" s="124" t="s">
        <v>461</v>
      </c>
      <c r="AC26" s="121">
        <f t="shared" si="5"/>
        <v>-43935</v>
      </c>
      <c r="AD26" s="121">
        <f t="shared" si="5"/>
        <v>-37757</v>
      </c>
      <c r="AE26" s="121">
        <f t="shared" si="5"/>
        <v>-51699</v>
      </c>
      <c r="AF26" s="121">
        <f t="shared" si="5"/>
        <v>-52546</v>
      </c>
      <c r="AG26" s="121">
        <f t="shared" si="5"/>
        <v>-34812.238035355047</v>
      </c>
      <c r="AH26" s="121">
        <f t="shared" si="5"/>
        <v>-36917.601456709963</v>
      </c>
      <c r="AI26" s="128">
        <f t="shared" si="5"/>
        <v>-41375.214320317653</v>
      </c>
      <c r="AJ26" s="1"/>
      <c r="AK26" s="75" t="s">
        <v>169</v>
      </c>
      <c r="AL26" s="76" t="s">
        <v>69</v>
      </c>
      <c r="AM26" s="77" t="s">
        <v>368</v>
      </c>
      <c r="AN26" s="79" t="s">
        <v>345</v>
      </c>
    </row>
    <row r="27" spans="1:40" ht="11.25" customHeight="1" x14ac:dyDescent="0.25">
      <c r="B27" s="188" t="s">
        <v>201</v>
      </c>
      <c r="C27" s="184"/>
      <c r="D27" s="185"/>
      <c r="E27" s="189" t="str">
        <f>IF(OR(LEFT(F27,2)="FY",LEFT(F27,2)="CY"),LEFT(F27,2)&amp;VALUE(RIGHT(F27,4))-1,LEFT(F27,2)&amp;IF(MID(F27,3,1)="1","4",MID(F27,3,1)-1)&amp;IF(MID(F27,3,1)="1",VALUE(RIGHT(F27,4))-1,RIGHT(F27,4)))</f>
        <v>FY2023</v>
      </c>
      <c r="F27" s="189" t="str">
        <f>IF(OR(LEFT(G27,2)="FY",LEFT(G27,2)="CY"),LEFT(G27,2)&amp;VALUE(RIGHT(G27,4))-1,LEFT(G27,2)&amp;IF(MID(G27,3,1)="1","4",MID(G27,3,1)-1)&amp;IF(MID(G27,3,1)="1",VALUE(RIGHT(G27,4))-1,RIGHT(G27,4)))</f>
        <v>FY2024</v>
      </c>
      <c r="G27" s="189" t="str">
        <f>E8</f>
        <v>FY2025</v>
      </c>
      <c r="H27" s="189" t="str">
        <f>IF(MID(G27,2,1)="Q",IF(MID(G27,2,2)="Q4",LEFT(G27,2)&amp;"1"&amp;RIGHT(G27,4)+1,LEFT(G27,2)&amp;MID(G27,3,1)+1&amp;RIGHT(G27,4)),LEFT(G27,2)&amp;RIGHT(G27,4)+1)</f>
        <v>FY2026</v>
      </c>
      <c r="I27" s="189" t="str">
        <f t="shared" ref="I27:K27" si="6">IF(MID(H27,2,1)="Q",IF(MID(H27,2,2)="Q4",LEFT(H27,2)&amp;"1"&amp;RIGHT(H27,4)+1,LEFT(H27,2)&amp;MID(H27,3,1)+1&amp;RIGHT(H27,4)),LEFT(H27,2)&amp;RIGHT(H27,4)+1)</f>
        <v>FY2027</v>
      </c>
      <c r="J27" s="189" t="str">
        <f t="shared" si="6"/>
        <v>FY2028</v>
      </c>
      <c r="K27" s="192" t="str">
        <f t="shared" si="6"/>
        <v>FY2029</v>
      </c>
      <c r="AA27" s="1"/>
      <c r="AB27" s="124" t="s">
        <v>4</v>
      </c>
      <c r="AC27" s="122">
        <f t="shared" ref="AC27:AI31" si="7">IF(OR(VLOOKUP($AB27,$C$28:$K$61,AC$5,0)="-",VLOOKUP($AB27,$C$28:$K$61,AC$5,0)=0),NA(),VLOOKUP($AB27,$C$28:$K$61,AC$5,0))</f>
        <v>0.68920085883491022</v>
      </c>
      <c r="AD27" s="122">
        <f t="shared" si="7"/>
        <v>0.69764443827971379</v>
      </c>
      <c r="AE27" s="122">
        <f t="shared" si="7"/>
        <v>0.68823742386165176</v>
      </c>
      <c r="AF27" s="122">
        <f t="shared" si="7"/>
        <v>0.67944093370580316</v>
      </c>
      <c r="AG27" s="122">
        <f t="shared" si="7"/>
        <v>0.66096726356668323</v>
      </c>
      <c r="AH27" s="122">
        <f t="shared" si="7"/>
        <v>0.64938314477107317</v>
      </c>
      <c r="AI27" s="129">
        <f t="shared" si="7"/>
        <v>0.63949895628850539</v>
      </c>
      <c r="AJ27" s="1"/>
      <c r="AK27" s="75" t="s">
        <v>170</v>
      </c>
      <c r="AL27" s="76" t="s">
        <v>120</v>
      </c>
      <c r="AM27" s="77" t="s">
        <v>369</v>
      </c>
      <c r="AN27" s="79" t="s">
        <v>345</v>
      </c>
    </row>
    <row r="28" spans="1:40" ht="11.25" customHeight="1" x14ac:dyDescent="0.2">
      <c r="B28" s="87" t="s">
        <v>40</v>
      </c>
      <c r="C28" s="87" t="s">
        <v>149</v>
      </c>
      <c r="D28" s="22"/>
      <c r="E28" s="103" cm="1">
        <f t="array" ref="E28">_xll.SNL.Clients.Office.Excel.Functions.SPG($E$5,$C28,E$27,$E$11,_xll.SNL.Clients.Office.Excel.Functions.SPGOPTIONS("DataType",$E$23,"Src",$AI$40,"Mag",$AG$33,"Curr",$AL$1,"NA",""))</f>
        <v>211915</v>
      </c>
      <c r="F28" s="103" cm="1">
        <f t="array" ref="F28">_xll.SNL.Clients.Office.Excel.Functions.SPG($E$5,$C28,F$27,$E$11,_xll.SNL.Clients.Office.Excel.Functions.SPGOPTIONS("DataType",$E$23,"Src",$AI$40,"Mag",$AG$33,"Curr",$AL$1,"NA",""))</f>
        <v>245122</v>
      </c>
      <c r="G28" s="103" cm="1">
        <f t="array" ref="G28">_xll.SNL.Clients.Office.Excel.Functions.SPG($E$5,$C28,G$27,$E$11,_xll.SNL.Clients.Office.Excel.Functions.SPGOPTIONS("DataType",$E$23,"Src",$AI$40,"Mag",$AG$33,"Curr",$AL$1,"NA",""))</f>
        <v>281724</v>
      </c>
      <c r="H28" s="103" cm="1">
        <f t="array" ref="H28">_xll.SNL.Clients.Office.Excel.Functions.SPG($E$5,$C28,H$27,$E$11,_xll.SNL.Clients.Office.Excel.Functions.SPGOPTIONS("DataType",$E$23,"Src",$AI$40,"Mag",$AG$33,"Curr",$AL$1,"NA",""))</f>
        <v>331839</v>
      </c>
      <c r="I28" s="103" cm="1">
        <f t="array" ref="I28">_xll.SNL.Clients.Office.Excel.Functions.SPG($E$5,$C28,I$27,$E$11,_xll.SNL.Clients.Office.Excel.Functions.SPGOPTIONS("DataType",$E$23,"Src",$AI$40,"Mag",$AG$33,"Curr",$AL$1,"NA",""))</f>
        <v>391146.93971606396</v>
      </c>
      <c r="J28" s="103" cm="1">
        <f t="array" ref="J28">_xll.SNL.Clients.Office.Excel.Functions.SPG($E$5,$C28,J$27,$E$11,_xll.SNL.Clients.Office.Excel.Functions.SPGOPTIONS("DataType",$E$23,"Src",$AI$40,"Mag",$AG$33,"Curr",$AL$1,"NA",""))</f>
        <v>467637.4691217253</v>
      </c>
      <c r="K28" s="243" cm="1">
        <f t="array" ref="K28">_xll.SNL.Clients.Office.Excel.Functions.SPG($E$5,$C28,K$27,$E$11,_xll.SNL.Clients.Office.Excel.Functions.SPGOPTIONS("DataType",$E$23,"Src",$AI$40,"Mag",$AG$33,"Curr",$AL$1,"NA",""))</f>
        <v>568944.84627187508</v>
      </c>
      <c r="L28" s="6"/>
      <c r="M28" s="6"/>
      <c r="AA28" s="1"/>
      <c r="AB28" s="124" t="s">
        <v>3</v>
      </c>
      <c r="AC28" s="122">
        <f t="shared" si="7"/>
        <v>0.10739683363612769</v>
      </c>
      <c r="AD28" s="122">
        <f t="shared" si="7"/>
        <v>0.13081241177862452</v>
      </c>
      <c r="AE28" s="122">
        <f t="shared" si="7"/>
        <v>0.11669932274140647</v>
      </c>
      <c r="AF28" s="122">
        <f t="shared" si="7"/>
        <v>8.0490840437682121E-2</v>
      </c>
      <c r="AG28" s="122">
        <f t="shared" si="7"/>
        <v>9.5265139166155699E-2</v>
      </c>
      <c r="AH28" s="122">
        <f t="shared" si="7"/>
        <v>8.9306328732795204E-2</v>
      </c>
      <c r="AI28" s="129">
        <f t="shared" si="7"/>
        <v>8.3192460518186878E-2</v>
      </c>
      <c r="AJ28" s="1"/>
      <c r="AK28" s="75" t="s">
        <v>370</v>
      </c>
      <c r="AL28" s="76" t="s">
        <v>371</v>
      </c>
      <c r="AM28" s="77" t="s">
        <v>372</v>
      </c>
      <c r="AN28" s="79" t="s">
        <v>345</v>
      </c>
    </row>
    <row r="29" spans="1:40" ht="11.25" customHeight="1" x14ac:dyDescent="0.2">
      <c r="B29" s="87" t="s">
        <v>150</v>
      </c>
      <c r="C29" s="87"/>
      <c r="D29" s="7"/>
      <c r="E29" s="96"/>
      <c r="F29" s="97" cm="1">
        <f t="array" ref="F29">IF(OR(LEFT($E$8,2)="FY",LEFT($E$8,2)="CY"),IFERROR(F28/E28-1,"-"),IF(OR(LEFT($E$8,2)="FQ",LEFT($E$8,2)="CQ"),IFERROR(F28/_xll.SNL.Clients.Office.Excel.Functions.SPG($E$5,$C28,LEFT(F$27,3)&amp;(RIGHT(F$27,4)-1),$E$11,_xll.SNL.Clients.Office.Excel.Functions.SPGOPTIONS("DataType",$E$23,"Src",$AI$40,"Mag",$AG$33,"Curr",$AL$1,"NA",""))-1,"-"),"-"))</f>
        <v>0.1566996201307127</v>
      </c>
      <c r="G29" s="97" cm="1">
        <f t="array" ref="G29">IF(OR(LEFT($E$8,2)="FY",LEFT($E$8,2)="CY"),IFERROR(G28/F28-1,"-"),IF(OR(LEFT($E$8,2)="FQ",LEFT($E$8,2)="CQ"),IFERROR(G28/_xll.SNL.Clients.Office.Excel.Functions.SPG($E$5,$C28,LEFT(G$27,3)&amp;(RIGHT(G$27,4)-1),$E$11,_xll.SNL.Clients.Office.Excel.Functions.SPGOPTIONS("DataType",$E$23,"Src",$AI$40,"Mag",$AG$33,"Curr",$AL$1,"NA",""))-1,"-"),"-"))</f>
        <v>0.14932156232406713</v>
      </c>
      <c r="H29" s="97" cm="1">
        <f t="array" ref="H29">IF(OR(LEFT($E$8,2)="FY",LEFT($E$8,2)="CY"),IFERROR(H28/G28-1,"-"),IF(OR(LEFT($E$8,2)="FQ",LEFT($E$8,2)="CQ"),IFERROR(H28/_xll.SNL.Clients.Office.Excel.Functions.SPG($E$5,$C28,LEFT(H$27,3)&amp;(RIGHT(H$27,4)-1),$E$11,_xll.SNL.Clients.Office.Excel.Functions.SPGOPTIONS("DataType",$E$23,"Src",$AI$40,"Mag",$AG$33,"Curr",$AL$1,"NA",""))-1,"-"),"-"))</f>
        <v>0.17788686799846665</v>
      </c>
      <c r="I29" s="97" cm="1">
        <f t="array" ref="I29">IF(OR(LEFT($E$8,2)="FY",LEFT($E$8,2)="CY"),IFERROR(I28/H28-1,"-"),IF(OR(LEFT($E$8,2)="FQ",LEFT($E$8,2)="CQ"),IFERROR(I28/_xll.SNL.Clients.Office.Excel.Functions.SPG($E$5,$C28,LEFT(I$27,3)&amp;(RIGHT(I$27,4)-1),$E$11,_xll.SNL.Clients.Office.Excel.Functions.SPGOPTIONS("DataType",$E$23,"Src",$AI$40,"Mag",$AG$33,"Curr",$AL$1,"NA",""))-1,"-"),"-"))</f>
        <v>0.17872504351828433</v>
      </c>
      <c r="J29" s="97" cm="1">
        <f t="array" ref="J29">IF(OR(LEFT($E$8,2)="FY",LEFT($E$8,2)="CY"),IFERROR(J28/I28-1,"-"),IF(OR(LEFT($E$8,2)="FQ",LEFT($E$8,2)="CQ"),IFERROR(J28/_xll.SNL.Clients.Office.Excel.Functions.SPG($E$5,$C28,LEFT(J$27,3)&amp;(RIGHT(J$27,4)-1),$E$11,_xll.SNL.Clients.Office.Excel.Functions.SPGOPTIONS("DataType",$E$23,"Src",$AI$40,"Mag",$AG$33,"Curr",$AL$1,"NA",""))-1,"-"),"-"))</f>
        <v>0.19555446211898353</v>
      </c>
      <c r="K29" s="244" cm="1">
        <f t="array" ref="K29">IF(OR(LEFT($E$8,2)="FY",LEFT($E$8,2)="CY"),IFERROR(K28/J28-1,"-"),IF(OR(LEFT($E$8,2)="FQ",LEFT($E$8,2)="CQ"),IFERROR(K28/_xll.SNL.Clients.Office.Excel.Functions.SPG($E$5,$C28,LEFT(K$27,3)&amp;(RIGHT(K$27,4)-1),$E$11,_xll.SNL.Clients.Office.Excel.Functions.SPGOPTIONS("DataType",$E$23,"Src",$AI$40,"Mag",$AG$33,"Curr",$AL$1,"NA",""))-1,"-"),"-"))</f>
        <v>0.21663656964959666</v>
      </c>
      <c r="L29" s="6"/>
      <c r="M29" s="6"/>
      <c r="AA29" s="1"/>
      <c r="AB29" s="124" t="s">
        <v>2</v>
      </c>
      <c r="AC29" s="122">
        <f t="shared" si="7"/>
        <v>0.42325460679989618</v>
      </c>
      <c r="AD29" s="122">
        <f t="shared" si="7"/>
        <v>0.44644299573273721</v>
      </c>
      <c r="AE29" s="122">
        <f t="shared" si="7"/>
        <v>0.45621956240859851</v>
      </c>
      <c r="AF29" s="122">
        <f t="shared" si="7"/>
        <v>0.46780593880862203</v>
      </c>
      <c r="AG29" s="122">
        <f t="shared" si="7"/>
        <v>0.46439393070145207</v>
      </c>
      <c r="AH29" s="122">
        <f t="shared" si="7"/>
        <v>0.46258442256515631</v>
      </c>
      <c r="AI29" s="129">
        <f t="shared" si="7"/>
        <v>0.46421320824808604</v>
      </c>
      <c r="AJ29" s="1"/>
      <c r="AK29" s="75" t="s">
        <v>373</v>
      </c>
      <c r="AL29" s="76" t="s">
        <v>374</v>
      </c>
      <c r="AM29" s="77" t="s">
        <v>375</v>
      </c>
      <c r="AN29" s="79" t="s">
        <v>345</v>
      </c>
    </row>
    <row r="30" spans="1:40" ht="11.25" customHeight="1" x14ac:dyDescent="0.2">
      <c r="B30" s="87" t="s">
        <v>39</v>
      </c>
      <c r="C30" s="87" t="s">
        <v>38</v>
      </c>
      <c r="D30" s="22"/>
      <c r="E30" s="103" cm="1">
        <f t="array" ref="E30">_xll.SNL.Clients.Office.Excel.Functions.SPG($E$5,$C30,E$27,$E$11,_xll.SNL.Clients.Office.Excel.Functions.SPGOPTIONS("DataType",$E$23,"Src",$AI$40,"Mag",$AG$33,"Curr",$AL$1,"NA",""))</f>
        <v>146052</v>
      </c>
      <c r="F30" s="103" cm="1">
        <f t="array" ref="F30">_xll.SNL.Clients.Office.Excel.Functions.SPG($E$5,$C30,F$27,$E$11,_xll.SNL.Clients.Office.Excel.Functions.SPGOPTIONS("DataType",$E$23,"Src",$AI$40,"Mag",$AG$33,"Curr",$AL$1,"NA",""))</f>
        <v>171008</v>
      </c>
      <c r="G30" s="103" cm="1">
        <f t="array" ref="G30">_xll.SNL.Clients.Office.Excel.Functions.SPG($E$5,$C30,G$27,$E$11,_xll.SNL.Clients.Office.Excel.Functions.SPGOPTIONS("DataType",$E$23,"Src",$AI$40,"Mag",$AG$33,"Curr",$AL$1,"NA",""))</f>
        <v>193893</v>
      </c>
      <c r="H30" s="103" cm="1">
        <f t="array" ref="H30">_xll.SNL.Clients.Office.Excel.Functions.SPG($E$5,$C30,H$27,$E$11,_xll.SNL.Clients.Office.Excel.Functions.SPGOPTIONS("DataType",$E$23,"Src",$AI$40,"Mag",$AG$33,"Curr",$AL$1,"NA",""))</f>
        <v>225465</v>
      </c>
      <c r="I30" s="103" cm="1">
        <f t="array" ref="I30">_xll.SNL.Clients.Office.Excel.Functions.SPG($E$5,$C30,I$27,$E$11,_xll.SNL.Clients.Office.Excel.Functions.SPGOPTIONS("DataType",$E$23,"Src",$AI$40,"Mag",$AG$33,"Curr",$AL$1,"NA",""))</f>
        <v>258531.27703226585</v>
      </c>
      <c r="J30" s="103" cm="1">
        <f t="array" ref="J30">_xll.SNL.Clients.Office.Excel.Functions.SPG($E$5,$C30,J$27,$E$11,_xll.SNL.Clients.Office.Excel.Functions.SPGOPTIONS("DataType",$E$23,"Src",$AI$40,"Mag",$AG$33,"Curr",$AL$1,"NA",""))</f>
        <v>303584.18424611929</v>
      </c>
      <c r="K30" s="245" cm="1">
        <f t="array" ref="K30">_xll.SNL.Clients.Office.Excel.Functions.SPG($E$5,$C30,K$27,$E$11,_xll.SNL.Clients.Office.Excel.Functions.SPGOPTIONS("DataType",$E$23,"Src",$AI$40,"Mag",$AG$33,"Curr",$AL$1,"NA",""))</f>
        <v>363586.46031852491</v>
      </c>
      <c r="L30" s="6"/>
      <c r="M30" s="6"/>
      <c r="AA30" s="1"/>
      <c r="AB30" s="124" t="s">
        <v>1</v>
      </c>
      <c r="AC30" s="122">
        <f t="shared" si="7"/>
        <v>0.48866290729773731</v>
      </c>
      <c r="AD30" s="122">
        <f t="shared" si="7"/>
        <v>0.53736506719103139</v>
      </c>
      <c r="AE30" s="122">
        <f t="shared" si="7"/>
        <v>0.57744814073348383</v>
      </c>
      <c r="AF30" s="122">
        <f t="shared" si="7"/>
        <v>0.59873745470676021</v>
      </c>
      <c r="AG30" s="122">
        <f t="shared" si="7"/>
        <v>0.60872104528109827</v>
      </c>
      <c r="AH30" s="122">
        <f t="shared" si="7"/>
        <v>0.61717466798288978</v>
      </c>
      <c r="AI30" s="129">
        <f t="shared" si="7"/>
        <v>0.63279551225718766</v>
      </c>
      <c r="AJ30" s="1"/>
      <c r="AK30" s="75" t="s">
        <v>171</v>
      </c>
      <c r="AL30" s="76" t="s">
        <v>132</v>
      </c>
      <c r="AM30" s="77" t="s">
        <v>376</v>
      </c>
      <c r="AN30" s="79" t="s">
        <v>345</v>
      </c>
    </row>
    <row r="31" spans="1:40" ht="11.25" customHeight="1" x14ac:dyDescent="0.2">
      <c r="B31" s="5" t="s">
        <v>37</v>
      </c>
      <c r="C31" s="5" t="s">
        <v>36</v>
      </c>
      <c r="D31" s="22"/>
      <c r="E31" s="103" cm="1">
        <f t="array" ref="E31">_xll.SNL.Clients.Office.Excel.Functions.SPG($E$5,$C31,E$27,$E$11,_xll.SNL.Clients.Office.Excel.Functions.SPGOPTIONS("DataType",$E$23,"Src",$AI$40,"Mag",$AG$33,"Curr",$AL$1,"NA",""))</f>
        <v>30334</v>
      </c>
      <c r="F31" s="103" cm="1">
        <f t="array" ref="F31">_xll.SNL.Clients.Office.Excel.Functions.SPG($E$5,$C31,F$27,$E$11,_xll.SNL.Clients.Office.Excel.Functions.SPGOPTIONS("DataType",$E$23,"Src",$AI$40,"Mag",$AG$33,"Curr",$AL$1,"NA",""))</f>
        <v>32065</v>
      </c>
      <c r="G31" s="103" cm="1">
        <f t="array" ref="G31">_xll.SNL.Clients.Office.Excel.Functions.SPG($E$5,$C31,G$27,$E$11,_xll.SNL.Clients.Office.Excel.Functions.SPGOPTIONS("DataType",$E$23,"Src",$AI$40,"Mag",$AG$33,"Curr",$AL$1,"NA",""))</f>
        <v>32877</v>
      </c>
      <c r="H31" s="103" cm="1">
        <f t="array" ref="H31">_xll.SNL.Clients.Office.Excel.Functions.SPG($E$5,$C31,H$27,$E$11,_xll.SNL.Clients.Office.Excel.Functions.SPGOPTIONS("DataType",$E$23,"Src",$AI$40,"Mag",$AG$33,"Curr",$AL$1,"NA",""))</f>
        <v>26710</v>
      </c>
      <c r="I31" s="103" cm="1">
        <f t="array" ref="I31">_xll.SNL.Clients.Office.Excel.Functions.SPG($E$5,$C31,I$27,$E$11,_xll.SNL.Clients.Office.Excel.Functions.SPGOPTIONS("DataType",$E$23,"Src",$AI$40,"Mag",$AG$33,"Curr",$AL$1,"NA",""))</f>
        <v>37250.703605783703</v>
      </c>
      <c r="J31" s="103" cm="1">
        <f t="array" ref="J31">_xll.SNL.Clients.Office.Excel.Functions.SPG($E$5,$C31,J$27,$E$11,_xll.SNL.Clients.Office.Excel.Functions.SPGOPTIONS("DataType",$E$23,"Src",$AI$40,"Mag",$AG$33,"Curr",$AL$1,"NA",""))</f>
        <v>41663.24535217345</v>
      </c>
      <c r="K31" s="245" cm="1">
        <f t="array" ref="K31">_xll.SNL.Clients.Office.Excel.Functions.SPG($E$5,$C31,K$27,$E$11,_xll.SNL.Clients.Office.Excel.Functions.SPGOPTIONS("DataType",$E$23,"Src",$AI$40,"Mag",$AG$33,"Curr",$AL$1,"NA",""))</f>
        <v>47095.313757898388</v>
      </c>
      <c r="L31" s="6"/>
      <c r="AA31" s="1"/>
      <c r="AB31" s="130" t="s">
        <v>0</v>
      </c>
      <c r="AC31" s="131">
        <f t="shared" si="7"/>
        <v>0.34592480428216171</v>
      </c>
      <c r="AD31" s="131">
        <f t="shared" si="7"/>
        <v>0.35955972944084985</v>
      </c>
      <c r="AE31" s="131">
        <f t="shared" si="7"/>
        <v>0.3743096079851202</v>
      </c>
      <c r="AF31" s="131">
        <f t="shared" si="7"/>
        <v>0.38809784262850355</v>
      </c>
      <c r="AG31" s="131">
        <f t="shared" si="7"/>
        <v>0.37527445768714784</v>
      </c>
      <c r="AH31" s="131">
        <f t="shared" si="7"/>
        <v>0.37338368023253793</v>
      </c>
      <c r="AI31" s="132">
        <f t="shared" si="7"/>
        <v>0.37335806926551846</v>
      </c>
      <c r="AJ31" s="1"/>
      <c r="AK31" s="75" t="s">
        <v>172</v>
      </c>
      <c r="AL31" s="76" t="s">
        <v>70</v>
      </c>
      <c r="AM31" s="77" t="s">
        <v>377</v>
      </c>
      <c r="AN31" s="79" t="s">
        <v>345</v>
      </c>
    </row>
    <row r="32" spans="1:40" ht="11.25" customHeight="1" x14ac:dyDescent="0.2">
      <c r="B32" s="5" t="s">
        <v>35</v>
      </c>
      <c r="C32" s="5" t="s">
        <v>34</v>
      </c>
      <c r="D32" s="22"/>
      <c r="E32" s="103" cm="1">
        <f t="array" ref="E32">_xll.SNL.Clients.Office.Excel.Functions.SPG($E$5,$C32,E$27,$E$11,_xll.SNL.Clients.Office.Excel.Functions.SPGOPTIONS("DataType",$E$23,"Src",$AI$40,"Mag",$AG$33,"Curr",$AL$1,"NA",""))</f>
        <v>57529</v>
      </c>
      <c r="F32" s="103" cm="1">
        <f t="array" ref="F32">_xll.SNL.Clients.Office.Excel.Functions.SPG($E$5,$C32,F$27,$E$11,_xll.SNL.Clients.Office.Excel.Functions.SPGOPTIONS("DataType",$E$23,"Src",$AI$40,"Mag",$AG$33,"Curr",$AL$1,"NA",""))</f>
        <v>61575</v>
      </c>
      <c r="G32" s="103" cm="1">
        <f t="array" ref="G32">_xll.SNL.Clients.Office.Excel.Functions.SPG($E$5,$C32,G$27,$E$11,_xll.SNL.Clients.Office.Excel.Functions.SPGOPTIONS("DataType",$E$23,"Src",$AI$40,"Mag",$AG$33,"Curr",$AL$1,"NA",""))</f>
        <v>65365</v>
      </c>
      <c r="H32" s="103" cm="1">
        <f t="array" ref="H32">_xll.SNL.Clients.Office.Excel.Functions.SPG($E$5,$C32,H$27,$E$11,_xll.SNL.Clients.Office.Excel.Functions.SPGOPTIONS("DataType",$E$23,"Src",$AI$40,"Mag",$AG$33,"Curr",$AL$1,"NA",""))</f>
        <v>70228</v>
      </c>
      <c r="I32" s="103" cm="1">
        <f t="array" ref="I32">_xll.SNL.Clients.Office.Excel.Functions.SPG($E$5,$C32,I$27,$E$11,_xll.SNL.Clients.Office.Excel.Functions.SPGOPTIONS("DataType",$E$23,"Src",$AI$40,"Mag",$AG$33,"Curr",$AL$1,"NA",""))</f>
        <v>76784.759863418585</v>
      </c>
      <c r="J32" s="103" cm="1">
        <f t="array" ref="J32">_xll.SNL.Clients.Office.Excel.Functions.SPG($E$5,$C32,J$27,$E$11,_xll.SNL.Clients.Office.Excel.Functions.SPGOPTIONS("DataType",$E$23,"Src",$AI$40,"Mag",$AG$33,"Curr",$AL$1,"NA",""))</f>
        <v>87159.935350929285</v>
      </c>
      <c r="K32" s="245" cm="1">
        <f t="array" ref="K32">_xll.SNL.Clients.Office.Excel.Functions.SPG($E$5,$C32,K$27,$E$11,_xll.SNL.Clients.Office.Excel.Functions.SPGOPTIONS("DataType",$E$23,"Src",$AI$40,"Mag",$AG$33,"Curr",$AL$1,"NA",""))</f>
        <v>99208.301586092362</v>
      </c>
      <c r="L32" s="6"/>
      <c r="AK32" s="75" t="s">
        <v>378</v>
      </c>
      <c r="AL32" s="76" t="s">
        <v>133</v>
      </c>
      <c r="AM32" s="77" t="s">
        <v>379</v>
      </c>
      <c r="AN32" s="79" t="s">
        <v>345</v>
      </c>
    </row>
    <row r="33" spans="2:40" ht="11.25" customHeight="1" x14ac:dyDescent="0.25">
      <c r="B33" s="5" t="s">
        <v>33</v>
      </c>
      <c r="C33" s="5" t="s">
        <v>32</v>
      </c>
      <c r="D33" s="22"/>
      <c r="E33" s="103" cm="1">
        <f t="array" ref="E33">_xll.SNL.Clients.Office.Excel.Functions.SPG($E$5,$C33,E$27,$E$11,_xll.SNL.Clients.Office.Excel.Functions.SPGOPTIONS("DataType",$E$23,"Src",$AI$40,"Mag",$AG$33,"Curr",$AL$1,"NA",""))</f>
        <v>88523</v>
      </c>
      <c r="F33" s="103" cm="1">
        <f t="array" ref="F33">_xll.SNL.Clients.Office.Excel.Functions.SPG($E$5,$C33,F$27,$E$11,_xll.SNL.Clients.Office.Excel.Functions.SPGOPTIONS("DataType",$E$23,"Src",$AI$40,"Mag",$AG$33,"Curr",$AL$1,"NA",""))</f>
        <v>109433</v>
      </c>
      <c r="G33" s="103" cm="1">
        <f t="array" ref="G33">_xll.SNL.Clients.Office.Excel.Functions.SPG($E$5,$C33,G$27,$E$11,_xll.SNL.Clients.Office.Excel.Functions.SPGOPTIONS("DataType",$E$23,"Src",$AI$40,"Mag",$AG$33,"Curr",$AL$1,"NA",""))</f>
        <v>128528</v>
      </c>
      <c r="H33" s="103" cm="1">
        <f t="array" ref="H33">_xll.SNL.Clients.Office.Excel.Functions.SPG($E$5,$C33,H$27,$E$11,_xll.SNL.Clients.Office.Excel.Functions.SPGOPTIONS("DataType",$E$23,"Src",$AI$40,"Mag",$AG$33,"Curr",$AL$1,"NA",""))</f>
        <v>155237</v>
      </c>
      <c r="I33" s="103" cm="1">
        <f t="array" ref="I33">_xll.SNL.Clients.Office.Excel.Functions.SPG($E$5,$C33,I$27,$E$11,_xll.SNL.Clients.Office.Excel.Functions.SPGOPTIONS("DataType",$E$23,"Src",$AI$40,"Mag",$AG$33,"Curr",$AL$1,"NA",""))</f>
        <v>181653.64593485947</v>
      </c>
      <c r="J33" s="103" cm="1">
        <f t="array" ref="J33">_xll.SNL.Clients.Office.Excel.Functions.SPG($E$5,$C33,J$27,$E$11,_xll.SNL.Clients.Office.Excel.Functions.SPGOPTIONS("DataType",$E$23,"Src",$AI$40,"Mag",$AG$33,"Curr",$AL$1,"NA",""))</f>
        <v>216163.43525713115</v>
      </c>
      <c r="K33" s="245" cm="1">
        <f t="array" ref="K33">_xll.SNL.Clients.Office.Excel.Functions.SPG($E$5,$C33,K$27,$E$11,_xll.SNL.Clients.Office.Excel.Functions.SPGOPTIONS("DataType",$E$23,"Src",$AI$40,"Mag",$AG$33,"Curr",$AL$1,"NA",""))</f>
        <v>263481.43820750865</v>
      </c>
      <c r="L33" s="6"/>
      <c r="AB33" s="167" t="s">
        <v>225</v>
      </c>
      <c r="AC33" s="30"/>
      <c r="AD33" s="116" t="s">
        <v>329</v>
      </c>
      <c r="AF33" s="137" t="str">
        <f>$E$16</f>
        <v>Millions</v>
      </c>
      <c r="AG33" s="138" t="str">
        <f>VLOOKUP(AF33,$AF$35:$AG$39,2,0)</f>
        <v>M</v>
      </c>
      <c r="AK33" s="75" t="s">
        <v>380</v>
      </c>
      <c r="AL33" s="76" t="s">
        <v>116</v>
      </c>
      <c r="AM33" s="77" t="s">
        <v>381</v>
      </c>
      <c r="AN33" s="79" t="s">
        <v>345</v>
      </c>
    </row>
    <row r="34" spans="2:40" ht="11.25" customHeight="1" x14ac:dyDescent="0.25">
      <c r="B34" s="5" t="s">
        <v>31</v>
      </c>
      <c r="C34" s="5" t="s">
        <v>30</v>
      </c>
      <c r="D34" s="22"/>
      <c r="E34" s="103" cm="1">
        <f t="array" ref="E34">_xll.SNL.Clients.Office.Excel.Functions.SPG($E$5,$C34,E$27,$E$11,_xll.SNL.Clients.Office.Excel.Functions.SPGOPTIONS("DataType",$E$23,"Src",$AI$40,"Mag",$AG$33,"Curr",$AL$1,"NA",""))</f>
        <v>102384</v>
      </c>
      <c r="F34" s="103" cm="1">
        <f t="array" ref="F34">_xll.SNL.Clients.Office.Excel.Functions.SPG($E$5,$C34,F$27,$E$11,_xll.SNL.Clients.Office.Excel.Functions.SPGOPTIONS("DataType",$E$23,"Src",$AI$40,"Mag",$AG$33,"Curr",$AL$1,"NA",""))</f>
        <v>131720</v>
      </c>
      <c r="G34" s="103" cm="1">
        <f t="array" ref="G34">_xll.SNL.Clients.Office.Excel.Functions.SPG($E$5,$C34,G$27,$E$11,_xll.SNL.Clients.Office.Excel.Functions.SPGOPTIONS("DataType",$E$23,"Src",$AI$40,"Mag",$AG$33,"Curr",$AL$1,"NA",""))</f>
        <v>157961</v>
      </c>
      <c r="H34" s="103" cm="1">
        <f t="array" ref="H34">_xll.SNL.Clients.Office.Excel.Functions.SPG($E$5,$C34,H$27,$E$11,_xll.SNL.Clients.Office.Excel.Functions.SPGOPTIONS("DataType",$E$23,"Src",$AI$40,"Mag",$AG$33,"Curr",$AL$1,"NA",""))</f>
        <v>198685</v>
      </c>
      <c r="I34" s="103" cm="1">
        <f t="array" ref="I34">_xll.SNL.Clients.Office.Excel.Functions.SPG($E$5,$C34,I$27,$E$11,_xll.SNL.Clients.Office.Excel.Functions.SPGOPTIONS("DataType",$E$23,"Src",$AI$40,"Mag",$AG$33,"Curr",$AL$1,"NA",""))</f>
        <v>238124.88516509</v>
      </c>
      <c r="J34" s="103" cm="1">
        <f t="array" ref="J34">_xll.SNL.Clients.Office.Excel.Functions.SPG($E$5,$C34,J$27,$E$11,_xll.SNL.Clients.Office.Excel.Functions.SPGOPTIONS("DataType",$E$23,"Src",$AI$40,"Mag",$AG$33,"Curr",$AL$1,"NA",""))</f>
        <v>288816.91347706056</v>
      </c>
      <c r="K34" s="245" cm="1">
        <f t="array" ref="K34">_xll.SNL.Clients.Office.Excel.Functions.SPG($E$5,$C34,K$27,$E$11,_xll.SNL.Clients.Office.Excel.Functions.SPGOPTIONS("DataType",$E$23,"Src",$AI$40,"Mag",$AG$33,"Curr",$AL$1,"NA",""))</f>
        <v>361803.9901733544</v>
      </c>
      <c r="L34" s="6"/>
      <c r="AB34" s="164" t="s">
        <v>219</v>
      </c>
      <c r="AC34" s="163"/>
      <c r="AD34" s="134" t="str" cm="1">
        <f t="array" ref="AD34">IF(OR(PeerAnalysis!$E13="",_xll.SNL.Clients.Office.Excel.Functions.SPG(PeerAnalysis!$E13,"SP_ENTITY_ID")="#INVALID COMPANY ID"),"",_xll.SNL.Clients.Office.Excel.Functions.SPG(PeerAnalysis!$E13,"SP_ENTITY_ID"))</f>
        <v>4633618</v>
      </c>
      <c r="AF34" s="139" t="s">
        <v>42</v>
      </c>
      <c r="AG34" s="140" t="s">
        <v>146</v>
      </c>
      <c r="AI34" s="116" t="s">
        <v>443</v>
      </c>
      <c r="AK34" s="75" t="s">
        <v>382</v>
      </c>
      <c r="AL34" s="76" t="s">
        <v>114</v>
      </c>
      <c r="AM34" s="77" t="s">
        <v>383</v>
      </c>
      <c r="AN34" s="79" t="s">
        <v>345</v>
      </c>
    </row>
    <row r="35" spans="2:40" ht="11.25" customHeight="1" x14ac:dyDescent="0.2">
      <c r="B35" s="5" t="s">
        <v>29</v>
      </c>
      <c r="C35" s="5" t="s">
        <v>28</v>
      </c>
      <c r="D35" s="22"/>
      <c r="E35" s="103" cm="1">
        <f t="array" ref="E35">_xll.SNL.Clients.Office.Excel.Functions.SPG($E$5,$C35,E$27,$E$11,_xll.SNL.Clients.Office.Excel.Functions.SPGOPTIONS("DataType",$E$23,"Src",$AI$40,"Mag",$AG$33,"Curr",$AL$1,"NA",""))</f>
        <v>90482</v>
      </c>
      <c r="F35" s="103" cm="1">
        <f t="array" ref="F35">_xll.SNL.Clients.Office.Excel.Functions.SPG($E$5,$C35,F$27,$E$11,_xll.SNL.Clients.Office.Excel.Functions.SPGOPTIONS("DataType",$E$23,"Src",$AI$40,"Mag",$AG$33,"Curr",$AL$1,"NA",""))</f>
        <v>107787</v>
      </c>
      <c r="G35" s="103" cm="1">
        <f t="array" ref="G35">_xll.SNL.Clients.Office.Excel.Functions.SPG($E$5,$C35,G$27,$E$11,_xll.SNL.Clients.Office.Excel.Functions.SPGOPTIONS("DataType",$E$23,"Src",$AI$40,"Mag",$AG$33,"Curr",$AL$1,"NA",""))</f>
        <v>128390</v>
      </c>
      <c r="H35" s="103" cm="1">
        <f t="array" ref="H35">_xll.SNL.Clients.Office.Excel.Functions.SPG($E$5,$C35,H$27,$E$11,_xll.SNL.Clients.Office.Excel.Functions.SPGOPTIONS("DataType",$E$23,"Src",$AI$40,"Mag",$AG$33,"Curr",$AL$1,"NA",""))</f>
        <v>160709.72</v>
      </c>
      <c r="I35" s="103" cm="1">
        <f t="array" ref="I35">_xll.SNL.Clients.Office.Excel.Functions.SPG($E$5,$C35,I$27,$E$11,_xll.SNL.Clients.Office.Excel.Functions.SPGOPTIONS("DataType",$E$23,"Src",$AI$40,"Mag",$AG$33,"Curr",$AL$1,"NA",""))</f>
        <v>182893.39447856374</v>
      </c>
      <c r="J35" s="103" cm="1">
        <f t="array" ref="J35">_xll.SNL.Clients.Office.Excel.Functions.SPG($E$5,$C35,J$27,$E$11,_xll.SNL.Clients.Office.Excel.Functions.SPGOPTIONS("DataType",$E$23,"Src",$AI$40,"Mag",$AG$33,"Curr",$AL$1,"NA",""))</f>
        <v>217228.82706059195</v>
      </c>
      <c r="K35" s="245" cm="1">
        <f t="array" ref="K35">_xll.SNL.Clients.Office.Excel.Functions.SPG($E$5,$C35,K$27,$E$11,_xll.SNL.Clients.Office.Excel.Functions.SPGOPTIONS("DataType",$E$23,"Src",$AI$40,"Mag",$AG$33,"Curr",$AL$1,"NA",""))</f>
        <v>264678.57782417338</v>
      </c>
      <c r="L35" s="6"/>
      <c r="AB35" s="165" t="s">
        <v>220</v>
      </c>
      <c r="AC35" s="30"/>
      <c r="AD35" s="135" t="str" cm="1">
        <f t="array" ref="AD35">IF(OR(PeerAnalysis!$E14="",_xll.SNL.Clients.Office.Excel.Functions.SPG(PeerAnalysis!$E14,"SP_ENTITY_ID")="#INVALID COMPANY ID"),"",_xll.SNL.Clients.Office.Excel.Functions.SPG(PeerAnalysis!$E14,"SP_ENTITY_ID"))</f>
        <v>4041363</v>
      </c>
      <c r="AF35" s="141" t="s">
        <v>46</v>
      </c>
      <c r="AG35" s="142" t="s">
        <v>47</v>
      </c>
      <c r="AI35" s="148" t="s">
        <v>444</v>
      </c>
      <c r="AK35" s="75" t="s">
        <v>174</v>
      </c>
      <c r="AL35" s="76" t="s">
        <v>75</v>
      </c>
      <c r="AM35" s="77" t="s">
        <v>76</v>
      </c>
      <c r="AN35" s="79" t="s">
        <v>345</v>
      </c>
    </row>
    <row r="36" spans="2:40" ht="11.25" customHeight="1" x14ac:dyDescent="0.2">
      <c r="B36" s="5" t="s">
        <v>27</v>
      </c>
      <c r="C36" s="5" t="s">
        <v>26</v>
      </c>
      <c r="D36" s="22"/>
      <c r="E36" s="103" cm="1">
        <f t="array" ref="E36">_xll.SNL.Clients.Office.Excel.Functions.SPG($E$5,$C36,E$27,$E$11,_xll.SNL.Clients.Office.Excel.Functions.SPGOPTIONS("DataType",$E$23,"Src",$AI$40,"Mag",$AG$33,"Curr",$AL$1,"NA",""))</f>
        <v>72361</v>
      </c>
      <c r="F36" s="103" cm="1">
        <f t="array" ref="F36">_xll.SNL.Clients.Office.Excel.Functions.SPG($E$5,$C36,F$27,$E$11,_xll.SNL.Clients.Office.Excel.Functions.SPGOPTIONS("DataType",$E$23,"Src",$AI$40,"Mag",$AG$33,"Curr",$AL$1,"NA",""))</f>
        <v>88136</v>
      </c>
      <c r="G36" s="103" cm="1">
        <f t="array" ref="G36">_xll.SNL.Clients.Office.Excel.Functions.SPG($E$5,$C36,G$27,$E$11,_xll.SNL.Clients.Office.Excel.Functions.SPGOPTIONS("DataType",$E$23,"Src",$AI$40,"Mag",$AG$33,"Curr",$AL$1,"NA",""))</f>
        <v>101832</v>
      </c>
      <c r="H36" s="103" cm="1">
        <f t="array" ref="H36">_xll.SNL.Clients.Office.Excel.Functions.SPG($E$5,$C36,H$27,$E$11,_xll.SNL.Clients.Office.Excel.Functions.SPGOPTIONS("DataType",$E$23,"Src",$AI$40,"Mag",$AG$33,"Curr",$AL$1,"NA",""))</f>
        <v>133749</v>
      </c>
      <c r="I36" s="103" cm="1">
        <f t="array" ref="I36">_xll.SNL.Clients.Office.Excel.Functions.SPG($E$5,$C36,I$27,$E$11,_xll.SNL.Clients.Office.Excel.Functions.SPGOPTIONS("DataType",$E$23,"Src",$AI$40,"Mag",$AG$33,"Curr",$AL$1,"NA",""))</f>
        <v>146336.06883133948</v>
      </c>
      <c r="J36" s="103" cm="1">
        <f t="array" ref="J36">_xll.SNL.Clients.Office.Excel.Functions.SPG($E$5,$C36,J$27,$E$11,_xll.SNL.Clients.Office.Excel.Functions.SPGOPTIONS("DataType",$E$23,"Src",$AI$40,"Mag",$AG$33,"Curr",$AL$1,"NA",""))</f>
        <v>174134.28465320906</v>
      </c>
      <c r="K36" s="245" cm="1">
        <f t="array" ref="K36">_xll.SNL.Clients.Office.Excel.Functions.SPG($E$5,$C36,K$27,$E$11,_xll.SNL.Clients.Office.Excel.Functions.SPGOPTIONS("DataType",$E$23,"Src",$AI$40,"Mag",$AG$33,"Curr",$AL$1,"NA",""))</f>
        <v>212216.41219121983</v>
      </c>
      <c r="L36" s="6"/>
      <c r="AB36" s="165" t="s">
        <v>221</v>
      </c>
      <c r="AC36" s="30"/>
      <c r="AD36" s="135" t="str" cm="1">
        <f t="array" ref="AD36">IF(OR(PeerAnalysis!$E15="",_xll.SNL.Clients.Office.Excel.Functions.SPG(PeerAnalysis!$E15,"SP_ENTITY_ID")="#INVALID COMPANY ID"),"",_xll.SNL.Clients.Office.Excel.Functions.SPG(PeerAnalysis!$E15,"SP_ENTITY_ID"))</f>
        <v>4004205</v>
      </c>
      <c r="AF36" s="141" t="s">
        <v>48</v>
      </c>
      <c r="AG36" s="143" t="s">
        <v>49</v>
      </c>
      <c r="AI36" s="148" t="s">
        <v>445</v>
      </c>
      <c r="AK36" s="75" t="s">
        <v>384</v>
      </c>
      <c r="AL36" s="76" t="s">
        <v>77</v>
      </c>
      <c r="AM36" s="77" t="s">
        <v>385</v>
      </c>
      <c r="AN36" s="79" t="s">
        <v>45</v>
      </c>
    </row>
    <row r="37" spans="2:40" ht="11.25" customHeight="1" x14ac:dyDescent="0.2">
      <c r="B37" s="5" t="s">
        <v>25</v>
      </c>
      <c r="C37" s="5" t="s">
        <v>24</v>
      </c>
      <c r="D37" s="23"/>
      <c r="E37" s="104" cm="1">
        <f t="array" ref="E37">_xll.SNL.Clients.Office.Excel.Functions.SPG($E$5,$C37,E$27,$E$11,_xll.SNL.Clients.Office.Excel.Functions.SPGOPTIONS("DataType",$E$23,"Src",$AI$40,"Mag","abs","Curr",$AL$1,"NA",""))</f>
        <v>9.6839640001338285</v>
      </c>
      <c r="F37" s="104" cm="1">
        <f t="array" ref="F37">_xll.SNL.Clients.Office.Excel.Functions.SPG($E$5,$C37,F$27,$E$11,_xll.SNL.Clients.Office.Excel.Functions.SPGOPTIONS("DataType",$E$23,"Src",$AI$40,"Mag","abs","Curr",$AL$1,"NA",""))</f>
        <v>11.80103099685345</v>
      </c>
      <c r="G37" s="104" cm="1">
        <f t="array" ref="G37">_xll.SNL.Clients.Office.Excel.Functions.SPG($E$5,$C37,G$27,$E$11,_xll.SNL.Clients.Office.Excel.Functions.SPGOPTIONS("DataType",$E$23,"Src",$AI$40,"Mag","abs","Curr",$AL$1,"NA",""))</f>
        <v>13.64125920964501</v>
      </c>
      <c r="H37" s="104" cm="1">
        <f t="array" ref="H37">_xll.SNL.Clients.Office.Excel.Functions.SPG($E$5,$C37,H$27,$E$11,_xll.SNL.Clients.Office.Excel.Functions.SPGOPTIONS("DataType",$E$23,"Src",$AI$40,"Mag","abs","Curr",$AL$1,"NA",""))</f>
        <v>17.944267793653989</v>
      </c>
      <c r="I37" s="104" cm="1">
        <f t="array" ref="I37">_xll.SNL.Clients.Office.Excel.Functions.SPG($E$5,$C37,I$27,$E$11,_xll.SNL.Clients.Office.Excel.Functions.SPGOPTIONS("DataType",$E$23,"Src",$AI$40,"Mag","abs","Curr",$AL$1,"NA",""))</f>
        <v>19.681468463281075</v>
      </c>
      <c r="J37" s="104" cm="1">
        <f t="array" ref="J37">_xll.SNL.Clients.Office.Excel.Functions.SPG($E$5,$C37,J$27,$E$11,_xll.SNL.Clients.Office.Excel.Functions.SPGOPTIONS("DataType",$E$23,"Src",$AI$40,"Mag","abs","Curr",$AL$1,"NA",""))</f>
        <v>23.435180249333349</v>
      </c>
      <c r="K37" s="246" cm="1">
        <f t="array" ref="K37">_xll.SNL.Clients.Office.Excel.Functions.SPG($E$5,$C37,K$27,$E$11,_xll.SNL.Clients.Office.Excel.Functions.SPGOPTIONS("DataType",$E$23,"Src",$AI$40,"Mag","abs","Curr",$AL$1,"NA",""))</f>
        <v>28.546009789178438</v>
      </c>
      <c r="L37" s="6"/>
      <c r="AB37" s="165" t="s">
        <v>222</v>
      </c>
      <c r="AC37" s="30"/>
      <c r="AD37" s="135" t="str" cm="1">
        <f t="array" ref="AD37">IF(OR(PeerAnalysis!$E16="",_xll.SNL.Clients.Office.Excel.Functions.SPG(PeerAnalysis!$E16,"SP_ENTITY_ID")="#INVALID COMPANY ID"),"",_xll.SNL.Clients.Office.Excel.Functions.SPG(PeerAnalysis!$E16,"SP_ENTITY_ID"))</f>
        <v>4094286</v>
      </c>
      <c r="AF37" s="141" t="s">
        <v>44</v>
      </c>
      <c r="AG37" s="144" t="s">
        <v>45</v>
      </c>
      <c r="AI37" s="148" t="s">
        <v>446</v>
      </c>
      <c r="AK37" s="75" t="s">
        <v>386</v>
      </c>
      <c r="AL37" s="76" t="s">
        <v>121</v>
      </c>
      <c r="AM37" s="77" t="s">
        <v>387</v>
      </c>
      <c r="AN37" s="79" t="s">
        <v>45</v>
      </c>
    </row>
    <row r="38" spans="2:40" ht="11.25" customHeight="1" x14ac:dyDescent="0.2">
      <c r="B38" s="5" t="s">
        <v>150</v>
      </c>
      <c r="C38" s="5"/>
      <c r="D38" s="7"/>
      <c r="E38" s="96"/>
      <c r="F38" s="97" cm="1">
        <f t="array" ref="F38">IF(OR(LEFT($E$8,2)="FY",LEFT($E$8,2)="CY"),IFERROR(F37/E37-1,"-"),IF(OR(LEFT($E$8,2)="FQ",LEFT($E$8,2)="CQ"),IFERROR(F37/_xll.SNL.Clients.Office.Excel.Functions.SPG($E$5,$C37,LEFT(F$27,3)&amp;(RIGHT(F$27,4)-1),$E$11,_xll.SNL.Clients.Office.Excel.Functions.SPGOPTIONS("DataType",$E$23,"Src",$AI$40,"Mag","abs","Curr",$AL$1,"NA",""))-1,"-"),"-"))</f>
        <v>0.21861574420251517</v>
      </c>
      <c r="G38" s="97" cm="1">
        <f t="array" ref="G38">IF(OR(LEFT($E$8,2)="FY",LEFT($E$8,2)="CY"),IFERROR(G37/F37-1,"-"),IF(OR(LEFT($E$8,2)="FQ",LEFT($E$8,2)="CQ"),IFERROR(G37/_xll.SNL.Clients.Office.Excel.Functions.SPG($E$5,$C37,LEFT(G$27,3)&amp;(RIGHT(G$27,4)-1),$E$11,_xll.SNL.Clients.Office.Excel.Functions.SPGOPTIONS("DataType",$E$23,"Src",$AI$40,"Mag","abs","Curr",$AL$1,"NA",""))-1,"-"),"-"))</f>
        <v>0.15593791875321972</v>
      </c>
      <c r="H38" s="97" cm="1">
        <f t="array" ref="H38">IF(OR(LEFT($E$8,2)="FY",LEFT($E$8,2)="CY"),IFERROR(H37/G37-1,"-"),IF(OR(LEFT($E$8,2)="FQ",LEFT($E$8,2)="CQ"),IFERROR(H37/_xll.SNL.Clients.Office.Excel.Functions.SPG($E$5,$C37,LEFT(H$27,3)&amp;(RIGHT(H$27,4)-1),$E$11,_xll.SNL.Clients.Office.Excel.Functions.SPGOPTIONS("DataType",$E$23,"Src",$AI$40,"Mag","abs","Curr",$AL$1,"NA",""))-1,"-"),"-"))</f>
        <v>0.31544071686333397</v>
      </c>
      <c r="I38" s="97" cm="1">
        <f t="array" ref="I38">IF(OR(LEFT($E$8,2)="FY",LEFT($E$8,2)="CY"),IFERROR(I37/H37-1,"-"),IF(OR(LEFT($E$8,2)="FQ",LEFT($E$8,2)="CQ"),IFERROR(I37/_xll.SNL.Clients.Office.Excel.Functions.SPG($E$5,$C37,LEFT(I$27,3)&amp;(RIGHT(I$27,4)-1),$E$11,_xll.SNL.Clients.Office.Excel.Functions.SPGOPTIONS("DataType",$E$23,"Src",$AI$40,"Mag","abs","Curr",$AL$1,"NA",""))-1,"-"),"-"))</f>
        <v>9.6810897474537638E-2</v>
      </c>
      <c r="J38" s="97" cm="1">
        <f t="array" ref="J38">IF(OR(LEFT($E$8,2)="FY",LEFT($E$8,2)="CY"),IFERROR(J37/I37-1,"-"),IF(OR(LEFT($E$8,2)="FQ",LEFT($E$8,2)="CQ"),IFERROR(J37/_xll.SNL.Clients.Office.Excel.Functions.SPG($E$5,$C37,LEFT(J$27,3)&amp;(RIGHT(J$27,4)-1),$E$11,_xll.SNL.Clients.Office.Excel.Functions.SPGOPTIONS("DataType",$E$23,"Src",$AI$40,"Mag","abs","Curr",$AL$1,"NA",""))-1,"-"),"-"))</f>
        <v>0.19072315630591397</v>
      </c>
      <c r="K38" s="244" cm="1">
        <f t="array" ref="K38">IF(OR(LEFT($E$8,2)="FY",LEFT($E$8,2)="CY"),IFERROR(K37/J37-1,"-"),IF(OR(LEFT($E$8,2)="FQ",LEFT($E$8,2)="CQ"),IFERROR(K37/_xll.SNL.Clients.Office.Excel.Functions.SPG($E$5,$C37,LEFT(K$27,3)&amp;(RIGHT(K$27,4)-1),$E$11,_xll.SNL.Clients.Office.Excel.Functions.SPGOPTIONS("DataType",$E$23,"Src",$AI$40,"Mag","abs","Curr",$AL$1,"NA",""))-1,"-"),"-"))</f>
        <v>0.21808364541981606</v>
      </c>
      <c r="L38" s="8"/>
      <c r="AB38" s="165" t="s">
        <v>210</v>
      </c>
      <c r="AC38" s="30"/>
      <c r="AD38" s="135" t="str" cm="1">
        <f t="array" ref="AD38">IF(OR(PeerAnalysis!$E17="",_xll.SNL.Clients.Office.Excel.Functions.SPG(PeerAnalysis!$E17,"SP_ENTITY_ID")="#INVALID COMPANY ID"),"",_xll.SNL.Clients.Office.Excel.Functions.SPG(PeerAnalysis!$E17,"SP_ENTITY_ID"))</f>
        <v>4047847</v>
      </c>
      <c r="AF38" s="141" t="s">
        <v>50</v>
      </c>
      <c r="AG38" s="145" t="s">
        <v>51</v>
      </c>
      <c r="AI38" s="136" t="s">
        <v>447</v>
      </c>
      <c r="AK38" s="75" t="s">
        <v>175</v>
      </c>
      <c r="AL38" s="76" t="s">
        <v>80</v>
      </c>
      <c r="AM38" s="77" t="s">
        <v>388</v>
      </c>
      <c r="AN38" s="79" t="s">
        <v>345</v>
      </c>
    </row>
    <row r="39" spans="2:40" ht="11.25" customHeight="1" x14ac:dyDescent="0.2">
      <c r="B39" s="247" t="s">
        <v>23</v>
      </c>
      <c r="C39" s="247" t="s">
        <v>22</v>
      </c>
      <c r="D39" s="248"/>
      <c r="E39" s="249" cm="1">
        <f t="array" ref="E39">_xll.SNL.Clients.Office.Excel.Functions.SPG($E$5,$C39,E$27,$E$11,_xll.SNL.Clients.Office.Excel.Functions.SPGOPTIONS("DataType",$E$23,"Src",$AI$40,"Mag","abs","Curr",$AL$1,"NA",""))</f>
        <v>2.7168447837150089</v>
      </c>
      <c r="F39" s="249" cm="1">
        <f t="array" ref="F39">_xll.SNL.Clients.Office.Excel.Functions.SPG($E$5,$C39,F$27,$E$11,_xll.SNL.Clients.Office.Excel.Functions.SPGOPTIONS("DataType",$E$23,"Src",$AI$40,"Mag","abs","Curr",$AL$1,"NA",""))</f>
        <v>3.0001682085786401</v>
      </c>
      <c r="G39" s="249" cm="1">
        <f t="array" ref="G39">_xll.SNL.Clients.Office.Excel.Functions.SPG($E$5,$C39,G$27,$E$11,_xll.SNL.Clients.Office.Excel.Functions.SPGOPTIONS("DataType",$E$23,"Src",$AI$40,"Mag","abs","Curr",$AL$1,"NA",""))</f>
        <v>3.32</v>
      </c>
      <c r="H39" s="249" cm="1">
        <f t="array" ref="H39">_xll.SNL.Clients.Office.Excel.Functions.SPG($E$5,$C39,H$27,$E$11,_xll.SNL.Clients.Office.Excel.Functions.SPGOPTIONS("DataType",$E$23,"Src",$AI$40,"Mag","abs","Curr",$AL$1,"NA",""))</f>
        <v>3.64</v>
      </c>
      <c r="I39" s="249" cm="1">
        <f t="array" ref="I39">_xll.SNL.Clients.Office.Excel.Functions.SPG($E$5,$C39,I$27,$E$11,_xll.SNL.Clients.Office.Excel.Functions.SPGOPTIONS("DataType",$E$23,"Src",$AI$40,"Mag","abs","Curr",$AL$1,"NA",""))</f>
        <v>3.772347910905351</v>
      </c>
      <c r="J39" s="249" cm="1">
        <f t="array" ref="J39">_xll.SNL.Clients.Office.Excel.Functions.SPG($E$5,$C39,J$27,$E$11,_xll.SNL.Clients.Office.Excel.Functions.SPGOPTIONS("DataType",$E$23,"Src",$AI$40,"Mag","abs","Curr",$AL$1,"NA",""))</f>
        <v>4.0732412536013749</v>
      </c>
      <c r="K39" s="250" cm="1">
        <f t="array" ref="K39">_xll.SNL.Clients.Office.Excel.Functions.SPG($E$5,$C39,K$27,$E$11,_xll.SNL.Clients.Office.Excel.Functions.SPGOPTIONS("DataType",$E$23,"Src",$AI$40,"Mag","abs","Curr",$AL$1,"NA",""))</f>
        <v>4.6334551675004878</v>
      </c>
      <c r="L39" s="6"/>
      <c r="AB39" s="165" t="s">
        <v>213</v>
      </c>
      <c r="AC39" s="30"/>
      <c r="AD39" s="135" t="str" cm="1">
        <f t="array" ref="AD39">IF(OR(PeerAnalysis!$E18="",_xll.SNL.Clients.Office.Excel.Functions.SPG(PeerAnalysis!$E18,"SP_ENTITY_ID")="#INVALID COMPANY ID"),"",_xll.SNL.Clients.Office.Excel.Functions.SPG(PeerAnalysis!$E18,"SP_ENTITY_ID"))</f>
        <v>4205848</v>
      </c>
      <c r="AF39" s="146" t="s">
        <v>52</v>
      </c>
      <c r="AG39" s="147" t="s">
        <v>53</v>
      </c>
      <c r="AK39" s="75" t="s">
        <v>389</v>
      </c>
      <c r="AL39" s="76" t="s">
        <v>78</v>
      </c>
      <c r="AM39" s="77" t="s">
        <v>390</v>
      </c>
      <c r="AN39" s="79" t="s">
        <v>45</v>
      </c>
    </row>
    <row r="40" spans="2:40" ht="11.25" customHeight="1" x14ac:dyDescent="0.35">
      <c r="E40" s="54"/>
      <c r="F40" s="54"/>
      <c r="G40" s="54"/>
      <c r="H40" s="54"/>
      <c r="I40" s="54"/>
      <c r="J40" s="54"/>
      <c r="K40" s="54"/>
      <c r="L40" s="9"/>
      <c r="AB40" s="165" t="s">
        <v>223</v>
      </c>
      <c r="AC40" s="30"/>
      <c r="AD40" s="135" t="str" cm="1">
        <f t="array" ref="AD40">IF(OR(PeerAnalysis!$E19="",_xll.SNL.Clients.Office.Excel.Functions.SPG(PeerAnalysis!$E19,"SP_ENTITY_ID")="#INVALID COMPANY ID"),"",_xll.SNL.Clients.Office.Excel.Functions.SPG(PeerAnalysis!$E19,"SP_ENTITY_ID"))</f>
        <v>4144156</v>
      </c>
      <c r="AG40" s="26"/>
      <c r="AH40" s="26"/>
      <c r="AI40" s="232" t="str">
        <f>IF(TearSheet!$E$18="Broker Code",TearSheet!$E$20,TearSheet!$E$18)</f>
        <v>Consensus.VAActuals</v>
      </c>
      <c r="AK40" s="75" t="s">
        <v>176</v>
      </c>
      <c r="AL40" s="76" t="s">
        <v>81</v>
      </c>
      <c r="AM40" s="77" t="s">
        <v>391</v>
      </c>
      <c r="AN40" s="79" t="s">
        <v>345</v>
      </c>
    </row>
    <row r="41" spans="2:40" ht="11.25" customHeight="1" x14ac:dyDescent="0.35">
      <c r="B41" s="183" t="s">
        <v>202</v>
      </c>
      <c r="C41" s="184"/>
      <c r="D41" s="185"/>
      <c r="E41" s="186"/>
      <c r="F41" s="186"/>
      <c r="G41" s="186"/>
      <c r="H41" s="186"/>
      <c r="I41" s="186"/>
      <c r="J41" s="186"/>
      <c r="K41" s="187"/>
      <c r="L41" s="6"/>
      <c r="AB41" s="165" t="s">
        <v>214</v>
      </c>
      <c r="AC41" s="30"/>
      <c r="AD41" s="135" t="str" cm="1">
        <f t="array" ref="AD41">IF(OR(PeerAnalysis!$E20="",_xll.SNL.Clients.Office.Excel.Functions.SPG(PeerAnalysis!$E20,"SP_ENTITY_ID")="#INVALID COMPANY ID"),"",_xll.SNL.Clients.Office.Excel.Functions.SPG(PeerAnalysis!$E20,"SP_ENTITY_ID"))</f>
        <v>4970473</v>
      </c>
      <c r="AH41" s="26"/>
      <c r="AK41" s="75" t="s">
        <v>392</v>
      </c>
      <c r="AL41" s="76" t="s">
        <v>393</v>
      </c>
      <c r="AM41" s="77" t="s">
        <v>393</v>
      </c>
      <c r="AN41" s="79" t="s">
        <v>345</v>
      </c>
    </row>
    <row r="42" spans="2:40" ht="11.25" customHeight="1" x14ac:dyDescent="0.2">
      <c r="B42" s="5" t="s">
        <v>21</v>
      </c>
      <c r="C42" s="5" t="s">
        <v>20</v>
      </c>
      <c r="D42" s="22"/>
      <c r="E42" s="103" cm="1">
        <f t="array" ref="E42">_xll.SNL.Clients.Office.Excel.Functions.SPG($E$5,$C42,E$27,$E$11,_xll.SNL.Clients.Office.Excel.Functions.SPGOPTIONS("DataType",$E$23,"Src",$AI$40,"Mag",$AG$33,"Curr",$AL$1,"NA",""))</f>
        <v>111262</v>
      </c>
      <c r="F42" s="103" cm="1">
        <f t="array" ref="F42">_xll.SNL.Clients.Office.Excel.Functions.SPG($E$5,$C42,F$27,$E$11,_xll.SNL.Clients.Office.Excel.Functions.SPGOPTIONS("DataType",$E$23,"Src",$AI$40,"Mag",$AG$33,"Curr",$AL$1,"NA",""))</f>
        <v>75543</v>
      </c>
      <c r="G42" s="103" cm="1">
        <f t="array" ref="G42">_xll.SNL.Clients.Office.Excel.Functions.SPG($E$5,$C42,G$27,$E$11,_xll.SNL.Clients.Office.Excel.Functions.SPGOPTIONS("DataType",$E$23,"Src",$AI$40,"Mag",$AG$33,"Curr",$AL$1,"NA",""))</f>
        <v>94565</v>
      </c>
      <c r="H42" s="103" cm="1">
        <f t="array" ref="H42">_xll.SNL.Clients.Office.Excel.Functions.SPG($E$5,$C42,H$27,$E$11,_xll.SNL.Clients.Office.Excel.Functions.SPGOPTIONS("DataType",$E$23,"Src",$AI$40,"Mag",$AG$33,"Curr",$AL$1,"NA",""))</f>
        <v>76843</v>
      </c>
      <c r="I42" s="103" cm="1">
        <f t="array" ref="I42">_xll.SNL.Clients.Office.Excel.Functions.SPG($E$5,$C42,I$27,$E$11,_xll.SNL.Clients.Office.Excel.Functions.SPGOPTIONS("DataType",$E$23,"Src",$AI$40,"Mag",$AG$33,"Curr",$AL$1,"NA",""))</f>
        <v>76432.360561882524</v>
      </c>
      <c r="J42" s="103" cm="1">
        <f t="array" ref="J42">_xll.SNL.Clients.Office.Excel.Functions.SPG($E$5,$C42,J$27,$E$11,_xll.SNL.Clients.Office.Excel.Functions.SPGOPTIONS("DataType",$E$23,"Src",$AI$40,"Mag",$AG$33,"Curr",$AL$1,"NA",""))</f>
        <v>91971.938688740076</v>
      </c>
      <c r="K42" s="193" cm="1">
        <f t="array" ref="K42">_xll.SNL.Clients.Office.Excel.Functions.SPG($E$5,$C42,K$27,$E$11,_xll.SNL.Clients.Office.Excel.Functions.SPGOPTIONS("DataType",$E$23,"Src",$AI$40,"Mag",$AG$33,"Curr",$AL$1,"NA",""))</f>
        <v>137678.94892041368</v>
      </c>
      <c r="L42" s="6"/>
      <c r="AB42" s="165" t="s">
        <v>215</v>
      </c>
      <c r="AC42" s="30"/>
      <c r="AD42" s="135" t="str" cm="1">
        <f t="array" ref="AD42">IF(OR(PeerAnalysis!$E21="",_xll.SNL.Clients.Office.Excel.Functions.SPG(PeerAnalysis!$E21,"SP_ENTITY_ID")="#INVALID COMPANY ID"),"",_xll.SNL.Clients.Office.Excel.Functions.SPG(PeerAnalysis!$E21,"SP_ENTITY_ID"))</f>
        <v>4000193</v>
      </c>
      <c r="AF42" s="123" t="s">
        <v>439</v>
      </c>
      <c r="AG42" s="262" t="s">
        <v>234</v>
      </c>
      <c r="AH42" s="262"/>
      <c r="AI42" s="263"/>
      <c r="AK42" s="75" t="s">
        <v>177</v>
      </c>
      <c r="AL42" s="76" t="s">
        <v>134</v>
      </c>
      <c r="AM42" s="77" t="s">
        <v>394</v>
      </c>
      <c r="AN42" s="79" t="s">
        <v>345</v>
      </c>
    </row>
    <row r="43" spans="2:40" ht="11.25" customHeight="1" x14ac:dyDescent="0.2">
      <c r="B43" s="5" t="s">
        <v>19</v>
      </c>
      <c r="C43" s="5" t="s">
        <v>18</v>
      </c>
      <c r="D43" s="22"/>
      <c r="E43" s="103" cm="1">
        <f t="array" ref="E43">_xll.SNL.Clients.Office.Excel.Functions.SPG($E$5,$C43,E$27,$E$11,_xll.SNL.Clients.Office.Excel.Functions.SPGOPTIONS("DataType",$E$23,"Src",$AI$40,"Mag",$AG$33,"Curr",$AL$1,"NA",""))</f>
        <v>184257</v>
      </c>
      <c r="F43" s="103" cm="1">
        <f t="array" ref="F43">_xll.SNL.Clients.Office.Excel.Functions.SPG($E$5,$C43,F$27,$E$11,_xll.SNL.Clients.Office.Excel.Functions.SPGOPTIONS("DataType",$E$23,"Src",$AI$40,"Mag",$AG$33,"Curr",$AL$1,"NA",""))</f>
        <v>159734</v>
      </c>
      <c r="G43" s="103" cm="1">
        <f t="array" ref="G43">_xll.SNL.Clients.Office.Excel.Functions.SPG($E$5,$C43,G$27,$E$11,_xll.SNL.Clients.Office.Excel.Functions.SPGOPTIONS("DataType",$E$23,"Src",$AI$40,"Mag",$AG$33,"Curr",$AL$1,"NA",""))</f>
        <v>191131</v>
      </c>
      <c r="H43" s="103" cm="1">
        <f t="array" ref="H43">_xll.SNL.Clients.Office.Excel.Functions.SPG($E$5,$C43,H$27,$E$11,_xll.SNL.Clients.Office.Excel.Functions.SPGOPTIONS("DataType",$E$23,"Src",$AI$40,"Mag",$AG$33,"Curr",$AL$1,"NA",""))</f>
        <v>207710</v>
      </c>
      <c r="I43" s="103" cm="1">
        <f t="array" ref="I43">_xll.SNL.Clients.Office.Excel.Functions.SPG($E$5,$C43,I$27,$E$11,_xll.SNL.Clients.Office.Excel.Functions.SPGOPTIONS("DataType",$E$23,"Src",$AI$40,"Mag",$AG$33,"Curr",$AL$1,"NA",""))</f>
        <v>217427.20451296901</v>
      </c>
      <c r="J43" s="103" cm="1">
        <f t="array" ref="J43">_xll.SNL.Clients.Office.Excel.Functions.SPG($E$5,$C43,J$27,$E$11,_xll.SNL.Clients.Office.Excel.Functions.SPGOPTIONS("DataType",$E$23,"Src",$AI$40,"Mag",$AG$33,"Curr",$AL$1,"NA",""))</f>
        <v>251290.4494397791</v>
      </c>
      <c r="K43" s="193" cm="1">
        <f t="array" ref="K43">_xll.SNL.Clients.Office.Excel.Functions.SPG($E$5,$C43,K$27,$E$11,_xll.SNL.Clients.Office.Excel.Functions.SPGOPTIONS("DataType",$E$23,"Src",$AI$40,"Mag",$AG$33,"Curr",$AL$1,"NA",""))</f>
        <v>326323.59273896751</v>
      </c>
      <c r="L43" s="6"/>
      <c r="AB43" s="165" t="s">
        <v>211</v>
      </c>
      <c r="AC43" s="30"/>
      <c r="AD43" s="135" t="str" cm="1">
        <f t="array" ref="AD43">IF(OR(PeerAnalysis!$E22="",_xll.SNL.Clients.Office.Excel.Functions.SPG(PeerAnalysis!$E22,"SP_ENTITY_ID")="#INVALID COMPANY ID"),"",_xll.SNL.Clients.Office.Excel.Functions.SPG(PeerAnalysis!$E22,"SP_ENTITY_ID"))</f>
        <v>4025746</v>
      </c>
      <c r="AF43" s="130" t="s">
        <v>235</v>
      </c>
      <c r="AG43" s="264" t="s">
        <v>235</v>
      </c>
      <c r="AH43" s="265"/>
      <c r="AI43" s="266"/>
      <c r="AK43" s="75" t="s">
        <v>178</v>
      </c>
      <c r="AL43" s="76" t="s">
        <v>85</v>
      </c>
      <c r="AM43" s="77" t="s">
        <v>395</v>
      </c>
      <c r="AN43" s="79" t="s">
        <v>345</v>
      </c>
    </row>
    <row r="44" spans="2:40" ht="11.25" customHeight="1" x14ac:dyDescent="0.35">
      <c r="B44" s="5" t="s">
        <v>17</v>
      </c>
      <c r="C44" s="5" t="s">
        <v>16</v>
      </c>
      <c r="D44" s="22"/>
      <c r="E44" s="103" cm="1">
        <f t="array" ref="E44">_xll.SNL.Clients.Office.Excel.Functions.SPG($E$5,$C44,E$27,$E$11,_xll.SNL.Clients.Office.Excel.Functions.SPGOPTIONS("DataType",$E$23,"Src",$AI$40,"Mag",$AG$33,"Curr",$AL$1,"NA",""))</f>
        <v>227719</v>
      </c>
      <c r="F44" s="103" cm="1">
        <f t="array" ref="F44">_xll.SNL.Clients.Office.Excel.Functions.SPG($E$5,$C44,F$27,$E$11,_xll.SNL.Clients.Office.Excel.Functions.SPGOPTIONS("DataType",$E$23,"Src",$AI$40,"Mag",$AG$33,"Curr",$AL$1,"NA",""))</f>
        <v>352429</v>
      </c>
      <c r="G44" s="103" cm="1">
        <f t="array" ref="G44">_xll.SNL.Clients.Office.Excel.Functions.SPG($E$5,$C44,G$27,$E$11,_xll.SNL.Clients.Office.Excel.Functions.SPGOPTIONS("DataType",$E$23,"Src",$AI$40,"Mag",$AG$33,"Curr",$AL$1,"NA",""))</f>
        <v>427872</v>
      </c>
      <c r="H44" s="103" cm="1">
        <f t="array" ref="H44">_xll.SNL.Clients.Office.Excel.Functions.SPG($E$5,$C44,H$27,$E$11,_xll.SNL.Clients.Office.Excel.Functions.SPGOPTIONS("DataType",$E$23,"Src",$AI$40,"Mag",$AG$33,"Curr",$AL$1,"NA",""))</f>
        <v>550666</v>
      </c>
      <c r="I44" s="103" cm="1">
        <f t="array" ref="I44">_xll.SNL.Clients.Office.Excel.Functions.SPG($E$5,$C44,I$27,$E$11,_xll.SNL.Clients.Office.Excel.Functions.SPGOPTIONS("DataType",$E$23,"Src",$AI$40,"Mag",$AG$33,"Curr",$AL$1,"NA",""))</f>
        <v>666956.24036200554</v>
      </c>
      <c r="J44" s="103" cm="1">
        <f t="array" ref="J44">_xll.SNL.Clients.Office.Excel.Functions.SPG($E$5,$C44,J$27,$E$11,_xll.SNL.Clients.Office.Excel.Functions.SPGOPTIONS("DataType",$E$23,"Src",$AI$40,"Mag",$AG$33,"Curr",$AL$1,"NA",""))</f>
        <v>804918.6827088499</v>
      </c>
      <c r="K44" s="193" cm="1">
        <f t="array" ref="K44">_xll.SNL.Clients.Office.Excel.Functions.SPG($E$5,$C44,K$27,$E$11,_xll.SNL.Clients.Office.Excel.Functions.SPGOPTIONS("DataType",$E$23,"Src",$AI$40,"Mag",$AG$33,"Curr",$AL$1,"NA",""))</f>
        <v>990820.77975277265</v>
      </c>
      <c r="L44" s="269" t="s">
        <v>337</v>
      </c>
      <c r="M44" s="270" t="s">
        <v>441</v>
      </c>
      <c r="N44" s="270"/>
      <c r="O44" s="270"/>
      <c r="P44" s="270"/>
      <c r="AB44" s="165" t="s">
        <v>224</v>
      </c>
      <c r="AC44" s="30"/>
      <c r="AD44" s="135" t="str" cm="1">
        <f t="array" ref="AD44">IF(OR(PeerAnalysis!$E23="",_xll.SNL.Clients.Office.Excel.Functions.SPG(PeerAnalysis!$E23,"SP_ENTITY_ID")="#INVALID COMPANY ID"),"",_xll.SNL.Clients.Office.Excel.Functions.SPG(PeerAnalysis!$E23,"SP_ENTITY_ID"))</f>
        <v>4066743</v>
      </c>
      <c r="AH44" s="26"/>
      <c r="AK44" s="75" t="s">
        <v>396</v>
      </c>
      <c r="AL44" s="76" t="s">
        <v>135</v>
      </c>
      <c r="AM44" s="77" t="s">
        <v>60</v>
      </c>
      <c r="AN44" s="79" t="s">
        <v>345</v>
      </c>
    </row>
    <row r="45" spans="2:40" ht="11.25" customHeight="1" x14ac:dyDescent="0.35">
      <c r="B45" s="5" t="s">
        <v>15</v>
      </c>
      <c r="C45" s="5" t="s">
        <v>14</v>
      </c>
      <c r="D45" s="22"/>
      <c r="E45" s="103" cm="1">
        <f t="array" ref="E45">_xll.SNL.Clients.Office.Excel.Functions.SPG($E$5,$C45,E$27,$E$11,_xll.SNL.Clients.Office.Excel.Functions.SPGOPTIONS("DataType",$E$23,"Src",$AI$40,"Mag",$AG$33,"Curr",$AL$1,"NA",""))</f>
        <v>104149</v>
      </c>
      <c r="F45" s="103" cm="1">
        <f t="array" ref="F45">_xll.SNL.Clients.Office.Excel.Functions.SPG($E$5,$C45,F$27,$E$11,_xll.SNL.Clients.Office.Excel.Functions.SPGOPTIONS("DataType",$E$23,"Src",$AI$40,"Mag",$AG$33,"Curr",$AL$1,"NA",""))</f>
        <v>125286</v>
      </c>
      <c r="G45" s="103" cm="1">
        <f t="array" ref="G45">_xll.SNL.Clients.Office.Excel.Functions.SPG($E$5,$C45,G$27,$E$11,_xll.SNL.Clients.Office.Excel.Functions.SPGOPTIONS("DataType",$E$23,"Src",$AI$40,"Mag",$AG$33,"Curr",$AL$1,"NA",""))</f>
        <v>141218</v>
      </c>
      <c r="H45" s="103" cm="1">
        <f t="array" ref="H45">_xll.SNL.Clients.Office.Excel.Functions.SPG($E$5,$C45,H$27,$E$11,_xll.SNL.Clients.Office.Excel.Functions.SPGOPTIONS("DataType",$E$23,"Src",$AI$40,"Mag",$AG$33,"Curr",$AL$1,"NA",""))</f>
        <v>168825</v>
      </c>
      <c r="I45" s="103" cm="1">
        <f t="array" ref="I45">_xll.SNL.Clients.Office.Excel.Functions.SPG($E$5,$C45,I$27,$E$11,_xll.SNL.Clients.Office.Excel.Functions.SPGOPTIONS("DataType",$E$23,"Src",$AI$40,"Mag",$AG$33,"Curr",$AL$1,"NA",""))</f>
        <v>188107.26507309781</v>
      </c>
      <c r="J45" s="103" cm="1">
        <f t="array" ref="J45">_xll.SNL.Clients.Office.Excel.Functions.SPG($E$5,$C45,J$27,$E$11,_xll.SNL.Clients.Office.Excel.Functions.SPGOPTIONS("DataType",$E$23,"Src",$AI$40,"Mag",$AG$33,"Curr",$AL$1,"NA",""))</f>
        <v>215558.25651881617</v>
      </c>
      <c r="K45" s="193" cm="1">
        <f t="array" ref="K45">_xll.SNL.Clients.Office.Excel.Functions.SPG($E$5,$C45,K$27,$E$11,_xll.SNL.Clients.Office.Excel.Functions.SPGOPTIONS("DataType",$E$23,"Src",$AI$40,"Mag",$AG$33,"Curr",$AL$1,"NA",""))</f>
        <v>254477.67984410663</v>
      </c>
      <c r="L45" s="269"/>
      <c r="M45" s="270"/>
      <c r="N45" s="270"/>
      <c r="O45" s="270"/>
      <c r="P45" s="270"/>
      <c r="Q45" s="57"/>
      <c r="R45" s="57"/>
      <c r="S45" s="57"/>
      <c r="AB45" s="166" t="s">
        <v>212</v>
      </c>
      <c r="AD45" s="136" t="str" cm="1">
        <f t="array" ref="AD45">IF(OR(PeerAnalysis!$E24="",_xll.SNL.Clients.Office.Excel.Functions.SPG(PeerAnalysis!$E24,"SP_ENTITY_ID")="#INVALID COMPANY ID"),"",_xll.SNL.Clients.Office.Excel.Functions.SPG(PeerAnalysis!$E24,"SP_ENTITY_ID"))</f>
        <v>4625099</v>
      </c>
      <c r="AH45" s="26"/>
      <c r="AK45" s="75" t="s">
        <v>397</v>
      </c>
      <c r="AL45" s="76" t="s">
        <v>398</v>
      </c>
      <c r="AM45" s="77" t="s">
        <v>398</v>
      </c>
      <c r="AN45" s="79" t="s">
        <v>345</v>
      </c>
    </row>
    <row r="46" spans="2:40" ht="11.25" customHeight="1" x14ac:dyDescent="0.2">
      <c r="B46" s="5" t="s">
        <v>13</v>
      </c>
      <c r="C46" s="5" t="s">
        <v>12</v>
      </c>
      <c r="D46" s="22"/>
      <c r="E46" s="103" cm="1">
        <f t="array" ref="E46">_xll.SNL.Clients.Office.Excel.Functions.SPG($E$5,$C46,E$27,$E$11,_xll.SNL.Clients.Office.Excel.Functions.SPGOPTIONS("DataType",$E$23,"Src",$AI$40,"Mag",$AG$33,"Curr",$AL$1,"NA",""))</f>
        <v>101604</v>
      </c>
      <c r="F46" s="103" cm="1">
        <f t="array" ref="F46">_xll.SNL.Clients.Office.Excel.Functions.SPG($E$5,$C46,F$27,$E$11,_xll.SNL.Clients.Office.Excel.Functions.SPGOPTIONS("DataType",$E$23,"Src",$AI$40,"Mag",$AG$33,"Curr",$AL$1,"NA",""))</f>
        <v>118400</v>
      </c>
      <c r="G46" s="103" cm="1">
        <f t="array" ref="G46">_xll.SNL.Clients.Office.Excel.Functions.SPG($E$5,$C46,G$27,$E$11,_xll.SNL.Clients.Office.Excel.Functions.SPGOPTIONS("DataType",$E$23,"Src",$AI$40,"Mag",$AG$33,"Curr",$AL$1,"NA",""))</f>
        <v>134306</v>
      </c>
      <c r="H46" s="103" cm="1">
        <f t="array" ref="H46">_xll.SNL.Clients.Office.Excel.Functions.SPG($E$5,$C46,H$27,$E$11,_xll.SNL.Clients.Office.Excel.Functions.SPGOPTIONS("DataType",$E$23,"Src",$AI$40,"Mag",$AG$33,"Curr",$AL$1,"NA",""))</f>
        <v>147164</v>
      </c>
      <c r="I46" s="103" cm="1">
        <f t="array" ref="I46">_xll.SNL.Clients.Office.Excel.Functions.SPG($E$5,$C46,I$27,$E$11,_xll.SNL.Clients.Office.Excel.Functions.SPGOPTIONS("DataType",$E$23,"Src",$AI$40,"Mag",$AG$33,"Curr",$AL$1,"NA",""))</f>
        <v>157224.87589452305</v>
      </c>
      <c r="J46" s="103" cm="1">
        <f t="array" ref="J46">_xll.SNL.Clients.Office.Excel.Functions.SPG($E$5,$C46,J$27,$E$11,_xll.SNL.Clients.Office.Excel.Functions.SPGOPTIONS("DataType",$E$23,"Src",$AI$40,"Mag",$AG$33,"Curr",$AL$1,"NA",""))</f>
        <v>170249.62862701263</v>
      </c>
      <c r="K46" s="193" cm="1">
        <f t="array" ref="K46">_xll.SNL.Clients.Office.Excel.Functions.SPG($E$5,$C46,K$27,$E$11,_xll.SNL.Clients.Office.Excel.Functions.SPGOPTIONS("DataType",$E$23,"Src",$AI$40,"Mag",$AG$33,"Curr",$AL$1,"NA",""))</f>
        <v>198277.78132991749</v>
      </c>
      <c r="L46" s="10"/>
      <c r="Y46" s="61"/>
      <c r="Z46" s="61"/>
      <c r="AD46" s="136" t="str" cm="1">
        <f t="array" ref="AD46">IF(OR(PeerAnalysis!$E25="",_xll.SNL.Clients.Office.Excel.Functions.SPG(PeerAnalysis!$E25,"SP_ENTITY_ID")="#INVALID COMPANY ID"),"",_xll.SNL.Clients.Office.Excel.Functions.SPG(PeerAnalysis!$E25,"SP_ENTITY_ID"))</f>
        <v>4004214</v>
      </c>
      <c r="AK46" s="75" t="s">
        <v>179</v>
      </c>
      <c r="AL46" s="76" t="s">
        <v>88</v>
      </c>
      <c r="AM46" s="77" t="s">
        <v>89</v>
      </c>
      <c r="AN46" s="79" t="s">
        <v>345</v>
      </c>
    </row>
    <row r="47" spans="2:40" ht="11.25" customHeight="1" x14ac:dyDescent="0.2">
      <c r="B47" s="247" t="s">
        <v>11</v>
      </c>
      <c r="C47" s="247" t="s">
        <v>11</v>
      </c>
      <c r="D47" s="251"/>
      <c r="E47" s="252" cm="1">
        <f t="array" ref="E47">_xll.SNL.Clients.Office.Excel.Functions.SPG($E$5,$C47,E$27,$E$11,_xll.SNL.Clients.Office.Excel.Functions.SPGOPTIONS("DataType",$E$23,"Src",$AI$40,"Mag",$AG$33,"Curr",$AL$1,"NA",""))</f>
        <v>-51297</v>
      </c>
      <c r="F47" s="252" cm="1">
        <f t="array" ref="F47">_xll.SNL.Clients.Office.Excel.Functions.SPG($E$5,$C47,F$27,$E$11,_xll.SNL.Clients.Office.Excel.Functions.SPGOPTIONS("DataType",$E$23,"Src",$AI$40,"Mag",$AG$33,"Curr",$AL$1,"NA",""))</f>
        <v>-8416</v>
      </c>
      <c r="G47" s="252" cm="1">
        <f t="array" ref="G47">_xll.SNL.Clients.Office.Excel.Functions.SPG($E$5,$C47,G$27,$E$11,_xll.SNL.Clients.Office.Excel.Functions.SPGOPTIONS("DataType",$E$23,"Src",$AI$40,"Mag",$AG$33,"Curr",$AL$1,"NA",""))</f>
        <v>-33977</v>
      </c>
      <c r="H47" s="252" cm="1">
        <f t="array" ref="H47">_xll.SNL.Clients.Office.Excel.Functions.SPG($E$5,$C47,H$27,$E$11,_xll.SNL.Clients.Office.Excel.Functions.SPGOPTIONS("DataType",$E$23,"Src",$AI$40,"Mag",$AG$33,"Curr",$AL$1,"NA",""))</f>
        <v>-20017</v>
      </c>
      <c r="I47" s="252" cm="1">
        <f t="array" ref="I47">_xll.SNL.Clients.Office.Excel.Functions.SPG($E$5,$C47,I$27,$E$11,_xll.SNL.Clients.Office.Excel.Functions.SPGOPTIONS("DataType",$E$23,"Src",$AI$40,"Mag",$AG$33,"Curr",$AL$1,"NA",""))</f>
        <v>-13032.55450139956</v>
      </c>
      <c r="J47" s="252" cm="1">
        <f t="array" ref="J47">_xll.SNL.Clients.Office.Excel.Functions.SPG($E$5,$C47,J$27,$E$11,_xll.SNL.Clients.Office.Excel.Functions.SPGOPTIONS("DataType",$E$23,"Src",$AI$40,"Mag",$AG$33,"Curr",$AL$1,"NA",""))</f>
        <v>-16775.178712899728</v>
      </c>
      <c r="K47" s="253" cm="1">
        <f t="array" ref="K47">_xll.SNL.Clients.Office.Excel.Functions.SPG($E$5,$C47,K$27,$E$11,_xll.SNL.Clients.Office.Excel.Functions.SPGOPTIONS("DataType",$E$23,"Src",$AI$40,"Mag",$AG$33,"Curr",$AL$1,"NA",""))</f>
        <v>-47697.724088561663</v>
      </c>
      <c r="L47" s="11"/>
      <c r="Y47" s="61"/>
      <c r="Z47" s="61"/>
      <c r="AK47" s="75" t="s">
        <v>180</v>
      </c>
      <c r="AL47" s="76" t="s">
        <v>87</v>
      </c>
      <c r="AM47" s="77" t="s">
        <v>399</v>
      </c>
      <c r="AN47" s="79" t="s">
        <v>345</v>
      </c>
    </row>
    <row r="48" spans="2:40" ht="11.25" customHeight="1" x14ac:dyDescent="0.25">
      <c r="Y48" s="61"/>
      <c r="Z48" s="61"/>
      <c r="AB48" s="42" t="s">
        <v>239</v>
      </c>
      <c r="AC48" s="42" t="s">
        <v>240</v>
      </c>
      <c r="AD48" s="42" t="s">
        <v>241</v>
      </c>
      <c r="AE48" s="1"/>
      <c r="AK48" s="75" t="s">
        <v>181</v>
      </c>
      <c r="AL48" s="76" t="s">
        <v>136</v>
      </c>
      <c r="AM48" s="77" t="s">
        <v>136</v>
      </c>
      <c r="AN48" s="79" t="s">
        <v>345</v>
      </c>
    </row>
    <row r="49" spans="2:40" ht="11.25" customHeight="1" x14ac:dyDescent="0.25">
      <c r="B49" s="183" t="s">
        <v>203</v>
      </c>
      <c r="C49" s="184"/>
      <c r="D49" s="184"/>
      <c r="E49" s="185"/>
      <c r="F49" s="185"/>
      <c r="G49" s="185"/>
      <c r="H49" s="185"/>
      <c r="I49" s="185"/>
      <c r="J49" s="185"/>
      <c r="K49" s="190"/>
      <c r="L49" s="6"/>
      <c r="Y49" s="41"/>
      <c r="Z49" s="41"/>
      <c r="AB49" s="1" t="s">
        <v>149</v>
      </c>
      <c r="AC49" s="30" t="s">
        <v>242</v>
      </c>
      <c r="AD49" s="30" t="s">
        <v>243</v>
      </c>
      <c r="AE49" s="1"/>
      <c r="AK49" s="75" t="s">
        <v>400</v>
      </c>
      <c r="AL49" s="76" t="s">
        <v>137</v>
      </c>
      <c r="AM49" s="77" t="s">
        <v>401</v>
      </c>
      <c r="AN49" s="79" t="s">
        <v>45</v>
      </c>
    </row>
    <row r="50" spans="2:40" ht="11.25" customHeight="1" x14ac:dyDescent="0.2">
      <c r="B50" s="54" t="s">
        <v>10</v>
      </c>
      <c r="C50" s="54" t="s">
        <v>9</v>
      </c>
      <c r="D50" s="62"/>
      <c r="E50" s="103" cm="1">
        <f t="array" ref="E50">_xll.SNL.Clients.Office.Excel.Functions.SPG($E$5,$C50,E$27,$E$11,_xll.SNL.Clients.Office.Excel.Functions.SPGOPTIONS("DataType",$E$23,"Src",$AI$40,"Mag",$AG$33,"Curr",$AL$1,"NA",""))</f>
        <v>28107</v>
      </c>
      <c r="F50" s="103" cm="1">
        <f t="array" ref="F50">_xll.SNL.Clients.Office.Excel.Functions.SPG($E$5,$C50,F$27,$E$11,_xll.SNL.Clients.Office.Excel.Functions.SPGOPTIONS("DataType",$E$23,"Src",$AI$40,"Mag",$AG$33,"Curr",$AL$1,"NA",""))</f>
        <v>44477</v>
      </c>
      <c r="G50" s="103" cm="1">
        <f t="array" ref="G50">_xll.SNL.Clients.Office.Excel.Functions.SPG($E$5,$C50,G$27,$E$11,_xll.SNL.Clients.Office.Excel.Functions.SPGOPTIONS("DataType",$E$23,"Src",$AI$40,"Mag",$AG$33,"Curr",$AL$1,"NA",""))</f>
        <v>64551</v>
      </c>
      <c r="H50" s="103" cm="1">
        <f t="array" ref="H50">_xll.SNL.Clients.Office.Excel.Functions.SPG($E$5,$C50,H$27,$E$11,_xll.SNL.Clients.Office.Excel.Functions.SPGOPTIONS("DataType",$E$23,"Src",$AI$40,"Mag",$AG$33,"Curr",$AL$1,"NA",""))</f>
        <v>115948</v>
      </c>
      <c r="I50" s="103" cm="1">
        <f t="array" ref="I50">_xll.SNL.Clients.Office.Excel.Functions.SPG($E$5,$C50,I$27,$E$11,_xll.SNL.Clients.Office.Excel.Functions.SPGOPTIONS("DataType",$E$23,"Src",$AI$40,"Mag",$AG$33,"Curr",$AL$1,"NA",""))</f>
        <v>195481.70647693207</v>
      </c>
      <c r="J50" s="103" cm="1">
        <f t="array" ref="J50">_xll.SNL.Clients.Office.Excel.Functions.SPG($E$5,$C50,J$27,$E$11,_xll.SNL.Clients.Office.Excel.Functions.SPGOPTIONS("DataType",$E$23,"Src",$AI$40,"Mag",$AG$33,"Curr",$AL$1,"NA",""))</f>
        <v>223523.11233757038</v>
      </c>
      <c r="K50" s="193" cm="1">
        <f t="array" ref="K50">_xll.SNL.Clients.Office.Excel.Functions.SPG($E$5,$C50,K$27,$E$11,_xll.SNL.Clients.Office.Excel.Functions.SPGOPTIONS("DataType",$E$23,"Src",$AI$40,"Mag",$AG$33,"Curr",$AL$1,"NA",""))</f>
        <v>257861.81222154503</v>
      </c>
      <c r="L50" s="6"/>
      <c r="Y50" s="41"/>
      <c r="Z50" s="41"/>
      <c r="AB50" s="1" t="s">
        <v>38</v>
      </c>
      <c r="AC50" s="30" t="s">
        <v>244</v>
      </c>
      <c r="AD50" s="30" t="s">
        <v>245</v>
      </c>
      <c r="AE50" s="1"/>
      <c r="AF50" s="1"/>
      <c r="AG50" s="1"/>
      <c r="AK50" s="75" t="s">
        <v>402</v>
      </c>
      <c r="AL50" s="76" t="s">
        <v>122</v>
      </c>
      <c r="AM50" s="77" t="s">
        <v>403</v>
      </c>
      <c r="AN50" s="79" t="s">
        <v>345</v>
      </c>
    </row>
    <row r="51" spans="2:40" ht="11.25" customHeight="1" x14ac:dyDescent="0.2">
      <c r="B51" s="87" t="s">
        <v>8</v>
      </c>
      <c r="C51" s="87" t="s">
        <v>7</v>
      </c>
      <c r="D51" s="62"/>
      <c r="E51" s="103" cm="1">
        <f t="array" ref="E51">_xll.SNL.Clients.Office.Excel.Functions.SPG($E$5,$C51,E$27,$E$11,_xll.SNL.Clients.Office.Excel.Functions.SPGOPTIONS("DataType",$E$23,"Src",$AI$40,"Mag",$AG$33,"Curr",$AL$1,"NA",""))</f>
        <v>-7923</v>
      </c>
      <c r="F51" s="103" cm="1">
        <f t="array" ref="F51">_xll.SNL.Clients.Office.Excel.Functions.SPG($E$5,$C51,F$27,$E$11,_xll.SNL.Clients.Office.Excel.Functions.SPGOPTIONS("DataType",$E$23,"Src",$AI$40,"Mag",$AG$33,"Curr",$AL$1,"NA",""))</f>
        <v>-3524</v>
      </c>
      <c r="G51" s="103" cm="1">
        <f t="array" ref="G51">_xll.SNL.Clients.Office.Excel.Functions.SPG($E$5,$C51,G$27,$E$11,_xll.SNL.Clients.Office.Excel.Functions.SPGOPTIONS("DataType",$E$23,"Src",$AI$40,"Mag",$AG$33,"Curr",$AL$1,"NA",""))</f>
        <v>-10788</v>
      </c>
      <c r="H51" s="103" cm="1">
        <f t="array" ref="H51">_xll.SNL.Clients.Office.Excel.Functions.SPG($E$5,$C51,H$27,$E$11,_xll.SNL.Clients.Office.Excel.Functions.SPGOPTIONS("DataType",$E$23,"Src",$AI$40,"Mag",$AG$33,"Curr",$AL$1,"NA",""))</f>
        <v>-14256</v>
      </c>
      <c r="I51" s="103" cm="1">
        <f t="array" ref="I51">_xll.SNL.Clients.Office.Excel.Functions.SPG($E$5,$C51,I$27,$E$11,_xll.SNL.Clients.Office.Excel.Functions.SPGOPTIONS("DataType",$E$23,"Src",$AI$40,"Mag",$AG$33,"Curr",$AL$1,"NA",""))</f>
        <v>-2648.0579548157966</v>
      </c>
      <c r="J51" s="103" cm="1">
        <f t="array" ref="J51">_xll.SNL.Clients.Office.Excel.Functions.SPG($E$5,$C51,J$27,$E$11,_xll.SNL.Clients.Office.Excel.Functions.SPGOPTIONS("DataType",$E$23,"Src",$AI$40,"Mag",$AG$33,"Curr",$AL$1,"NA",""))</f>
        <v>-5915.8246259915522</v>
      </c>
      <c r="K51" s="193" cm="1">
        <f t="array" ref="K51">_xll.SNL.Clients.Office.Excel.Functions.SPG($E$5,$C51,K$27,$E$11,_xll.SNL.Clients.Office.Excel.Functions.SPGOPTIONS("DataType",$E$23,"Src",$AI$40,"Mag",$AG$33,"Curr",$AL$1,"NA",""))</f>
        <v>-13816.389927180398</v>
      </c>
      <c r="L51" s="6"/>
      <c r="Y51" s="41"/>
      <c r="Z51" s="41"/>
      <c r="AB51" s="1" t="s">
        <v>34</v>
      </c>
      <c r="AC51" s="30" t="s">
        <v>246</v>
      </c>
      <c r="AD51" s="30" t="s">
        <v>247</v>
      </c>
      <c r="AE51" s="1"/>
      <c r="AF51" s="1"/>
      <c r="AG51" s="1"/>
      <c r="AK51" s="75" t="s">
        <v>182</v>
      </c>
      <c r="AL51" s="76" t="s">
        <v>79</v>
      </c>
      <c r="AM51" s="77" t="s">
        <v>404</v>
      </c>
      <c r="AN51" s="79" t="s">
        <v>345</v>
      </c>
    </row>
    <row r="52" spans="2:40" ht="11.25" customHeight="1" x14ac:dyDescent="0.2">
      <c r="B52" s="87" t="s">
        <v>6</v>
      </c>
      <c r="C52" s="87" t="s">
        <v>5</v>
      </c>
      <c r="D52" s="62"/>
      <c r="E52" s="103" cm="1">
        <f t="array" ref="E52">_xll.SNL.Clients.Office.Excel.Functions.SPG($E$5,$C52,E$27,$E$11,_xll.SNL.Clients.Office.Excel.Functions.SPGOPTIONS("DataType",$E$23,"Src",$AI$40,"Mag",$AG$33,"Curr",$AL$1,"NA",""))</f>
        <v>87582</v>
      </c>
      <c r="F52" s="103" cm="1">
        <f t="array" ref="F52">_xll.SNL.Clients.Office.Excel.Functions.SPG($E$5,$C52,F$27,$E$11,_xll.SNL.Clients.Office.Excel.Functions.SPGOPTIONS("DataType",$E$23,"Src",$AI$40,"Mag",$AG$33,"Curr",$AL$1,"NA",""))</f>
        <v>118548</v>
      </c>
      <c r="G52" s="103" cm="1">
        <f t="array" ref="G52">_xll.SNL.Clients.Office.Excel.Functions.SPG($E$5,$C52,G$27,$E$11,_xll.SNL.Clients.Office.Excel.Functions.SPGOPTIONS("DataType",$E$23,"Src",$AI$40,"Mag",$AG$33,"Curr",$AL$1,"NA",""))</f>
        <v>136162</v>
      </c>
      <c r="H52" s="103" cm="1">
        <f t="array" ref="H52">_xll.SNL.Clients.Office.Excel.Functions.SPG($E$5,$C52,H$27,$E$11,_xll.SNL.Clients.Office.Excel.Functions.SPGOPTIONS("DataType",$E$23,"Src",$AI$40,"Mag",$AG$33,"Curr",$AL$1,"NA",""))</f>
        <v>182935</v>
      </c>
      <c r="I52" s="103" cm="1">
        <f t="array" ref="I52">_xll.SNL.Clients.Office.Excel.Functions.SPG($E$5,$C52,I$27,$E$11,_xll.SNL.Clients.Office.Excel.Functions.SPGOPTIONS("DataType",$E$23,"Src",$AI$40,"Mag",$AG$33,"Curr",$AL$1,"NA",""))</f>
        <v>215211.5788836318</v>
      </c>
      <c r="J52" s="103" cm="1">
        <f t="array" ref="J52">_xll.SNL.Clients.Office.Excel.Functions.SPG($E$5,$C52,J$27,$E$11,_xll.SNL.Clients.Office.Excel.Functions.SPGOPTIONS("DataType",$E$23,"Src",$AI$40,"Mag",$AG$33,"Curr",$AL$1,"NA",""))</f>
        <v>256160.56948950933</v>
      </c>
      <c r="K52" s="193" cm="1">
        <f t="array" ref="K52">_xll.SNL.Clients.Office.Excel.Functions.SPG($E$5,$C52,K$27,$E$11,_xll.SNL.Clients.Office.Excel.Functions.SPGOPTIONS("DataType",$E$23,"Src",$AI$40,"Mag",$AG$33,"Curr",$AL$1,"NA",""))</f>
        <v>308937.29252004443</v>
      </c>
      <c r="Y52" s="41"/>
      <c r="Z52" s="41"/>
      <c r="AB52" s="1" t="s">
        <v>30</v>
      </c>
      <c r="AC52" s="30" t="s">
        <v>248</v>
      </c>
      <c r="AD52" s="30" t="s">
        <v>249</v>
      </c>
      <c r="AE52" s="1"/>
      <c r="AF52" s="1"/>
      <c r="AG52" s="1"/>
      <c r="AK52" s="75" t="s">
        <v>183</v>
      </c>
      <c r="AL52" s="76" t="s">
        <v>106</v>
      </c>
      <c r="AM52" s="77" t="s">
        <v>107</v>
      </c>
      <c r="AN52" s="79" t="s">
        <v>345</v>
      </c>
    </row>
    <row r="53" spans="2:40" ht="11.25" customHeight="1" x14ac:dyDescent="0.2">
      <c r="B53" s="87" t="s">
        <v>466</v>
      </c>
      <c r="C53" s="233" t="s">
        <v>460</v>
      </c>
      <c r="D53" s="62"/>
      <c r="E53" s="103" cm="1">
        <f t="array" ref="E53">_xll.SNL.Clients.Office.Excel.Functions.SPG($E$5,$C53,E$27,$E$11,_xll.SNL.Clients.Office.Excel.Functions.SPGOPTIONS("DataType",$E$23,"Src",$AI$40,"Mag",$AG$33,"Curr",$AL$1,"NA",""))</f>
        <v>-22680</v>
      </c>
      <c r="F53" s="103" cm="1">
        <f t="array" ref="F53">_xll.SNL.Clients.Office.Excel.Functions.SPG($E$5,$C53,F$27,$E$11,_xll.SNL.Clients.Office.Excel.Functions.SPGOPTIONS("DataType",$E$23,"Src",$AI$40,"Mag",$AG$33,"Curr",$AL$1,"NA",""))</f>
        <v>-96970</v>
      </c>
      <c r="G53" s="103" cm="1">
        <f t="array" ref="G53">_xll.SNL.Clients.Office.Excel.Functions.SPG($E$5,$C53,G$27,$E$11,_xll.SNL.Clients.Office.Excel.Functions.SPGOPTIONS("DataType",$E$23,"Src",$AI$40,"Mag",$AG$33,"Curr",$AL$1,"NA",""))</f>
        <v>-72599</v>
      </c>
      <c r="H53" s="103" cm="1">
        <f t="array" ref="H53">_xll.SNL.Clients.Office.Excel.Functions.SPG($E$5,$C53,H$27,$E$11,_xll.SNL.Clients.Office.Excel.Functions.SPGOPTIONS("DataType",$E$23,"Src",$AI$40,"Mag",$AG$33,"Curr",$AL$1,"NA",""))</f>
        <v>-139500</v>
      </c>
      <c r="I53" s="103" cm="1">
        <f t="array" ref="I53">_xll.SNL.Clients.Office.Excel.Functions.SPG($E$5,$C53,I$27,$E$11,_xll.SNL.Clients.Office.Excel.Functions.SPGOPTIONS("DataType",$E$23,"Src",$AI$40,"Mag",$AG$33,"Curr",$AL$1,"NA",""))</f>
        <v>-189843.81925424063</v>
      </c>
      <c r="J53" s="103" cm="1">
        <f t="array" ref="J53">_xll.SNL.Clients.Office.Excel.Functions.SPG($E$5,$C53,J$27,$E$11,_xll.SNL.Clients.Office.Excel.Functions.SPGOPTIONS("DataType",$E$23,"Src",$AI$40,"Mag",$AG$33,"Curr",$AL$1,"NA",""))</f>
        <v>-218604.85172282899</v>
      </c>
      <c r="K53" s="193" cm="1">
        <f t="array" ref="K53">_xll.SNL.Clients.Office.Excel.Functions.SPG($E$5,$C53,K$27,$E$11,_xll.SNL.Clients.Office.Excel.Functions.SPGOPTIONS("DataType",$E$23,"Src",$AI$40,"Mag",$AG$33,"Curr",$AL$1,"NA",""))</f>
        <v>-252478.37202030691</v>
      </c>
      <c r="AB53" s="1" t="s">
        <v>26</v>
      </c>
      <c r="AC53" s="30" t="s">
        <v>250</v>
      </c>
      <c r="AD53" s="30" t="s">
        <v>251</v>
      </c>
      <c r="AE53" s="1"/>
      <c r="AF53" s="1"/>
      <c r="AG53" s="1"/>
      <c r="AK53" s="75" t="s">
        <v>184</v>
      </c>
      <c r="AL53" s="76" t="s">
        <v>91</v>
      </c>
      <c r="AM53" s="77" t="s">
        <v>92</v>
      </c>
      <c r="AN53" s="79" t="s">
        <v>345</v>
      </c>
    </row>
    <row r="54" spans="2:40" ht="11.25" customHeight="1" x14ac:dyDescent="0.2">
      <c r="B54" s="254" t="s">
        <v>467</v>
      </c>
      <c r="C54" s="255" t="s">
        <v>461</v>
      </c>
      <c r="D54" s="256"/>
      <c r="E54" s="252" cm="1">
        <f t="array" ref="E54">_xll.SNL.Clients.Office.Excel.Functions.SPG($E$5,$C54,E$27,$E$11,_xll.SNL.Clients.Office.Excel.Functions.SPGOPTIONS("DataType",$E$23,"Src",$AI$40,"Mag",$AG$33,"Curr",$AL$1,"NA",""))</f>
        <v>-43935</v>
      </c>
      <c r="F54" s="252" cm="1">
        <f t="array" ref="F54">_xll.SNL.Clients.Office.Excel.Functions.SPG($E$5,$C54,F$27,$E$11,_xll.SNL.Clients.Office.Excel.Functions.SPGOPTIONS("DataType",$E$23,"Src",$AI$40,"Mag",$AG$33,"Curr",$AL$1,"NA",""))</f>
        <v>-37757</v>
      </c>
      <c r="G54" s="252" cm="1">
        <f t="array" ref="G54">_xll.SNL.Clients.Office.Excel.Functions.SPG($E$5,$C54,G$27,$E$11,_xll.SNL.Clients.Office.Excel.Functions.SPGOPTIONS("DataType",$E$23,"Src",$AI$40,"Mag",$AG$33,"Curr",$AL$1,"NA",""))</f>
        <v>-51699</v>
      </c>
      <c r="H54" s="252" cm="1">
        <f t="array" ref="H54">_xll.SNL.Clients.Office.Excel.Functions.SPG($E$5,$C54,H$27,$E$11,_xll.SNL.Clients.Office.Excel.Functions.SPGOPTIONS("DataType",$E$23,"Src",$AI$40,"Mag",$AG$33,"Curr",$AL$1,"NA",""))</f>
        <v>-52546</v>
      </c>
      <c r="I54" s="252" cm="1">
        <f t="array" ref="I54">_xll.SNL.Clients.Office.Excel.Functions.SPG($E$5,$C54,I$27,$E$11,_xll.SNL.Clients.Office.Excel.Functions.SPGOPTIONS("DataType",$E$23,"Src",$AI$40,"Mag",$AG$33,"Curr",$AL$1,"NA",""))</f>
        <v>-34812.238035355047</v>
      </c>
      <c r="J54" s="252" cm="1">
        <f t="array" ref="J54">_xll.SNL.Clients.Office.Excel.Functions.SPG($E$5,$C54,J$27,$E$11,_xll.SNL.Clients.Office.Excel.Functions.SPGOPTIONS("DataType",$E$23,"Src",$AI$40,"Mag",$AG$33,"Curr",$AL$1,"NA",""))</f>
        <v>-36917.601456709963</v>
      </c>
      <c r="K54" s="253" cm="1">
        <f t="array" ref="K54">_xll.SNL.Clients.Office.Excel.Functions.SPG($E$5,$C54,K$27,$E$11,_xll.SNL.Clients.Office.Excel.Functions.SPGOPTIONS("DataType",$E$23,"Src",$AI$40,"Mag",$AG$33,"Curr",$AL$1,"NA",""))</f>
        <v>-41375.214320317653</v>
      </c>
      <c r="AB54" s="30" t="s">
        <v>238</v>
      </c>
      <c r="AC54" s="30" t="s">
        <v>252</v>
      </c>
      <c r="AD54" s="30" t="s">
        <v>253</v>
      </c>
      <c r="AE54" s="1"/>
      <c r="AF54" s="1"/>
      <c r="AG54" s="1"/>
      <c r="AK54" s="75" t="s">
        <v>185</v>
      </c>
      <c r="AL54" s="76" t="s">
        <v>90</v>
      </c>
      <c r="AM54" s="77" t="s">
        <v>405</v>
      </c>
      <c r="AN54" s="79" t="s">
        <v>345</v>
      </c>
    </row>
    <row r="55" spans="2:40" ht="11.25" customHeight="1" x14ac:dyDescent="0.2">
      <c r="AB55" s="30" t="s">
        <v>236</v>
      </c>
      <c r="AC55" s="30" t="s">
        <v>254</v>
      </c>
      <c r="AD55" s="30" t="s">
        <v>255</v>
      </c>
      <c r="AE55" s="1"/>
      <c r="AF55" s="1"/>
      <c r="AG55" s="1"/>
      <c r="AK55" s="75" t="s">
        <v>406</v>
      </c>
      <c r="AL55" s="76" t="s">
        <v>93</v>
      </c>
      <c r="AM55" s="77" t="s">
        <v>407</v>
      </c>
      <c r="AN55" s="79" t="s">
        <v>345</v>
      </c>
    </row>
    <row r="56" spans="2:40" ht="11.25" customHeight="1" x14ac:dyDescent="0.25">
      <c r="B56" s="183" t="s">
        <v>204</v>
      </c>
      <c r="C56" s="184"/>
      <c r="D56" s="185"/>
      <c r="E56" s="185"/>
      <c r="F56" s="185"/>
      <c r="G56" s="185"/>
      <c r="H56" s="185"/>
      <c r="I56" s="185"/>
      <c r="J56" s="185"/>
      <c r="K56" s="190"/>
      <c r="AB56" s="30" t="s">
        <v>237</v>
      </c>
      <c r="AC56" s="30" t="s">
        <v>256</v>
      </c>
      <c r="AD56" s="30" t="s">
        <v>257</v>
      </c>
      <c r="AE56" s="1"/>
      <c r="AF56" s="1"/>
      <c r="AG56" s="1"/>
      <c r="AK56" s="75" t="s">
        <v>408</v>
      </c>
      <c r="AL56" s="76" t="s">
        <v>96</v>
      </c>
      <c r="AM56" s="77" t="s">
        <v>409</v>
      </c>
      <c r="AN56" s="79" t="s">
        <v>345</v>
      </c>
    </row>
    <row r="57" spans="2:40" ht="11.25" customHeight="1" x14ac:dyDescent="0.2">
      <c r="B57" s="54" t="s">
        <v>4</v>
      </c>
      <c r="C57" s="54" t="s">
        <v>4</v>
      </c>
      <c r="D57" s="24"/>
      <c r="E57" s="105" cm="1">
        <f t="array" ref="E57">IFERROR(_xll.SNL.Clients.Office.Excel.Functions.SPG($E$5,$C57,E$27,$E$11,_xll.SNL.Clients.Office.Excel.Functions.SPGOPTIONS("DataType",$E$23,"Src",$AI$40,"Mag","Abs","NA",""))/100,"-")</f>
        <v>0.68920085883491022</v>
      </c>
      <c r="F57" s="105" cm="1">
        <f t="array" ref="F57">IFERROR(_xll.SNL.Clients.Office.Excel.Functions.SPG($E$5,$C57,F$27,$E$11,_xll.SNL.Clients.Office.Excel.Functions.SPGOPTIONS("DataType",$E$23,"Src",$AI$40,"Mag","Abs","NA",""))/100,"-")</f>
        <v>0.69764443827971379</v>
      </c>
      <c r="G57" s="105" cm="1">
        <f t="array" ref="G57">IFERROR(_xll.SNL.Clients.Office.Excel.Functions.SPG($E$5,$C57,G$27,$E$11,_xll.SNL.Clients.Office.Excel.Functions.SPGOPTIONS("DataType",$E$23,"Src",$AI$40,"Mag","Abs","NA",""))/100,"-")</f>
        <v>0.68823742386165176</v>
      </c>
      <c r="H57" s="105" cm="1">
        <f t="array" ref="H57">IFERROR(_xll.SNL.Clients.Office.Excel.Functions.SPG($E$5,$C57,H$27,$E$11,_xll.SNL.Clients.Office.Excel.Functions.SPGOPTIONS("DataType",$E$23,"Src",$AI$40,"Mag","Abs","NA",""))/100,"-")</f>
        <v>0.67944093370580316</v>
      </c>
      <c r="I57" s="105" cm="1">
        <f t="array" ref="I57">IFERROR(_xll.SNL.Clients.Office.Excel.Functions.SPG($E$5,$C57,I$27,$E$11,_xll.SNL.Clients.Office.Excel.Functions.SPGOPTIONS("DataType",$E$23,"Src",$AI$40,"Mag","Abs","NA",""))/100,"-")</f>
        <v>0.66096726356668323</v>
      </c>
      <c r="J57" s="105" cm="1">
        <f t="array" ref="J57">IFERROR(_xll.SNL.Clients.Office.Excel.Functions.SPG($E$5,$C57,J$27,$E$11,_xll.SNL.Clients.Office.Excel.Functions.SPGOPTIONS("DataType",$E$23,"Src",$AI$40,"Mag","Abs","NA",""))/100,"-")</f>
        <v>0.64938314477107317</v>
      </c>
      <c r="K57" s="194" cm="1">
        <f t="array" ref="K57">IFERROR(_xll.SNL.Clients.Office.Excel.Functions.SPG($E$5,$C57,K$27,$E$11,_xll.SNL.Clients.Office.Excel.Functions.SPGOPTIONS("DataType",$E$23,"Src",$AI$40,"Mag","Abs","NA",""))/100,"-")</f>
        <v>0.63949895628850539</v>
      </c>
      <c r="AB57" s="1"/>
      <c r="AC57" s="30" t="s">
        <v>258</v>
      </c>
      <c r="AD57" s="30" t="s">
        <v>259</v>
      </c>
      <c r="AE57" s="1"/>
      <c r="AF57" s="1"/>
      <c r="AG57" s="1"/>
      <c r="AK57" s="75" t="s">
        <v>410</v>
      </c>
      <c r="AL57" s="76" t="s">
        <v>94</v>
      </c>
      <c r="AM57" s="77" t="s">
        <v>51</v>
      </c>
      <c r="AN57" s="79" t="s">
        <v>345</v>
      </c>
    </row>
    <row r="58" spans="2:40" ht="11.25" customHeight="1" x14ac:dyDescent="0.2">
      <c r="B58" s="54" t="s">
        <v>3</v>
      </c>
      <c r="C58" s="54" t="s">
        <v>3</v>
      </c>
      <c r="D58" s="24"/>
      <c r="E58" s="105" cm="1">
        <f t="array" ref="E58">IFERROR(_xll.SNL.Clients.Office.Excel.Functions.SPG($E$5,$C58,E$27,$E$11,_xll.SNL.Clients.Office.Excel.Functions.SPGOPTIONS("DataType",$E$23,"Src",$AI$40,"Mag","Abs","NA",""))/100,"-")</f>
        <v>0.10739683363612769</v>
      </c>
      <c r="F58" s="105" cm="1">
        <f t="array" ref="F58">IFERROR(_xll.SNL.Clients.Office.Excel.Functions.SPG($E$5,$C58,F$27,$E$11,_xll.SNL.Clients.Office.Excel.Functions.SPGOPTIONS("DataType",$E$23,"Src",$AI$40,"Mag","Abs","NA",""))/100,"-")</f>
        <v>0.13081241177862452</v>
      </c>
      <c r="G58" s="105" cm="1">
        <f t="array" ref="G58">IFERROR(_xll.SNL.Clients.Office.Excel.Functions.SPG($E$5,$C58,G$27,$E$11,_xll.SNL.Clients.Office.Excel.Functions.SPGOPTIONS("DataType",$E$23,"Src",$AI$40,"Mag","Abs","NA",""))/100,"-")</f>
        <v>0.11669932274140647</v>
      </c>
      <c r="H58" s="105" cm="1">
        <f t="array" ref="H58">IFERROR(_xll.SNL.Clients.Office.Excel.Functions.SPG($E$5,$C58,H$27,$E$11,_xll.SNL.Clients.Office.Excel.Functions.SPGOPTIONS("DataType",$E$23,"Src",$AI$40,"Mag","Abs","NA",""))/100,"-")</f>
        <v>8.0490840437682121E-2</v>
      </c>
      <c r="I58" s="105" cm="1">
        <f t="array" ref="I58">IFERROR(_xll.SNL.Clients.Office.Excel.Functions.SPG($E$5,$C58,I$27,$E$11,_xll.SNL.Clients.Office.Excel.Functions.SPGOPTIONS("DataType",$E$23,"Src",$AI$40,"Mag","Abs","NA",""))/100,"-")</f>
        <v>9.5265139166155699E-2</v>
      </c>
      <c r="J58" s="105" cm="1">
        <f t="array" ref="J58">IFERROR(_xll.SNL.Clients.Office.Excel.Functions.SPG($E$5,$C58,J$27,$E$11,_xll.SNL.Clients.Office.Excel.Functions.SPGOPTIONS("DataType",$E$23,"Src",$AI$40,"Mag","Abs","NA",""))/100,"-")</f>
        <v>8.9306328732795204E-2</v>
      </c>
      <c r="K58" s="194" cm="1">
        <f t="array" ref="K58">IFERROR(_xll.SNL.Clients.Office.Excel.Functions.SPG($E$5,$C58,K$27,$E$11,_xll.SNL.Clients.Office.Excel.Functions.SPGOPTIONS("DataType",$E$23,"Src",$AI$40,"Mag","Abs","NA",""))/100,"-")</f>
        <v>8.3192460518186878E-2</v>
      </c>
      <c r="AB58" s="1"/>
      <c r="AC58" s="30" t="s">
        <v>260</v>
      </c>
      <c r="AD58" s="30" t="s">
        <v>261</v>
      </c>
      <c r="AE58" s="1"/>
      <c r="AF58" s="1"/>
      <c r="AG58" s="1"/>
      <c r="AK58" s="75" t="s">
        <v>411</v>
      </c>
      <c r="AL58" s="76" t="s">
        <v>112</v>
      </c>
      <c r="AM58" s="77" t="s">
        <v>412</v>
      </c>
      <c r="AN58" s="79" t="s">
        <v>345</v>
      </c>
    </row>
    <row r="59" spans="2:40" ht="11.25" customHeight="1" x14ac:dyDescent="0.2">
      <c r="B59" s="54" t="s">
        <v>2</v>
      </c>
      <c r="C59" s="54" t="s">
        <v>2</v>
      </c>
      <c r="D59" s="24"/>
      <c r="E59" s="105" cm="1">
        <f t="array" ref="E59">IFERROR(_xll.SNL.Clients.Office.Excel.Functions.SPG($E$5,$C59,E$27,$E$11,_xll.SNL.Clients.Office.Excel.Functions.SPGOPTIONS("DataType",$E$23,"Src",$AI$40,"Mag","Abs","NA",""))/100,"-")</f>
        <v>0.42325460679989618</v>
      </c>
      <c r="F59" s="105" cm="1">
        <f t="array" ref="F59">IFERROR(_xll.SNL.Clients.Office.Excel.Functions.SPG($E$5,$C59,F$27,$E$11,_xll.SNL.Clients.Office.Excel.Functions.SPGOPTIONS("DataType",$E$23,"Src",$AI$40,"Mag","Abs","NA",""))/100,"-")</f>
        <v>0.44644299573273721</v>
      </c>
      <c r="G59" s="105" cm="1">
        <f t="array" ref="G59">IFERROR(_xll.SNL.Clients.Office.Excel.Functions.SPG($E$5,$C59,G$27,$E$11,_xll.SNL.Clients.Office.Excel.Functions.SPGOPTIONS("DataType",$E$23,"Src",$AI$40,"Mag","Abs","NA",""))/100,"-")</f>
        <v>0.45621956240859851</v>
      </c>
      <c r="H59" s="105" cm="1">
        <f t="array" ref="H59">IFERROR(_xll.SNL.Clients.Office.Excel.Functions.SPG($E$5,$C59,H$27,$E$11,_xll.SNL.Clients.Office.Excel.Functions.SPGOPTIONS("DataType",$E$23,"Src",$AI$40,"Mag","Abs","NA",""))/100,"-")</f>
        <v>0.46780593880862203</v>
      </c>
      <c r="I59" s="105" cm="1">
        <f t="array" ref="I59">IFERROR(_xll.SNL.Clients.Office.Excel.Functions.SPG($E$5,$C59,I$27,$E$11,_xll.SNL.Clients.Office.Excel.Functions.SPGOPTIONS("DataType",$E$23,"Src",$AI$40,"Mag","Abs","NA",""))/100,"-")</f>
        <v>0.46439393070145207</v>
      </c>
      <c r="J59" s="105" cm="1">
        <f t="array" ref="J59">IFERROR(_xll.SNL.Clients.Office.Excel.Functions.SPG($E$5,$C59,J$27,$E$11,_xll.SNL.Clients.Office.Excel.Functions.SPGOPTIONS("DataType",$E$23,"Src",$AI$40,"Mag","Abs","NA",""))/100,"-")</f>
        <v>0.46258442256515631</v>
      </c>
      <c r="K59" s="194" cm="1">
        <f t="array" ref="K59">IFERROR(_xll.SNL.Clients.Office.Excel.Functions.SPG($E$5,$C59,K$27,$E$11,_xll.SNL.Clients.Office.Excel.Functions.SPGOPTIONS("DataType",$E$23,"Src",$AI$40,"Mag","Abs","NA",""))/100,"-")</f>
        <v>0.46421320824808604</v>
      </c>
      <c r="AB59" s="1"/>
      <c r="AC59" s="30" t="s">
        <v>262</v>
      </c>
      <c r="AD59" s="30" t="s">
        <v>263</v>
      </c>
      <c r="AE59" s="1"/>
      <c r="AF59" s="1"/>
      <c r="AG59" s="1"/>
      <c r="AK59" s="75" t="s">
        <v>186</v>
      </c>
      <c r="AL59" s="76" t="s">
        <v>95</v>
      </c>
      <c r="AM59" s="77" t="s">
        <v>95</v>
      </c>
      <c r="AN59" s="79" t="s">
        <v>345</v>
      </c>
    </row>
    <row r="60" spans="2:40" ht="11.25" customHeight="1" x14ac:dyDescent="0.2">
      <c r="B60" s="54" t="s">
        <v>1</v>
      </c>
      <c r="C60" s="54" t="s">
        <v>1</v>
      </c>
      <c r="D60" s="24"/>
      <c r="E60" s="105" cm="1">
        <f t="array" ref="E60">IFERROR(_xll.SNL.Clients.Office.Excel.Functions.SPG($E$5,$C60,E$27,$E$11,_xll.SNL.Clients.Office.Excel.Functions.SPGOPTIONS("DataType",$E$23,"Src",$AI$40,"Mag","Abs","NA",""))/100,"-")</f>
        <v>0.48866290729773731</v>
      </c>
      <c r="F60" s="105" cm="1">
        <f t="array" ref="F60">IFERROR(_xll.SNL.Clients.Office.Excel.Functions.SPG($E$5,$C60,F$27,$E$11,_xll.SNL.Clients.Office.Excel.Functions.SPGOPTIONS("DataType",$E$23,"Src",$AI$40,"Mag","Abs","NA",""))/100,"-")</f>
        <v>0.53736506719103139</v>
      </c>
      <c r="G60" s="105" cm="1">
        <f t="array" ref="G60">IFERROR(_xll.SNL.Clients.Office.Excel.Functions.SPG($E$5,$C60,G$27,$E$11,_xll.SNL.Clients.Office.Excel.Functions.SPGOPTIONS("DataType",$E$23,"Src",$AI$40,"Mag","Abs","NA",""))/100,"-")</f>
        <v>0.57744814073348383</v>
      </c>
      <c r="H60" s="105" cm="1">
        <f t="array" ref="H60">IFERROR(_xll.SNL.Clients.Office.Excel.Functions.SPG($E$5,$C60,H$27,$E$11,_xll.SNL.Clients.Office.Excel.Functions.SPGOPTIONS("DataType",$E$23,"Src",$AI$40,"Mag","Abs","NA",""))/100,"-")</f>
        <v>0.59873745470676021</v>
      </c>
      <c r="I60" s="105" cm="1">
        <f t="array" ref="I60">IFERROR(_xll.SNL.Clients.Office.Excel.Functions.SPG($E$5,$C60,I$27,$E$11,_xll.SNL.Clients.Office.Excel.Functions.SPGOPTIONS("DataType",$E$23,"Src",$AI$40,"Mag","Abs","NA",""))/100,"-")</f>
        <v>0.60872104528109827</v>
      </c>
      <c r="J60" s="105" cm="1">
        <f t="array" ref="J60">IFERROR(_xll.SNL.Clients.Office.Excel.Functions.SPG($E$5,$C60,J$27,$E$11,_xll.SNL.Clients.Office.Excel.Functions.SPGOPTIONS("DataType",$E$23,"Src",$AI$40,"Mag","Abs","NA",""))/100,"-")</f>
        <v>0.61717466798288978</v>
      </c>
      <c r="K60" s="194" cm="1">
        <f t="array" ref="K60">IFERROR(_xll.SNL.Clients.Office.Excel.Functions.SPG($E$5,$C60,K$27,$E$11,_xll.SNL.Clients.Office.Excel.Functions.SPGOPTIONS("DataType",$E$23,"Src",$AI$40,"Mag","Abs","NA",""))/100,"-")</f>
        <v>0.63279551225718766</v>
      </c>
      <c r="AB60" s="1"/>
      <c r="AC60" s="30" t="s">
        <v>264</v>
      </c>
      <c r="AD60" s="30" t="s">
        <v>265</v>
      </c>
      <c r="AE60" s="1"/>
      <c r="AF60" s="1"/>
      <c r="AG60" s="1"/>
      <c r="AK60" s="75" t="s">
        <v>413</v>
      </c>
      <c r="AL60" s="76" t="s">
        <v>97</v>
      </c>
      <c r="AM60" s="77" t="s">
        <v>414</v>
      </c>
      <c r="AN60" s="79" t="s">
        <v>345</v>
      </c>
    </row>
    <row r="61" spans="2:40" ht="11.25" customHeight="1" x14ac:dyDescent="0.3">
      <c r="B61" s="257" t="s">
        <v>0</v>
      </c>
      <c r="C61" s="257" t="s">
        <v>0</v>
      </c>
      <c r="D61" s="258"/>
      <c r="E61" s="259" cm="1">
        <f t="array" ref="E61">IFERROR(_xll.SNL.Clients.Office.Excel.Functions.SPG($E$5,$C61,E$27,$E$11,_xll.SNL.Clients.Office.Excel.Functions.SPGOPTIONS("DataType",$E$23,"Src",$AI$40,"Mag","Abs","NA",""))/100,"-")</f>
        <v>0.34592480428216171</v>
      </c>
      <c r="F61" s="259" cm="1">
        <f t="array" ref="F61">IFERROR(_xll.SNL.Clients.Office.Excel.Functions.SPG($E$5,$C61,F$27,$E$11,_xll.SNL.Clients.Office.Excel.Functions.SPGOPTIONS("DataType",$E$23,"Src",$AI$40,"Mag","Abs","NA",""))/100,"-")</f>
        <v>0.35955972944084985</v>
      </c>
      <c r="G61" s="259" cm="1">
        <f t="array" ref="G61">IFERROR(_xll.SNL.Clients.Office.Excel.Functions.SPG($E$5,$C61,G$27,$E$11,_xll.SNL.Clients.Office.Excel.Functions.SPGOPTIONS("DataType",$E$23,"Src",$AI$40,"Mag","Abs","NA",""))/100,"-")</f>
        <v>0.3743096079851202</v>
      </c>
      <c r="H61" s="259" cm="1">
        <f t="array" ref="H61">IFERROR(_xll.SNL.Clients.Office.Excel.Functions.SPG($E$5,$C61,H$27,$E$11,_xll.SNL.Clients.Office.Excel.Functions.SPGOPTIONS("DataType",$E$23,"Src",$AI$40,"Mag","Abs","NA",""))/100,"-")</f>
        <v>0.38809784262850355</v>
      </c>
      <c r="I61" s="259" cm="1">
        <f t="array" ref="I61">IFERROR(_xll.SNL.Clients.Office.Excel.Functions.SPG($E$5,$C61,I$27,$E$11,_xll.SNL.Clients.Office.Excel.Functions.SPGOPTIONS("DataType",$E$23,"Src",$AI$40,"Mag","Abs","NA",""))/100,"-")</f>
        <v>0.37527445768714784</v>
      </c>
      <c r="J61" s="259" cm="1">
        <f t="array" ref="J61">IFERROR(_xll.SNL.Clients.Office.Excel.Functions.SPG($E$5,$C61,J$27,$E$11,_xll.SNL.Clients.Office.Excel.Functions.SPGOPTIONS("DataType",$E$23,"Src",$AI$40,"Mag","Abs","NA",""))/100,"-")</f>
        <v>0.37338368023253793</v>
      </c>
      <c r="K61" s="260" cm="1">
        <f t="array" ref="K61">IFERROR(_xll.SNL.Clients.Office.Excel.Functions.SPG($E$5,$C61,K$27,$E$11,_xll.SNL.Clients.Office.Excel.Functions.SPGOPTIONS("DataType",$E$23,"Src",$AI$40,"Mag","Abs","NA",""))/100,"-")</f>
        <v>0.37335806926551846</v>
      </c>
      <c r="AB61" s="1"/>
      <c r="AC61" s="43" t="s">
        <v>266</v>
      </c>
      <c r="AD61" s="30" t="s">
        <v>267</v>
      </c>
      <c r="AE61" s="1"/>
      <c r="AF61" s="1"/>
      <c r="AG61" s="1"/>
      <c r="AK61" s="75" t="s">
        <v>187</v>
      </c>
      <c r="AL61" s="76" t="s">
        <v>98</v>
      </c>
      <c r="AM61" s="77" t="s">
        <v>415</v>
      </c>
      <c r="AN61" s="79" t="s">
        <v>345</v>
      </c>
    </row>
    <row r="62" spans="2:40" ht="11.25" customHeight="1" x14ac:dyDescent="0.3">
      <c r="B62" s="173"/>
      <c r="C62" s="173"/>
      <c r="D62" s="173"/>
      <c r="E62" s="173"/>
      <c r="F62" s="173"/>
      <c r="G62" s="173"/>
      <c r="H62" s="173"/>
      <c r="I62" s="173"/>
      <c r="J62" s="173"/>
      <c r="K62" s="173"/>
      <c r="AB62" s="1"/>
      <c r="AC62" s="43" t="s">
        <v>268</v>
      </c>
      <c r="AD62" s="30" t="s">
        <v>269</v>
      </c>
      <c r="AE62" s="1"/>
      <c r="AF62" s="1"/>
      <c r="AG62" s="1"/>
      <c r="AK62" s="75" t="s">
        <v>416</v>
      </c>
      <c r="AL62" s="76" t="s">
        <v>123</v>
      </c>
      <c r="AM62" s="77" t="s">
        <v>115</v>
      </c>
      <c r="AN62" s="79" t="s">
        <v>345</v>
      </c>
    </row>
    <row r="63" spans="2:40" ht="11.25" customHeight="1" x14ac:dyDescent="0.2">
      <c r="B63" s="261" t="s">
        <v>456</v>
      </c>
      <c r="AB63" s="1"/>
      <c r="AC63" s="30" t="s">
        <v>270</v>
      </c>
      <c r="AD63" s="30" t="s">
        <v>271</v>
      </c>
      <c r="AE63" s="1"/>
      <c r="AF63" s="1"/>
      <c r="AG63" s="1"/>
      <c r="AK63" s="75" t="s">
        <v>188</v>
      </c>
      <c r="AL63" s="76" t="s">
        <v>99</v>
      </c>
      <c r="AM63" s="77" t="s">
        <v>99</v>
      </c>
      <c r="AN63" s="79" t="s">
        <v>345</v>
      </c>
    </row>
    <row r="64" spans="2:40" ht="11.25" customHeight="1" x14ac:dyDescent="0.2">
      <c r="X64" s="32"/>
      <c r="AB64" s="1"/>
      <c r="AC64" s="30" t="s">
        <v>272</v>
      </c>
      <c r="AD64" s="30" t="s">
        <v>273</v>
      </c>
      <c r="AK64" s="75" t="s">
        <v>417</v>
      </c>
      <c r="AL64" s="76" t="s">
        <v>138</v>
      </c>
      <c r="AM64" s="77" t="s">
        <v>418</v>
      </c>
      <c r="AN64" s="79" t="s">
        <v>345</v>
      </c>
    </row>
    <row r="65" spans="23:40" ht="11.25" customHeight="1" x14ac:dyDescent="0.2">
      <c r="AC65" s="30" t="s">
        <v>274</v>
      </c>
      <c r="AD65" s="30" t="s">
        <v>275</v>
      </c>
      <c r="AK65" s="75" t="s">
        <v>189</v>
      </c>
      <c r="AL65" s="76" t="s">
        <v>100</v>
      </c>
      <c r="AM65" s="77" t="s">
        <v>419</v>
      </c>
      <c r="AN65" s="79" t="s">
        <v>345</v>
      </c>
    </row>
    <row r="66" spans="23:40" ht="11.25" customHeight="1" x14ac:dyDescent="0.2">
      <c r="AC66" s="30"/>
      <c r="AD66" s="30" t="s">
        <v>276</v>
      </c>
      <c r="AK66" s="75" t="s">
        <v>190</v>
      </c>
      <c r="AL66" s="76" t="s">
        <v>124</v>
      </c>
      <c r="AM66" s="77" t="s">
        <v>124</v>
      </c>
      <c r="AN66" s="79" t="s">
        <v>345</v>
      </c>
    </row>
    <row r="67" spans="23:40" ht="11.25" customHeight="1" x14ac:dyDescent="0.2">
      <c r="AC67" s="30"/>
      <c r="AD67" s="30" t="s">
        <v>277</v>
      </c>
      <c r="AK67" s="75" t="s">
        <v>191</v>
      </c>
      <c r="AL67" s="76" t="s">
        <v>102</v>
      </c>
      <c r="AM67" s="77" t="s">
        <v>103</v>
      </c>
      <c r="AN67" s="79" t="s">
        <v>345</v>
      </c>
    </row>
    <row r="68" spans="23:40" ht="11.25" customHeight="1" x14ac:dyDescent="0.2">
      <c r="AC68" s="30"/>
      <c r="AD68" s="30" t="s">
        <v>278</v>
      </c>
      <c r="AK68" s="75" t="s">
        <v>192</v>
      </c>
      <c r="AL68" s="76" t="s">
        <v>109</v>
      </c>
      <c r="AM68" s="77" t="s">
        <v>110</v>
      </c>
      <c r="AN68" s="79" t="s">
        <v>345</v>
      </c>
    </row>
    <row r="69" spans="23:40" ht="11.25" customHeight="1" x14ac:dyDescent="0.2">
      <c r="AC69" s="30"/>
      <c r="AD69" s="30" t="s">
        <v>279</v>
      </c>
      <c r="AK69" s="75" t="s">
        <v>193</v>
      </c>
      <c r="AL69" s="76" t="s">
        <v>84</v>
      </c>
      <c r="AM69" s="77" t="s">
        <v>420</v>
      </c>
      <c r="AN69" s="79" t="s">
        <v>45</v>
      </c>
    </row>
    <row r="70" spans="23:40" ht="11.25" customHeight="1" x14ac:dyDescent="0.2">
      <c r="AC70" s="30"/>
      <c r="AD70" s="30" t="s">
        <v>280</v>
      </c>
      <c r="AK70" s="75" t="s">
        <v>194</v>
      </c>
      <c r="AL70" s="76" t="s">
        <v>86</v>
      </c>
      <c r="AM70" s="77" t="s">
        <v>421</v>
      </c>
      <c r="AN70" s="79" t="s">
        <v>345</v>
      </c>
    </row>
    <row r="71" spans="23:40" ht="11.25" customHeight="1" x14ac:dyDescent="0.2">
      <c r="AC71" s="30"/>
      <c r="AD71" s="30" t="s">
        <v>281</v>
      </c>
      <c r="AK71" s="75" t="s">
        <v>195</v>
      </c>
      <c r="AL71" s="76" t="s">
        <v>101</v>
      </c>
      <c r="AM71" s="77" t="s">
        <v>387</v>
      </c>
      <c r="AN71" s="79" t="s">
        <v>345</v>
      </c>
    </row>
    <row r="72" spans="23:40" ht="11.25" customHeight="1" x14ac:dyDescent="0.2">
      <c r="AC72" s="30"/>
      <c r="AD72" s="30" t="s">
        <v>282</v>
      </c>
      <c r="AK72" s="75" t="s">
        <v>196</v>
      </c>
      <c r="AL72" s="76" t="s">
        <v>67</v>
      </c>
      <c r="AM72" s="77" t="s">
        <v>422</v>
      </c>
      <c r="AN72" s="79" t="s">
        <v>345</v>
      </c>
    </row>
    <row r="73" spans="23:40" ht="11.25" customHeight="1" x14ac:dyDescent="0.2">
      <c r="AC73" s="30"/>
      <c r="AD73" s="30" t="s">
        <v>283</v>
      </c>
      <c r="AK73" s="75" t="s">
        <v>423</v>
      </c>
      <c r="AL73" s="76" t="s">
        <v>139</v>
      </c>
      <c r="AM73" s="77" t="s">
        <v>424</v>
      </c>
      <c r="AN73" s="79" t="s">
        <v>345</v>
      </c>
    </row>
    <row r="74" spans="23:40" ht="11.25" customHeight="1" x14ac:dyDescent="0.2">
      <c r="AC74" s="30"/>
      <c r="AD74" s="30" t="s">
        <v>284</v>
      </c>
      <c r="AK74" s="75" t="s">
        <v>425</v>
      </c>
      <c r="AL74" s="76" t="s">
        <v>104</v>
      </c>
      <c r="AM74" s="77" t="s">
        <v>105</v>
      </c>
      <c r="AN74" s="79" t="s">
        <v>345</v>
      </c>
    </row>
    <row r="75" spans="23:40" ht="11.25" customHeight="1" x14ac:dyDescent="0.2">
      <c r="AC75" s="30"/>
      <c r="AD75" s="30" t="s">
        <v>285</v>
      </c>
      <c r="AK75" s="75" t="s">
        <v>197</v>
      </c>
      <c r="AL75" s="76" t="s">
        <v>125</v>
      </c>
      <c r="AM75" s="77" t="s">
        <v>426</v>
      </c>
      <c r="AN75" s="79" t="s">
        <v>345</v>
      </c>
    </row>
    <row r="76" spans="23:40" ht="11.25" customHeight="1" x14ac:dyDescent="0.2">
      <c r="AC76" s="30"/>
      <c r="AD76" s="30" t="s">
        <v>286</v>
      </c>
      <c r="AK76" s="75" t="s">
        <v>427</v>
      </c>
      <c r="AL76" s="76" t="s">
        <v>118</v>
      </c>
      <c r="AM76" s="77" t="s">
        <v>428</v>
      </c>
      <c r="AN76" s="79" t="s">
        <v>345</v>
      </c>
    </row>
    <row r="77" spans="23:40" ht="11.25" customHeight="1" x14ac:dyDescent="0.2">
      <c r="AC77" s="30"/>
      <c r="AD77" s="30" t="s">
        <v>287</v>
      </c>
      <c r="AK77" s="75" t="s">
        <v>429</v>
      </c>
      <c r="AL77" s="76" t="s">
        <v>140</v>
      </c>
      <c r="AM77" s="77" t="s">
        <v>354</v>
      </c>
      <c r="AN77" s="79" t="s">
        <v>345</v>
      </c>
    </row>
    <row r="78" spans="23:40" ht="11.25" customHeight="1" x14ac:dyDescent="0.2">
      <c r="AC78" s="30"/>
      <c r="AD78" s="30" t="s">
        <v>288</v>
      </c>
      <c r="AK78" s="75" t="s">
        <v>430</v>
      </c>
      <c r="AL78" s="76" t="s">
        <v>55</v>
      </c>
      <c r="AM78" s="77" t="s">
        <v>431</v>
      </c>
      <c r="AN78" s="79" t="s">
        <v>345</v>
      </c>
    </row>
    <row r="79" spans="23:40" ht="11.25" customHeight="1" x14ac:dyDescent="0.2">
      <c r="AC79" s="30"/>
      <c r="AD79" s="30" t="s">
        <v>289</v>
      </c>
      <c r="AK79" s="75" t="s">
        <v>432</v>
      </c>
      <c r="AL79" s="76" t="s">
        <v>141</v>
      </c>
      <c r="AM79" s="77" t="s">
        <v>141</v>
      </c>
      <c r="AN79" s="79" t="s">
        <v>345</v>
      </c>
    </row>
    <row r="80" spans="23:40" ht="11.25" customHeight="1" x14ac:dyDescent="0.25">
      <c r="W80" s="55"/>
      <c r="X80" s="55"/>
      <c r="Y80" s="30"/>
      <c r="Z80" s="30"/>
      <c r="AA80" s="30"/>
      <c r="AC80" s="30"/>
      <c r="AD80" s="30" t="s">
        <v>290</v>
      </c>
      <c r="AE80" s="30"/>
      <c r="AK80" s="75" t="s">
        <v>433</v>
      </c>
      <c r="AL80" s="76" t="s">
        <v>142</v>
      </c>
      <c r="AM80" s="77" t="s">
        <v>142</v>
      </c>
      <c r="AN80" s="79" t="s">
        <v>45</v>
      </c>
    </row>
    <row r="81" spans="23:40" ht="11.25" customHeight="1" x14ac:dyDescent="0.25">
      <c r="W81" s="55"/>
      <c r="X81" s="55"/>
      <c r="Y81" s="30"/>
      <c r="Z81" s="30"/>
      <c r="AA81" s="30"/>
      <c r="AC81" s="30"/>
      <c r="AD81" s="30" t="s">
        <v>291</v>
      </c>
      <c r="AE81" s="30"/>
      <c r="AK81" s="75" t="s">
        <v>434</v>
      </c>
      <c r="AL81" s="76" t="s">
        <v>144</v>
      </c>
      <c r="AM81" s="77" t="s">
        <v>435</v>
      </c>
      <c r="AN81" s="79" t="s">
        <v>345</v>
      </c>
    </row>
    <row r="82" spans="23:40" ht="11.25" customHeight="1" x14ac:dyDescent="0.2">
      <c r="Z82" s="30"/>
      <c r="AA82" s="30"/>
      <c r="AB82" s="30"/>
      <c r="AC82" s="30"/>
      <c r="AD82" s="30" t="s">
        <v>292</v>
      </c>
      <c r="AE82" s="30"/>
      <c r="AK82" s="80" t="s">
        <v>436</v>
      </c>
      <c r="AL82" s="81" t="s">
        <v>119</v>
      </c>
      <c r="AM82" s="82" t="s">
        <v>437</v>
      </c>
      <c r="AN82" s="83" t="s">
        <v>45</v>
      </c>
    </row>
    <row r="83" spans="23:40" ht="11.25" customHeight="1" x14ac:dyDescent="0.2">
      <c r="W83" s="56"/>
      <c r="X83" s="56"/>
      <c r="AB83" s="30"/>
      <c r="AC83" s="30"/>
      <c r="AD83" s="30" t="s">
        <v>293</v>
      </c>
      <c r="AK83" s="30"/>
      <c r="AL83" s="30"/>
      <c r="AM83" s="30"/>
    </row>
    <row r="84" spans="23:40" ht="11.25" customHeight="1" x14ac:dyDescent="0.2">
      <c r="W84" s="56"/>
      <c r="X84" s="56"/>
      <c r="AB84" s="30"/>
      <c r="AC84" s="30"/>
      <c r="AD84" s="30" t="s">
        <v>294</v>
      </c>
      <c r="AK84" s="30"/>
      <c r="AL84" s="30"/>
      <c r="AM84" s="30"/>
    </row>
    <row r="85" spans="23:40" ht="11.25" customHeight="1" x14ac:dyDescent="0.2">
      <c r="W85" s="56"/>
      <c r="X85" s="56"/>
      <c r="AC85" s="30"/>
      <c r="AD85" s="30" t="s">
        <v>295</v>
      </c>
      <c r="AK85" s="30"/>
      <c r="AL85" s="30"/>
      <c r="AM85" s="30"/>
    </row>
    <row r="86" spans="23:40" ht="11.25" customHeight="1" x14ac:dyDescent="0.2">
      <c r="W86" s="56"/>
      <c r="X86" s="56"/>
      <c r="AC86" s="30"/>
      <c r="AD86" s="30" t="s">
        <v>296</v>
      </c>
      <c r="AK86" s="30"/>
      <c r="AL86" s="30"/>
      <c r="AM86" s="30"/>
    </row>
    <row r="87" spans="23:40" ht="11.25" customHeight="1" x14ac:dyDescent="0.2">
      <c r="W87" s="56"/>
      <c r="X87" s="56"/>
      <c r="AC87" s="30"/>
      <c r="AD87" s="30" t="s">
        <v>297</v>
      </c>
      <c r="AK87" s="30"/>
      <c r="AL87" s="30"/>
      <c r="AM87" s="30"/>
    </row>
    <row r="88" spans="23:40" ht="11.25" customHeight="1" x14ac:dyDescent="0.2">
      <c r="W88" s="56"/>
      <c r="X88" s="56"/>
      <c r="AC88" s="30"/>
      <c r="AD88" s="30" t="s">
        <v>298</v>
      </c>
      <c r="AK88" s="30"/>
      <c r="AL88" s="30"/>
      <c r="AM88" s="30"/>
    </row>
    <row r="89" spans="23:40" ht="11.25" customHeight="1" x14ac:dyDescent="0.2">
      <c r="W89" s="56"/>
      <c r="X89" s="56"/>
      <c r="AC89" s="30"/>
      <c r="AD89" s="30" t="s">
        <v>299</v>
      </c>
      <c r="AK89" s="30"/>
      <c r="AL89" s="30"/>
      <c r="AM89" s="30"/>
    </row>
    <row r="90" spans="23:40" ht="11.25" customHeight="1" x14ac:dyDescent="0.2">
      <c r="W90" s="56"/>
      <c r="X90" s="56"/>
      <c r="AC90" s="30"/>
      <c r="AD90" s="30" t="s">
        <v>300</v>
      </c>
      <c r="AK90" s="30"/>
      <c r="AL90" s="30"/>
      <c r="AM90" s="30"/>
    </row>
    <row r="91" spans="23:40" ht="11.25" customHeight="1" x14ac:dyDescent="0.2">
      <c r="W91" s="56"/>
      <c r="X91" s="56"/>
      <c r="AC91" s="30"/>
      <c r="AD91" s="30" t="s">
        <v>301</v>
      </c>
      <c r="AK91" s="30"/>
      <c r="AL91" s="30"/>
      <c r="AM91" s="30"/>
    </row>
    <row r="92" spans="23:40" ht="11.25" customHeight="1" x14ac:dyDescent="0.2">
      <c r="W92" s="56"/>
      <c r="X92" s="56"/>
      <c r="AC92" s="30"/>
      <c r="AD92" s="30" t="s">
        <v>302</v>
      </c>
      <c r="AK92" s="30"/>
      <c r="AL92" s="30"/>
      <c r="AM92" s="30"/>
    </row>
    <row r="93" spans="23:40" ht="11.25" customHeight="1" x14ac:dyDescent="0.2">
      <c r="AC93" s="30"/>
      <c r="AD93" s="30" t="s">
        <v>303</v>
      </c>
      <c r="AK93" s="30"/>
      <c r="AL93" s="30"/>
      <c r="AM93" s="30"/>
    </row>
    <row r="94" spans="23:40" ht="11.25" customHeight="1" x14ac:dyDescent="0.35">
      <c r="X94" s="44"/>
      <c r="AC94" s="30"/>
      <c r="AD94" s="30" t="s">
        <v>304</v>
      </c>
      <c r="AK94" s="30"/>
      <c r="AL94" s="30"/>
      <c r="AM94" s="30"/>
    </row>
    <row r="95" spans="23:40" ht="11.25" customHeight="1" x14ac:dyDescent="0.35">
      <c r="X95" s="44"/>
      <c r="AC95" s="30"/>
      <c r="AD95" s="30" t="s">
        <v>305</v>
      </c>
      <c r="AK95" s="30"/>
      <c r="AL95" s="30"/>
      <c r="AM95" s="30"/>
    </row>
    <row r="96" spans="23:40" ht="11.25" customHeight="1" x14ac:dyDescent="0.25">
      <c r="W96" s="55"/>
      <c r="X96" s="55"/>
      <c r="AC96" s="30"/>
      <c r="AD96" s="30" t="s">
        <v>306</v>
      </c>
      <c r="AK96" s="30"/>
      <c r="AL96" s="30"/>
      <c r="AM96" s="30"/>
    </row>
    <row r="97" spans="23:39" ht="11.25" customHeight="1" x14ac:dyDescent="0.25">
      <c r="W97" s="55"/>
      <c r="X97" s="55"/>
      <c r="AC97" s="30"/>
      <c r="AD97" s="30" t="s">
        <v>307</v>
      </c>
      <c r="AK97" s="30"/>
      <c r="AL97" s="30"/>
      <c r="AM97" s="30"/>
    </row>
    <row r="98" spans="23:39" ht="11.25" customHeight="1" x14ac:dyDescent="0.25">
      <c r="W98" s="55"/>
      <c r="X98" s="55"/>
      <c r="AC98" s="30"/>
      <c r="AD98" s="30" t="s">
        <v>308</v>
      </c>
      <c r="AK98" s="30"/>
      <c r="AL98" s="30"/>
      <c r="AM98" s="30"/>
    </row>
    <row r="99" spans="23:39" ht="11.25" customHeight="1" x14ac:dyDescent="0.2">
      <c r="W99" s="53"/>
      <c r="X99" s="53"/>
      <c r="AC99" s="30"/>
      <c r="AD99" s="30" t="s">
        <v>309</v>
      </c>
      <c r="AK99" s="30"/>
      <c r="AL99" s="30"/>
      <c r="AM99" s="30"/>
    </row>
    <row r="100" spans="23:39" ht="11.25" customHeight="1" x14ac:dyDescent="0.2">
      <c r="W100" s="53"/>
      <c r="X100" s="53"/>
      <c r="AC100" s="30"/>
      <c r="AD100" s="30" t="s">
        <v>310</v>
      </c>
      <c r="AK100" s="30"/>
      <c r="AL100" s="30"/>
      <c r="AM100" s="30"/>
    </row>
    <row r="101" spans="23:39" ht="11.25" customHeight="1" x14ac:dyDescent="0.2">
      <c r="AC101" s="30"/>
      <c r="AD101" s="30" t="s">
        <v>311</v>
      </c>
      <c r="AK101" s="30"/>
      <c r="AL101" s="30"/>
      <c r="AM101" s="30"/>
    </row>
    <row r="102" spans="23:39" ht="11.25" customHeight="1" x14ac:dyDescent="0.2">
      <c r="AC102" s="30"/>
      <c r="AD102" s="30" t="s">
        <v>312</v>
      </c>
      <c r="AK102" s="30"/>
      <c r="AL102" s="30"/>
      <c r="AM102" s="30"/>
    </row>
    <row r="103" spans="23:39" ht="11.25" customHeight="1" x14ac:dyDescent="0.2">
      <c r="AC103" s="30"/>
      <c r="AD103" s="30" t="s">
        <v>313</v>
      </c>
      <c r="AK103" s="30"/>
      <c r="AL103" s="30"/>
      <c r="AM103" s="30"/>
    </row>
    <row r="104" spans="23:39" ht="11.25" customHeight="1" x14ac:dyDescent="0.2">
      <c r="AC104" s="30"/>
      <c r="AD104" s="30" t="s">
        <v>314</v>
      </c>
      <c r="AK104" s="30"/>
      <c r="AL104" s="30"/>
      <c r="AM104" s="30"/>
    </row>
    <row r="105" spans="23:39" ht="11.25" customHeight="1" x14ac:dyDescent="0.2">
      <c r="AC105" s="30"/>
      <c r="AD105" s="30" t="s">
        <v>315</v>
      </c>
      <c r="AK105" s="30"/>
      <c r="AL105" s="30"/>
      <c r="AM105" s="30"/>
    </row>
    <row r="106" spans="23:39" ht="11.25" customHeight="1" x14ac:dyDescent="0.2">
      <c r="AC106" s="30"/>
      <c r="AD106" s="30" t="s">
        <v>316</v>
      </c>
      <c r="AK106" s="30"/>
      <c r="AL106" s="30"/>
      <c r="AM106" s="30"/>
    </row>
    <row r="107" spans="23:39" ht="11.25" customHeight="1" x14ac:dyDescent="0.2">
      <c r="AC107" s="30"/>
      <c r="AD107" s="30" t="s">
        <v>317</v>
      </c>
      <c r="AK107" s="30"/>
      <c r="AL107" s="30"/>
      <c r="AM107" s="30"/>
    </row>
    <row r="108" spans="23:39" ht="11.25" customHeight="1" x14ac:dyDescent="0.2">
      <c r="AC108" s="30"/>
      <c r="AD108" s="30" t="s">
        <v>318</v>
      </c>
      <c r="AK108" s="30"/>
      <c r="AL108" s="30"/>
      <c r="AM108" s="30"/>
    </row>
    <row r="109" spans="23:39" ht="11.25" customHeight="1" x14ac:dyDescent="0.2">
      <c r="AC109" s="30"/>
      <c r="AD109" s="30" t="s">
        <v>319</v>
      </c>
      <c r="AK109" s="30"/>
      <c r="AL109" s="30"/>
      <c r="AM109" s="30"/>
    </row>
    <row r="110" spans="23:39" ht="11.25" customHeight="1" x14ac:dyDescent="0.2">
      <c r="AC110" s="30"/>
      <c r="AD110" s="30" t="s">
        <v>320</v>
      </c>
      <c r="AK110" s="30"/>
      <c r="AL110" s="30"/>
      <c r="AM110" s="30"/>
    </row>
    <row r="111" spans="23:39" ht="11.25" customHeight="1" x14ac:dyDescent="0.2">
      <c r="AC111" s="30"/>
      <c r="AD111" s="30" t="s">
        <v>321</v>
      </c>
      <c r="AK111" s="30"/>
      <c r="AL111" s="30"/>
      <c r="AM111" s="30"/>
    </row>
    <row r="112" spans="23:39" ht="11.25" customHeight="1" x14ac:dyDescent="0.2">
      <c r="AC112" s="30"/>
      <c r="AD112" s="30" t="s">
        <v>322</v>
      </c>
      <c r="AK112" s="30"/>
      <c r="AL112" s="30"/>
      <c r="AM112" s="30"/>
    </row>
    <row r="113" spans="24:39" ht="11.25" customHeight="1" x14ac:dyDescent="0.2">
      <c r="Z113"/>
      <c r="AA113"/>
      <c r="AC113" s="30"/>
      <c r="AD113" s="30" t="s">
        <v>323</v>
      </c>
      <c r="AK113" s="30"/>
      <c r="AL113" s="30"/>
      <c r="AM113" s="30"/>
    </row>
    <row r="114" spans="24:39" ht="11.25" customHeight="1" x14ac:dyDescent="0.2">
      <c r="Z114"/>
      <c r="AA114"/>
      <c r="AC114" s="30"/>
      <c r="AD114" s="30" t="s">
        <v>324</v>
      </c>
      <c r="AK114" s="30"/>
      <c r="AL114" s="30"/>
      <c r="AM114" s="30"/>
    </row>
    <row r="115" spans="24:39" ht="11.25" customHeight="1" x14ac:dyDescent="0.2">
      <c r="X115"/>
      <c r="Y115"/>
      <c r="Z115"/>
      <c r="AA115"/>
      <c r="AB115"/>
      <c r="AC115" s="30"/>
      <c r="AD115" s="30" t="s">
        <v>325</v>
      </c>
      <c r="AK115" s="30"/>
      <c r="AL115" s="30"/>
      <c r="AM115" s="30"/>
    </row>
    <row r="116" spans="24:39" ht="11.25" customHeight="1" x14ac:dyDescent="0.2">
      <c r="X116"/>
      <c r="Y116"/>
      <c r="Z116"/>
      <c r="AA116"/>
      <c r="AB116"/>
      <c r="AC116" s="30"/>
      <c r="AD116" s="30" t="s">
        <v>326</v>
      </c>
      <c r="AK116" s="30"/>
      <c r="AL116" s="30"/>
      <c r="AM116" s="30"/>
    </row>
    <row r="117" spans="24:39" ht="11.25" customHeight="1" x14ac:dyDescent="0.2">
      <c r="X117"/>
      <c r="Y117"/>
      <c r="Z117"/>
      <c r="AA117"/>
      <c r="AB117"/>
      <c r="AC117" s="30"/>
      <c r="AD117" s="30" t="s">
        <v>327</v>
      </c>
      <c r="AK117" s="30"/>
      <c r="AL117" s="30"/>
      <c r="AM117" s="30"/>
    </row>
    <row r="118" spans="24:39" ht="11.25" customHeight="1" x14ac:dyDescent="0.2">
      <c r="Z118"/>
      <c r="AA118"/>
      <c r="AE118" s="101"/>
      <c r="AF118" s="101"/>
      <c r="AG118" s="101"/>
      <c r="AH118" s="101"/>
      <c r="AI118" s="101"/>
      <c r="AJ118" s="101"/>
      <c r="AK118" s="101"/>
      <c r="AL118" s="101"/>
      <c r="AM118" s="30"/>
    </row>
    <row r="119" spans="24:39" ht="11.25" customHeight="1" x14ac:dyDescent="0.2">
      <c r="Z119"/>
      <c r="AA119"/>
      <c r="AE119" s="100"/>
      <c r="AF119" s="100"/>
      <c r="AG119" s="100"/>
      <c r="AH119" s="100"/>
      <c r="AI119" s="100"/>
      <c r="AJ119" s="100"/>
      <c r="AK119" s="100"/>
      <c r="AL119" s="100"/>
      <c r="AM119" s="30"/>
    </row>
    <row r="120" spans="24:39" ht="11.25" customHeight="1" x14ac:dyDescent="0.2">
      <c r="Z120"/>
      <c r="AA120"/>
      <c r="AE120" s="15"/>
      <c r="AF120" s="15"/>
      <c r="AG120" s="102"/>
      <c r="AH120" s="102"/>
      <c r="AI120" s="15"/>
      <c r="AJ120" s="15"/>
      <c r="AK120" s="15"/>
      <c r="AL120" s="15"/>
      <c r="AM120" s="30"/>
    </row>
    <row r="121" spans="24:39" ht="11.25" customHeight="1" x14ac:dyDescent="0.2">
      <c r="Z121"/>
      <c r="AA121"/>
      <c r="AB121" s="1"/>
      <c r="AC121" s="1"/>
      <c r="AD121" s="1"/>
      <c r="AE121" s="1"/>
      <c r="AF121" s="1"/>
      <c r="AG121"/>
      <c r="AH121"/>
      <c r="AI121" s="1"/>
      <c r="AJ121" s="1"/>
      <c r="AM121" s="30"/>
    </row>
    <row r="122" spans="24:39" ht="11.25" customHeight="1" x14ac:dyDescent="0.2">
      <c r="Z122"/>
      <c r="AA122"/>
      <c r="AB122" s="1"/>
      <c r="AC122" s="100"/>
      <c r="AD122" s="100"/>
      <c r="AE122" s="100"/>
      <c r="AF122" s="100"/>
      <c r="AG122" s="100"/>
      <c r="AH122" s="100"/>
      <c r="AI122" s="100"/>
      <c r="AJ122" s="100"/>
      <c r="AK122" s="100"/>
      <c r="AL122" s="100"/>
      <c r="AM122" s="30"/>
    </row>
    <row r="123" spans="24:39" ht="11.25" customHeight="1" x14ac:dyDescent="0.2">
      <c r="Z123"/>
      <c r="AA123"/>
      <c r="AB123"/>
      <c r="AK123" s="30"/>
      <c r="AL123" s="30"/>
      <c r="AM123" s="30"/>
    </row>
    <row r="124" spans="24:39" ht="11.25" customHeight="1" x14ac:dyDescent="0.2">
      <c r="Z124"/>
      <c r="AA124"/>
      <c r="AB124"/>
      <c r="AK124" s="30"/>
      <c r="AL124" s="30"/>
      <c r="AM124" s="30"/>
    </row>
    <row r="125" spans="24:39" ht="11.25" customHeight="1" x14ac:dyDescent="0.2">
      <c r="Z125"/>
      <c r="AA125"/>
      <c r="AB125"/>
      <c r="AK125" s="30"/>
      <c r="AL125" s="30"/>
      <c r="AM125" s="30"/>
    </row>
    <row r="126" spans="24:39" ht="11.25" customHeight="1" x14ac:dyDescent="0.2">
      <c r="Z126"/>
      <c r="AA126"/>
      <c r="AB126"/>
      <c r="AK126" s="30"/>
      <c r="AL126" s="30"/>
      <c r="AM126" s="30"/>
    </row>
    <row r="127" spans="24:39" ht="11.25" customHeight="1" x14ac:dyDescent="0.2">
      <c r="Z127"/>
      <c r="AA127"/>
      <c r="AB127"/>
      <c r="AK127" s="30"/>
      <c r="AL127" s="30"/>
      <c r="AM127" s="30"/>
    </row>
    <row r="128" spans="24:39" ht="11.25" customHeight="1" x14ac:dyDescent="0.2">
      <c r="Z128"/>
      <c r="AA128"/>
      <c r="AB128"/>
      <c r="AK128" s="30"/>
      <c r="AL128" s="30"/>
      <c r="AM128" s="30"/>
    </row>
    <row r="129" spans="26:39" ht="11.25" customHeight="1" x14ac:dyDescent="0.2">
      <c r="Z129"/>
      <c r="AA129"/>
      <c r="AB129"/>
      <c r="AK129" s="30"/>
      <c r="AL129" s="30"/>
      <c r="AM129" s="30"/>
    </row>
    <row r="130" spans="26:39" ht="11.25" customHeight="1" x14ac:dyDescent="0.2">
      <c r="Z130"/>
      <c r="AA130"/>
      <c r="AB130"/>
      <c r="AK130" s="30"/>
      <c r="AL130" s="30"/>
      <c r="AM130" s="30"/>
    </row>
    <row r="131" spans="26:39" ht="11.25" customHeight="1" x14ac:dyDescent="0.2">
      <c r="Z131"/>
      <c r="AA131"/>
      <c r="AB131"/>
      <c r="AK131" s="30"/>
      <c r="AL131" s="30"/>
      <c r="AM131" s="30"/>
    </row>
    <row r="132" spans="26:39" ht="11.25" customHeight="1" x14ac:dyDescent="0.2">
      <c r="Z132"/>
      <c r="AA132"/>
      <c r="AB132"/>
      <c r="AK132" s="30"/>
      <c r="AL132" s="30"/>
      <c r="AM132" s="30"/>
    </row>
    <row r="133" spans="26:39" ht="11.25" customHeight="1" x14ac:dyDescent="0.2">
      <c r="Z133"/>
      <c r="AA133"/>
      <c r="AB133"/>
      <c r="AK133" s="30"/>
      <c r="AL133" s="30"/>
      <c r="AM133" s="30"/>
    </row>
    <row r="134" spans="26:39" ht="11.25" customHeight="1" x14ac:dyDescent="0.2">
      <c r="AK134" s="30"/>
      <c r="AL134" s="30"/>
      <c r="AM134" s="30"/>
    </row>
    <row r="135" spans="26:39" ht="11.25" customHeight="1" x14ac:dyDescent="0.2">
      <c r="AK135" s="30"/>
      <c r="AL135" s="30"/>
      <c r="AM135" s="30"/>
    </row>
    <row r="136" spans="26:39" ht="11.25" customHeight="1" x14ac:dyDescent="0.2">
      <c r="AK136" s="30"/>
      <c r="AL136" s="30"/>
      <c r="AM136" s="30"/>
    </row>
    <row r="137" spans="26:39" ht="11.25" customHeight="1" x14ac:dyDescent="0.2">
      <c r="AK137" s="30"/>
      <c r="AL137" s="30"/>
      <c r="AM137" s="30"/>
    </row>
    <row r="138" spans="26:39" ht="11.25" customHeight="1" x14ac:dyDescent="0.2">
      <c r="AK138" s="30"/>
      <c r="AL138" s="30"/>
      <c r="AM138" s="30"/>
    </row>
    <row r="139" spans="26:39" ht="11.25" customHeight="1" x14ac:dyDescent="0.2">
      <c r="AK139" s="30"/>
      <c r="AL139" s="30"/>
      <c r="AM139" s="30"/>
    </row>
    <row r="140" spans="26:39" ht="11.25" customHeight="1" x14ac:dyDescent="0.2">
      <c r="AK140" s="30"/>
      <c r="AL140" s="30"/>
      <c r="AM140" s="30"/>
    </row>
    <row r="141" spans="26:39" ht="11.25" customHeight="1" x14ac:dyDescent="0.2">
      <c r="AK141" s="30"/>
      <c r="AL141" s="30"/>
      <c r="AM141" s="30"/>
    </row>
    <row r="142" spans="26:39" ht="11.25" customHeight="1" x14ac:dyDescent="0.2">
      <c r="AK142" s="30"/>
      <c r="AL142" s="30"/>
      <c r="AM142" s="30"/>
    </row>
    <row r="143" spans="26:39" ht="11.25" customHeight="1" x14ac:dyDescent="0.2">
      <c r="AK143" s="30"/>
      <c r="AL143" s="30"/>
      <c r="AM143" s="30"/>
    </row>
    <row r="144" spans="26:39" ht="11.25" customHeight="1" x14ac:dyDescent="0.2">
      <c r="AK144" s="30"/>
      <c r="AL144" s="30"/>
      <c r="AM144" s="30"/>
    </row>
    <row r="145" spans="37:39" ht="11.25" customHeight="1" x14ac:dyDescent="0.2">
      <c r="AK145" s="30"/>
      <c r="AL145" s="30"/>
      <c r="AM145" s="30"/>
    </row>
    <row r="146" spans="37:39" ht="11.25" customHeight="1" x14ac:dyDescent="0.2">
      <c r="AK146" s="30"/>
      <c r="AL146" s="30"/>
      <c r="AM146" s="30"/>
    </row>
    <row r="147" spans="37:39" ht="11.25" customHeight="1" x14ac:dyDescent="0.2">
      <c r="AK147" s="30"/>
      <c r="AL147" s="30"/>
      <c r="AM147" s="30"/>
    </row>
    <row r="148" spans="37:39" ht="11.25" customHeight="1" x14ac:dyDescent="0.2">
      <c r="AK148" s="30"/>
      <c r="AL148" s="30"/>
      <c r="AM148" s="30"/>
    </row>
    <row r="149" spans="37:39" ht="11.25" customHeight="1" x14ac:dyDescent="0.2">
      <c r="AK149" s="30"/>
      <c r="AL149" s="30"/>
      <c r="AM149" s="30"/>
    </row>
    <row r="150" spans="37:39" ht="11.25" customHeight="1" x14ac:dyDescent="0.2">
      <c r="AK150" s="30"/>
      <c r="AL150" s="30"/>
      <c r="AM150" s="30"/>
    </row>
    <row r="151" spans="37:39" ht="11.25" customHeight="1" x14ac:dyDescent="0.2">
      <c r="AK151" s="30"/>
      <c r="AL151" s="30"/>
      <c r="AM151" s="30"/>
    </row>
    <row r="152" spans="37:39" ht="11.25" customHeight="1" x14ac:dyDescent="0.2">
      <c r="AK152" s="30"/>
      <c r="AL152" s="30"/>
      <c r="AM152" s="30"/>
    </row>
    <row r="153" spans="37:39" ht="11.25" customHeight="1" x14ac:dyDescent="0.2">
      <c r="AK153" s="30"/>
      <c r="AL153" s="30"/>
      <c r="AM153" s="30"/>
    </row>
    <row r="154" spans="37:39" ht="11.25" customHeight="1" x14ac:dyDescent="0.2">
      <c r="AK154" s="30"/>
      <c r="AL154" s="30"/>
      <c r="AM154" s="30"/>
    </row>
    <row r="155" spans="37:39" ht="11.25" customHeight="1" x14ac:dyDescent="0.2">
      <c r="AK155" s="30"/>
      <c r="AL155" s="30"/>
      <c r="AM155" s="30"/>
    </row>
    <row r="156" spans="37:39" ht="11.25" customHeight="1" x14ac:dyDescent="0.2">
      <c r="AK156" s="30"/>
      <c r="AL156" s="30"/>
      <c r="AM156" s="30"/>
    </row>
    <row r="157" spans="37:39" ht="11.25" customHeight="1" x14ac:dyDescent="0.2">
      <c r="AK157" s="30"/>
      <c r="AL157" s="30"/>
      <c r="AM157" s="30"/>
    </row>
    <row r="158" spans="37:39" ht="11.25" customHeight="1" x14ac:dyDescent="0.2">
      <c r="AK158" s="30"/>
      <c r="AL158" s="30"/>
      <c r="AM158" s="30"/>
    </row>
    <row r="159" spans="37:39" ht="11.25" customHeight="1" x14ac:dyDescent="0.2">
      <c r="AK159" s="30"/>
      <c r="AL159" s="30"/>
      <c r="AM159" s="30"/>
    </row>
    <row r="160" spans="37:39" ht="11.25" customHeight="1" x14ac:dyDescent="0.2">
      <c r="AK160" s="30"/>
      <c r="AL160" s="30"/>
      <c r="AM160" s="30"/>
    </row>
    <row r="161" spans="37:39" ht="11.25" customHeight="1" x14ac:dyDescent="0.2">
      <c r="AK161" s="30"/>
      <c r="AL161" s="30"/>
      <c r="AM161" s="30"/>
    </row>
    <row r="162" spans="37:39" ht="11.25" customHeight="1" x14ac:dyDescent="0.2">
      <c r="AK162" s="30"/>
      <c r="AL162" s="30"/>
      <c r="AM162" s="30"/>
    </row>
    <row r="163" spans="37:39" ht="11.25" customHeight="1" x14ac:dyDescent="0.2">
      <c r="AK163" s="30"/>
      <c r="AL163" s="30"/>
      <c r="AM163" s="30"/>
    </row>
    <row r="164" spans="37:39" ht="11.25" customHeight="1" x14ac:dyDescent="0.2">
      <c r="AK164" s="30"/>
      <c r="AL164" s="30"/>
      <c r="AM164" s="30"/>
    </row>
    <row r="165" spans="37:39" ht="11.25" customHeight="1" x14ac:dyDescent="0.2">
      <c r="AK165" s="30"/>
      <c r="AL165" s="30"/>
      <c r="AM165" s="30"/>
    </row>
    <row r="166" spans="37:39" ht="11.25" customHeight="1" x14ac:dyDescent="0.2">
      <c r="AK166" s="30"/>
      <c r="AL166" s="30"/>
      <c r="AM166" s="30"/>
    </row>
    <row r="167" spans="37:39" ht="11.25" customHeight="1" x14ac:dyDescent="0.2">
      <c r="AK167" s="30"/>
      <c r="AL167" s="30"/>
      <c r="AM167" s="30"/>
    </row>
    <row r="168" spans="37:39" ht="11.25" customHeight="1" x14ac:dyDescent="0.2">
      <c r="AK168" s="30"/>
      <c r="AL168" s="30"/>
      <c r="AM168" s="30"/>
    </row>
  </sheetData>
  <mergeCells count="6">
    <mergeCell ref="L44:L45"/>
    <mergeCell ref="M44:P45"/>
    <mergeCell ref="O26:R26"/>
    <mergeCell ref="H10:O13"/>
    <mergeCell ref="H16:N17"/>
    <mergeCell ref="H20:O22"/>
  </mergeCells>
  <conditionalFormatting sqref="D20">
    <cfRule type="expression" dxfId="14" priority="6">
      <formula>$E$18&lt;&gt;"Broker Code"</formula>
    </cfRule>
  </conditionalFormatting>
  <conditionalFormatting sqref="E20">
    <cfRule type="expression" dxfId="13" priority="5">
      <formula>$E$18&lt;&gt;"Broker Code"</formula>
    </cfRule>
    <cfRule type="expression" dxfId="12" priority="7">
      <formula>$E$18="Broker Code"</formula>
    </cfRule>
  </conditionalFormatting>
  <dataValidations count="4">
    <dataValidation type="list" allowBlank="1" showInputMessage="1" showErrorMessage="1" sqref="E14" xr:uid="{08136C50-6C6B-4138-80A3-3C818CAF080F}">
      <formula1>$AK$3:$AK$82</formula1>
    </dataValidation>
    <dataValidation type="list" allowBlank="1" showInputMessage="1" showErrorMessage="1" sqref="E16" xr:uid="{5D0A8806-193C-4FAA-A1BE-92EBD7C6EFBC}">
      <formula1>$AF$35:$AF$39</formula1>
    </dataValidation>
    <dataValidation type="list" allowBlank="1" showInputMessage="1" showErrorMessage="1" sqref="E18" xr:uid="{A8ECE745-F5C5-4A2E-A592-14F7F045888F}">
      <formula1>$AI$35:$AI$38</formula1>
    </dataValidation>
    <dataValidation type="list" allowBlank="1" showInputMessage="1" showErrorMessage="1" sqref="O26:R26" xr:uid="{46D286B3-CAE7-4C9F-9BFC-9A29512C583F}">
      <formula1>$AB$6:$AB$26</formula1>
    </dataValidation>
  </dataValidations>
  <hyperlinks>
    <hyperlink ref="I7" r:id="rId1" display="support@capitaliq.spglobal.com" xr:uid="{C35D4882-B4B7-417D-A09F-051D90EB6B40}"/>
  </hyperlinks>
  <printOptions horizontalCentered="1"/>
  <pageMargins left="0.25" right="0.25" top="0.25" bottom="0.25" header="0.75" footer="0.75"/>
  <pageSetup scale="94" orientation="landscape" r:id="rId2"/>
  <colBreaks count="1" manualBreakCount="1">
    <brk id="11" min="24" max="62" man="1"/>
  </colBreaks>
  <drawing r:id="rId3"/>
  <extLst>
    <ext xmlns:x14="http://schemas.microsoft.com/office/spreadsheetml/2009/9/main" uri="{78C0D931-6437-407d-A8EE-F0AAD7539E65}">
      <x14:conditionalFormattings>
        <x14:conditionalFormatting xmlns:xm="http://schemas.microsoft.com/office/excel/2006/main">
          <x14:cfRule type="expression" priority="43" id="{00000000-000E-0000-0100-00002A000000}">
            <xm:f>PeerAnalysis!$L$46="(%)"</xm:f>
            <x14:dxf>
              <numFmt numFmtId="176" formatCode="[&gt;0]0.00&quot;%&quot;;[&lt;0]\(0.00&quot;%&quot;\);\-;\-"/>
            </x14:dxf>
          </x14:cfRule>
          <xm:sqref>P116:T117 J116:N123 P120:S131</xm:sqref>
        </x14:conditionalFormatting>
        <x14:conditionalFormatting xmlns:xm="http://schemas.microsoft.com/office/excel/2006/main">
          <x14:cfRule type="expression" priority="46" id="{00000000-000E-0000-0100-000029000000}">
            <xm:f>PeerAnalysis!$U$46="(%)"</xm:f>
            <x14:dxf>
              <numFmt numFmtId="176" formatCode="[&gt;0]0.00&quot;%&quot;;[&lt;0]\(0.00&quot;%&quot;\);\-;\-"/>
            </x14:dxf>
          </x14:cfRule>
          <xm:sqref>W99:X100 W115 U116:W117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40F1B-05E9-4EB1-AC2E-85CD11CD8E67}">
  <sheetPr codeName="Sheet3">
    <pageSetUpPr autoPageBreaks="0"/>
  </sheetPr>
  <dimension ref="B1:AB115"/>
  <sheetViews>
    <sheetView showGridLines="0" zoomScaleNormal="100" zoomScaleSheetLayoutView="100" workbookViewId="0"/>
  </sheetViews>
  <sheetFormatPr defaultColWidth="9" defaultRowHeight="11.25" customHeight="1" outlineLevelRow="1" outlineLevelCol="1" x14ac:dyDescent="0.2"/>
  <cols>
    <col min="1" max="1" width="2.44140625" style="1" customWidth="1"/>
    <col min="2" max="2" width="37.44140625" style="1" customWidth="1"/>
    <col min="3" max="3" width="26.44140625" style="1" customWidth="1"/>
    <col min="4" max="5" width="18.6640625" style="1" customWidth="1"/>
    <col min="6" max="6" width="19.109375" style="1" customWidth="1"/>
    <col min="7" max="25" width="12.6640625" style="1" customWidth="1"/>
    <col min="26" max="26" width="15.44140625" style="1" customWidth="1"/>
    <col min="27" max="27" width="20.109375" style="1" hidden="1" customWidth="1" outlineLevel="1"/>
    <col min="28" max="28" width="15.44140625" style="18" customWidth="1" collapsed="1"/>
    <col min="29" max="29" width="9" style="1"/>
    <col min="30" max="30" width="12.44140625" style="1" bestFit="1" customWidth="1"/>
    <col min="31" max="16384" width="9" style="1"/>
  </cols>
  <sheetData>
    <row r="1" spans="2:28" ht="10" x14ac:dyDescent="0.2"/>
    <row r="2" spans="2:28" ht="15.75" customHeight="1" x14ac:dyDescent="0.35">
      <c r="B2" s="236" t="str" cm="1">
        <f t="array" ref="B2">"Performance Valuation - "&amp;IF(TearSheet!$E$5="","",_xll.SNL.Clients.Office.Excel.Functions.SPG(TearSheet!$E$5,"SP_COMPANY_NAME"))</f>
        <v>Performance Valuation - Microsoft Corporation</v>
      </c>
      <c r="E2" s="84"/>
      <c r="F2" s="85"/>
      <c r="G2" s="85"/>
      <c r="H2" s="86"/>
      <c r="Z2" s="25"/>
      <c r="AA2" s="25"/>
      <c r="AB2" s="98"/>
    </row>
    <row r="3" spans="2:28" ht="11.25" customHeight="1" x14ac:dyDescent="0.35">
      <c r="B3" s="239"/>
      <c r="C3" s="40"/>
      <c r="D3" s="40"/>
      <c r="E3" s="240"/>
      <c r="F3" s="241"/>
      <c r="G3" s="241"/>
      <c r="H3" s="242"/>
      <c r="I3" s="40"/>
      <c r="J3" s="40"/>
      <c r="K3" s="40"/>
      <c r="L3" s="40"/>
      <c r="M3" s="40"/>
      <c r="N3" s="40"/>
      <c r="O3" s="40"/>
      <c r="P3" s="40"/>
      <c r="Q3" s="40"/>
      <c r="R3" s="40"/>
      <c r="S3" s="40"/>
      <c r="T3" s="40"/>
      <c r="U3" s="40"/>
      <c r="V3" s="40"/>
      <c r="W3" s="40"/>
      <c r="Z3" s="25"/>
      <c r="AA3" s="25"/>
      <c r="AB3" s="98"/>
    </row>
    <row r="4" spans="2:28" ht="11.25" customHeight="1" x14ac:dyDescent="0.25">
      <c r="B4" s="17" t="s">
        <v>157</v>
      </c>
      <c r="E4" s="84"/>
      <c r="F4" s="85"/>
      <c r="G4" s="85"/>
      <c r="H4" s="86"/>
      <c r="Z4" s="25"/>
      <c r="AA4" s="25"/>
      <c r="AB4" s="98"/>
    </row>
    <row r="5" spans="2:28" ht="11.25" customHeight="1" x14ac:dyDescent="0.25">
      <c r="B5" s="1" t="s">
        <v>464</v>
      </c>
      <c r="H5" s="4"/>
      <c r="I5" s="4"/>
      <c r="J5" s="4"/>
      <c r="K5" s="4"/>
      <c r="L5" s="4"/>
      <c r="M5" s="4"/>
      <c r="N5" s="4"/>
      <c r="O5" s="2"/>
      <c r="P5" s="2"/>
      <c r="Q5" s="2"/>
      <c r="AB5" s="1"/>
    </row>
    <row r="6" spans="2:28" ht="11.25" customHeight="1" x14ac:dyDescent="0.2">
      <c r="B6" s="1" t="s">
        <v>465</v>
      </c>
      <c r="H6" s="4"/>
      <c r="I6" s="4"/>
      <c r="J6" s="4"/>
      <c r="K6" s="4"/>
      <c r="L6" s="4"/>
      <c r="M6" s="4"/>
      <c r="N6" s="4"/>
      <c r="O6" s="2"/>
      <c r="P6" s="2"/>
      <c r="Q6" s="2"/>
      <c r="AB6" s="1"/>
    </row>
    <row r="7" spans="2:28" ht="11.25" customHeight="1" x14ac:dyDescent="0.25">
      <c r="B7" s="225" t="str">
        <f>"Data in ("&amp;TearSheet!AM1&amp;TearSheet!AG33&amp;")"</f>
        <v>Data in ($M)</v>
      </c>
      <c r="E7" s="226"/>
      <c r="F7" s="201"/>
      <c r="G7" s="201"/>
      <c r="H7" s="201"/>
      <c r="I7" s="201"/>
      <c r="J7" s="201"/>
      <c r="K7" s="201"/>
      <c r="L7" s="201"/>
      <c r="M7" s="201"/>
      <c r="N7" s="91"/>
      <c r="P7" s="57"/>
      <c r="Q7" s="57"/>
      <c r="R7" s="57"/>
      <c r="S7" s="57"/>
      <c r="AB7" s="1"/>
    </row>
    <row r="8" spans="2:28" ht="11.25" hidden="1" customHeight="1" outlineLevel="1" x14ac:dyDescent="0.2">
      <c r="F8" s="33" t="s">
        <v>228</v>
      </c>
      <c r="G8" s="33" t="s">
        <v>229</v>
      </c>
      <c r="H8" s="33" t="s">
        <v>230</v>
      </c>
      <c r="I8" s="33" t="s">
        <v>231</v>
      </c>
      <c r="J8" s="33" t="s">
        <v>232</v>
      </c>
      <c r="K8" s="33" t="s">
        <v>233</v>
      </c>
      <c r="L8" s="33" t="s">
        <v>233</v>
      </c>
      <c r="M8" s="33" t="s">
        <v>233</v>
      </c>
      <c r="N8" s="33" t="s">
        <v>233</v>
      </c>
      <c r="O8" s="33" t="s">
        <v>233</v>
      </c>
      <c r="P8" s="33" t="s">
        <v>233</v>
      </c>
      <c r="Q8" s="33" t="s">
        <v>233</v>
      </c>
      <c r="R8" s="34" t="str">
        <f>VLOOKUP(R11,TearSheet!AF42:AG43,2,0)</f>
        <v>Dividends per share</v>
      </c>
      <c r="S8" s="35"/>
      <c r="T8" s="35"/>
      <c r="U8" s="34"/>
      <c r="V8" s="35"/>
      <c r="AB8" s="1"/>
    </row>
    <row r="9" spans="2:28" ht="11.25" hidden="1" customHeight="1" outlineLevel="1" x14ac:dyDescent="0.2">
      <c r="F9" s="36">
        <f>WORKDAY(TearSheet!E11+1,-1)</f>
        <v>46309</v>
      </c>
      <c r="G9" s="36">
        <f>F9</f>
        <v>46309</v>
      </c>
      <c r="H9" s="36">
        <f>G9</f>
        <v>46309</v>
      </c>
      <c r="I9" s="36">
        <f>F9</f>
        <v>46309</v>
      </c>
      <c r="J9" s="36">
        <f t="shared" ref="J9:Q9" si="0">F9</f>
        <v>46309</v>
      </c>
      <c r="K9" s="36">
        <f t="shared" si="0"/>
        <v>46309</v>
      </c>
      <c r="L9" s="36">
        <f t="shared" si="0"/>
        <v>46309</v>
      </c>
      <c r="M9" s="36">
        <f t="shared" si="0"/>
        <v>46309</v>
      </c>
      <c r="N9" s="36">
        <f t="shared" si="0"/>
        <v>46309</v>
      </c>
      <c r="O9" s="36">
        <f t="shared" si="0"/>
        <v>46309</v>
      </c>
      <c r="P9" s="36">
        <f t="shared" si="0"/>
        <v>46309</v>
      </c>
      <c r="Q9" s="36">
        <f t="shared" si="0"/>
        <v>46309</v>
      </c>
      <c r="R9" s="32"/>
      <c r="S9" s="32"/>
      <c r="T9" s="32"/>
      <c r="AB9" s="1"/>
    </row>
    <row r="10" spans="2:28" ht="11.25" customHeight="1" collapsed="1" x14ac:dyDescent="0.25">
      <c r="B10" s="66"/>
      <c r="C10" s="67"/>
      <c r="D10" s="67"/>
      <c r="E10" s="63"/>
      <c r="F10" s="282" t="s">
        <v>208</v>
      </c>
      <c r="G10" s="283"/>
      <c r="H10" s="283"/>
      <c r="I10" s="283"/>
      <c r="J10" s="283"/>
      <c r="K10" s="283"/>
      <c r="L10" s="283"/>
      <c r="M10" s="283"/>
      <c r="N10" s="283"/>
      <c r="O10" s="283"/>
      <c r="P10" s="283"/>
      <c r="Q10" s="283"/>
      <c r="R10" s="283"/>
      <c r="S10" s="283"/>
      <c r="T10" s="283"/>
      <c r="U10" s="283"/>
      <c r="V10" s="283"/>
      <c r="W10" s="283"/>
      <c r="AB10" s="1"/>
    </row>
    <row r="11" spans="2:28" ht="11.25" customHeight="1" x14ac:dyDescent="0.25">
      <c r="B11" s="68"/>
      <c r="C11" s="69"/>
      <c r="D11" s="69"/>
      <c r="E11" s="64"/>
      <c r="F11" s="281" t="str">
        <f>"Share Price "&amp;"("&amp;TearSheet!AM1&amp;")"</f>
        <v>Share Price ($)</v>
      </c>
      <c r="G11" s="29" t="str">
        <f>"Price High "&amp;"("&amp;TearSheet!AM1&amp;")"</f>
        <v>Price High ($)</v>
      </c>
      <c r="H11" s="37" t="str">
        <f>"Price Low "&amp;"("&amp;TearSheet!AM1&amp;")"</f>
        <v>Price Low ($)</v>
      </c>
      <c r="I11" s="281" t="str">
        <f>"Market Cap."&amp;CHAR(10)&amp;"("&amp;TearSheet!AM1&amp;""&amp;TearSheet!AG33&amp;")"</f>
        <v>Market Cap.
($M)</v>
      </c>
      <c r="J11" s="279" t="str">
        <f>"Enterprise Value "&amp;"("&amp;TearSheet!AM1&amp;""&amp;TearSheet!AG33&amp;")"</f>
        <v>Enterprise Value ($M)</v>
      </c>
      <c r="K11" s="291" t="s">
        <v>209</v>
      </c>
      <c r="L11" s="292"/>
      <c r="M11" s="292"/>
      <c r="N11" s="292"/>
      <c r="O11" s="292"/>
      <c r="P11" s="292"/>
      <c r="Q11" s="292"/>
      <c r="R11" s="293" t="s">
        <v>235</v>
      </c>
      <c r="S11" s="294"/>
      <c r="T11" s="294"/>
      <c r="U11" s="294"/>
      <c r="V11" s="294"/>
      <c r="W11" s="295"/>
      <c r="AB11" s="1"/>
    </row>
    <row r="12" spans="2:28" ht="11.25" customHeight="1" x14ac:dyDescent="0.2">
      <c r="B12" s="68" t="s">
        <v>206</v>
      </c>
      <c r="C12" s="69"/>
      <c r="D12" s="235" t="s">
        <v>463</v>
      </c>
      <c r="E12" s="212" t="s">
        <v>207</v>
      </c>
      <c r="F12" s="280"/>
      <c r="G12" s="168" t="s">
        <v>210</v>
      </c>
      <c r="H12" s="168" t="s">
        <v>210</v>
      </c>
      <c r="I12" s="296"/>
      <c r="J12" s="280"/>
      <c r="K12" s="168" t="s">
        <v>219</v>
      </c>
      <c r="L12" s="168" t="s">
        <v>213</v>
      </c>
      <c r="M12" s="168" t="s">
        <v>223</v>
      </c>
      <c r="N12" s="168" t="s">
        <v>214</v>
      </c>
      <c r="O12" s="168" t="s">
        <v>215</v>
      </c>
      <c r="P12" s="168" t="s">
        <v>224</v>
      </c>
      <c r="Q12" s="168" t="s">
        <v>212</v>
      </c>
      <c r="R12" s="156" t="str">
        <f>IF(MID(S12,2,1)="Q",IF(MID(S12,2,2)="Q1",LEFT(S12,2)&amp;"4"&amp;RIGHT(S12,4)-1,LEFT(S12,2)&amp;(MID(S12,3,1)-1)&amp;RIGHT(S12,4)),LEFT(S12,2)&amp;(RIGHT(S12,4)-1))</f>
        <v>FY2024</v>
      </c>
      <c r="S12" s="156" t="str">
        <f>TearSheet!$E$8</f>
        <v>FY2025</v>
      </c>
      <c r="T12" s="156" t="str">
        <f>IF(MID(S12,2,1)="Q",IF(MID(S12,2,2)="Q4",LEFT(S12,2)&amp;"1"&amp;RIGHT(S12,4)+1,LEFT(S12,2)&amp;MID(S12,3,1)+1&amp;RIGHT(S12,4)),LEFT(S12,2)&amp;RIGHT(S12,4)+1)</f>
        <v>FY2026</v>
      </c>
      <c r="U12" s="156" t="s">
        <v>216</v>
      </c>
      <c r="V12" s="156" t="s">
        <v>217</v>
      </c>
      <c r="W12" s="156" t="s">
        <v>218</v>
      </c>
      <c r="AA12" s="212" t="str" cm="1">
        <f t="array" ref="AA12">IF(TearSheet!$E$5="","",_xll.SNL.Clients.Office.Excel.Functions.SPGRANGEV(TearSheet!$E$5,"SP_QUICK_COMP",1,12,_xll.SNL.Clients.Office.Excel.Functions.SPGOPTIONS("CAPTION","Exchange:Ticker")))</f>
        <v>Exchange:Ticker</v>
      </c>
      <c r="AB12" s="1"/>
    </row>
    <row r="13" spans="2:28" ht="11.25" customHeight="1" x14ac:dyDescent="0.2">
      <c r="B13" s="277" t="str" cm="1">
        <f t="array" ref="B13">IF($E13="","",IFERROR(HYPERLINK(CONCATENATE("https://www.capitaliq.spglobal.com/web/client#company/profile?id=",TearSheet!$AD34),_xll.SNL.Clients.Office.Excel.Functions.SPG($E13,"SP_COMPANY_NAME")),"-"))</f>
        <v>Alphabet Inc.</v>
      </c>
      <c r="C13" s="278"/>
      <c r="D13" s="171"/>
      <c r="E13" s="95" t="str">
        <f>IF(D13&lt;&gt;"",D13,IF(AA13="","",AA13))</f>
        <v>NASDAQGS:GOOGL</v>
      </c>
      <c r="F13" s="179" cm="1">
        <f t="array" ref="F13">IF($E13="","",_xll.SNL.Clients.Office.Excel.Functions.SPG($E13,F$8,F$9,_xll.SNL.Clients.Office.Excel.Functions.SPGOPTIONS("Curr",TearSheet!$AL$1,"NA","")))</f>
        <v>353.78</v>
      </c>
      <c r="G13" s="177" cm="1">
        <f t="array" ref="G13">IF($E13="","",_xll.SNL.Clients.Office.Excel.Functions.SPG($E13,G$8,G$9,G$12,_xll.SNL.Clients.Office.Excel.Functions.SPGOPTIONS("Curr",TearSheet!$AL$1,"NA","")))</f>
        <v>408.61</v>
      </c>
      <c r="H13" s="181" cm="1">
        <f t="array" ref="H13">IF($E13="","",_xll.SNL.Clients.Office.Excel.Functions.SPG($E13,H$8,H$9,H$12,_xll.SNL.Clients.Office.Excel.Functions.SPGOPTIONS("Curr",TearSheet!$AL$1,"NA","")))</f>
        <v>240.51</v>
      </c>
      <c r="I13" s="153" cm="1">
        <f t="array" ref="I13">IF($E13="","",_xll.SNL.Clients.Office.Excel.Functions.SPG($E13,I$8,I$9,_xll.SNL.Clients.Office.Excel.Functions.SPGOPTIONS("Curr",TearSheet!$AL$1,"Mag",TearSheet!$E$16,"NA","")))</f>
        <v>4303184.38</v>
      </c>
      <c r="J13" s="153" cm="1">
        <f t="array" ref="J13">IF($E13="","",_xll.SNL.Clients.Office.Excel.Functions.SPG($E13,J$8,J$9,_xll.SNL.Clients.Office.Excel.Functions.SPGOPTIONS("Curr",TearSheet!$AL$1,"Mag",TearSheet!$E$16,"NA","")))</f>
        <v>4199524.38</v>
      </c>
      <c r="K13" s="112" cm="1">
        <f t="array" ref="K13">IF($E13="","",_xll.SNL.Clients.Office.Excel.Functions.SPG($E13,K$8,K$9,K$12,_xll.SNL.Clients.Office.Excel.Functions.SPGOPTIONS("Curr",TearSheet!$AL$1,"NA","")))</f>
        <v>0.30052200000000001</v>
      </c>
      <c r="L13" s="112" cm="1">
        <f t="array" ref="L13">IF($E13="","",_xll.SNL.Clients.Office.Excel.Functions.SPG($E13,L$8,L$9,L$12,_xll.SNL.Clients.Office.Excel.Functions.SPGOPTIONS("Curr",TearSheet!$AL$1,"NA","")))</f>
        <v>44.902723999999999</v>
      </c>
      <c r="M13" s="112" cm="1">
        <f t="array" ref="M13">IF($E13="","",_xll.SNL.Clients.Office.Excel.Functions.SPG($E13,M$8,M$9,M$12,_xll.SNL.Clients.Office.Excel.Functions.SPGOPTIONS("Curr",TearSheet!$AL$1,"NA","")))</f>
        <v>116.723842</v>
      </c>
      <c r="N13" s="112" cm="1">
        <f t="array" ref="N13">IF($E13="","",_xll.SNL.Clients.Office.Excel.Functions.SPG($E13,N$8,N$9,N$12,_xll.SNL.Clients.Office.Excel.Functions.SPGOPTIONS("Curr",TearSheet!$AL$1,"NA","")))</f>
        <v>157.55678499999999</v>
      </c>
      <c r="O13" s="112" cm="1">
        <f t="array" ref="O13">IF($E13="","",_xll.SNL.Clients.Office.Excel.Functions.SPG($E13,O$8,O$9,O$12,_xll.SNL.Clients.Office.Excel.Functions.SPGOPTIONS("Curr",TearSheet!$AL$1,"NA","")))</f>
        <v>157.14119600000001</v>
      </c>
      <c r="P13" s="112" cm="1">
        <f t="array" ref="P13">IF($E13="","",_xll.SNL.Clients.Office.Excel.Functions.SPG($E13,P$8,P$9,P$12,_xll.SNL.Clients.Office.Excel.Functions.SPGOPTIONS("Curr",TearSheet!$AL$1,"NA","")))</f>
        <v>2.8191120000000001</v>
      </c>
      <c r="Q13" s="112" cm="1">
        <f t="array" ref="Q13">IF($E13="","",_xll.SNL.Clients.Office.Excel.Functions.SPG($E13,Q$8,Q$9,Q$12,_xll.SNL.Clients.Office.Excel.Functions.SPGOPTIONS("Curr",TearSheet!$AL$1,"NA","")))</f>
        <v>13.028753999999999</v>
      </c>
      <c r="R13" s="45" cm="1">
        <f t="array" ref="R13">IF($E13="","",_xll.SNL.Clients.Office.Excel.Functions.SPG($E13,$R$8,R$12,TearSheet!$E$11,_xll.SNL.Clients.Office.Excel.Functions.SPGOPTIONS("Curr",TearSheet!$AL$1,"DataType",TearSheet!$E$23,"Src",TearSheet!$AI$40,"NA","")))</f>
        <v>0.6</v>
      </c>
      <c r="S13" s="46" cm="1">
        <f t="array" ref="S13">IF($E13="","",_xll.SNL.Clients.Office.Excel.Functions.SPG($E13,$R$8,S$12,TearSheet!$E$11,_xll.SNL.Clients.Office.Excel.Functions.SPGOPTIONS("Curr",TearSheet!$AL$1,"DataType",TearSheet!$E$23,"Src",TearSheet!$AI$40,"NA","")))</f>
        <v>0.83</v>
      </c>
      <c r="T13" s="46" cm="1">
        <f t="array" ref="T13">IF($E13="","",_xll.SNL.Clients.Office.Excel.Functions.SPG($E13,$R$8,T$12,TearSheet!$E$11,_xll.SNL.Clients.Office.Excel.Functions.SPGOPTIONS("Curr",TearSheet!$AL$1,"DataType",TearSheet!$E$23,"Src",TearSheet!$AI$40,"NA","")))</f>
        <v>0.72287390637629301</v>
      </c>
      <c r="U13" s="46" cm="1">
        <f t="array" ref="U13">IF($E13="","",_xll.SNL.Clients.Office.Excel.Functions.SPG($E13,$R$8,U$12,TearSheet!$E$11,_xll.SNL.Clients.Office.Excel.Functions.SPGOPTIONS("Curr",TearSheet!$AL$1,"DataType",TearSheet!$E$23,"Src",TearSheet!$AI$40,"NA","")))</f>
        <v>0.74576660583560572</v>
      </c>
      <c r="V13" s="46" cm="1">
        <f t="array" ref="V13">IF($E13="","",_xll.SNL.Clients.Office.Excel.Functions.SPG($E13,$R$8,V$12,TearSheet!$E$11,_xll.SNL.Clients.Office.Excel.Functions.SPGOPTIONS("Curr",TearSheet!$AL$1,"DataType",TearSheet!$E$23,"Src",TearSheet!$AI$40,"NA","")))</f>
        <v>0.74727175116949585</v>
      </c>
      <c r="W13" s="155" cm="1">
        <f t="array" ref="W13">IF($E13="","",_xll.SNL.Clients.Office.Excel.Functions.SPG($E13,$R$8,W$12,TearSheet!$E$11,_xll.SNL.Clients.Office.Excel.Functions.SPGOPTIONS("Curr",TearSheet!$AL$1,"DataType",TearSheet!$E$23,"Src",TearSheet!$AI$40,"NA","")))</f>
        <v>0.804009546805738</v>
      </c>
      <c r="AA13" s="1" t="s">
        <v>338</v>
      </c>
    </row>
    <row r="14" spans="2:28" ht="11.25" customHeight="1" x14ac:dyDescent="0.2">
      <c r="B14" s="277" t="str" cm="1">
        <f t="array" ref="B14">IF($E14="","",IFERROR(HYPERLINK(CONCATENATE("https://www.capitaliq.spglobal.com/web/client#company/profile?id=",TearSheet!$AD35),_xll.SNL.Clients.Office.Excel.Functions.SPG($E14,"SP_COMPANY_NAME")),"-"))</f>
        <v>Oracle Corporation</v>
      </c>
      <c r="C14" s="278"/>
      <c r="D14" s="171"/>
      <c r="E14" s="94" t="str">
        <f t="shared" ref="E14:E24" si="1">IF(D14&lt;&gt;"",D14,IF(AA14="","",AA14))</f>
        <v>NYSE:ORCL</v>
      </c>
      <c r="F14" s="180" cm="1">
        <f t="array" ref="F14">IF($E14="","",_xll.SNL.Clients.Office.Excel.Functions.SPG($E14,F$8,F$9,_xll.SNL.Clients.Office.Excel.Functions.SPGOPTIONS("Curr",TearSheet!$AL$1,"NA","")))</f>
        <v>143.19999999999999</v>
      </c>
      <c r="G14" s="178" cm="1">
        <f t="array" ref="G14">IF($E14="","",_xll.SNL.Clients.Office.Excel.Functions.SPG($E14,G$8,G$9,G$12,_xll.SNL.Clients.Office.Excel.Functions.SPGOPTIONS("Curr",TearSheet!$AL$1,"NA","")))</f>
        <v>322.54000000000002</v>
      </c>
      <c r="H14" s="182" cm="1">
        <f t="array" ref="H14">IF($E14="","",_xll.SNL.Clients.Office.Excel.Functions.SPG($E14,H$8,H$9,H$12,_xll.SNL.Clients.Office.Excel.Functions.SPGOPTIONS("Curr",TearSheet!$AL$1,"NA","")))</f>
        <v>114.5</v>
      </c>
      <c r="I14" s="154" cm="1">
        <f t="array" ref="I14">IF($E14="","",_xll.SNL.Clients.Office.Excel.Functions.SPG($E14,I$8,I$9,_xll.SNL.Clients.Office.Excel.Functions.SPGOPTIONS("Curr",TearSheet!$AL$1,"Mag",TearSheet!$E$16,"NA","")))</f>
        <v>434110.96453699999</v>
      </c>
      <c r="J14" s="154" cm="1">
        <f t="array" ref="J14">IF($E14="","",_xll.SNL.Clients.Office.Excel.Functions.SPG($E14,J$8,J$9,_xll.SNL.Clients.Office.Excel.Functions.SPGOPTIONS("Curr",TearSheet!$AL$1,"Mag",TearSheet!$E$16,"NA","")))</f>
        <v>571554.96453600004</v>
      </c>
      <c r="K14" s="114" cm="1">
        <f t="array" ref="K14">IF($E14="","",_xll.SNL.Clients.Office.Excel.Functions.SPG($E14,K$8,K$9,K$12,_xll.SNL.Clients.Office.Excel.Functions.SPGOPTIONS("Curr",TearSheet!$AL$1,"NA","")))</f>
        <v>4.2288379999999997</v>
      </c>
      <c r="L14" s="114" cm="1">
        <f t="array" ref="L14">IF($E14="","",_xll.SNL.Clients.Office.Excel.Functions.SPG($E14,L$8,L$9,L$12,_xll.SNL.Clients.Office.Excel.Functions.SPGOPTIONS("Curr",TearSheet!$AL$1,"NA","")))</f>
        <v>-53.508003000000002</v>
      </c>
      <c r="M14" s="114" cm="1">
        <f t="array" ref="M14">IF($E14="","",_xll.SNL.Clients.Office.Excel.Functions.SPG($E14,M$8,M$9,M$12,_xll.SNL.Clients.Office.Excel.Functions.SPGOPTIONS("Curr",TearSheet!$AL$1,"NA","")))</f>
        <v>-18.529896999999998</v>
      </c>
      <c r="N14" s="114" cm="1">
        <f t="array" ref="N14">IF($E14="","",_xll.SNL.Clients.Office.Excel.Functions.SPG($E14,N$8,N$9,N$12,_xll.SNL.Clients.Office.Excel.Functions.SPGOPTIONS("Curr",TearSheet!$AL$1,"NA","")))</f>
        <v>32.286374000000002</v>
      </c>
      <c r="O14" s="114" cm="1">
        <f t="array" ref="O14">IF($E14="","",_xll.SNL.Clients.Office.Excel.Functions.SPG($E14,O$8,O$9,O$12,_xll.SNL.Clients.Office.Excel.Functions.SPGOPTIONS("Curr",TearSheet!$AL$1,"NA","")))</f>
        <v>48.547718000000003</v>
      </c>
      <c r="P14" s="114" cm="1">
        <f t="array" ref="P14">IF($E14="","",_xll.SNL.Clients.Office.Excel.Functions.SPG($E14,P$8,P$9,P$12,_xll.SNL.Clients.Office.Excel.Functions.SPGOPTIONS("Curr",TearSheet!$AL$1,"NA","")))</f>
        <v>4.2971599999999999</v>
      </c>
      <c r="Q14" s="114" cm="1">
        <f t="array" ref="Q14">IF($E14="","",_xll.SNL.Clients.Office.Excel.Functions.SPG($E14,Q$8,Q$9,Q$12,_xll.SNL.Clients.Office.Excel.Functions.SPGOPTIONS("Curr",TearSheet!$AL$1,"NA","")))</f>
        <v>-26.530193000000001</v>
      </c>
      <c r="R14" s="45" cm="1">
        <f t="array" ref="R14">IF($E14="","",_xll.SNL.Clients.Office.Excel.Functions.SPG($E14,$R$8,R$12,TearSheet!$E$11,_xll.SNL.Clients.Office.Excel.Functions.SPGOPTIONS("Curr",TearSheet!$AL$1,"DataType",TearSheet!$E$23,"Src",TearSheet!$AI$40,"NA","")))</f>
        <v>1.6</v>
      </c>
      <c r="S14" s="46" cm="1">
        <f t="array" ref="S14">IF($E14="","",_xll.SNL.Clients.Office.Excel.Functions.SPG($E14,$R$8,S$12,TearSheet!$E$11,_xll.SNL.Clients.Office.Excel.Functions.SPGOPTIONS("Curr",TearSheet!$AL$1,"DataType",TearSheet!$E$23,"Src",TearSheet!$AI$40,"NA","")))</f>
        <v>1.7</v>
      </c>
      <c r="T14" s="46" cm="1">
        <f t="array" ref="T14">IF($E14="","",_xll.SNL.Clients.Office.Excel.Functions.SPG($E14,$R$8,T$12,TearSheet!$E$11,_xll.SNL.Clients.Office.Excel.Functions.SPGOPTIONS("Curr",TearSheet!$AL$1,"DataType",TearSheet!$E$23,"Src",TearSheet!$AI$40,"NA","")))</f>
        <v>2</v>
      </c>
      <c r="U14" s="46" cm="1">
        <f t="array" ref="U14">IF($E14="","",_xll.SNL.Clients.Office.Excel.Functions.SPG($E14,$R$8,U$12,TearSheet!$E$11,_xll.SNL.Clients.Office.Excel.Functions.SPGOPTIONS("Curr",TearSheet!$AL$1,"DataType",TearSheet!$E$23,"Src",TearSheet!$AI$40,"NA","")))</f>
        <v>1.953295142748662</v>
      </c>
      <c r="V14" s="46" cm="1">
        <f t="array" ref="V14">IF($E14="","",_xll.SNL.Clients.Office.Excel.Functions.SPG($E14,$R$8,V$12,TearSheet!$E$11,_xll.SNL.Clients.Office.Excel.Functions.SPGOPTIONS("Curr",TearSheet!$AL$1,"DataType",TearSheet!$E$23,"Src",TearSheet!$AI$40,"NA","")))</f>
        <v>1.8952793952740929</v>
      </c>
      <c r="W14" s="155" cm="1">
        <f t="array" ref="W14">IF($E14="","",_xll.SNL.Clients.Office.Excel.Functions.SPG($E14,$R$8,W$12,TearSheet!$E$11,_xll.SNL.Clients.Office.Excel.Functions.SPGOPTIONS("Curr",TearSheet!$AL$1,"DataType",TearSheet!$E$23,"Src",TearSheet!$AI$40,"NA","")))</f>
        <v>1.945883499118247</v>
      </c>
      <c r="AA14" s="1" t="s">
        <v>226</v>
      </c>
    </row>
    <row r="15" spans="2:28" ht="11.25" customHeight="1" x14ac:dyDescent="0.2">
      <c r="B15" s="277" t="str" cm="1">
        <f t="array" ref="B15">IF($E15="","",IFERROR(HYPERLINK(CONCATENATE("https://www.capitaliq.spglobal.com/web/client#company/profile?id=",TearSheet!$AD36),_xll.SNL.Clients.Office.Excel.Functions.SPG($E15,"SP_COMPANY_NAME")),"-"))</f>
        <v>Apple Inc.</v>
      </c>
      <c r="C15" s="278"/>
      <c r="D15" s="171"/>
      <c r="E15" s="94" t="str">
        <f t="shared" si="1"/>
        <v>NASDAQGS:AAPL</v>
      </c>
      <c r="F15" s="180" cm="1">
        <f t="array" ref="F15">IF($E15="","",_xll.SNL.Clients.Office.Excel.Functions.SPG($E15,F$8,F$9,_xll.SNL.Clients.Office.Excel.Functions.SPGOPTIONS("Curr",TearSheet!$AL$1,"NA","")))</f>
        <v>341.27</v>
      </c>
      <c r="G15" s="178" cm="1">
        <f t="array" ref="G15">IF($E15="","",_xll.SNL.Clients.Office.Excel.Functions.SPG($E15,G$8,G$9,G$12,_xll.SNL.Clients.Office.Excel.Functions.SPGOPTIONS("Curr",TearSheet!$AL$1,"NA","")))</f>
        <v>348.1499</v>
      </c>
      <c r="H15" s="182" cm="1">
        <f t="array" ref="H15">IF($E15="","",_xll.SNL.Clients.Office.Excel.Functions.SPG($E15,H$8,H$9,H$12,_xll.SNL.Clients.Office.Excel.Functions.SPGOPTIONS("Curr",TearSheet!$AL$1,"NA","")))</f>
        <v>243.42</v>
      </c>
      <c r="I15" s="154" cm="1">
        <f t="array" ref="I15">IF($E15="","",_xll.SNL.Clients.Office.Excel.Functions.SPG($E15,I$8,I$9,_xll.SNL.Clients.Office.Excel.Functions.SPGOPTIONS("Curr",TearSheet!$AL$1,"Mag",TearSheet!$E$16,"NA","")))</f>
        <v>4980555.8086000001</v>
      </c>
      <c r="J15" s="154" cm="1">
        <f t="array" ref="J15">IF($E15="","",_xll.SNL.Clients.Office.Excel.Functions.SPG($E15,J$8,J$9,_xll.SNL.Clients.Office.Excel.Functions.SPGOPTIONS("Curr",TearSheet!$AL$1,"Mag",TearSheet!$E$16,"NA","")))</f>
        <v>4918382.8086000001</v>
      </c>
      <c r="K15" s="114" cm="1">
        <f t="array" ref="K15">IF($E15="","",_xll.SNL.Clients.Office.Excel.Functions.SPG($E15,K$8,K$9,K$12,_xll.SNL.Clients.Office.Excel.Functions.SPGOPTIONS("Curr",TearSheet!$AL$1,"NA","")))</f>
        <v>8.7984000000000007E-2</v>
      </c>
      <c r="L15" s="114" cm="1">
        <f t="array" ref="L15">IF($E15="","",_xll.SNL.Clients.Office.Excel.Functions.SPG($E15,L$8,L$9,L$12,_xll.SNL.Clients.Office.Excel.Functions.SPGOPTIONS("Curr",TearSheet!$AL$1,"NA","")))</f>
        <v>37.797787</v>
      </c>
      <c r="M15" s="114" cm="1">
        <f t="array" ref="M15">IF($E15="","",_xll.SNL.Clients.Office.Excel.Functions.SPG($E15,M$8,M$9,M$12,_xll.SNL.Clients.Office.Excel.Functions.SPGOPTIONS("Curr",TearSheet!$AL$1,"NA","")))</f>
        <v>49.975830000000002</v>
      </c>
      <c r="N15" s="114" cm="1">
        <f t="array" ref="N15">IF($E15="","",_xll.SNL.Clients.Office.Excel.Functions.SPG($E15,N$8,N$9,N$12,_xll.SNL.Clients.Office.Excel.Functions.SPGOPTIONS("Curr",TearSheet!$AL$1,"NA","")))</f>
        <v>90.813530999999998</v>
      </c>
      <c r="O15" s="114" cm="1">
        <f t="array" ref="O15">IF($E15="","",_xll.SNL.Clients.Office.Excel.Functions.SPG($E15,O$8,O$9,O$12,_xll.SNL.Clients.Office.Excel.Functions.SPGOPTIONS("Curr",TearSheet!$AL$1,"NA","")))</f>
        <v>142.19005000000001</v>
      </c>
      <c r="P15" s="114" cm="1">
        <f t="array" ref="P15">IF($E15="","",_xll.SNL.Clients.Office.Excel.Functions.SPG($E15,P$8,P$9,P$12,_xll.SNL.Clients.Office.Excel.Functions.SPGOPTIONS("Curr",TearSheet!$AL$1,"NA","")))</f>
        <v>2.4773290000000001</v>
      </c>
      <c r="Q15" s="114" cm="1">
        <f t="array" ref="Q15">IF($E15="","",_xll.SNL.Clients.Office.Excel.Functions.SPG($E15,Q$8,Q$9,Q$12,_xll.SNL.Clients.Office.Excel.Functions.SPGOPTIONS("Curr",TearSheet!$AL$1,"NA","")))</f>
        <v>25.531524000000001</v>
      </c>
      <c r="R15" s="45" cm="1">
        <f t="array" ref="R15">IF($E15="","",_xll.SNL.Clients.Office.Excel.Functions.SPG($E15,$R$8,R$12,TearSheet!$E$11,_xll.SNL.Clients.Office.Excel.Functions.SPGOPTIONS("Curr",TearSheet!$AL$1,"DataType",TearSheet!$E$23,"Src",TearSheet!$AI$40,"NA","")))</f>
        <v>0.98870106914579603</v>
      </c>
      <c r="S15" s="46" cm="1">
        <f t="array" ref="S15">IF($E15="","",_xll.SNL.Clients.Office.Excel.Functions.SPG($E15,$R$8,S$12,TearSheet!$E$11,_xll.SNL.Clients.Office.Excel.Functions.SPGOPTIONS("Curr",TearSheet!$AL$1,"DataType",TearSheet!$E$23,"Src",TearSheet!$AI$40,"NA","")))</f>
        <v>1.0277448454973801</v>
      </c>
      <c r="T15" s="46" cm="1">
        <f t="array" ref="T15">IF($E15="","",_xll.SNL.Clients.Office.Excel.Functions.SPG($E15,$R$8,T$12,TearSheet!$E$11,_xll.SNL.Clients.Office.Excel.Functions.SPGOPTIONS("Curr",TearSheet!$AL$1,"DataType",TearSheet!$E$23,"Src",TearSheet!$AI$40,"NA","")))</f>
        <v>1.080371763167834</v>
      </c>
      <c r="U15" s="46" cm="1">
        <f t="array" ref="U15">IF($E15="","",_xll.SNL.Clients.Office.Excel.Functions.SPG($E15,$R$8,U$12,TearSheet!$E$11,_xll.SNL.Clients.Office.Excel.Functions.SPGOPTIONS("Curr",TearSheet!$AL$1,"DataType",TearSheet!$E$23,"Src",TearSheet!$AI$40,"NA","")))</f>
        <v>1.0821514765804259</v>
      </c>
      <c r="V15" s="46" cm="1">
        <f t="array" ref="V15">IF($E15="","",_xll.SNL.Clients.Office.Excel.Functions.SPG($E15,$R$8,V$12,TearSheet!$E$11,_xll.SNL.Clients.Office.Excel.Functions.SPGOPTIONS("Curr",TearSheet!$AL$1,"DataType",TearSheet!$E$23,"Src",TearSheet!$AI$40,"NA","")))</f>
        <v>1.1294979491406443</v>
      </c>
      <c r="W15" s="155" cm="1">
        <f t="array" ref="W15">IF($E15="","",_xll.SNL.Clients.Office.Excel.Functions.SPG($E15,$R$8,W$12,TearSheet!$E$11,_xll.SNL.Clients.Office.Excel.Functions.SPGOPTIONS("Curr",TearSheet!$AL$1,"DataType",TearSheet!$E$23,"Src",TearSheet!$AI$40,"NA","")))</f>
        <v>1.1989204796173896</v>
      </c>
      <c r="AA15" s="1" t="s">
        <v>333</v>
      </c>
    </row>
    <row r="16" spans="2:28" ht="11.25" customHeight="1" x14ac:dyDescent="0.2">
      <c r="B16" s="277" t="str" cm="1">
        <f t="array" ref="B16">IF($E16="","",IFERROR(HYPERLINK(CONCATENATE("https://www.capitaliq.spglobal.com/web/client#company/profile?id=",TearSheet!$AD37),_xll.SNL.Clients.Office.Excel.Functions.SPG($E16,"SP_COMPANY_NAME")),"-"))</f>
        <v>NVIDIA Corporation</v>
      </c>
      <c r="C16" s="278"/>
      <c r="D16" s="171"/>
      <c r="E16" s="94" t="str">
        <f t="shared" si="1"/>
        <v>NASDAQGS:NVDA</v>
      </c>
      <c r="F16" s="180" cm="1">
        <f t="array" ref="F16">IF($E16="","",_xll.SNL.Clients.Office.Excel.Functions.SPG($E16,F$8,F$9,_xll.SNL.Clients.Office.Excel.Functions.SPGOPTIONS("Curr",TearSheet!$AL$1,"NA","")))</f>
        <v>228.52</v>
      </c>
      <c r="G16" s="178" cm="1">
        <f t="array" ref="G16">IF($E16="","",_xll.SNL.Clients.Office.Excel.Functions.SPG($E16,G$8,G$9,G$12,_xll.SNL.Clients.Office.Excel.Functions.SPGOPTIONS("Curr",TearSheet!$AL$1,"NA","")))</f>
        <v>243.37</v>
      </c>
      <c r="H16" s="182" cm="1">
        <f t="array" ref="H16">IF($E16="","",_xll.SNL.Clients.Office.Excel.Functions.SPG($E16,H$8,H$9,H$12,_xll.SNL.Clients.Office.Excel.Functions.SPGOPTIONS("Curr",TearSheet!$AL$1,"NA","")))</f>
        <v>164.27</v>
      </c>
      <c r="I16" s="154" cm="1">
        <f t="array" ref="I16">IF($E16="","",_xll.SNL.Clients.Office.Excel.Functions.SPG($E16,I$8,I$9,_xll.SNL.Clients.Office.Excel.Functions.SPGOPTIONS("Curr",TearSheet!$AL$1,"Mag",TearSheet!$E$16,"NA","")))</f>
        <v>5518072.4400000004</v>
      </c>
      <c r="J16" s="154" cm="1">
        <f t="array" ref="J16">IF($E16="","",_xll.SNL.Clients.Office.Excel.Functions.SPG($E16,J$8,J$9,_xll.SNL.Clients.Office.Excel.Functions.SPGOPTIONS("Curr",TearSheet!$AL$1,"Mag",TearSheet!$E$16,"NA","")))</f>
        <v>5494463.4400000004</v>
      </c>
      <c r="K16" s="114" cm="1">
        <f t="array" ref="K16">IF($E16="","",_xll.SNL.Clients.Office.Excel.Functions.SPG($E16,K$8,K$9,K$12,_xll.SNL.Clients.Office.Excel.Functions.SPGOPTIONS("Curr",TearSheet!$AL$1,"NA","")))</f>
        <v>0.97207500000000002</v>
      </c>
      <c r="L16" s="114" cm="1">
        <f t="array" ref="L16">IF($E16="","",_xll.SNL.Clients.Office.Excel.Functions.SPG($E16,L$8,L$9,L$12,_xll.SNL.Clients.Office.Excel.Functions.SPGOPTIONS("Curr",TearSheet!$AL$1,"NA","")))</f>
        <v>21.346644000000001</v>
      </c>
      <c r="M16" s="114" cm="1">
        <f t="array" ref="M16">IF($E16="","",_xll.SNL.Clients.Office.Excel.Functions.SPG($E16,M$8,M$9,M$12,_xll.SNL.Clients.Office.Excel.Functions.SPGOPTIONS("Curr",TearSheet!$AL$1,"NA","")))</f>
        <v>69.525222999999997</v>
      </c>
      <c r="N16" s="114" cm="1">
        <f t="array" ref="N16">IF($E16="","",_xll.SNL.Clients.Office.Excel.Functions.SPG($E16,N$8,N$9,N$12,_xll.SNL.Clients.Office.Excel.Functions.SPGOPTIONS("Curr",TearSheet!$AL$1,"NA","")))</f>
        <v>402.67262099999999</v>
      </c>
      <c r="O16" s="114" cm="1">
        <f t="array" ref="O16">IF($E16="","",_xll.SNL.Clients.Office.Excel.Functions.SPG($E16,O$8,O$9,O$12,_xll.SNL.Clients.Office.Excel.Functions.SPGOPTIONS("Curr",TearSheet!$AL$1,"NA","")))</f>
        <v>991.36061900000004</v>
      </c>
      <c r="P16" s="114" cm="1">
        <f t="array" ref="P16">IF($E16="","",_xll.SNL.Clients.Office.Excel.Functions.SPG($E16,P$8,P$9,P$12,_xll.SNL.Clients.Office.Excel.Functions.SPGOPTIONS("Curr",TearSheet!$AL$1,"NA","")))</f>
        <v>6.1301000000000001E-2</v>
      </c>
      <c r="Q16" s="114" cm="1">
        <f t="array" ref="Q16">IF($E16="","",_xll.SNL.Clients.Office.Excel.Functions.SPG($E16,Q$8,Q$9,Q$12,_xll.SNL.Clients.Office.Excel.Functions.SPGOPTIONS("Curr",TearSheet!$AL$1,"NA","")))</f>
        <v>22.530830999999999</v>
      </c>
      <c r="R16" s="45" cm="1">
        <f t="array" ref="R16">IF($E16="","",_xll.SNL.Clients.Office.Excel.Functions.SPG($E16,$R$8,R$12,TearSheet!$E$11,_xll.SNL.Clients.Office.Excel.Functions.SPGOPTIONS("Curr",TearSheet!$AL$1,"DataType",TearSheet!$E$23,"Src",TearSheet!$AI$40,"NA","")))</f>
        <v>1.63581397E-2</v>
      </c>
      <c r="S16" s="46" cm="1">
        <f t="array" ref="S16">IF($E16="","",_xll.SNL.Clients.Office.Excel.Functions.SPG($E16,$R$8,S$12,TearSheet!$E$11,_xll.SNL.Clients.Office.Excel.Functions.SPGOPTIONS("Curr",TearSheet!$AL$1,"DataType",TearSheet!$E$23,"Src",TearSheet!$AI$40,"NA","")))</f>
        <v>3.4000000000000002E-2</v>
      </c>
      <c r="T16" s="46" cm="1">
        <f t="array" ref="T16">IF($E16="","",_xll.SNL.Clients.Office.Excel.Functions.SPG($E16,$R$8,T$12,TearSheet!$E$11,_xll.SNL.Clients.Office.Excel.Functions.SPGOPTIONS("Curr",TearSheet!$AL$1,"DataType",TearSheet!$E$23,"Src",TearSheet!$AI$40,"NA","")))</f>
        <v>0.04</v>
      </c>
      <c r="U16" s="46" cm="1">
        <f t="array" ref="U16">IF($E16="","",_xll.SNL.Clients.Office.Excel.Functions.SPG($E16,$R$8,U$12,TearSheet!$E$11,_xll.SNL.Clients.Office.Excel.Functions.SPGOPTIONS("Curr",TearSheet!$AL$1,"DataType",TearSheet!$E$23,"Src",TearSheet!$AI$40,"NA","")))</f>
        <v>0.55664957668319104</v>
      </c>
      <c r="V16" s="46" cm="1">
        <f t="array" ref="V16">IF($E16="","",_xll.SNL.Clients.Office.Excel.Functions.SPG($E16,$R$8,V$12,TearSheet!$E$11,_xll.SNL.Clients.Office.Excel.Functions.SPGOPTIONS("Curr",TearSheet!$AL$1,"DataType",TearSheet!$E$23,"Src",TearSheet!$AI$40,"NA","")))</f>
        <v>1.0221168314395386</v>
      </c>
      <c r="W16" s="155" cm="1">
        <f t="array" ref="W16">IF($E16="","",_xll.SNL.Clients.Office.Excel.Functions.SPG($E16,$R$8,W$12,TearSheet!$E$11,_xll.SNL.Clients.Office.Excel.Functions.SPGOPTIONS("Curr",TearSheet!$AL$1,"DataType",TearSheet!$E$23,"Src",TearSheet!$AI$40,"NA","")))</f>
        <v>1.4187833872201567</v>
      </c>
      <c r="AA16" s="1" t="s">
        <v>332</v>
      </c>
    </row>
    <row r="17" spans="2:27" ht="11.25" customHeight="1" x14ac:dyDescent="0.2">
      <c r="B17" s="277" t="str" cm="1">
        <f t="array" ref="B17">IF($E17="","",IFERROR(HYPERLINK(CONCATENATE("https://www.capitaliq.spglobal.com/web/client#company/profile?id=",TearSheet!$AD38),_xll.SNL.Clients.Office.Excel.Functions.SPG($E17,"SP_COMPANY_NAME")),"-"))</f>
        <v>Adobe Inc.</v>
      </c>
      <c r="C17" s="278"/>
      <c r="D17" s="171"/>
      <c r="E17" s="94" t="str">
        <f t="shared" si="1"/>
        <v>NASDAQGS:ADBE</v>
      </c>
      <c r="F17" s="180" cm="1">
        <f t="array" ref="F17">IF($E17="","",_xll.SNL.Clients.Office.Excel.Functions.SPG($E17,F$8,F$9,_xll.SNL.Clients.Office.Excel.Functions.SPGOPTIONS("Curr",TearSheet!$AL$1,"NA","")))</f>
        <v>236.28</v>
      </c>
      <c r="G17" s="178" cm="1">
        <f t="array" ref="G17">IF($E17="","",_xll.SNL.Clients.Office.Excel.Functions.SPG($E17,G$8,G$9,G$12,_xll.SNL.Clients.Office.Excel.Functions.SPGOPTIONS("Curr",TearSheet!$AL$1,"NA","")))</f>
        <v>363.7</v>
      </c>
      <c r="H17" s="182" cm="1">
        <f t="array" ref="H17">IF($E17="","",_xll.SNL.Clients.Office.Excel.Functions.SPG($E17,H$8,H$9,H$12,_xll.SNL.Clients.Office.Excel.Functions.SPGOPTIONS("Curr",TearSheet!$AL$1,"NA","")))</f>
        <v>190.12</v>
      </c>
      <c r="I17" s="154" cm="1">
        <f t="array" ref="I17">IF($E17="","",_xll.SNL.Clients.Office.Excel.Functions.SPG($E17,I$8,I$9,_xll.SNL.Clients.Office.Excel.Functions.SPGOPTIONS("Curr",TearSheet!$AL$1,"Mag",TearSheet!$E$16,"NA","")))</f>
        <v>91960.176000000007</v>
      </c>
      <c r="J17" s="154" cm="1">
        <f t="array" ref="J17">IF($E17="","",_xll.SNL.Clients.Office.Excel.Functions.SPG($E17,J$8,J$9,_xll.SNL.Clients.Office.Excel.Functions.SPGOPTIONS("Curr",TearSheet!$AL$1,"Mag",TearSheet!$E$16,"NA","")))</f>
        <v>93105.176000000007</v>
      </c>
      <c r="K17" s="114" cm="1">
        <f t="array" ref="K17">IF($E17="","",_xll.SNL.Clients.Office.Excel.Functions.SPG($E17,K$8,K$9,K$12,_xll.SNL.Clients.Office.Excel.Functions.SPGOPTIONS("Curr",TearSheet!$AL$1,"NA","")))</f>
        <v>-0.781053</v>
      </c>
      <c r="L17" s="114" cm="1">
        <f t="array" ref="L17">IF($E17="","",_xll.SNL.Clients.Office.Excel.Functions.SPG($E17,L$8,L$9,L$12,_xll.SNL.Clients.Office.Excel.Functions.SPGOPTIONS("Curr",TearSheet!$AL$1,"NA","")))</f>
        <v>-30.366616</v>
      </c>
      <c r="M17" s="114" cm="1">
        <f t="array" ref="M17">IF($E17="","",_xll.SNL.Clients.Office.Excel.Functions.SPG($E17,M$8,M$9,M$12,_xll.SNL.Clients.Office.Excel.Functions.SPGOPTIONS("Curr",TearSheet!$AL$1,"NA","")))</f>
        <v>-52.307133</v>
      </c>
      <c r="N17" s="114" cm="1">
        <f t="array" ref="N17">IF($E17="","",_xll.SNL.Clients.Office.Excel.Functions.SPG($E17,N$8,N$9,N$12,_xll.SNL.Clients.Office.Excel.Functions.SPGOPTIONS("Curr",TearSheet!$AL$1,"NA","")))</f>
        <v>-56.942926</v>
      </c>
      <c r="O17" s="114" cm="1">
        <f t="array" ref="O17">IF($E17="","",_xll.SNL.Clients.Office.Excel.Functions.SPG($E17,O$8,O$9,O$12,_xll.SNL.Clients.Office.Excel.Functions.SPGOPTIONS("Curr",TearSheet!$AL$1,"NA","")))</f>
        <v>-60.028421000000002</v>
      </c>
      <c r="P17" s="114" cm="1">
        <f t="array" ref="P17">IF($E17="","",_xll.SNL.Clients.Office.Excel.Functions.SPG($E17,P$8,P$9,P$12,_xll.SNL.Clients.Office.Excel.Functions.SPGOPTIONS("Curr",TearSheet!$AL$1,"NA","")))</f>
        <v>-1.5253810000000001</v>
      </c>
      <c r="Q17" s="114" cm="1">
        <f t="array" ref="Q17">IF($E17="","",_xll.SNL.Clients.Office.Excel.Functions.SPG($E17,Q$8,Q$9,Q$12,_xll.SNL.Clients.Office.Excel.Functions.SPGOPTIONS("Curr",TearSheet!$AL$1,"NA","")))</f>
        <v>-32.4895</v>
      </c>
      <c r="R17" s="45" t="str" cm="1">
        <f t="array" ref="R17">IF($E17="","",_xll.SNL.Clients.Office.Excel.Functions.SPG($E17,$R$8,R$12,TearSheet!$E$11,_xll.SNL.Clients.Office.Excel.Functions.SPGOPTIONS("Curr",TearSheet!$AL$1,"DataType",TearSheet!$E$23,"Src",TearSheet!$AI$40,"NA","")))</f>
        <v>NA</v>
      </c>
      <c r="S17" s="46" t="str" cm="1">
        <f t="array" ref="S17">IF($E17="","",_xll.SNL.Clients.Office.Excel.Functions.SPG($E17,$R$8,S$12,TearSheet!$E$11,_xll.SNL.Clients.Office.Excel.Functions.SPGOPTIONS("Curr",TearSheet!$AL$1,"DataType",TearSheet!$E$23,"Src",TearSheet!$AI$40,"NA","")))</f>
        <v>NA</v>
      </c>
      <c r="T17" s="46" t="str" cm="1">
        <f t="array" ref="T17">IF($E17="","",_xll.SNL.Clients.Office.Excel.Functions.SPG($E17,$R$8,T$12,TearSheet!$E$11,_xll.SNL.Clients.Office.Excel.Functions.SPGOPTIONS("Curr",TearSheet!$AL$1,"DataType",TearSheet!$E$23,"Src",TearSheet!$AI$40,"NA","")))</f>
        <v>NA</v>
      </c>
      <c r="U17" s="46" t="str" cm="1">
        <f t="array" ref="U17">IF($E17="","",_xll.SNL.Clients.Office.Excel.Functions.SPG($E17,$R$8,U$12,TearSheet!$E$11,_xll.SNL.Clients.Office.Excel.Functions.SPGOPTIONS("Curr",TearSheet!$AL$1,"DataType",TearSheet!$E$23,"Src",TearSheet!$AI$40,"NA","")))</f>
        <v>NA</v>
      </c>
      <c r="V17" s="46" t="str" cm="1">
        <f t="array" ref="V17">IF($E17="","",_xll.SNL.Clients.Office.Excel.Functions.SPG($E17,$R$8,V$12,TearSheet!$E$11,_xll.SNL.Clients.Office.Excel.Functions.SPGOPTIONS("Curr",TearSheet!$AL$1,"DataType",TearSheet!$E$23,"Src",TearSheet!$AI$40,"NA","")))</f>
        <v>NA</v>
      </c>
      <c r="W17" s="155" t="str" cm="1">
        <f t="array" ref="W17">IF($E17="","",_xll.SNL.Clients.Office.Excel.Functions.SPG($E17,$R$8,W$12,TearSheet!$E$11,_xll.SNL.Clients.Office.Excel.Functions.SPGOPTIONS("Curr",TearSheet!$AL$1,"DataType",TearSheet!$E$23,"Src",TearSheet!$AI$40,"NA","")))</f>
        <v>NA</v>
      </c>
      <c r="AA17" s="1" t="s">
        <v>227</v>
      </c>
    </row>
    <row r="18" spans="2:27" ht="11.25" customHeight="1" x14ac:dyDescent="0.2">
      <c r="B18" s="277" t="str" cm="1">
        <f t="array" ref="B18">IF($E18="","",IFERROR(HYPERLINK(CONCATENATE("https://www.capitaliq.spglobal.com/web/client#company/profile?id=",TearSheet!$AD39),_xll.SNL.Clients.Office.Excel.Functions.SPG($E18,"SP_COMPANY_NAME")),"-"))</f>
        <v>Salesforce, Inc.</v>
      </c>
      <c r="C18" s="278"/>
      <c r="D18" s="171"/>
      <c r="E18" s="94" t="str">
        <f t="shared" si="1"/>
        <v>NYSE:CRM</v>
      </c>
      <c r="F18" s="180" cm="1">
        <f t="array" ref="F18">IF($E18="","",_xll.SNL.Clients.Office.Excel.Functions.SPG($E18,F$8,F$9,_xll.SNL.Clients.Office.Excel.Functions.SPGOPTIONS("Curr",TearSheet!$AL$1,"NA","")))</f>
        <v>238.01</v>
      </c>
      <c r="G18" s="178" cm="1">
        <f t="array" ref="G18">IF($E18="","",_xll.SNL.Clients.Office.Excel.Functions.SPG($E18,G$8,G$9,G$12,_xll.SNL.Clients.Office.Excel.Functions.SPGOPTIONS("Curr",TearSheet!$AL$1,"NA","")))</f>
        <v>269.11</v>
      </c>
      <c r="H18" s="182" cm="1">
        <f t="array" ref="H18">IF($E18="","",_xll.SNL.Clients.Office.Excel.Functions.SPG($E18,H$8,H$9,H$12,_xll.SNL.Clients.Office.Excel.Functions.SPGOPTIONS("Curr",TearSheet!$AL$1,"NA","")))</f>
        <v>146.32</v>
      </c>
      <c r="I18" s="154" cm="1">
        <f t="array" ref="I18">IF($E18="","",_xll.SNL.Clients.Office.Excel.Functions.SPG($E18,I$8,I$9,_xll.SNL.Clients.Office.Excel.Functions.SPGOPTIONS("Curr",TearSheet!$AL$1,"Mag",TearSheet!$E$16,"NA","")))</f>
        <v>195882.23</v>
      </c>
      <c r="J18" s="154" cm="1">
        <f t="array" ref="J18">IF($E18="","",_xll.SNL.Clients.Office.Excel.Functions.SPG($E18,J$8,J$9,_xll.SNL.Clients.Office.Excel.Functions.SPGOPTIONS("Curr",TearSheet!$AL$1,"Mag",TearSheet!$E$16,"NA","")))</f>
        <v>226855.23</v>
      </c>
      <c r="K18" s="114" cm="1">
        <f t="array" ref="K18">IF($E18="","",_xll.SNL.Clients.Office.Excel.Functions.SPG($E18,K$8,K$9,K$12,_xll.SNL.Clients.Office.Excel.Functions.SPGOPTIONS("Curr",TearSheet!$AL$1,"NA","")))</f>
        <v>1.748461</v>
      </c>
      <c r="L18" s="114" cm="1">
        <f t="array" ref="L18">IF($E18="","",_xll.SNL.Clients.Office.Excel.Functions.SPG($E18,L$8,L$9,L$12,_xll.SNL.Clients.Office.Excel.Functions.SPGOPTIONS("Curr",TearSheet!$AL$1,"NA","")))</f>
        <v>-4.3175879999999998</v>
      </c>
      <c r="M18" s="114" cm="1">
        <f t="array" ref="M18">IF($E18="","",_xll.SNL.Clients.Office.Excel.Functions.SPG($E18,M$8,M$9,M$12,_xll.SNL.Clients.Office.Excel.Functions.SPGOPTIONS("Curr",TearSheet!$AL$1,"NA","")))</f>
        <v>-17.386323999999998</v>
      </c>
      <c r="N18" s="114" cm="1">
        <f t="array" ref="N18">IF($E18="","",_xll.SNL.Clients.Office.Excel.Functions.SPG($E18,N$8,N$9,N$12,_xll.SNL.Clients.Office.Excel.Functions.SPGOPTIONS("Curr",TearSheet!$AL$1,"NA","")))</f>
        <v>16.335108999999999</v>
      </c>
      <c r="O18" s="114" cm="1">
        <f t="array" ref="O18">IF($E18="","",_xll.SNL.Clients.Office.Excel.Functions.SPG($E18,O$8,O$9,O$12,_xll.SNL.Clients.Office.Excel.Functions.SPGOPTIONS("Curr",TearSheet!$AL$1,"NA","")))</f>
        <v>-16.314475999999999</v>
      </c>
      <c r="P18" s="114" cm="1">
        <f t="array" ref="P18">IF($E18="","",_xll.SNL.Clients.Office.Excel.Functions.SPG($E18,P$8,P$9,P$12,_xll.SNL.Clients.Office.Excel.Functions.SPGOPTIONS("Curr",TearSheet!$AL$1,"NA","")))</f>
        <v>3.6764389999999998</v>
      </c>
      <c r="Q18" s="114" cm="1">
        <f t="array" ref="Q18">IF($E18="","",_xll.SNL.Clients.Office.Excel.Functions.SPG($E18,Q$8,Q$9,Q$12,_xll.SNL.Clients.Office.Excel.Functions.SPGOPTIONS("Curr",TearSheet!$AL$1,"NA","")))</f>
        <v>-10.154392</v>
      </c>
      <c r="R18" s="45" cm="1">
        <f t="array" ref="R18">IF($E18="","",_xll.SNL.Clients.Office.Excel.Functions.SPG($E18,$R$8,R$12,TearSheet!$E$11,_xll.SNL.Clients.Office.Excel.Functions.SPGOPTIONS("Curr",TearSheet!$AL$1,"DataType",TearSheet!$E$23,"Src",TearSheet!$AI$40,"NA","")))</f>
        <v>0</v>
      </c>
      <c r="S18" s="46" cm="1">
        <f t="array" ref="S18">IF($E18="","",_xll.SNL.Clients.Office.Excel.Functions.SPG($E18,$R$8,S$12,TearSheet!$E$11,_xll.SNL.Clients.Office.Excel.Functions.SPGOPTIONS("Curr",TearSheet!$AL$1,"DataType",TearSheet!$E$23,"Src",TearSheet!$AI$40,"NA","")))</f>
        <v>1.6</v>
      </c>
      <c r="T18" s="46" cm="1">
        <f t="array" ref="T18">IF($E18="","",_xll.SNL.Clients.Office.Excel.Functions.SPG($E18,$R$8,T$12,TearSheet!$E$11,_xll.SNL.Clients.Office.Excel.Functions.SPGOPTIONS("Curr",TearSheet!$AL$1,"DataType",TearSheet!$E$23,"Src",TearSheet!$AI$40,"NA","")))</f>
        <v>1.666841753396002</v>
      </c>
      <c r="U18" s="46" cm="1">
        <f t="array" ref="U18">IF($E18="","",_xll.SNL.Clients.Office.Excel.Functions.SPG($E18,$R$8,U$12,TearSheet!$E$11,_xll.SNL.Clients.Office.Excel.Functions.SPGOPTIONS("Curr",TearSheet!$AL$1,"DataType",TearSheet!$E$23,"Src",TearSheet!$AI$40,"NA","")))</f>
        <v>1.7424129264481276</v>
      </c>
      <c r="V18" s="46" cm="1">
        <f t="array" ref="V18">IF($E18="","",_xll.SNL.Clients.Office.Excel.Functions.SPG($E18,$R$8,V$12,TearSheet!$E$11,_xll.SNL.Clients.Office.Excel.Functions.SPGOPTIONS("Curr",TearSheet!$AL$1,"DataType",TearSheet!$E$23,"Src",TearSheet!$AI$40,"NA","")))</f>
        <v>1.8672416042892608</v>
      </c>
      <c r="W18" s="155" cm="1">
        <f t="array" ref="W18">IF($E18="","",_xll.SNL.Clients.Office.Excel.Functions.SPG($E18,$R$8,W$12,TearSheet!$E$11,_xll.SNL.Clients.Office.Excel.Functions.SPGOPTIONS("Curr",TearSheet!$AL$1,"DataType",TearSheet!$E$23,"Src",TearSheet!$AI$40,"NA","")))</f>
        <v>1.9931005732513283</v>
      </c>
      <c r="AA18" s="1" t="s">
        <v>335</v>
      </c>
    </row>
    <row r="19" spans="2:27" ht="11.25" customHeight="1" x14ac:dyDescent="0.2">
      <c r="B19" s="277" t="str" cm="1">
        <f t="array" ref="B19">IF($E19="","",IFERROR(HYPERLINK(CONCATENATE("https://www.capitaliq.spglobal.com/web/client#company/profile?id=",TearSheet!$AD40),_xll.SNL.Clients.Office.Excel.Functions.SPG($E19,"SP_COMPANY_NAME")),"-"))</f>
        <v>Meta Platforms, Inc.</v>
      </c>
      <c r="C19" s="278"/>
      <c r="D19" s="171"/>
      <c r="E19" s="94" t="str">
        <f t="shared" si="1"/>
        <v>NASDAQGS:META</v>
      </c>
      <c r="F19" s="180" cm="1">
        <f t="array" ref="F19">IF($E19="","",_xll.SNL.Clients.Office.Excel.Functions.SPG($E19,F$8,F$9,_xll.SNL.Clients.Office.Excel.Functions.SPGOPTIONS("Curr",TearSheet!$AL$1,"NA","")))</f>
        <v>762.5</v>
      </c>
      <c r="G19" s="178" cm="1">
        <f t="array" ref="G19">IF($E19="","",_xll.SNL.Clients.Office.Excel.Functions.SPG($E19,G$8,G$9,G$12,_xll.SNL.Clients.Office.Excel.Functions.SPGOPTIONS("Curr",TearSheet!$AL$1,"NA","")))</f>
        <v>779.81920000000002</v>
      </c>
      <c r="H19" s="182" cm="1">
        <f t="array" ref="H19">IF($E19="","",_xll.SNL.Clients.Office.Excel.Functions.SPG($E19,H$8,H$9,H$12,_xll.SNL.Clients.Office.Excel.Functions.SPGOPTIONS("Curr",TearSheet!$AL$1,"NA","")))</f>
        <v>520.26</v>
      </c>
      <c r="I19" s="154" cm="1">
        <f t="array" ref="I19">IF($E19="","",_xll.SNL.Clients.Office.Excel.Functions.SPG($E19,I$8,I$9,_xll.SNL.Clients.Office.Excel.Functions.SPGOPTIONS("Curr",TearSheet!$AL$1,"Mag",TearSheet!$E$16,"NA","")))</f>
        <v>1942473.4965629999</v>
      </c>
      <c r="J19" s="154" cm="1">
        <f t="array" ref="J19">IF($E19="","",_xll.SNL.Clients.Office.Excel.Functions.SPG($E19,J$8,J$9,_xll.SNL.Clients.Office.Excel.Functions.SPGOPTIONS("Curr",TearSheet!$AL$1,"Mag",TearSheet!$E$16,"NA","")))</f>
        <v>1964531.4965619999</v>
      </c>
      <c r="K19" s="114" cm="1">
        <f t="array" ref="K19">IF($E19="","",_xll.SNL.Clients.Office.Excel.Functions.SPG($E19,K$8,K$9,K$12,_xll.SNL.Clients.Office.Excel.Functions.SPGOPTIONS("Curr",TearSheet!$AL$1,"NA","")))</f>
        <v>2.6300210000000002</v>
      </c>
      <c r="L19" s="114" cm="1">
        <f t="array" ref="L19">IF($E19="","",_xll.SNL.Clients.Office.Excel.Functions.SPG($E19,L$8,L$9,L$12,_xll.SNL.Clients.Office.Excel.Functions.SPGOPTIONS("Curr",TearSheet!$AL$1,"NA","")))</f>
        <v>6.539053</v>
      </c>
      <c r="M19" s="114" cm="1">
        <f t="array" ref="M19">IF($E19="","",_xll.SNL.Clients.Office.Excel.Functions.SPG($E19,M$8,M$9,M$12,_xll.SNL.Clients.Office.Excel.Functions.SPGOPTIONS("Curr",TearSheet!$AL$1,"NA","")))</f>
        <v>29.248241</v>
      </c>
      <c r="N19" s="114" cm="1">
        <f t="array" ref="N19">IF($E19="","",_xll.SNL.Clients.Office.Excel.Functions.SPG($E19,N$8,N$9,N$12,_xll.SNL.Clients.Office.Excel.Functions.SPGOPTIONS("Curr",TearSheet!$AL$1,"NA","")))</f>
        <v>142.30194800000001</v>
      </c>
      <c r="O19" s="114" cm="1">
        <f t="array" ref="O19">IF($E19="","",_xll.SNL.Clients.Office.Excel.Functions.SPG($E19,O$8,O$9,O$12,_xll.SNL.Clients.Office.Excel.Functions.SPGOPTIONS("Curr",TearSheet!$AL$1,"NA","")))</f>
        <v>134.947926</v>
      </c>
      <c r="P19" s="114" cm="1">
        <f t="array" ref="P19">IF($E19="","",_xll.SNL.Clients.Office.Excel.Functions.SPG($E19,P$8,P$9,P$12,_xll.SNL.Clients.Office.Excel.Functions.SPGOPTIONS("Curr",TearSheet!$AL$1,"NA","")))</f>
        <v>5.1463089999999996</v>
      </c>
      <c r="Q19" s="114" cm="1">
        <f t="array" ref="Q19">IF($E19="","",_xll.SNL.Clients.Office.Excel.Functions.SPG($E19,Q$8,Q$9,Q$12,_xll.SNL.Clients.Office.Excel.Functions.SPGOPTIONS("Curr",TearSheet!$AL$1,"NA","")))</f>
        <v>15.514551000000001</v>
      </c>
      <c r="R19" s="45" cm="1">
        <f t="array" ref="R19">IF($E19="","",_xll.SNL.Clients.Office.Excel.Functions.SPG($E19,$R$8,R$12,TearSheet!$E$11,_xll.SNL.Clients.Office.Excel.Functions.SPGOPTIONS("Curr",TearSheet!$AL$1,"DataType",TearSheet!$E$23,"Src",TearSheet!$AI$40,"NA","")))</f>
        <v>2.0009880702833098</v>
      </c>
      <c r="S19" s="46" cm="1">
        <f t="array" ref="S19">IF($E19="","",_xll.SNL.Clients.Office.Excel.Functions.SPG($E19,$R$8,S$12,TearSheet!$E$11,_xll.SNL.Clients.Office.Excel.Functions.SPGOPTIONS("Curr",TearSheet!$AL$1,"DataType",TearSheet!$E$23,"Src",TearSheet!$AI$40,"NA","")))</f>
        <v>2.1</v>
      </c>
      <c r="T19" s="46" cm="1">
        <f t="array" ref="T19">IF($E19="","",_xll.SNL.Clients.Office.Excel.Functions.SPG($E19,$R$8,T$12,TearSheet!$E$11,_xll.SNL.Clients.Office.Excel.Functions.SPGOPTIONS("Curr",TearSheet!$AL$1,"DataType",TearSheet!$E$23,"Src",TearSheet!$AI$40,"NA","")))</f>
        <v>2.095143348499835</v>
      </c>
      <c r="U19" s="46" cm="1">
        <f t="array" ref="U19">IF($E19="","",_xll.SNL.Clients.Office.Excel.Functions.SPG($E19,$R$8,U$12,TearSheet!$E$11,_xll.SNL.Clients.Office.Excel.Functions.SPGOPTIONS("Curr",TearSheet!$AL$1,"DataType",TearSheet!$E$23,"Src",TearSheet!$AI$40,"NA","")))</f>
        <v>2.0961812082724731</v>
      </c>
      <c r="V19" s="46" cm="1">
        <f t="array" ref="V19">IF($E19="","",_xll.SNL.Clients.Office.Excel.Functions.SPG($E19,$R$8,V$12,TearSheet!$E$11,_xll.SNL.Clients.Office.Excel.Functions.SPGOPTIONS("Curr",TearSheet!$AL$1,"DataType",TearSheet!$E$23,"Src",TearSheet!$AI$40,"NA","")))</f>
        <v>2.2133849533953756</v>
      </c>
      <c r="W19" s="155" cm="1">
        <f t="array" ref="W19">IF($E19="","",_xll.SNL.Clients.Office.Excel.Functions.SPG($E19,$R$8,W$12,TearSheet!$E$11,_xll.SNL.Clients.Office.Excel.Functions.SPGOPTIONS("Curr",TearSheet!$AL$1,"DataType",TearSheet!$E$23,"Src",TearSheet!$AI$40,"NA","")))</f>
        <v>2.2629207331571766</v>
      </c>
      <c r="AA19" s="1" t="s">
        <v>469</v>
      </c>
    </row>
    <row r="20" spans="2:27" ht="11.25" customHeight="1" x14ac:dyDescent="0.2">
      <c r="B20" s="277" t="str" cm="1">
        <f t="array" ref="B20">IF($E20="","",IFERROR(HYPERLINK(CONCATENATE("https://www.capitaliq.spglobal.com/web/client#company/profile?id=",TearSheet!$AD41),_xll.SNL.Clients.Office.Excel.Functions.SPG($E20,"SP_COMPANY_NAME")),"-"))</f>
        <v>Broadcom Inc.</v>
      </c>
      <c r="C20" s="278"/>
      <c r="D20" s="171"/>
      <c r="E20" s="94" t="str">
        <f t="shared" si="1"/>
        <v>NASDAQGS:AVGO</v>
      </c>
      <c r="F20" s="180" cm="1">
        <f t="array" ref="F20">IF($E20="","",_xll.SNL.Clients.Office.Excel.Functions.SPG($E20,F$8,F$9,_xll.SNL.Clients.Office.Excel.Functions.SPGOPTIONS("Curr",TearSheet!$AL$1,"NA","")))</f>
        <v>357.31</v>
      </c>
      <c r="G20" s="178" cm="1">
        <f t="array" ref="G20">IF($E20="","",_xll.SNL.Clients.Office.Excel.Functions.SPG($E20,G$8,G$9,G$12,_xll.SNL.Clients.Office.Excel.Functions.SPGOPTIONS("Curr",TearSheet!$AL$1,"NA","")))</f>
        <v>495</v>
      </c>
      <c r="H20" s="182" cm="1">
        <f t="array" ref="H20">IF($E20="","",_xll.SNL.Clients.Office.Excel.Functions.SPG($E20,H$8,H$9,H$12,_xll.SNL.Clients.Office.Excel.Functions.SPGOPTIONS("Curr",TearSheet!$AL$1,"NA","")))</f>
        <v>289.95999999999998</v>
      </c>
      <c r="I20" s="154" cm="1">
        <f t="array" ref="I20">IF($E20="","",_xll.SNL.Clients.Office.Excel.Functions.SPG($E20,I$8,I$9,_xll.SNL.Clients.Office.Excel.Functions.SPGOPTIONS("Curr",TearSheet!$AL$1,"Mag",TearSheet!$E$16,"NA","")))</f>
        <v>1705665.6870629999</v>
      </c>
      <c r="J20" s="154" cm="1">
        <f t="array" ref="J20">IF($E20="","",_xll.SNL.Clients.Office.Excel.Functions.SPG($E20,J$8,J$9,_xll.SNL.Clients.Office.Excel.Functions.SPGOPTIONS("Curr",TearSheet!$AL$1,"Mag",TearSheet!$E$16,"NA","")))</f>
        <v>1741109.6870629999</v>
      </c>
      <c r="K20" s="114" cm="1">
        <f t="array" ref="K20">IF($E20="","",_xll.SNL.Clients.Office.Excel.Functions.SPG($E20,K$8,K$9,K$12,_xll.SNL.Clients.Office.Excel.Functions.SPGOPTIONS("Curr",TearSheet!$AL$1,"NA","")))</f>
        <v>0.72731400000000002</v>
      </c>
      <c r="L20" s="114" cm="1">
        <f t="array" ref="L20">IF($E20="","",_xll.SNL.Clients.Office.Excel.Functions.SPG($E20,L$8,L$9,L$12,_xll.SNL.Clients.Office.Excel.Functions.SPGOPTIONS("Curr",TearSheet!$AL$1,"NA","")))</f>
        <v>0.171012</v>
      </c>
      <c r="M20" s="114" cm="1">
        <f t="array" ref="M20">IF($E20="","",_xll.SNL.Clients.Office.Excel.Functions.SPG($E20,M$8,M$9,M$12,_xll.SNL.Clients.Office.Excel.Functions.SPGOPTIONS("Curr",TearSheet!$AL$1,"NA","")))</f>
        <v>96.886708999999996</v>
      </c>
      <c r="N20" s="114" cm="1">
        <f t="array" ref="N20">IF($E20="","",_xll.SNL.Clients.Office.Excel.Functions.SPG($E20,N$8,N$9,N$12,_xll.SNL.Clients.Office.Excel.Functions.SPGOPTIONS("Curr",TearSheet!$AL$1,"NA","")))</f>
        <v>304.572114</v>
      </c>
      <c r="O20" s="114" cm="1">
        <f t="array" ref="O20">IF($E20="","",_xll.SNL.Clients.Office.Excel.Functions.SPG($E20,O$8,O$9,O$12,_xll.SNL.Clients.Office.Excel.Functions.SPGOPTIONS("Curr",TearSheet!$AL$1,"NA","")))</f>
        <v>636.70645999999999</v>
      </c>
      <c r="P20" s="114" cm="1">
        <f t="array" ref="P20">IF($E20="","",_xll.SNL.Clients.Office.Excel.Functions.SPG($E20,P$8,P$9,P$12,_xll.SNL.Clients.Office.Excel.Functions.SPGOPTIONS("Curr",TearSheet!$AL$1,"NA","")))</f>
        <v>1.7426459999999999</v>
      </c>
      <c r="Q20" s="114" cm="1">
        <f t="array" ref="Q20">IF($E20="","",_xll.SNL.Clients.Office.Excel.Functions.SPG($E20,Q$8,Q$9,Q$12,_xll.SNL.Clients.Office.Excel.Functions.SPGOPTIONS("Curr",TearSheet!$AL$1,"NA","")))</f>
        <v>3.2389480000000002</v>
      </c>
      <c r="R20" s="45" cm="1">
        <f t="array" ref="R20">IF($E20="","",_xll.SNL.Clients.Office.Excel.Functions.SPG($E20,$R$8,R$12,TearSheet!$E$11,_xll.SNL.Clients.Office.Excel.Functions.SPGOPTIONS("Curr",TearSheet!$AL$1,"DataType",TearSheet!$E$23,"Src",TearSheet!$AI$40,"NA","")))</f>
        <v>2.105</v>
      </c>
      <c r="S20" s="46" cm="1">
        <f t="array" ref="S20">IF($E20="","",_xll.SNL.Clients.Office.Excel.Functions.SPG($E20,$R$8,S$12,TearSheet!$E$11,_xll.SNL.Clients.Office.Excel.Functions.SPGOPTIONS("Curr",TearSheet!$AL$1,"DataType",TearSheet!$E$23,"Src",TearSheet!$AI$40,"NA","")))</f>
        <v>2.42</v>
      </c>
      <c r="T20" s="46" cm="1">
        <f t="array" ref="T20">IF($E20="","",_xll.SNL.Clients.Office.Excel.Functions.SPG($E20,$R$8,T$12,TearSheet!$E$11,_xll.SNL.Clients.Office.Excel.Functions.SPGOPTIONS("Curr",TearSheet!$AL$1,"DataType",TearSheet!$E$23,"Src",TearSheet!$AI$40,"NA","")))</f>
        <v>2.5448407999427731</v>
      </c>
      <c r="U20" s="46" cm="1">
        <f t="array" ref="U20">IF($E20="","",_xll.SNL.Clients.Office.Excel.Functions.SPG($E20,$R$8,U$12,TearSheet!$E$11,_xll.SNL.Clients.Office.Excel.Functions.SPGOPTIONS("Curr",TearSheet!$AL$1,"DataType",TearSheet!$E$23,"Src",TearSheet!$AI$40,"NA","")))</f>
        <v>2.5390262969317399</v>
      </c>
      <c r="V20" s="46" cm="1">
        <f t="array" ref="V20">IF($E20="","",_xll.SNL.Clients.Office.Excel.Functions.SPG($E20,$R$8,V$12,TearSheet!$E$11,_xll.SNL.Clients.Office.Excel.Functions.SPGOPTIONS("Curr",TearSheet!$AL$1,"DataType",TearSheet!$E$23,"Src",TearSheet!$AI$40,"NA","")))</f>
        <v>2.8650218609573677</v>
      </c>
      <c r="W20" s="155" cm="1">
        <f t="array" ref="W20">IF($E20="","",_xll.SNL.Clients.Office.Excel.Functions.SPG($E20,$R$8,W$12,TearSheet!$E$11,_xll.SNL.Clients.Office.Excel.Functions.SPGOPTIONS("Curr",TearSheet!$AL$1,"DataType",TearSheet!$E$23,"Src",TearSheet!$AI$40,"NA","")))</f>
        <v>3.4033795573525154</v>
      </c>
      <c r="AA20" s="1" t="s">
        <v>334</v>
      </c>
    </row>
    <row r="21" spans="2:27" ht="11.25" customHeight="1" x14ac:dyDescent="0.2">
      <c r="B21" s="277" t="str" cm="1">
        <f t="array" ref="B21">IF($E21="","",IFERROR(HYPERLINK(CONCATENATE("https://www.capitaliq.spglobal.com/web/client#company/profile?id=",TearSheet!$AD42),_xll.SNL.Clients.Office.Excel.Functions.SPG($E21,"SP_COMPANY_NAME")),"-"))</f>
        <v>International Business Machines Corporation</v>
      </c>
      <c r="C21" s="278"/>
      <c r="D21" s="171"/>
      <c r="E21" s="94" t="str">
        <f t="shared" si="1"/>
        <v>NYSE:IBM</v>
      </c>
      <c r="F21" s="180" cm="1">
        <f t="array" ref="F21">IF($E21="","",_xll.SNL.Clients.Office.Excel.Functions.SPG($E21,F$8,F$9,_xll.SNL.Clients.Office.Excel.Functions.SPGOPTIONS("Curr",TearSheet!$AL$1,"NA","")))</f>
        <v>230.78</v>
      </c>
      <c r="G21" s="178" cm="1">
        <f t="array" ref="G21">IF($E21="","",_xll.SNL.Clients.Office.Excel.Functions.SPG($E21,G$8,G$9,G$12,_xll.SNL.Clients.Office.Excel.Functions.SPGOPTIONS("Curr",TearSheet!$AL$1,"NA","")))</f>
        <v>332.46</v>
      </c>
      <c r="H21" s="182" cm="1">
        <f t="array" ref="H21">IF($E21="","",_xll.SNL.Clients.Office.Excel.Functions.SPG($E21,H$8,H$9,H$12,_xll.SNL.Clients.Office.Excel.Functions.SPGOPTIONS("Curr",TearSheet!$AL$1,"NA","")))</f>
        <v>199.19</v>
      </c>
      <c r="I21" s="154" cm="1">
        <f t="array" ref="I21">IF($E21="","",_xll.SNL.Clients.Office.Excel.Functions.SPG($E21,I$8,I$9,_xll.SNL.Clients.Office.Excel.Functions.SPGOPTIONS("Curr",TearSheet!$AL$1,"Mag",TearSheet!$E$16,"NA","")))</f>
        <v>217425.77452400001</v>
      </c>
      <c r="J21" s="154" cm="1">
        <f t="array" ref="J21">IF($E21="","",_xll.SNL.Clients.Office.Excel.Functions.SPG($E21,J$8,J$9,_xll.SNL.Clients.Office.Excel.Functions.SPGOPTIONS("Curr",TearSheet!$AL$1,"Mag",TearSheet!$E$16,"NA","")))</f>
        <v>274654.77452400001</v>
      </c>
      <c r="K21" s="114" cm="1">
        <f t="array" ref="K21">IF($E21="","",_xll.SNL.Clients.Office.Excel.Functions.SPG($E21,K$8,K$9,K$12,_xll.SNL.Clients.Office.Excel.Functions.SPGOPTIONS("Curr",TearSheet!$AL$1,"NA","")))</f>
        <v>1.656242</v>
      </c>
      <c r="L21" s="114" cm="1">
        <f t="array" ref="L21">IF($E21="","",_xll.SNL.Clients.Office.Excel.Functions.SPG($E21,L$8,L$9,L$12,_xll.SNL.Clients.Office.Excel.Functions.SPGOPTIONS("Curr",TearSheet!$AL$1,"NA","")))</f>
        <v>-16.752037999999999</v>
      </c>
      <c r="M21" s="114" cm="1">
        <f t="array" ref="M21">IF($E21="","",_xll.SNL.Clients.Office.Excel.Functions.SPG($E21,M$8,M$9,M$12,_xll.SNL.Clients.Office.Excel.Functions.SPGOPTIONS("Curr",TearSheet!$AL$1,"NA","")))</f>
        <v>-1.063191</v>
      </c>
      <c r="N21" s="114" cm="1">
        <f t="array" ref="N21">IF($E21="","",_xll.SNL.Clients.Office.Excel.Functions.SPG($E21,N$8,N$9,N$12,_xll.SNL.Clients.Office.Excel.Functions.SPGOPTIONS("Curr",TearSheet!$AL$1,"NA","")))</f>
        <v>66.676295999999994</v>
      </c>
      <c r="O21" s="114" cm="1">
        <f t="array" ref="O21">IF($E21="","",_xll.SNL.Clients.Office.Excel.Functions.SPG($E21,O$8,O$9,O$12,_xll.SNL.Clients.Office.Excel.Functions.SPGOPTIONS("Curr",TearSheet!$AL$1,"NA","")))</f>
        <v>63.952827999999997</v>
      </c>
      <c r="P21" s="114" cm="1">
        <f t="array" ref="P21">IF($E21="","",_xll.SNL.Clients.Office.Excel.Functions.SPG($E21,P$8,P$9,P$12,_xll.SNL.Clients.Office.Excel.Functions.SPGOPTIONS("Curr",TearSheet!$AL$1,"NA","")))</f>
        <v>4.9333879999999999</v>
      </c>
      <c r="Q21" s="114" cm="1">
        <f t="array" ref="Q21">IF($E21="","",_xll.SNL.Clients.Office.Excel.Functions.SPG($E21,Q$8,Q$9,Q$12,_xll.SNL.Clients.Office.Excel.Functions.SPGOPTIONS("Curr",TearSheet!$AL$1,"NA","")))</f>
        <v>-22.089058000000001</v>
      </c>
      <c r="R21" s="45" cm="1">
        <f t="array" ref="R21">IF($E21="","",_xll.SNL.Clients.Office.Excel.Functions.SPG($E21,$R$8,R$12,TearSheet!$E$11,_xll.SNL.Clients.Office.Excel.Functions.SPGOPTIONS("Curr",TearSheet!$AL$1,"DataType",TearSheet!$E$23,"Src",TearSheet!$AI$40,"NA","")))</f>
        <v>6.67</v>
      </c>
      <c r="S21" s="46" cm="1">
        <f t="array" ref="S21">IF($E21="","",_xll.SNL.Clients.Office.Excel.Functions.SPG($E21,$R$8,S$12,TearSheet!$E$11,_xll.SNL.Clients.Office.Excel.Functions.SPGOPTIONS("Curr",TearSheet!$AL$1,"DataType",TearSheet!$E$23,"Src",TearSheet!$AI$40,"NA","")))</f>
        <v>6.7092137723908598</v>
      </c>
      <c r="T21" s="46" cm="1">
        <f t="array" ref="T21">IF($E21="","",_xll.SNL.Clients.Office.Excel.Functions.SPG($E21,$R$8,T$12,TearSheet!$E$11,_xll.SNL.Clients.Office.Excel.Functions.SPGOPTIONS("Curr",TearSheet!$AL$1,"DataType",TearSheet!$E$23,"Src",TearSheet!$AI$40,"NA","")))</f>
        <v>6.7461787778180771</v>
      </c>
      <c r="U21" s="46" cm="1">
        <f t="array" ref="U21">IF($E21="","",_xll.SNL.Clients.Office.Excel.Functions.SPG($E21,$R$8,U$12,TearSheet!$E$11,_xll.SNL.Clients.Office.Excel.Functions.SPGOPTIONS("Curr",TearSheet!$AL$1,"DataType",TearSheet!$E$23,"Src",TearSheet!$AI$40,"NA","")))</f>
        <v>6.7382794067952752</v>
      </c>
      <c r="V21" s="46" cm="1">
        <f t="array" ref="V21">IF($E21="","",_xll.SNL.Clients.Office.Excel.Functions.SPG($E21,$R$8,V$12,TearSheet!$E$11,_xll.SNL.Clients.Office.Excel.Functions.SPGOPTIONS("Curr",TearSheet!$AL$1,"DataType",TearSheet!$E$23,"Src",TearSheet!$AI$40,"NA","")))</f>
        <v>6.774333635604588</v>
      </c>
      <c r="W21" s="155" cm="1">
        <f t="array" ref="W21">IF($E21="","",_xll.SNL.Clients.Office.Excel.Functions.SPG($E21,$R$8,W$12,TearSheet!$E$11,_xll.SNL.Clients.Office.Excel.Functions.SPGOPTIONS("Curr",TearSheet!$AL$1,"DataType",TearSheet!$E$23,"Src",TearSheet!$AI$40,"NA","")))</f>
        <v>6.836046929318079</v>
      </c>
      <c r="AA21" s="1" t="s">
        <v>336</v>
      </c>
    </row>
    <row r="22" spans="2:27" ht="11.25" customHeight="1" x14ac:dyDescent="0.2">
      <c r="B22" s="277" t="str" cm="1">
        <f t="array" ref="B22">IF($E22="","",IFERROR(HYPERLINK(CONCATENATE("https://www.capitaliq.spglobal.com/web/client#company/profile?id=",TearSheet!$AD43),_xll.SNL.Clients.Office.Excel.Functions.SPG($E22,"SP_COMPANY_NAME")),"-"))</f>
        <v>Intel Corporation</v>
      </c>
      <c r="C22" s="278"/>
      <c r="D22" s="171"/>
      <c r="E22" s="94" t="str">
        <f t="shared" si="1"/>
        <v>NASDAQGS:INTC</v>
      </c>
      <c r="F22" s="180" cm="1">
        <f t="array" ref="F22">IF($E22="","",_xll.SNL.Clients.Office.Excel.Functions.SPG($E22,F$8,F$9,_xll.SNL.Clients.Office.Excel.Functions.SPGOPTIONS("Curr",TearSheet!$AL$1,"NA","")))</f>
        <v>102.81</v>
      </c>
      <c r="G22" s="178" cm="1">
        <f t="array" ref="G22">IF($E22="","",_xll.SNL.Clients.Office.Excel.Functions.SPG($E22,G$8,G$9,G$12,_xll.SNL.Clients.Office.Excel.Functions.SPGOPTIONS("Curr",TearSheet!$AL$1,"NA","")))</f>
        <v>142.35</v>
      </c>
      <c r="H22" s="182" cm="1">
        <f t="array" ref="H22">IF($E22="","",_xll.SNL.Clients.Office.Excel.Functions.SPG($E22,H$8,H$9,H$12,_xll.SNL.Clients.Office.Excel.Functions.SPGOPTIONS("Curr",TearSheet!$AL$1,"NA","")))</f>
        <v>32.89</v>
      </c>
      <c r="I22" s="154" cm="1">
        <f t="array" ref="I22">IF($E22="","",_xll.SNL.Clients.Office.Excel.Functions.SPG($E22,I$8,I$9,_xll.SNL.Clients.Office.Excel.Functions.SPGOPTIONS("Curr",TearSheet!$AL$1,"Mag",TearSheet!$E$16,"NA","")))</f>
        <v>540217.85044499999</v>
      </c>
      <c r="J22" s="154" cm="1">
        <f t="array" ref="J22">IF($E22="","",_xll.SNL.Clients.Office.Excel.Functions.SPG($E22,J$8,J$9,_xll.SNL.Clients.Office.Excel.Functions.SPGOPTIONS("Curr",TearSheet!$AL$1,"Mag",TearSheet!$E$16,"NA","")))</f>
        <v>576378.85044499999</v>
      </c>
      <c r="K22" s="114" cm="1">
        <f t="array" ref="K22">IF($E22="","",_xll.SNL.Clients.Office.Excel.Functions.SPG($E22,K$8,K$9,K$12,_xll.SNL.Clients.Office.Excel.Functions.SPGOPTIONS("Curr",TearSheet!$AL$1,"NA","")))</f>
        <v>1.440553</v>
      </c>
      <c r="L22" s="114" cm="1">
        <f t="array" ref="L22">IF($E22="","",_xll.SNL.Clients.Office.Excel.Functions.SPG($E22,L$8,L$9,L$12,_xll.SNL.Clients.Office.Excel.Functions.SPGOPTIONS("Curr",TearSheet!$AL$1,"NA","")))</f>
        <v>176.22246100000001</v>
      </c>
      <c r="M22" s="114" cm="1">
        <f t="array" ref="M22">IF($E22="","",_xll.SNL.Clients.Office.Excel.Functions.SPG($E22,M$8,M$9,M$12,_xll.SNL.Clients.Office.Excel.Functions.SPGOPTIONS("Curr",TearSheet!$AL$1,"NA","")))</f>
        <v>336.37521199999998</v>
      </c>
      <c r="N22" s="114" cm="1">
        <f t="array" ref="N22">IF($E22="","",_xll.SNL.Clients.Office.Excel.Functions.SPG($E22,N$8,N$9,N$12,_xll.SNL.Clients.Office.Excel.Functions.SPGOPTIONS("Curr",TearSheet!$AL$1,"NA","")))</f>
        <v>185.821518</v>
      </c>
      <c r="O22" s="114" cm="1">
        <f t="array" ref="O22">IF($E22="","",_xll.SNL.Clients.Office.Excel.Functions.SPG($E22,O$8,O$9,O$12,_xll.SNL.Clients.Office.Excel.Functions.SPGOPTIONS("Curr",TearSheet!$AL$1,"NA","")))</f>
        <v>96.727898999999994</v>
      </c>
      <c r="P22" s="114" cm="1">
        <f t="array" ref="P22">IF($E22="","",_xll.SNL.Clients.Office.Excel.Functions.SPG($E22,P$8,P$9,P$12,_xll.SNL.Clients.Office.Excel.Functions.SPGOPTIONS("Curr",TearSheet!$AL$1,"NA","")))</f>
        <v>-14.488896</v>
      </c>
      <c r="Q22" s="114" cm="1">
        <f t="array" ref="Q22">IF($E22="","",_xll.SNL.Clients.Office.Excel.Functions.SPG($E22,Q$8,Q$9,Q$12,_xll.SNL.Clients.Office.Excel.Functions.SPGOPTIONS("Curr",TearSheet!$AL$1,"NA","")))</f>
        <v>178.617886</v>
      </c>
      <c r="R22" s="45" cm="1">
        <f t="array" ref="R22">IF($E22="","",_xll.SNL.Clients.Office.Excel.Functions.SPG($E22,$R$8,R$12,TearSheet!$E$11,_xll.SNL.Clients.Office.Excel.Functions.SPGOPTIONS("Curr",TearSheet!$AL$1,"DataType",TearSheet!$E$23,"Src",TearSheet!$AI$40,"NA","")))</f>
        <v>0.375</v>
      </c>
      <c r="S22" s="46" cm="1">
        <f t="array" ref="S22">IF($E22="","",_xll.SNL.Clients.Office.Excel.Functions.SPG($E22,$R$8,S$12,TearSheet!$E$11,_xll.SNL.Clients.Office.Excel.Functions.SPGOPTIONS("Curr",TearSheet!$AL$1,"DataType",TearSheet!$E$23,"Src",TearSheet!$AI$40,"NA","")))</f>
        <v>0</v>
      </c>
      <c r="T22" s="46" cm="1">
        <f t="array" ref="T22">IF($E22="","",_xll.SNL.Clients.Office.Excel.Functions.SPG($E22,$R$8,T$12,TearSheet!$E$11,_xll.SNL.Clients.Office.Excel.Functions.SPGOPTIONS("Curr",TearSheet!$AL$1,"DataType",TearSheet!$E$23,"Src",TearSheet!$AI$40,"NA","")))</f>
        <v>5.8141478499999996E-3</v>
      </c>
      <c r="U22" s="46" cm="1">
        <f t="array" ref="U22">IF($E22="","",_xll.SNL.Clients.Office.Excel.Functions.SPG($E22,$R$8,U$12,TearSheet!$E$11,_xll.SNL.Clients.Office.Excel.Functions.SPGOPTIONS("Curr",TearSheet!$AL$1,"DataType",TearSheet!$E$23,"Src",TearSheet!$AI$40,"NA","")))</f>
        <v>4.5716724190410958E-3</v>
      </c>
      <c r="V22" s="46" cm="1">
        <f t="array" ref="V22">IF($E22="","",_xll.SNL.Clients.Office.Excel.Functions.SPG($E22,$R$8,V$12,TearSheet!$E$11,_xll.SNL.Clients.Office.Excel.Functions.SPGOPTIONS("Curr",TearSheet!$AL$1,"DataType",TearSheet!$E$23,"Src",TearSheet!$AI$40,"NA","")))</f>
        <v>3.1567552789736192E-2</v>
      </c>
      <c r="W22" s="155" cm="1">
        <f t="array" ref="W22">IF($E22="","",_xll.SNL.Clients.Office.Excel.Functions.SPG($E22,$R$8,W$12,TearSheet!$E$11,_xll.SNL.Clients.Office.Excel.Functions.SPGOPTIONS("Curr",TearSheet!$AL$1,"DataType",TearSheet!$E$23,"Src",TearSheet!$AI$40,"NA","")))</f>
        <v>0.10357952590218221</v>
      </c>
      <c r="AA22" s="1" t="s">
        <v>339</v>
      </c>
    </row>
    <row r="23" spans="2:27" ht="11.25" customHeight="1" x14ac:dyDescent="0.2">
      <c r="B23" s="277" t="str" cm="1">
        <f t="array" ref="B23">IF($E23="","",IFERROR(HYPERLINK(CONCATENATE("https://www.capitaliq.spglobal.com/web/client#company/profile?id=",TearSheet!$AD44),_xll.SNL.Clients.Office.Excel.Functions.SPG($E23,"SP_COMPANY_NAME")),"-"))</f>
        <v>Advanced Micro Devices, Inc.</v>
      </c>
      <c r="C23" s="278"/>
      <c r="D23" s="171"/>
      <c r="E23" s="94" t="str">
        <f t="shared" si="1"/>
        <v>NASDAQGS:AMD</v>
      </c>
      <c r="F23" s="180" cm="1">
        <f t="array" ref="F23">IF($E23="","",_xll.SNL.Clients.Office.Excel.Functions.SPG($E23,F$8,F$9,_xll.SNL.Clients.Office.Excel.Functions.SPGOPTIONS("Curr",TearSheet!$AL$1,"NA","")))</f>
        <v>605.53</v>
      </c>
      <c r="G23" s="178" cm="1">
        <f t="array" ref="G23">IF($E23="","",_xll.SNL.Clients.Office.Excel.Functions.SPG($E23,G$8,G$9,G$12,_xll.SNL.Clients.Office.Excel.Functions.SPGOPTIONS("Curr",TearSheet!$AL$1,"NA","")))</f>
        <v>658.52</v>
      </c>
      <c r="H23" s="182" cm="1">
        <f t="array" ref="H23">IF($E23="","",_xll.SNL.Clients.Office.Excel.Functions.SPG($E23,H$8,H$9,H$12,_xll.SNL.Clients.Office.Excel.Functions.SPGOPTIONS("Curr",TearSheet!$AL$1,"NA","")))</f>
        <v>188.22</v>
      </c>
      <c r="I23" s="154" cm="1">
        <f t="array" ref="I23">IF($E23="","",_xll.SNL.Clients.Office.Excel.Functions.SPG($E23,I$8,I$9,_xll.SNL.Clients.Office.Excel.Functions.SPGOPTIONS("Curr",TearSheet!$AL$1,"Mag",TearSheet!$E$16,"NA","")))</f>
        <v>988512.61218199995</v>
      </c>
      <c r="J23" s="154" cm="1">
        <f t="array" ref="J23">IF($E23="","",_xll.SNL.Clients.Office.Excel.Functions.SPG($E23,J$8,J$9,_xll.SNL.Clients.Office.Excel.Functions.SPGOPTIONS("Curr",TearSheet!$AL$1,"Mag",TearSheet!$E$16,"NA","")))</f>
        <v>979677.61218199995</v>
      </c>
      <c r="K23" s="114" cm="1">
        <f t="array" ref="K23">IF($E23="","",_xll.SNL.Clients.Office.Excel.Functions.SPG($E23,K$8,K$9,K$12,_xll.SNL.Clients.Office.Excel.Functions.SPGOPTIONS("Curr",TearSheet!$AL$1,"NA","")))</f>
        <v>1.8999060000000001</v>
      </c>
      <c r="L23" s="114" cm="1">
        <f t="array" ref="L23">IF($E23="","",_xll.SNL.Clients.Office.Excel.Functions.SPG($E23,L$8,L$9,L$12,_xll.SNL.Clients.Office.Excel.Functions.SPGOPTIONS("Curr",TearSheet!$AL$1,"NA","")))</f>
        <v>179.79391899999999</v>
      </c>
      <c r="M23" s="114" cm="1">
        <f t="array" ref="M23">IF($E23="","",_xll.SNL.Clients.Office.Excel.Functions.SPG($E23,M$8,M$9,M$12,_xll.SNL.Clients.Office.Excel.Functions.SPGOPTIONS("Curr",TearSheet!$AL$1,"NA","")))</f>
        <v>260.67067700000001</v>
      </c>
      <c r="N23" s="114" cm="1">
        <f t="array" ref="N23">IF($E23="","",_xll.SNL.Clients.Office.Excel.Functions.SPG($E23,N$8,N$9,N$12,_xll.SNL.Clients.Office.Excel.Functions.SPGOPTIONS("Curr",TearSheet!$AL$1,"NA","")))</f>
        <v>476.20135099999999</v>
      </c>
      <c r="O23" s="114" cm="1">
        <f t="array" ref="O23">IF($E23="","",_xll.SNL.Clients.Office.Excel.Functions.SPG($E23,O$8,O$9,O$12,_xll.SNL.Clients.Office.Excel.Functions.SPGOPTIONS("Curr",TearSheet!$AL$1,"NA","")))</f>
        <v>454.71784500000001</v>
      </c>
      <c r="P23" s="114" cm="1">
        <f t="array" ref="P23">IF($E23="","",_xll.SNL.Clients.Office.Excel.Functions.SPG($E23,P$8,P$9,P$12,_xll.SNL.Clients.Office.Excel.Functions.SPGOPTIONS("Curr",TearSheet!$AL$1,"NA","")))</f>
        <v>-1.018373</v>
      </c>
      <c r="Q23" s="114" cm="1">
        <f t="array" ref="Q23">IF($E23="","",_xll.SNL.Clients.Office.Excel.Functions.SPG($E23,Q$8,Q$9,Q$12,_xll.SNL.Clients.Office.Excel.Functions.SPGOPTIONS("Curr",TearSheet!$AL$1,"NA","")))</f>
        <v>182.746545</v>
      </c>
      <c r="R23" s="45" t="str" cm="1">
        <f t="array" ref="R23">IF($E23="","",_xll.SNL.Clients.Office.Excel.Functions.SPG($E23,$R$8,R$12,TearSheet!$E$11,_xll.SNL.Clients.Office.Excel.Functions.SPGOPTIONS("Curr",TearSheet!$AL$1,"DataType",TearSheet!$E$23,"Src",TearSheet!$AI$40,"NA","")))</f>
        <v>NA</v>
      </c>
      <c r="S23" s="46" t="str" cm="1">
        <f t="array" ref="S23">IF($E23="","",_xll.SNL.Clients.Office.Excel.Functions.SPG($E23,$R$8,S$12,TearSheet!$E$11,_xll.SNL.Clients.Office.Excel.Functions.SPGOPTIONS("Curr",TearSheet!$AL$1,"DataType",TearSheet!$E$23,"Src",TearSheet!$AI$40,"NA","")))</f>
        <v>NA</v>
      </c>
      <c r="T23" s="46" t="str" cm="1">
        <f t="array" ref="T23">IF($E23="","",_xll.SNL.Clients.Office.Excel.Functions.SPG($E23,$R$8,T$12,TearSheet!$E$11,_xll.SNL.Clients.Office.Excel.Functions.SPGOPTIONS("Curr",TearSheet!$AL$1,"DataType",TearSheet!$E$23,"Src",TearSheet!$AI$40,"NA","")))</f>
        <v>NA</v>
      </c>
      <c r="U23" s="46" t="str" cm="1">
        <f t="array" ref="U23">IF($E23="","",_xll.SNL.Clients.Office.Excel.Functions.SPG($E23,$R$8,U$12,TearSheet!$E$11,_xll.SNL.Clients.Office.Excel.Functions.SPGOPTIONS("Curr",TearSheet!$AL$1,"DataType",TearSheet!$E$23,"Src",TearSheet!$AI$40,"NA","")))</f>
        <v>NA</v>
      </c>
      <c r="V23" s="46" t="str" cm="1">
        <f t="array" ref="V23">IF($E23="","",_xll.SNL.Clients.Office.Excel.Functions.SPG($E23,$R$8,V$12,TearSheet!$E$11,_xll.SNL.Clients.Office.Excel.Functions.SPGOPTIONS("Curr",TearSheet!$AL$1,"DataType",TearSheet!$E$23,"Src",TearSheet!$AI$40,"NA","")))</f>
        <v>NA</v>
      </c>
      <c r="W23" s="155" t="str" cm="1">
        <f t="array" ref="W23">IF($E23="","",_xll.SNL.Clients.Office.Excel.Functions.SPG($E23,$R$8,W$12,TearSheet!$E$11,_xll.SNL.Clients.Office.Excel.Functions.SPGOPTIONS("Curr",TearSheet!$AL$1,"DataType",TearSheet!$E$23,"Src",TearSheet!$AI$40,"NA","")))</f>
        <v>NA</v>
      </c>
      <c r="AA23" s="1" t="s">
        <v>457</v>
      </c>
    </row>
    <row r="24" spans="2:27" ht="11.25" customHeight="1" x14ac:dyDescent="0.2">
      <c r="B24" s="277" t="str" cm="1">
        <f t="array" ref="B24">IF($E24="","",IFERROR(HYPERLINK(CONCATENATE("https://www.capitaliq.spglobal.com/web/client#company/profile?id=",TearSheet!$AD45),_xll.SNL.Clients.Office.Excel.Functions.SPG($E24,"SP_COMPANY_NAME")),"-"))</f>
        <v>Dell Technologies Inc.</v>
      </c>
      <c r="C24" s="278"/>
      <c r="D24" s="171"/>
      <c r="E24" s="94" t="str">
        <f t="shared" si="1"/>
        <v>NYSE:DELL</v>
      </c>
      <c r="F24" s="180" cm="1">
        <f t="array" ref="F24">IF($E24="","",_xll.SNL.Clients.Office.Excel.Functions.SPG($E24,F$8,F$9,_xll.SNL.Clients.Office.Excel.Functions.SPGOPTIONS("Curr",TearSheet!$AL$1,"NA","")))</f>
        <v>572.47</v>
      </c>
      <c r="G24" s="178" cm="1">
        <f t="array" ref="G24">IF($E24="","",_xll.SNL.Clients.Office.Excel.Functions.SPG($E24,G$8,G$9,G$12,_xll.SNL.Clients.Office.Excel.Functions.SPGOPTIONS("Curr",TearSheet!$AL$1,"NA","")))</f>
        <v>595.51</v>
      </c>
      <c r="H24" s="182" cm="1">
        <f t="array" ref="H24">IF($E24="","",_xll.SNL.Clients.Office.Excel.Functions.SPG($E24,H$8,H$9,H$12,_xll.SNL.Clients.Office.Excel.Functions.SPGOPTIONS("Curr",TearSheet!$AL$1,"NA","")))</f>
        <v>110.22</v>
      </c>
      <c r="I24" s="154" cm="1">
        <f t="array" ref="I24">IF($E24="","",_xll.SNL.Clients.Office.Excel.Functions.SPG($E24,I$8,I$9,_xll.SNL.Clients.Office.Excel.Functions.SPGOPTIONS("Curr",TearSheet!$AL$1,"Mag",TearSheet!$E$16,"NA","")))</f>
        <v>363983.72499299998</v>
      </c>
      <c r="J24" s="154" cm="1">
        <f t="array" ref="J24">IF($E24="","",_xll.SNL.Clients.Office.Excel.Functions.SPG($E24,J$8,J$9,_xll.SNL.Clients.Office.Excel.Functions.SPGOPTIONS("Curr",TearSheet!$AL$1,"Mag",TearSheet!$E$16,"NA","")))</f>
        <v>387615.72499199997</v>
      </c>
      <c r="K24" s="114" cm="1">
        <f t="array" ref="K24">IF($E24="","",_xll.SNL.Clients.Office.Excel.Functions.SPG($E24,K$8,K$9,K$12,_xll.SNL.Clients.Office.Excel.Functions.SPGOPTIONS("Curr",TearSheet!$AL$1,"NA","")))</f>
        <v>-0.74380999999999997</v>
      </c>
      <c r="L24" s="114" cm="1">
        <f t="array" ref="L24">IF($E24="","",_xll.SNL.Clients.Office.Excel.Functions.SPG($E24,L$8,L$9,L$12,_xll.SNL.Clients.Office.Excel.Functions.SPGOPTIONS("Curr",TearSheet!$AL$1,"NA","")))</f>
        <v>273.18774500000001</v>
      </c>
      <c r="M24" s="114" cm="1">
        <f t="array" ref="M24">IF($E24="","",_xll.SNL.Clients.Office.Excel.Functions.SPG($E24,M$8,M$9,M$12,_xll.SNL.Clients.Office.Excel.Functions.SPGOPTIONS("Curr",TearSheet!$AL$1,"NA","")))</f>
        <v>348.18758300000002</v>
      </c>
      <c r="N24" s="114" cm="1">
        <f t="array" ref="N24">IF($E24="","",_xll.SNL.Clients.Office.Excel.Functions.SPG($E24,N$8,N$9,N$12,_xll.SNL.Clients.Office.Excel.Functions.SPGOPTIONS("Curr",TearSheet!$AL$1,"NA","")))</f>
        <v>741.37272199999995</v>
      </c>
      <c r="O24" s="114" cm="1">
        <f t="array" ref="O24">IF($E24="","",_xll.SNL.Clients.Office.Excel.Functions.SPG($E24,O$8,O$9,O$12,_xll.SNL.Clients.Office.Excel.Functions.SPGOPTIONS("Curr",TearSheet!$AL$1,"NA","")))</f>
        <v>452.15084899999999</v>
      </c>
      <c r="P24" s="114" cm="1">
        <f t="array" ref="P24">IF($E24="","",_xll.SNL.Clients.Office.Excel.Functions.SPG($E24,P$8,P$9,P$12,_xll.SNL.Clients.Office.Excel.Functions.SPGOPTIONS("Curr",TearSheet!$AL$1,"NA","")))</f>
        <v>6.4169530000000004</v>
      </c>
      <c r="Q24" s="114" cm="1">
        <f t="array" ref="Q24">IF($E24="","",_xll.SNL.Clients.Office.Excel.Functions.SPG($E24,Q$8,Q$9,Q$12,_xll.SNL.Clients.Office.Excel.Functions.SPGOPTIONS("Curr",TearSheet!$AL$1,"NA","")))</f>
        <v>354.77438799999999</v>
      </c>
      <c r="R24" s="45" t="str" cm="1">
        <f t="array" ref="R24">IF($E24="","",_xll.SNL.Clients.Office.Excel.Functions.SPG($E24,$R$8,R$12,TearSheet!$E$11,_xll.SNL.Clients.Office.Excel.Functions.SPGOPTIONS("Curr",TearSheet!$AL$1,"DataType",TearSheet!$E$23,"Src",TearSheet!$AI$40,"NA","")))</f>
        <v>NA</v>
      </c>
      <c r="S24" s="46" t="str" cm="1">
        <f t="array" ref="S24">IF($E24="","",_xll.SNL.Clients.Office.Excel.Functions.SPG($E24,$R$8,S$12,TearSheet!$E$11,_xll.SNL.Clients.Office.Excel.Functions.SPGOPTIONS("Curr",TearSheet!$AL$1,"DataType",TearSheet!$E$23,"Src",TearSheet!$AI$40,"NA","")))</f>
        <v>NA</v>
      </c>
      <c r="T24" s="46" t="str" cm="1">
        <f t="array" ref="T24">IF($E24="","",_xll.SNL.Clients.Office.Excel.Functions.SPG($E24,$R$8,T$12,TearSheet!$E$11,_xll.SNL.Clients.Office.Excel.Functions.SPGOPTIONS("Curr",TearSheet!$AL$1,"DataType",TearSheet!$E$23,"Src",TearSheet!$AI$40,"NA","")))</f>
        <v>NA</v>
      </c>
      <c r="U24" s="46" t="str" cm="1">
        <f t="array" ref="U24">IF($E24="","",_xll.SNL.Clients.Office.Excel.Functions.SPG($E24,$R$8,U$12,TearSheet!$E$11,_xll.SNL.Clients.Office.Excel.Functions.SPGOPTIONS("Curr",TearSheet!$AL$1,"DataType",TearSheet!$E$23,"Src",TearSheet!$AI$40,"NA","")))</f>
        <v>NA</v>
      </c>
      <c r="V24" s="46" t="str" cm="1">
        <f t="array" ref="V24">IF($E24="","",_xll.SNL.Clients.Office.Excel.Functions.SPG($E24,$R$8,V$12,TearSheet!$E$11,_xll.SNL.Clients.Office.Excel.Functions.SPGOPTIONS("Curr",TearSheet!$AL$1,"DataType",TearSheet!$E$23,"Src",TearSheet!$AI$40,"NA","")))</f>
        <v>NA</v>
      </c>
      <c r="W24" s="155" t="str" cm="1">
        <f t="array" ref="W24">IF($E24="","",_xll.SNL.Clients.Office.Excel.Functions.SPG($E24,$R$8,W$12,TearSheet!$E$11,_xll.SNL.Clients.Office.Excel.Functions.SPGOPTIONS("Curr",TearSheet!$AL$1,"DataType",TearSheet!$E$23,"Src",TearSheet!$AI$40,"NA","")))</f>
        <v>NA</v>
      </c>
      <c r="AA24" s="1" t="s">
        <v>459</v>
      </c>
    </row>
    <row r="25" spans="2:27" ht="11.25" customHeight="1" x14ac:dyDescent="0.2">
      <c r="B25" s="284" t="str" cm="1">
        <f t="array" ref="B25">IF($E25="","",IFERROR(HYPERLINK(CONCATENATE("https://www.capitaliq.spglobal.com/web/client#company/profile?id=",TearSheet!$AD46),_xll.SNL.Clients.Office.Excel.Functions.SPG($E25,"SP_COMPANY_NAME")),"-"))</f>
        <v>Microsoft Corporation</v>
      </c>
      <c r="C25" s="285"/>
      <c r="D25" s="268" t="s">
        <v>468</v>
      </c>
      <c r="E25" s="173" t="str">
        <f>TearSheet!$E$5</f>
        <v>MSFT</v>
      </c>
      <c r="F25" s="204" cm="1">
        <f t="array" ref="F25">IF($E25="","",_xll.SNL.Clients.Office.Excel.Functions.SPG($E25,F$8,F$9,_xll.SNL.Clients.Office.Excel.Functions.SPGOPTIONS("Curr",TearSheet!$AL$1,"NA","")))</f>
        <v>543.45000000000005</v>
      </c>
      <c r="G25" s="205" cm="1">
        <f t="array" ref="G25">IF($E25="","",_xll.SNL.Clients.Office.Excel.Functions.SPG($E25,G$8,G$9,G$12,_xll.SNL.Clients.Office.Excel.Functions.SPGOPTIONS("Curr",TearSheet!$AL$1,"NA","")))</f>
        <v>553.72</v>
      </c>
      <c r="H25" s="206" cm="1">
        <f t="array" ref="H25">IF($E25="","",_xll.SNL.Clients.Office.Excel.Functions.SPG($E25,H$8,H$9,H$12,_xll.SNL.Clients.Office.Excel.Functions.SPGOPTIONS("Curr",TearSheet!$AL$1,"NA","")))</f>
        <v>349.2</v>
      </c>
      <c r="I25" s="207" cm="1">
        <f t="array" ref="I25">IF($E25="","",_xll.SNL.Clients.Office.Excel.Functions.SPG($E25,I$8,I$9,_xll.SNL.Clients.Office.Excel.Functions.SPGOPTIONS("Curr",TearSheet!$AL$1,"Mag",TearSheet!$E$16,"NA","")))</f>
        <v>4035412.6970839999</v>
      </c>
      <c r="J25" s="207" cm="1">
        <f t="array" ref="J25">IF($E25="","",_xll.SNL.Clients.Office.Excel.Functions.SPG($E25,J$8,J$9,_xll.SNL.Clients.Office.Excel.Functions.SPGOPTIONS("Curr",TearSheet!$AL$1,"Mag",TearSheet!$E$16,"NA","")))</f>
        <v>4087382.6970830001</v>
      </c>
      <c r="K25" s="208" cm="1">
        <f t="array" ref="K25">IF($E25="","",_xll.SNL.Clients.Office.Excel.Functions.SPG($E25,K$8,K$9,K$12,_xll.SNL.Clients.Office.Excel.Functions.SPGOPTIONS("Curr",TearSheet!$AL$1,"NA","")))</f>
        <v>0.42502099999999998</v>
      </c>
      <c r="L25" s="208" cm="1">
        <f t="array" ref="L25">IF($E25="","",_xll.SNL.Clients.Office.Excel.Functions.SPG($E25,L$8,L$9,L$12,_xll.SNL.Clients.Office.Excel.Functions.SPGOPTIONS("Curr",TearSheet!$AL$1,"NA","")))</f>
        <v>5.7192879999999997</v>
      </c>
      <c r="M25" s="208" cm="1">
        <f t="array" ref="M25">IF($E25="","",_xll.SNL.Clients.Office.Excel.Functions.SPG($E25,M$8,M$9,M$12,_xll.SNL.Clients.Office.Excel.Functions.SPGOPTIONS("Curr",TearSheet!$AL$1,"NA","")))</f>
        <v>30.536607</v>
      </c>
      <c r="N25" s="208" cm="1">
        <f t="array" ref="N25">IF($E25="","",_xll.SNL.Clients.Office.Excel.Functions.SPG($E25,N$8,N$9,N$12,_xll.SNL.Clients.Office.Excel.Functions.SPGOPTIONS("Curr",TearSheet!$AL$1,"NA","")))</f>
        <v>65.822475999999995</v>
      </c>
      <c r="O25" s="208" cm="1">
        <f t="array" ref="O25">IF($E25="","",_xll.SNL.Clients.Office.Excel.Functions.SPG($E25,O$8,O$9,O$12,_xll.SNL.Clients.Office.Excel.Functions.SPGOPTIONS("Curr",TearSheet!$AL$1,"NA","")))</f>
        <v>83.405893000000006</v>
      </c>
      <c r="P25" s="208" cm="1">
        <f t="array" ref="P25">IF($E25="","",_xll.SNL.Clients.Office.Excel.Functions.SPG($E25,P$8,P$9,P$12,_xll.SNL.Clients.Office.Excel.Functions.SPGOPTIONS("Curr",TearSheet!$AL$1,"NA","")))</f>
        <v>5.9563269999999999</v>
      </c>
      <c r="Q25" s="208" cm="1">
        <f t="array" ref="Q25">IF($E25="","",_xll.SNL.Clients.Office.Excel.Functions.SPG($E25,Q$8,Q$9,Q$12,_xll.SNL.Clients.Office.Excel.Functions.SPGOPTIONS("Curr",TearSheet!$AL$1,"NA","")))</f>
        <v>12.371283</v>
      </c>
      <c r="R25" s="209" cm="1">
        <f t="array" ref="R25">IF($E25="","",_xll.SNL.Clients.Office.Excel.Functions.SPG($E25,$R$8,R$12,TearSheet!$E$11,_xll.SNL.Clients.Office.Excel.Functions.SPGOPTIONS("Curr",TearSheet!$AL$1,"DataType",TearSheet!$E$23,"Src",TearSheet!$AI$40,"NA","")))</f>
        <v>3.0001682085786401</v>
      </c>
      <c r="S25" s="210" cm="1">
        <f t="array" ref="S25">IF($E25="","",_xll.SNL.Clients.Office.Excel.Functions.SPG($E25,$R$8,S$12,TearSheet!$E$11,_xll.SNL.Clients.Office.Excel.Functions.SPGOPTIONS("Curr",TearSheet!$AL$1,"DataType",TearSheet!$E$23,"Src",TearSheet!$AI$40,"NA","")))</f>
        <v>3.32</v>
      </c>
      <c r="T25" s="210" cm="1">
        <f t="array" ref="T25">IF($E25="","",_xll.SNL.Clients.Office.Excel.Functions.SPG($E25,$R$8,T$12,TearSheet!$E$11,_xll.SNL.Clients.Office.Excel.Functions.SPGOPTIONS("Curr",TearSheet!$AL$1,"DataType",TearSheet!$E$23,"Src",TearSheet!$AI$40,"NA","")))</f>
        <v>3.64</v>
      </c>
      <c r="U25" s="210" cm="1">
        <f t="array" ref="U25">IF($E25="","",_xll.SNL.Clients.Office.Excel.Functions.SPG($E25,$R$8,U$12,TearSheet!$E$11,_xll.SNL.Clients.Office.Excel.Functions.SPGOPTIONS("Curr",TearSheet!$AL$1,"DataType",TearSheet!$E$23,"Src",TearSheet!$AI$40,"NA","")))</f>
        <v>3.678435283714979</v>
      </c>
      <c r="V25" s="210" cm="1">
        <f t="array" ref="V25">IF($E25="","",_xll.SNL.Clients.Office.Excel.Functions.SPG($E25,$R$8,V$12,TearSheet!$E$11,_xll.SNL.Clients.Office.Excel.Functions.SPGOPTIONS("Curr",TearSheet!$AL$1,"DataType",TearSheet!$E$23,"Src",TearSheet!$AI$40,"NA","")))</f>
        <v>3.8597306350855658</v>
      </c>
      <c r="W25" s="211" cm="1">
        <f t="array" ref="W25">IF($E25="","",_xll.SNL.Clients.Office.Excel.Functions.SPG($E25,$R$8,W$12,TearSheet!$E$11,_xll.SNL.Clients.Office.Excel.Functions.SPGOPTIONS("Curr",TearSheet!$AL$1,"DataType",TearSheet!$E$23,"Src",TearSheet!$AI$40,"NA","")))</f>
        <v>4.2359335135282405</v>
      </c>
    </row>
    <row r="26" spans="2:27" ht="11.25" customHeight="1" x14ac:dyDescent="0.2">
      <c r="B26" s="224"/>
      <c r="C26" s="224"/>
      <c r="D26" s="224"/>
      <c r="F26" s="197"/>
      <c r="G26" s="197"/>
      <c r="H26" s="197"/>
      <c r="I26" s="198"/>
      <c r="J26" s="198"/>
      <c r="K26" s="199"/>
      <c r="L26" s="199"/>
      <c r="M26" s="199"/>
      <c r="N26" s="199"/>
      <c r="O26" s="199"/>
      <c r="P26" s="199"/>
      <c r="Q26" s="199"/>
      <c r="R26" s="56"/>
      <c r="S26" s="56"/>
      <c r="T26" s="56"/>
      <c r="U26" s="56"/>
      <c r="V26" s="56"/>
      <c r="W26" s="56"/>
    </row>
    <row r="27" spans="2:27" ht="11.25" hidden="1" customHeight="1" outlineLevel="1" x14ac:dyDescent="0.25">
      <c r="R27" s="32" t="str">
        <f>LEFT(R30,LEN(R30)-4)</f>
        <v>EBITDA, YoY</v>
      </c>
      <c r="V27" s="55"/>
      <c r="W27" s="55"/>
    </row>
    <row r="28" spans="2:27" ht="11.25" customHeight="1" collapsed="1" x14ac:dyDescent="0.25">
      <c r="B28" s="66"/>
      <c r="C28" s="67"/>
      <c r="D28" s="67"/>
      <c r="E28" s="60"/>
      <c r="F28" s="297" t="str">
        <f>"Financials ("&amp;TearSheet!AM1&amp;""&amp;TearSheet!AG33&amp;")"</f>
        <v>Financials ($M)</v>
      </c>
      <c r="G28" s="298"/>
      <c r="H28" s="298"/>
      <c r="I28" s="298"/>
      <c r="J28" s="298"/>
      <c r="K28" s="298"/>
      <c r="L28" s="298"/>
      <c r="M28" s="298"/>
      <c r="N28" s="298"/>
      <c r="O28" s="298"/>
      <c r="P28" s="298"/>
      <c r="Q28" s="299"/>
      <c r="R28" s="300" t="s">
        <v>330</v>
      </c>
      <c r="S28" s="301"/>
      <c r="T28" s="301"/>
      <c r="U28" s="301"/>
      <c r="V28" s="301"/>
      <c r="W28" s="302"/>
      <c r="Z28" s="61"/>
      <c r="AA28" s="61"/>
    </row>
    <row r="29" spans="2:27" ht="11.25" customHeight="1" x14ac:dyDescent="0.25">
      <c r="B29" s="68"/>
      <c r="C29" s="69"/>
      <c r="D29" s="234"/>
      <c r="E29" s="151"/>
      <c r="F29" s="158" t="str">
        <f>IF(MID(G29,2,1)="Q",IF(MID(G29,2,2)="Q1",LEFT(G29,2)&amp;"4"&amp;RIGHT(G29,4)-1,LEFT(G29,2)&amp;(MID(G29,3,1)-1)&amp;RIGHT(G29,4)),LEFT(G29,2)&amp;(RIGHT(G29,4)-1))</f>
        <v>FY2024</v>
      </c>
      <c r="G29" s="157" t="str">
        <f>TearSheet!$E$8</f>
        <v>FY2025</v>
      </c>
      <c r="H29" s="158" t="str">
        <f>IF(MID(G29,2,1)="Q",IF(MID(G29,2,2)="Q4",LEFT(G29,2)&amp;"1"&amp;RIGHT(G29,4)+1,LEFT(G29,2)&amp;MID(G29,3,1)+1&amp;RIGHT(G29,4)),LEFT(G29,2)&amp;RIGHT(G29,4)+1)</f>
        <v>FY2026</v>
      </c>
      <c r="I29" s="157" t="s">
        <v>216</v>
      </c>
      <c r="J29" s="158" t="s">
        <v>217</v>
      </c>
      <c r="K29" s="158" t="s">
        <v>218</v>
      </c>
      <c r="L29" s="158" t="str">
        <f>IF(MID(M29,2,1)="Q",IF(MID(M29,2,2)="Q1",LEFT(M29,2)&amp;"4"&amp;RIGHT(M29,4)-1,LEFT(M29,2)&amp;(MID(M29,3,1)-1)&amp;RIGHT(M29,4)),LEFT(M29,2)&amp;(RIGHT(M29,4)-1))</f>
        <v>FY2024</v>
      </c>
      <c r="M29" s="158" t="str">
        <f>TearSheet!$E$8</f>
        <v>FY2025</v>
      </c>
      <c r="N29" s="158" t="str">
        <f>IF(MID(M29,2,1)="Q",IF(MID(M29,2,2)="Q4",LEFT(M29,2)&amp;"1"&amp;RIGHT(M29,4)+1,LEFT(M29,2)&amp;MID(M29,3,1)+1&amp;RIGHT(M29,4)),LEFT(M29,2)&amp;RIGHT(M29,4)+1)</f>
        <v>FY2026</v>
      </c>
      <c r="O29" s="158" t="s">
        <v>216</v>
      </c>
      <c r="P29" s="158" t="s">
        <v>217</v>
      </c>
      <c r="Q29" s="158" t="s">
        <v>218</v>
      </c>
      <c r="R29" s="159" t="str">
        <f>IF(MID(S29,2,1)="Q",IF(MID(S29,2,2)="Q1",LEFT(S29,2)&amp;"4"&amp;RIGHT(S29,4)-1,LEFT(S29,2)&amp;(MID(S29,3,1)-1)&amp;RIGHT(S29,4)),LEFT(S29,2)&amp;(RIGHT(S29,4)-1))</f>
        <v>FY2024</v>
      </c>
      <c r="S29" s="158" t="str">
        <f>TearSheet!$E$8</f>
        <v>FY2025</v>
      </c>
      <c r="T29" s="159" t="str">
        <f>IF(MID(S29,2,1)="Q",IF(MID(S29,2,2)="Q4",LEFT(S29,2)&amp;"1"&amp;RIGHT(S29,4)+1,LEFT(S29,2)&amp;MID(S29,3,1)+1&amp;RIGHT(S29,4)),LEFT(S29,2)&amp;RIGHT(S29,4)+1)</f>
        <v>FY2026</v>
      </c>
      <c r="U29" s="159" t="s">
        <v>216</v>
      </c>
      <c r="V29" s="159" t="s">
        <v>217</v>
      </c>
      <c r="W29" s="159" t="s">
        <v>218</v>
      </c>
      <c r="Z29" s="61"/>
      <c r="AA29" s="61"/>
    </row>
    <row r="30" spans="2:27" ht="11.25" customHeight="1" x14ac:dyDescent="0.25">
      <c r="B30" s="68" t="s">
        <v>206</v>
      </c>
      <c r="C30" s="69"/>
      <c r="D30" s="235" t="s">
        <v>463</v>
      </c>
      <c r="E30" s="65" t="s">
        <v>207</v>
      </c>
      <c r="F30" s="286" t="s">
        <v>149</v>
      </c>
      <c r="G30" s="287"/>
      <c r="H30" s="287"/>
      <c r="I30" s="287"/>
      <c r="J30" s="287"/>
      <c r="K30" s="288"/>
      <c r="L30" s="286" t="s">
        <v>38</v>
      </c>
      <c r="M30" s="287"/>
      <c r="N30" s="287"/>
      <c r="O30" s="287"/>
      <c r="P30" s="287"/>
      <c r="Q30" s="288"/>
      <c r="R30" s="286" t="s">
        <v>246</v>
      </c>
      <c r="S30" s="287"/>
      <c r="T30" s="287"/>
      <c r="U30" s="287"/>
      <c r="V30" s="287"/>
      <c r="W30" s="288"/>
      <c r="Z30" s="61"/>
    </row>
    <row r="31" spans="2:27" ht="11.25" customHeight="1" x14ac:dyDescent="0.2">
      <c r="B31" s="92" t="str">
        <f t="shared" ref="B31:B43" si="2">IF($B13="","",$B13)</f>
        <v>Alphabet Inc.</v>
      </c>
      <c r="C31" s="70"/>
      <c r="D31" s="225" t="str">
        <f>IF(D13="","",D13)</f>
        <v/>
      </c>
      <c r="E31" s="95" t="str">
        <f>IF(D31&lt;&gt;"",D31,IF(AA13="","",AA13))</f>
        <v>NASDAQGS:GOOGL</v>
      </c>
      <c r="F31" s="106" cm="1">
        <f t="array" ref="F31">IF($E31="","",_xll.SNL.Clients.Office.Excel.Functions.SPG($E31,$F$30,F$29,TearSheet!$E$11,_xll.SNL.Clients.Office.Excel.Functions.SPGOPTIONS("Curr",TearSheet!$AL$1,"Mag",TearSheet!$AG$33,"DataType",TearSheet!$E$23,"Src",TearSheet!$AI$40,"NA","")))</f>
        <v>350018</v>
      </c>
      <c r="G31" s="107" cm="1">
        <f t="array" ref="G31">IF($E31="","",_xll.SNL.Clients.Office.Excel.Functions.SPG($E31,$F$30,G$29,TearSheet!$E$11,_xll.SNL.Clients.Office.Excel.Functions.SPGOPTIONS("Curr",TearSheet!$AL$1,"Mag",TearSheet!$AG$33,"DataType",TearSheet!$E$23,"Src",TearSheet!$AI$40,"NA","")))</f>
        <v>402836</v>
      </c>
      <c r="H31" s="107" cm="1">
        <f t="array" ref="H31">IF($E31="","",_xll.SNL.Clients.Office.Excel.Functions.SPG($E31,$F$30,H$29,TearSheet!$E$11,_xll.SNL.Clients.Office.Excel.Functions.SPGOPTIONS("Curr",TearSheet!$AL$1,"Mag",TearSheet!$AG$33,"DataType",TearSheet!$E$23,"Src",TearSheet!$AI$40,"NA","")))</f>
        <v>499602.76554894977</v>
      </c>
      <c r="I31" s="107" cm="1">
        <f t="array" ref="I31">IF($E31="","",_xll.SNL.Clients.Office.Excel.Functions.SPG($E31,$F$30,I$29,TearSheet!$E$11,_xll.SNL.Clients.Office.Excel.Functions.SPGOPTIONS("Curr",TearSheet!$AL$1,"Mag",TearSheet!$AG$33,"DataType",TearSheet!$E$23,"Src",TearSheet!$AI$40,"NA","")))</f>
        <v>478923.84030835232</v>
      </c>
      <c r="J31" s="107" cm="1">
        <f t="array" ref="J31">IF($E31="","",_xll.SNL.Clients.Office.Excel.Functions.SPG($E31,$F$30,J$29,TearSheet!$E$11,_xll.SNL.Clients.Office.Excel.Functions.SPGOPTIONS("Curr",TearSheet!$AL$1,"Mag",TearSheet!$AG$33,"DataType",TearSheet!$E$23,"Src",TearSheet!$AI$40,"NA","")))</f>
        <v>594342.07110739325</v>
      </c>
      <c r="K31" s="153" cm="1">
        <f t="array" ref="K31">IF($E31="","",_xll.SNL.Clients.Office.Excel.Functions.SPG($E31,$F$30,K$29,TearSheet!$E$11,_xll.SNL.Clients.Office.Excel.Functions.SPGOPTIONS("Curr",TearSheet!$AL$1,"Mag",TearSheet!$AG$33,"DataType",TearSheet!$E$23,"Src",TearSheet!$AI$40,"NA","")))</f>
        <v>718206.21612770739</v>
      </c>
      <c r="L31" s="108" cm="1">
        <f t="array" ref="L31">IF($E31="","",_xll.SNL.Clients.Office.Excel.Functions.SPG($E31,$L$30,L$29,TearSheet!$E$11,_xll.SNL.Clients.Office.Excel.Functions.SPGOPTIONS("Curr",TearSheet!$AL$1,"Mag",TearSheet!$AG$33,"DataType",TearSheet!$E$23,"Src",TearSheet!$AI$40,"NA","")))</f>
        <v>207352.84659086287</v>
      </c>
      <c r="M31" s="109" cm="1">
        <f t="array" ref="M31">IF($E31="","",_xll.SNL.Clients.Office.Excel.Functions.SPG($E31,$L$30,M$29,TearSheet!$E$11,_xll.SNL.Clients.Office.Excel.Functions.SPGOPTIONS("Curr",TearSheet!$AL$1,"Mag",TearSheet!$AG$33,"DataType",TearSheet!$E$23,"Src",TearSheet!$AI$40,"NA","")))</f>
        <v>244210.17183708114</v>
      </c>
      <c r="N31" s="109" cm="1">
        <f t="array" ref="N31">IF($E31="","",_xll.SNL.Clients.Office.Excel.Functions.SPG($E31,$L$30,N$29,TearSheet!$E$11,_xll.SNL.Clients.Office.Excel.Functions.SPGOPTIONS("Curr",TearSheet!$AL$1,"Mag",TearSheet!$AG$33,"DataType",TearSheet!$E$23,"Src",TearSheet!$AI$40,"NA","")))</f>
        <v>307956.52126346761</v>
      </c>
      <c r="O31" s="109" cm="1">
        <f t="array" ref="O31">IF($E31="","",_xll.SNL.Clients.Office.Excel.Functions.SPG($E31,$L$30,O$29,TearSheet!$E$11,_xll.SNL.Clients.Office.Excel.Functions.SPGOPTIONS("Curr",TearSheet!$AL$1,"Mag",TearSheet!$AG$33,"DataType",TearSheet!$E$23,"Src",TearSheet!$AI$40,"NA","")))</f>
        <v>294334.01371481508</v>
      </c>
      <c r="P31" s="109" cm="1">
        <f t="array" ref="P31">IF($E31="","",_xll.SNL.Clients.Office.Excel.Functions.SPG($E31,$L$30,P$29,TearSheet!$E$11,_xll.SNL.Clients.Office.Excel.Functions.SPGOPTIONS("Curr",TearSheet!$AL$1,"Mag",TearSheet!$AG$33,"DataType",TearSheet!$E$23,"Src",TearSheet!$AI$40,"NA","")))</f>
        <v>367703.30952393147</v>
      </c>
      <c r="Q31" s="109" cm="1">
        <f t="array" ref="Q31">IF($E31="","",_xll.SNL.Clients.Office.Excel.Functions.SPG($E31,$L$30,Q$29,TearSheet!$E$11,_xll.SNL.Clients.Office.Excel.Functions.SPGOPTIONS("Curr",TearSheet!$AL$1,"Mag",TearSheet!$AG$33,"DataType",TearSheet!$E$23,"Src",TearSheet!$AI$40,"NA","")))</f>
        <v>442932.32016052422</v>
      </c>
      <c r="R31" s="110" cm="1">
        <f t="array" ref="R31">IF($E31="","",_xll.SNL.Clients.Office.Excel.Functions.SPG($E31,$R$27,R$29,TearSheet!$E$11,_xll.SNL.Clients.Office.Excel.Functions.SPGOPTIONS("DataType",TearSheet!$E$23,"Src",TearSheet!$AI$40,"NA","")))</f>
        <v>24.93441370836516</v>
      </c>
      <c r="S31" s="111" cm="1">
        <f t="array" ref="S31">IF($E31="","",_xll.SNL.Clients.Office.Excel.Functions.SPG($E31,$R$27,S$29,TearSheet!$E$11,_xll.SNL.Clients.Office.Excel.Functions.SPGOPTIONS("DataType",TearSheet!$E$23,"Src",TearSheet!$AI$40,"NA","")))</f>
        <v>16.374945177624497</v>
      </c>
      <c r="T31" s="111" cm="1">
        <f t="array" ref="T31">IF($E31="","",_xll.SNL.Clients.Office.Excel.Functions.SPG($E31,$R$27,T$29,TearSheet!$E$11,_xll.SNL.Clients.Office.Excel.Functions.SPGOPTIONS("DataType",TearSheet!$E$23,"Src",TearSheet!$AI$40,"NA","")))</f>
        <v>33.841303521293838</v>
      </c>
      <c r="U31" s="111" cm="1">
        <f t="array" ref="U31">IF($E31="","",_xll.SNL.Clients.Office.Excel.Functions.SPG($E31,$R$27,U$29,TearSheet!$E$11,_xll.SNL.Clients.Office.Excel.Functions.SPGOPTIONS("DataType",TearSheet!$E$23,"Src",TearSheet!$AI$40,"NA","")))</f>
        <v>30.108766669769977</v>
      </c>
      <c r="V31" s="111" cm="1">
        <f t="array" ref="V31">IF($E31="","",_xll.SNL.Clients.Office.Excel.Functions.SPG($E31,$R$27,V$29,TearSheet!$E$11,_xll.SNL.Clients.Office.Excel.Functions.SPGOPTIONS("DataType",TearSheet!$E$23,"Src",TearSheet!$AI$40,"NA","")))</f>
        <v>32.623317623536842</v>
      </c>
      <c r="W31" s="113" cm="1">
        <f t="array" ref="W31">IF($E31="","",_xll.SNL.Clients.Office.Excel.Functions.SPG($E31,$R$27,W$29,TearSheet!$E$11,_xll.SNL.Clients.Office.Excel.Functions.SPGOPTIONS("DataType",TearSheet!$E$23,"Src",TearSheet!$AI$40,"NA","")))</f>
        <v>27.456925325749118</v>
      </c>
      <c r="Z31" s="41"/>
    </row>
    <row r="32" spans="2:27" ht="11.25" customHeight="1" x14ac:dyDescent="0.2">
      <c r="B32" s="92" t="str">
        <f t="shared" si="2"/>
        <v>Oracle Corporation</v>
      </c>
      <c r="C32" s="70"/>
      <c r="D32" s="225" t="str">
        <f t="shared" ref="D32:D42" si="3">IF(D14="","",D14)</f>
        <v/>
      </c>
      <c r="E32" s="94" t="str">
        <f t="shared" ref="E32:E42" si="4">IF(D32&lt;&gt;"",D32,IF(AA14="","",AA14))</f>
        <v>NYSE:ORCL</v>
      </c>
      <c r="F32" s="108" cm="1">
        <f t="array" ref="F32">IF($E32="","",_xll.SNL.Clients.Office.Excel.Functions.SPG($E32,$F$30,F$29,TearSheet!$E$11,_xll.SNL.Clients.Office.Excel.Functions.SPGOPTIONS("Curr",TearSheet!$AL$1,"Mag",TearSheet!$AG$33,"DataType",TearSheet!$E$23,"Src",TearSheet!$AI$40,"NA","")))</f>
        <v>52961</v>
      </c>
      <c r="G32" s="109" cm="1">
        <f t="array" ref="G32">IF($E32="","",_xll.SNL.Clients.Office.Excel.Functions.SPG($E32,$F$30,G$29,TearSheet!$E$11,_xll.SNL.Clients.Office.Excel.Functions.SPGOPTIONS("Curr",TearSheet!$AL$1,"Mag",TearSheet!$AG$33,"DataType",TearSheet!$E$23,"Src",TearSheet!$AI$40,"NA","")))</f>
        <v>57399</v>
      </c>
      <c r="H32" s="109" cm="1">
        <f t="array" ref="H32">IF($E32="","",_xll.SNL.Clients.Office.Excel.Functions.SPG($E32,$F$30,H$29,TearSheet!$E$11,_xll.SNL.Clients.Office.Excel.Functions.SPGOPTIONS("Curr",TearSheet!$AL$1,"Mag",TearSheet!$AG$33,"DataType",TearSheet!$E$23,"Src",TearSheet!$AI$40,"NA","")))</f>
        <v>67358</v>
      </c>
      <c r="I32" s="109" cm="1">
        <f t="array" ref="I32">IF($E32="","",_xll.SNL.Clients.Office.Excel.Functions.SPG($E32,$F$30,I$29,TearSheet!$E$11,_xll.SNL.Clients.Office.Excel.Functions.SPGOPTIONS("Curr",TearSheet!$AL$1,"Mag",TearSheet!$AG$33,"DataType",TearSheet!$E$23,"Src",TearSheet!$AI$40,"NA","")))</f>
        <v>75942.060803506407</v>
      </c>
      <c r="J32" s="109" cm="1">
        <f t="array" ref="J32">IF($E32="","",_xll.SNL.Clients.Office.Excel.Functions.SPG($E32,$F$30,J$29,TearSheet!$E$11,_xll.SNL.Clients.Office.Excel.Functions.SPGOPTIONS("Curr",TearSheet!$AL$1,"Mag",TearSheet!$AG$33,"DataType",TearSheet!$E$23,"Src",TearSheet!$AI$40,"NA","")))</f>
        <v>105656.5232641074</v>
      </c>
      <c r="K32" s="154" cm="1">
        <f t="array" ref="K32">IF($E32="","",_xll.SNL.Clients.Office.Excel.Functions.SPG($E32,$F$30,K$29,TearSheet!$E$11,_xll.SNL.Clients.Office.Excel.Functions.SPGOPTIONS("Curr",TearSheet!$AL$1,"Mag",TearSheet!$AG$33,"DataType",TearSheet!$E$23,"Src",TearSheet!$AI$40,"NA","")))</f>
        <v>150584.25628530429</v>
      </c>
      <c r="L32" s="108" cm="1">
        <f t="array" ref="L32">IF($E32="","",_xll.SNL.Clients.Office.Excel.Functions.SPG($E32,$L$30,L$29,TearSheet!$E$11,_xll.SNL.Clients.Office.Excel.Functions.SPGOPTIONS("Curr",TearSheet!$AL$1,"Mag",TearSheet!$AG$33,"DataType",TearSheet!$E$23,"Src",TearSheet!$AI$40,"NA","")))</f>
        <v>38536</v>
      </c>
      <c r="M32" s="109" cm="1">
        <f t="array" ref="M32">IF($E32="","",_xll.SNL.Clients.Office.Excel.Functions.SPG($E32,$L$30,M$29,TearSheet!$E$11,_xll.SNL.Clients.Office.Excel.Functions.SPGOPTIONS("Curr",TearSheet!$AL$1,"Mag",TearSheet!$AG$33,"DataType",TearSheet!$E$23,"Src",TearSheet!$AI$40,"NA","")))</f>
        <v>41313</v>
      </c>
      <c r="N32" s="109" cm="1">
        <f t="array" ref="N32">IF($E32="","",_xll.SNL.Clients.Office.Excel.Functions.SPG($E32,$L$30,N$29,TearSheet!$E$11,_xll.SNL.Clients.Office.Excel.Functions.SPGOPTIONS("Curr",TearSheet!$AL$1,"Mag",TearSheet!$AG$33,"DataType",TearSheet!$E$23,"Src",TearSheet!$AI$40,"NA","")))</f>
        <v>45196</v>
      </c>
      <c r="O32" s="109" cm="1">
        <f t="array" ref="O32">IF($E32="","",_xll.SNL.Clients.Office.Excel.Functions.SPG($E32,$L$30,O$29,TearSheet!$E$11,_xll.SNL.Clients.Office.Excel.Functions.SPGOPTIONS("Curr",TearSheet!$AL$1,"Mag",TearSheet!$AG$33,"DataType",TearSheet!$E$23,"Src",TearSheet!$AI$40,"NA","")))</f>
        <v>48029.327696225599</v>
      </c>
      <c r="P32" s="109" cm="1">
        <f t="array" ref="P32">IF($E32="","",_xll.SNL.Clients.Office.Excel.Functions.SPG($E32,$L$30,P$29,TearSheet!$E$11,_xll.SNL.Clients.Office.Excel.Functions.SPGOPTIONS("Curr",TearSheet!$AL$1,"Mag",TearSheet!$AG$33,"DataType",TearSheet!$E$23,"Src",TearSheet!$AI$40,"NA","")))</f>
        <v>58883.623509511373</v>
      </c>
      <c r="Q32" s="109" cm="1">
        <f t="array" ref="Q32">IF($E32="","",_xll.SNL.Clients.Office.Excel.Functions.SPG($E32,$L$30,Q$29,TearSheet!$E$11,_xll.SNL.Clients.Office.Excel.Functions.SPGOPTIONS("Curr",TearSheet!$AL$1,"Mag",TearSheet!$AG$33,"DataType",TearSheet!$E$23,"Src",TearSheet!$AI$40,"NA","")))</f>
        <v>76448.390383099293</v>
      </c>
      <c r="R32" s="110" cm="1">
        <f t="array" ref="R32">IF($E32="","",_xll.SNL.Clients.Office.Excel.Functions.SPG($E32,$R$27,R$29,TearSheet!$E$11,_xll.SNL.Clients.Office.Excel.Functions.SPGOPTIONS("DataType",TearSheet!$E$23,"Src",TearSheet!$AI$40,"NA","")))</f>
        <v>11.749893299189074</v>
      </c>
      <c r="S32" s="111" cm="1">
        <f t="array" ref="S32">IF($E32="","",_xll.SNL.Clients.Office.Excel.Functions.SPG($E32,$R$27,S$29,TearSheet!$E$11,_xll.SNL.Clients.Office.Excel.Functions.SPGOPTIONS("DataType",TearSheet!$E$23,"Src",TearSheet!$AI$40,"NA","")))</f>
        <v>10.384600695107514</v>
      </c>
      <c r="T32" s="111" cm="1">
        <f t="array" ref="T32">IF($E32="","",_xll.SNL.Clients.Office.Excel.Functions.SPG($E32,$R$27,T$29,TearSheet!$E$11,_xll.SNL.Clients.Office.Excel.Functions.SPGOPTIONS("DataType",TearSheet!$E$23,"Src",TearSheet!$AI$40,"NA","")))</f>
        <v>26.459292066018477</v>
      </c>
      <c r="U32" s="111" cm="1">
        <f t="array" ref="U32">IF($E32="","",_xll.SNL.Clients.Office.Excel.Functions.SPG($E32,$R$27,U$29,TearSheet!$E$11,_xll.SNL.Clients.Office.Excel.Functions.SPGOPTIONS("DataType",TearSheet!$E$23,"Src",TearSheet!$AI$40,"NA","")))</f>
        <v>32.378232555677457</v>
      </c>
      <c r="V32" s="111" cm="1">
        <f t="array" ref="V32">IF($E32="","",_xll.SNL.Clients.Office.Excel.Functions.SPG($E32,$R$27,V$29,TearSheet!$E$11,_xll.SNL.Clients.Office.Excel.Functions.SPGOPTIONS("DataType",TearSheet!$E$23,"Src",TearSheet!$AI$40,"NA","")))</f>
        <v>42.21171842672004</v>
      </c>
      <c r="W32" s="115" cm="1">
        <f t="array" ref="W32">IF($E32="","",_xll.SNL.Clients.Office.Excel.Functions.SPG($E32,$R$27,W$29,TearSheet!$E$11,_xll.SNL.Clients.Office.Excel.Functions.SPGOPTIONS("DataType",TearSheet!$E$23,"Src",TearSheet!$AI$40,"NA","")))</f>
        <v>40.329503442244217</v>
      </c>
      <c r="Z32" s="41"/>
    </row>
    <row r="33" spans="2:26" ht="11.25" customHeight="1" x14ac:dyDescent="0.2">
      <c r="B33" s="92" t="str">
        <f t="shared" si="2"/>
        <v>Apple Inc.</v>
      </c>
      <c r="C33" s="70"/>
      <c r="D33" s="225" t="str">
        <f t="shared" si="3"/>
        <v/>
      </c>
      <c r="E33" s="94" t="str">
        <f t="shared" si="4"/>
        <v>NASDAQGS:AAPL</v>
      </c>
      <c r="F33" s="108" cm="1">
        <f t="array" ref="F33">IF($E33="","",_xll.SNL.Clients.Office.Excel.Functions.SPG($E33,$F$30,F$29,TearSheet!$E$11,_xll.SNL.Clients.Office.Excel.Functions.SPGOPTIONS("Curr",TearSheet!$AL$1,"Mag",TearSheet!$AG$33,"DataType",TearSheet!$E$23,"Src",TearSheet!$AI$40,"NA","")))</f>
        <v>391035</v>
      </c>
      <c r="G33" s="109" cm="1">
        <f t="array" ref="G33">IF($E33="","",_xll.SNL.Clients.Office.Excel.Functions.SPG($E33,$F$30,G$29,TearSheet!$E$11,_xll.SNL.Clients.Office.Excel.Functions.SPGOPTIONS("Curr",TearSheet!$AL$1,"Mag",TearSheet!$AG$33,"DataType",TearSheet!$E$23,"Src",TearSheet!$AI$40,"NA","")))</f>
        <v>416161</v>
      </c>
      <c r="H33" s="109" cm="1">
        <f t="array" ref="H33">IF($E33="","",_xll.SNL.Clients.Office.Excel.Functions.SPG($E33,$F$30,H$29,TearSheet!$E$11,_xll.SNL.Clients.Office.Excel.Functions.SPGOPTIONS("Curr",TearSheet!$AL$1,"Mag",TearSheet!$AG$33,"DataType",TearSheet!$E$23,"Src",TearSheet!$AI$40,"NA","")))</f>
        <v>477391.32657671219</v>
      </c>
      <c r="I33" s="109" cm="1">
        <f t="array" ref="I33">IF($E33="","",_xll.SNL.Clients.Office.Excel.Functions.SPG($E33,$F$30,I$29,TearSheet!$E$11,_xll.SNL.Clients.Office.Excel.Functions.SPGOPTIONS("Curr",TearSheet!$AL$1,"Mag",TearSheet!$AG$33,"DataType",TearSheet!$E$23,"Src",TearSheet!$AI$40,"NA","")))</f>
        <v>479227.95400435652</v>
      </c>
      <c r="J33" s="109" cm="1">
        <f t="array" ref="J33">IF($E33="","",_xll.SNL.Clients.Office.Excel.Functions.SPG($E33,$F$30,J$29,TearSheet!$E$11,_xll.SNL.Clients.Office.Excel.Functions.SPGOPTIONS("Curr",TearSheet!$AL$1,"Mag",TearSheet!$AG$33,"DataType",TearSheet!$E$23,"Src",TearSheet!$AI$40,"NA","")))</f>
        <v>526748.99579947512</v>
      </c>
      <c r="K33" s="154" cm="1">
        <f t="array" ref="K33">IF($E33="","",_xll.SNL.Clients.Office.Excel.Functions.SPG($E33,$F$30,K$29,TearSheet!$E$11,_xll.SNL.Clients.Office.Excel.Functions.SPGOPTIONS("Curr",TearSheet!$AL$1,"Mag",TearSheet!$AG$33,"DataType",TearSheet!$E$23,"Src",TearSheet!$AI$40,"NA","")))</f>
        <v>564777.6690488701</v>
      </c>
      <c r="L33" s="108" cm="1">
        <f t="array" ref="L33">IF($E33="","",_xll.SNL.Clients.Office.Excel.Functions.SPG($E33,$L$30,L$29,TearSheet!$E$11,_xll.SNL.Clients.Office.Excel.Functions.SPGOPTIONS("Curr",TearSheet!$AL$1,"Mag",TearSheet!$AG$33,"DataType",TearSheet!$E$23,"Src",TearSheet!$AI$40,"NA","")))</f>
        <v>180683</v>
      </c>
      <c r="M33" s="109" cm="1">
        <f t="array" ref="M33">IF($E33="","",_xll.SNL.Clients.Office.Excel.Functions.SPG($E33,$L$30,M$29,TearSheet!$E$11,_xll.SNL.Clients.Office.Excel.Functions.SPGOPTIONS("Curr",TearSheet!$AL$1,"Mag",TearSheet!$AG$33,"DataType",TearSheet!$E$23,"Src",TearSheet!$AI$40,"NA","")))</f>
        <v>195201</v>
      </c>
      <c r="N33" s="109" cm="1">
        <f t="array" ref="N33">IF($E33="","",_xll.SNL.Clients.Office.Excel.Functions.SPG($E33,$L$30,N$29,TearSheet!$E$11,_xll.SNL.Clients.Office.Excel.Functions.SPGOPTIONS("Curr",TearSheet!$AL$1,"Mag",TearSheet!$AG$33,"DataType",TearSheet!$E$23,"Src",TearSheet!$AI$40,"NA","")))</f>
        <v>232333.06565239397</v>
      </c>
      <c r="O33" s="109" cm="1">
        <f t="array" ref="O33">IF($E33="","",_xll.SNL.Clients.Office.Excel.Functions.SPG($E33,$L$30,O$29,TearSheet!$E$11,_xll.SNL.Clients.Office.Excel.Functions.SPGOPTIONS("Curr",TearSheet!$AL$1,"Mag",TearSheet!$AG$33,"DataType",TearSheet!$E$23,"Src",TearSheet!$AI$40,"NA","")))</f>
        <v>232966.78893399338</v>
      </c>
      <c r="P33" s="109" cm="1">
        <f t="array" ref="P33">IF($E33="","",_xll.SNL.Clients.Office.Excel.Functions.SPG($E33,$L$30,P$29,TearSheet!$E$11,_xll.SNL.Clients.Office.Excel.Functions.SPGOPTIONS("Curr",TearSheet!$AL$1,"Mag",TearSheet!$AG$33,"DataType",TearSheet!$E$23,"Src",TearSheet!$AI$40,"NA","")))</f>
        <v>249705.36433698074</v>
      </c>
      <c r="Q33" s="109" cm="1">
        <f t="array" ref="Q33">IF($E33="","",_xll.SNL.Clients.Office.Excel.Functions.SPG($E33,$L$30,Q$29,TearSheet!$E$11,_xll.SNL.Clients.Office.Excel.Functions.SPGOPTIONS("Curr",TearSheet!$AL$1,"Mag",TearSheet!$AG$33,"DataType",TearSheet!$E$23,"Src",TearSheet!$AI$40,"NA","")))</f>
        <v>271545.43734706455</v>
      </c>
      <c r="R33" s="110" cm="1">
        <f t="array" ref="R33">IF($E33="","",_xll.SNL.Clients.Office.Excel.Functions.SPG($E33,$R$27,R$29,TearSheet!$E$11,_xll.SNL.Clients.Office.Excel.Functions.SPGOPTIONS("DataType",TearSheet!$E$23,"Src",TearSheet!$AI$40,"NA","")))</f>
        <v>7.0267048164043873</v>
      </c>
      <c r="S33" s="111" cm="1">
        <f t="array" ref="S33">IF($E33="","",_xll.SNL.Clients.Office.Excel.Functions.SPG($E33,$R$27,S$29,TearSheet!$E$11,_xll.SNL.Clients.Office.Excel.Functions.SPGOPTIONS("DataType",TearSheet!$E$23,"Src",TearSheet!$AI$40,"NA","")))</f>
        <v>7.4906617357661087</v>
      </c>
      <c r="T33" s="111" cm="1">
        <f t="array" ref="T33">IF($E33="","",_xll.SNL.Clients.Office.Excel.Functions.SPG($E33,$R$27,T$29,TearSheet!$E$11,_xll.SNL.Clients.Office.Excel.Functions.SPGOPTIONS("DataType",TearSheet!$E$23,"Src",TearSheet!$AI$40,"NA","")))</f>
        <v>13.347119651658858</v>
      </c>
      <c r="U33" s="111" cm="1">
        <f t="array" ref="U33">IF($E33="","",_xll.SNL.Clients.Office.Excel.Functions.SPG($E33,$R$27,U$29,TearSheet!$E$11,_xll.SNL.Clients.Office.Excel.Functions.SPGOPTIONS("DataType",TearSheet!$E$23,"Src",TearSheet!$AI$40,"NA","")))</f>
        <v>13.037844915903634</v>
      </c>
      <c r="V33" s="111" cm="1">
        <f t="array" ref="V33">IF($E33="","",_xll.SNL.Clients.Office.Excel.Functions.SPG($E33,$R$27,V$29,TearSheet!$E$11,_xll.SNL.Clients.Office.Excel.Functions.SPGOPTIONS("DataType",TearSheet!$E$23,"Src",TearSheet!$AI$40,"NA","")))</f>
        <v>5.4216376434610654</v>
      </c>
      <c r="W33" s="115" cm="1">
        <f t="array" ref="W33">IF($E33="","",_xll.SNL.Clients.Office.Excel.Functions.SPG($E33,$R$27,W$29,TearSheet!$E$11,_xll.SNL.Clients.Office.Excel.Functions.SPGOPTIONS("DataType",TearSheet!$E$23,"Src",TearSheet!$AI$40,"NA","")))</f>
        <v>8.7675521092511666</v>
      </c>
      <c r="Z33" s="41"/>
    </row>
    <row r="34" spans="2:26" ht="11.25" customHeight="1" x14ac:dyDescent="0.2">
      <c r="B34" s="92" t="str">
        <f t="shared" si="2"/>
        <v>NVIDIA Corporation</v>
      </c>
      <c r="C34" s="70"/>
      <c r="D34" s="225" t="str">
        <f t="shared" si="3"/>
        <v/>
      </c>
      <c r="E34" s="94" t="str">
        <f t="shared" si="4"/>
        <v>NASDAQGS:NVDA</v>
      </c>
      <c r="F34" s="108" cm="1">
        <f t="array" ref="F34">IF($E34="","",_xll.SNL.Clients.Office.Excel.Functions.SPG($E34,$F$30,F$29,TearSheet!$E$11,_xll.SNL.Clients.Office.Excel.Functions.SPGOPTIONS("Curr",TearSheet!$AL$1,"Mag",TearSheet!$AG$33,"DataType",TearSheet!$E$23,"Src",TearSheet!$AI$40,"NA","")))</f>
        <v>60922</v>
      </c>
      <c r="G34" s="109" cm="1">
        <f t="array" ref="G34">IF($E34="","",_xll.SNL.Clients.Office.Excel.Functions.SPG($E34,$F$30,G$29,TearSheet!$E$11,_xll.SNL.Clients.Office.Excel.Functions.SPGOPTIONS("Curr",TearSheet!$AL$1,"Mag",TearSheet!$AG$33,"DataType",TearSheet!$E$23,"Src",TearSheet!$AI$40,"NA","")))</f>
        <v>130497</v>
      </c>
      <c r="H34" s="109" cm="1">
        <f t="array" ref="H34">IF($E34="","",_xll.SNL.Clients.Office.Excel.Functions.SPG($E34,$F$30,H$29,TearSheet!$E$11,_xll.SNL.Clients.Office.Excel.Functions.SPGOPTIONS("Curr",TearSheet!$AL$1,"Mag",TearSheet!$AG$33,"DataType",TearSheet!$E$23,"Src",TearSheet!$AI$40,"NA","")))</f>
        <v>215938</v>
      </c>
      <c r="I34" s="109" cm="1">
        <f t="array" ref="I34">IF($E34="","",_xll.SNL.Clients.Office.Excel.Functions.SPG($E34,$F$30,I$29,TearSheet!$E$11,_xll.SNL.Clients.Office.Excel.Functions.SPGOPTIONS("Curr",TearSheet!$AL$1,"Mag",TearSheet!$AG$33,"DataType",TearSheet!$E$23,"Src",TearSheet!$AI$40,"NA","")))</f>
        <v>352727.94187263615</v>
      </c>
      <c r="J34" s="109" cm="1">
        <f t="array" ref="J34">IF($E34="","",_xll.SNL.Clients.Office.Excel.Functions.SPG($E34,$F$30,J$29,TearSheet!$E$11,_xll.SNL.Clients.Office.Excel.Functions.SPGOPTIONS("Curr",TearSheet!$AL$1,"Mag",TearSheet!$AG$33,"DataType",TearSheet!$E$23,"Src",TearSheet!$AI$40,"NA","")))</f>
        <v>612580.98434137052</v>
      </c>
      <c r="K34" s="154" cm="1">
        <f t="array" ref="K34">IF($E34="","",_xll.SNL.Clients.Office.Excel.Functions.SPG($E34,$F$30,K$29,TearSheet!$E$11,_xll.SNL.Clients.Office.Excel.Functions.SPGOPTIONS("Curr",TearSheet!$AL$1,"Mag",TearSheet!$AG$33,"DataType",TearSheet!$E$23,"Src",TearSheet!$AI$40,"NA","")))</f>
        <v>850045.43443992129</v>
      </c>
      <c r="L34" s="108" cm="1">
        <f t="array" ref="L34">IF($E34="","",_xll.SNL.Clients.Office.Excel.Functions.SPG($E34,$L$30,L$29,TearSheet!$E$11,_xll.SNL.Clients.Office.Excel.Functions.SPGOPTIONS("Curr",TearSheet!$AL$1,"Mag",TearSheet!$AG$33,"DataType",TearSheet!$E$23,"Src",TearSheet!$AI$40,"NA","")))</f>
        <v>44958</v>
      </c>
      <c r="M34" s="109" cm="1">
        <f t="array" ref="M34">IF($E34="","",_xll.SNL.Clients.Office.Excel.Functions.SPG($E34,$L$30,M$29,TearSheet!$E$11,_xll.SNL.Clients.Office.Excel.Functions.SPGOPTIONS("Curr",TearSheet!$AL$1,"Mag",TearSheet!$AG$33,"DataType",TearSheet!$E$23,"Src",TearSheet!$AI$40,"NA","")))</f>
        <v>98505</v>
      </c>
      <c r="N34" s="109" cm="1">
        <f t="array" ref="N34">IF($E34="","",_xll.SNL.Clients.Office.Excel.Functions.SPG($E34,$L$30,N$29,TearSheet!$E$11,_xll.SNL.Clients.Office.Excel.Functions.SPGOPTIONS("Curr",TearSheet!$AL$1,"Mag",TearSheet!$AG$33,"DataType",TearSheet!$E$23,"Src",TearSheet!$AI$40,"NA","")))</f>
        <v>153994</v>
      </c>
      <c r="O34" s="109" cm="1">
        <f t="array" ref="O34">IF($E34="","",_xll.SNL.Clients.Office.Excel.Functions.SPG($E34,$L$30,O$29,TearSheet!$E$11,_xll.SNL.Clients.Office.Excel.Functions.SPGOPTIONS("Curr",TearSheet!$AL$1,"Mag",TearSheet!$AG$33,"DataType",TearSheet!$E$23,"Src",TearSheet!$AI$40,"NA","")))</f>
        <v>258748.26467216029</v>
      </c>
      <c r="P34" s="109" cm="1">
        <f t="array" ref="P34">IF($E34="","",_xll.SNL.Clients.Office.Excel.Functions.SPG($E34,$L$30,P$29,TearSheet!$E$11,_xll.SNL.Clients.Office.Excel.Functions.SPGOPTIONS("Curr",TearSheet!$AL$1,"Mag",TearSheet!$AG$33,"DataType",TearSheet!$E$23,"Src",TearSheet!$AI$40,"NA","")))</f>
        <v>445701.41503190604</v>
      </c>
      <c r="Q34" s="109" cm="1">
        <f t="array" ref="Q34">IF($E34="","",_xll.SNL.Clients.Office.Excel.Functions.SPG($E34,$L$30,Q$29,TearSheet!$E$11,_xll.SNL.Clients.Office.Excel.Functions.SPGOPTIONS("Curr",TearSheet!$AL$1,"Mag",TearSheet!$AG$33,"DataType",TearSheet!$E$23,"Src",TearSheet!$AI$40,"NA","")))</f>
        <v>618182.43752262671</v>
      </c>
      <c r="R34" s="110" cm="1">
        <f t="array" ref="R34">IF($E34="","",_xll.SNL.Clients.Office.Excel.Functions.SPG($E34,$R$27,R$29,TearSheet!$E$11,_xll.SNL.Clients.Office.Excel.Functions.SPGOPTIONS("DataType",TearSheet!$E$23,"Src",TearSheet!$AI$40,"NA","")))</f>
        <v>265.09826152683297</v>
      </c>
      <c r="S34" s="111" cm="1">
        <f t="array" ref="S34">IF($E34="","",_xll.SNL.Clients.Office.Excel.Functions.SPG($E34,$R$27,S$29,TearSheet!$E$11,_xll.SNL.Clients.Office.Excel.Functions.SPGOPTIONS("DataType",TearSheet!$E$23,"Src",TearSheet!$AI$40,"NA","")))</f>
        <v>129.42135500232908</v>
      </c>
      <c r="T34" s="111" cm="1">
        <f t="array" ref="T34">IF($E34="","",_xll.SNL.Clients.Office.Excel.Functions.SPG($E34,$R$27,T$29,TearSheet!$E$11,_xll.SNL.Clients.Office.Excel.Functions.SPGOPTIONS("DataType",TearSheet!$E$23,"Src",TearSheet!$AI$40,"NA","")))</f>
        <v>50.87816268288006</v>
      </c>
      <c r="U34" s="111" cm="1">
        <f t="array" ref="U34">IF($E34="","",_xll.SNL.Clients.Office.Excel.Functions.SPG($E34,$R$27,U$29,TearSheet!$E$11,_xll.SNL.Clients.Office.Excel.Functions.SPGOPTIONS("DataType",TearSheet!$E$23,"Src",TearSheet!$AI$40,"NA","")))</f>
        <v>82.060463793264745</v>
      </c>
      <c r="V34" s="111" cm="1">
        <f t="array" ref="V34">IF($E34="","",_xll.SNL.Clients.Office.Excel.Functions.SPG($E34,$R$27,V$29,TearSheet!$E$11,_xll.SNL.Clients.Office.Excel.Functions.SPGOPTIONS("DataType",TearSheet!$E$23,"Src",TearSheet!$AI$40,"NA","")))</f>
        <v>77.673566409794759</v>
      </c>
      <c r="W34" s="115" cm="1">
        <f t="array" ref="W34">IF($E34="","",_xll.SNL.Clients.Office.Excel.Functions.SPG($E34,$R$27,W$29,TearSheet!$E$11,_xll.SNL.Clients.Office.Excel.Functions.SPGOPTIONS("DataType",TearSheet!$E$23,"Src",TearSheet!$AI$40,"NA","")))</f>
        <v>42.307356979439987</v>
      </c>
      <c r="Z34" s="41"/>
    </row>
    <row r="35" spans="2:26" ht="11.25" customHeight="1" x14ac:dyDescent="0.2">
      <c r="B35" s="92" t="str">
        <f t="shared" si="2"/>
        <v>Adobe Inc.</v>
      </c>
      <c r="C35" s="70"/>
      <c r="D35" s="225" t="str">
        <f t="shared" si="3"/>
        <v/>
      </c>
      <c r="E35" s="94" t="str">
        <f t="shared" si="4"/>
        <v>NASDAQGS:ADBE</v>
      </c>
      <c r="F35" s="108" cm="1">
        <f t="array" ref="F35">IF($E35="","",_xll.SNL.Clients.Office.Excel.Functions.SPG($E35,$F$30,F$29,TearSheet!$E$11,_xll.SNL.Clients.Office.Excel.Functions.SPGOPTIONS("Curr",TearSheet!$AL$1,"Mag",TearSheet!$AG$33,"DataType",TearSheet!$E$23,"Src",TearSheet!$AI$40,"NA","")))</f>
        <v>21505</v>
      </c>
      <c r="G35" s="109" cm="1">
        <f t="array" ref="G35">IF($E35="","",_xll.SNL.Clients.Office.Excel.Functions.SPG($E35,$F$30,G$29,TearSheet!$E$11,_xll.SNL.Clients.Office.Excel.Functions.SPGOPTIONS("Curr",TearSheet!$AL$1,"Mag",TearSheet!$AG$33,"DataType",TearSheet!$E$23,"Src",TearSheet!$AI$40,"NA","")))</f>
        <v>23769</v>
      </c>
      <c r="H35" s="109" cm="1">
        <f t="array" ref="H35">IF($E35="","",_xll.SNL.Clients.Office.Excel.Functions.SPG($E35,$F$30,H$29,TearSheet!$E$11,_xll.SNL.Clients.Office.Excel.Functions.SPGOPTIONS("Curr",TearSheet!$AL$1,"Mag",TearSheet!$AG$33,"DataType",TearSheet!$E$23,"Src",TearSheet!$AI$40,"NA","")))</f>
        <v>26603.070748037841</v>
      </c>
      <c r="I35" s="109" cm="1">
        <f t="array" ref="I35">IF($E35="","",_xll.SNL.Clients.Office.Excel.Functions.SPG($E35,$F$30,I$29,TearSheet!$E$11,_xll.SNL.Clients.Office.Excel.Functions.SPGOPTIONS("Curr",TearSheet!$AL$1,"Mag",TearSheet!$AG$33,"DataType",TearSheet!$E$23,"Src",TearSheet!$AI$40,"NA","")))</f>
        <v>26238.135610619269</v>
      </c>
      <c r="J35" s="109" cm="1">
        <f t="array" ref="J35">IF($E35="","",_xll.SNL.Clients.Office.Excel.Functions.SPG($E35,$F$30,J$29,TearSheet!$E$11,_xll.SNL.Clients.Office.Excel.Functions.SPGOPTIONS("Curr",TearSheet!$AL$1,"Mag",TearSheet!$AG$33,"DataType",TearSheet!$E$23,"Src",TearSheet!$AI$40,"NA","")))</f>
        <v>28715.753178573363</v>
      </c>
      <c r="K35" s="154" cm="1">
        <f t="array" ref="K35">IF($E35="","",_xll.SNL.Clients.Office.Excel.Functions.SPG($E35,$F$30,K$29,TearSheet!$E$11,_xll.SNL.Clients.Office.Excel.Functions.SPGOPTIONS("Curr",TearSheet!$AL$1,"Mag",TearSheet!$AG$33,"DataType",TearSheet!$E$23,"Src",TearSheet!$AI$40,"NA","")))</f>
        <v>31174.734841527006</v>
      </c>
      <c r="L35" s="108" cm="1">
        <f t="array" ref="L35">IF($E35="","",_xll.SNL.Clients.Office.Excel.Functions.SPG($E35,$L$30,L$29,TearSheet!$E$11,_xll.SNL.Clients.Office.Excel.Functions.SPGOPTIONS("Curr",TearSheet!$AL$1,"Mag",TearSheet!$AG$33,"DataType",TearSheet!$E$23,"Src",TearSheet!$AI$40,"NA","")))</f>
        <v>19389</v>
      </c>
      <c r="M35" s="109" cm="1">
        <f t="array" ref="M35">IF($E35="","",_xll.SNL.Clients.Office.Excel.Functions.SPG($E35,$L$30,M$29,TearSheet!$E$11,_xll.SNL.Clients.Office.Excel.Functions.SPGOPTIONS("Curr",TearSheet!$AL$1,"Mag",TearSheet!$AG$33,"DataType",TearSheet!$E$23,"Src",TearSheet!$AI$40,"NA","")))</f>
        <v>21491</v>
      </c>
      <c r="N35" s="109" cm="1">
        <f t="array" ref="N35">IF($E35="","",_xll.SNL.Clients.Office.Excel.Functions.SPG($E35,$L$30,N$29,TearSheet!$E$11,_xll.SNL.Clients.Office.Excel.Functions.SPGOPTIONS("Curr",TearSheet!$AL$1,"Mag",TearSheet!$AG$33,"DataType",TearSheet!$E$23,"Src",TearSheet!$AI$40,"NA","")))</f>
        <v>23872.951353897603</v>
      </c>
      <c r="O35" s="109" cm="1">
        <f t="array" ref="O35">IF($E35="","",_xll.SNL.Clients.Office.Excel.Functions.SPG($E35,$L$30,O$29,TearSheet!$E$11,_xll.SNL.Clients.Office.Excel.Functions.SPGOPTIONS("Curr",TearSheet!$AL$1,"Mag",TearSheet!$AG$33,"DataType",TearSheet!$E$23,"Src",TearSheet!$AI$40,"NA","")))</f>
        <v>23566.234330245032</v>
      </c>
      <c r="P35" s="109" cm="1">
        <f t="array" ref="P35">IF($E35="","",_xll.SNL.Clients.Office.Excel.Functions.SPG($E35,$L$30,P$29,TearSheet!$E$11,_xll.SNL.Clients.Office.Excel.Functions.SPGOPTIONS("Curr",TearSheet!$AL$1,"Mag",TearSheet!$AG$33,"DataType",TearSheet!$E$23,"Src",TearSheet!$AI$40,"NA","")))</f>
        <v>25701.791998088851</v>
      </c>
      <c r="Q35" s="109" cm="1">
        <f t="array" ref="Q35">IF($E35="","",_xll.SNL.Clients.Office.Excel.Functions.SPG($E35,$L$30,Q$29,TearSheet!$E$11,_xll.SNL.Clients.Office.Excel.Functions.SPGOPTIONS("Curr",TearSheet!$AL$1,"Mag",TearSheet!$AG$33,"DataType",TearSheet!$E$23,"Src",TearSheet!$AI$40,"NA","")))</f>
        <v>27857.393706898387</v>
      </c>
      <c r="R35" s="110" cm="1">
        <f t="array" ref="R35">IF($E35="","",_xll.SNL.Clients.Office.Excel.Functions.SPG($E35,$R$27,R$29,TearSheet!$E$11,_xll.SNL.Clients.Office.Excel.Functions.SPGOPTIONS("DataType",TearSheet!$E$23,"Src",TearSheet!$AI$40,"NA","")))</f>
        <v>11.092951991828397</v>
      </c>
      <c r="S35" s="111" cm="1">
        <f t="array" ref="S35">IF($E35="","",_xll.SNL.Clients.Office.Excel.Functions.SPG($E35,$R$27,S$29,TearSheet!$E$11,_xll.SNL.Clients.Office.Excel.Functions.SPGOPTIONS("DataType",TearSheet!$E$23,"Src",TearSheet!$AI$40,"NA","")))</f>
        <v>8.5330482853452274</v>
      </c>
      <c r="T35" s="111" cm="1">
        <f t="array" ref="T35">IF($E35="","",_xll.SNL.Clients.Office.Excel.Functions.SPG($E35,$R$27,T$29,TearSheet!$E$11,_xll.SNL.Clients.Office.Excel.Functions.SPGOPTIONS("DataType",TearSheet!$E$23,"Src",TearSheet!$AI$40,"NA","")))</f>
        <v>8.0667244725767233</v>
      </c>
      <c r="U35" s="111" cm="1">
        <f t="array" ref="U35">IF($E35="","",_xll.SNL.Clients.Office.Excel.Functions.SPG($E35,$R$27,U$29,TearSheet!$E$11,_xll.SNL.Clients.Office.Excel.Functions.SPGOPTIONS("DataType",TearSheet!$E$23,"Src",TearSheet!$AI$40,"NA","")))</f>
        <v>8.1267716484674626</v>
      </c>
      <c r="V35" s="111" cm="1">
        <f t="array" ref="V35">IF($E35="","",_xll.SNL.Clients.Office.Excel.Functions.SPG($E35,$R$27,V$29,TearSheet!$E$11,_xll.SNL.Clients.Office.Excel.Functions.SPGOPTIONS("DataType",TearSheet!$E$23,"Src",TearSheet!$AI$40,"NA","")))</f>
        <v>8.1524237205729477</v>
      </c>
      <c r="W35" s="115" cm="1">
        <f t="array" ref="W35">IF($E35="","",_xll.SNL.Clients.Office.Excel.Functions.SPG($E35,$R$27,W$29,TearSheet!$E$11,_xll.SNL.Clients.Office.Excel.Functions.SPGOPTIONS("DataType",TearSheet!$E$23,"Src",TearSheet!$AI$40,"NA","")))</f>
        <v>7.8656154131259912</v>
      </c>
    </row>
    <row r="36" spans="2:26" ht="11.25" customHeight="1" x14ac:dyDescent="0.2">
      <c r="B36" s="92" t="str">
        <f t="shared" si="2"/>
        <v>Salesforce, Inc.</v>
      </c>
      <c r="C36" s="70"/>
      <c r="D36" s="225" t="str">
        <f t="shared" si="3"/>
        <v/>
      </c>
      <c r="E36" s="94" t="str">
        <f t="shared" si="4"/>
        <v>NYSE:CRM</v>
      </c>
      <c r="F36" s="108" cm="1">
        <f t="array" ref="F36">IF($E36="","",_xll.SNL.Clients.Office.Excel.Functions.SPG($E36,$F$30,F$29,TearSheet!$E$11,_xll.SNL.Clients.Office.Excel.Functions.SPGOPTIONS("Curr",TearSheet!$AL$1,"Mag",TearSheet!$AG$33,"DataType",TearSheet!$E$23,"Src",TearSheet!$AI$40,"NA","")))</f>
        <v>34857</v>
      </c>
      <c r="G36" s="109" cm="1">
        <f t="array" ref="G36">IF($E36="","",_xll.SNL.Clients.Office.Excel.Functions.SPG($E36,$F$30,G$29,TearSheet!$E$11,_xll.SNL.Clients.Office.Excel.Functions.SPGOPTIONS("Curr",TearSheet!$AL$1,"Mag",TearSheet!$AG$33,"DataType",TearSheet!$E$23,"Src",TearSheet!$AI$40,"NA","")))</f>
        <v>37895</v>
      </c>
      <c r="H36" s="109" cm="1">
        <f t="array" ref="H36">IF($E36="","",_xll.SNL.Clients.Office.Excel.Functions.SPG($E36,$F$30,H$29,TearSheet!$E$11,_xll.SNL.Clients.Office.Excel.Functions.SPGOPTIONS("Curr",TearSheet!$AL$1,"Mag",TearSheet!$AG$33,"DataType",TearSheet!$E$23,"Src",TearSheet!$AI$40,"NA","")))</f>
        <v>41525</v>
      </c>
      <c r="I36" s="109" cm="1">
        <f t="array" ref="I36">IF($E36="","",_xll.SNL.Clients.Office.Excel.Functions.SPG($E36,$F$30,I$29,TearSheet!$E$11,_xll.SNL.Clients.Office.Excel.Functions.SPGOPTIONS("Curr",TearSheet!$AL$1,"Mag",TearSheet!$AG$33,"DataType",TearSheet!$E$23,"Src",TearSheet!$AI$40,"NA","")))</f>
        <v>44866.408789090143</v>
      </c>
      <c r="J36" s="109" cm="1">
        <f t="array" ref="J36">IF($E36="","",_xll.SNL.Clients.Office.Excel.Functions.SPG($E36,$F$30,J$29,TearSheet!$E$11,_xll.SNL.Clients.Office.Excel.Functions.SPGOPTIONS("Curr",TearSheet!$AL$1,"Mag",TearSheet!$AG$33,"DataType",TearSheet!$E$23,"Src",TearSheet!$AI$40,"NA","")))</f>
        <v>49518.073301743338</v>
      </c>
      <c r="K36" s="154" cm="1">
        <f t="array" ref="K36">IF($E36="","",_xll.SNL.Clients.Office.Excel.Functions.SPG($E36,$F$30,K$29,TearSheet!$E$11,_xll.SNL.Clients.Office.Excel.Functions.SPGOPTIONS("Curr",TearSheet!$AL$1,"Mag",TearSheet!$AG$33,"DataType",TearSheet!$E$23,"Src",TearSheet!$AI$40,"NA","")))</f>
        <v>54436.260677706421</v>
      </c>
      <c r="L36" s="108" cm="1">
        <f t="array" ref="L36">IF($E36="","",_xll.SNL.Clients.Office.Excel.Functions.SPG($E36,$L$30,L$29,TearSheet!$E$11,_xll.SNL.Clients.Office.Excel.Functions.SPGOPTIONS("Curr",TearSheet!$AL$1,"Mag",TearSheet!$AG$33,"DataType",TearSheet!$E$23,"Src",TearSheet!$AI$40,"NA","")))</f>
        <v>27725</v>
      </c>
      <c r="M36" s="109" cm="1">
        <f t="array" ref="M36">IF($E36="","",_xll.SNL.Clients.Office.Excel.Functions.SPG($E36,$L$30,M$29,TearSheet!$E$11,_xll.SNL.Clients.Office.Excel.Functions.SPGOPTIONS("Curr",TearSheet!$AL$1,"Mag",TearSheet!$AG$33,"DataType",TearSheet!$E$23,"Src",TearSheet!$AI$40,"NA","")))</f>
        <v>30520</v>
      </c>
      <c r="N36" s="109" cm="1">
        <f t="array" ref="N36">IF($E36="","",_xll.SNL.Clients.Office.Excel.Functions.SPG($E36,$L$30,N$29,TearSheet!$E$11,_xll.SNL.Clients.Office.Excel.Functions.SPGOPTIONS("Curr",TearSheet!$AL$1,"Mag",TearSheet!$AG$33,"DataType",TearSheet!$E$23,"Src",TearSheet!$AI$40,"NA","")))</f>
        <v>33500</v>
      </c>
      <c r="O36" s="109" cm="1">
        <f t="array" ref="O36">IF($E36="","",_xll.SNL.Clients.Office.Excel.Functions.SPG($E36,$L$30,O$29,TearSheet!$E$11,_xll.SNL.Clients.Office.Excel.Functions.SPGOPTIONS("Curr",TearSheet!$AL$1,"Mag",TearSheet!$AG$33,"DataType",TearSheet!$E$23,"Src",TearSheet!$AI$40,"NA","")))</f>
        <v>35989.270533032242</v>
      </c>
      <c r="P36" s="109" cm="1">
        <f t="array" ref="P36">IF($E36="","",_xll.SNL.Clients.Office.Excel.Functions.SPG($E36,$L$30,P$29,TearSheet!$E$11,_xll.SNL.Clients.Office.Excel.Functions.SPGOPTIONS("Curr",TearSheet!$AL$1,"Mag",TearSheet!$AG$33,"DataType",TearSheet!$E$23,"Src",TearSheet!$AI$40,"NA","")))</f>
        <v>39695.384799501117</v>
      </c>
      <c r="Q36" s="109" cm="1">
        <f t="array" ref="Q36">IF($E36="","",_xll.SNL.Clients.Office.Excel.Functions.SPG($E36,$L$30,Q$29,TearSheet!$E$11,_xll.SNL.Clients.Office.Excel.Functions.SPGOPTIONS("Curr",TearSheet!$AL$1,"Mag",TearSheet!$AG$33,"DataType",TearSheet!$E$23,"Src",TearSheet!$AI$40,"NA","")))</f>
        <v>43607.324546172742</v>
      </c>
      <c r="R36" s="110" cm="1">
        <f t="array" ref="R36">IF($E36="","",_xll.SNL.Clients.Office.Excel.Functions.SPG($E36,$R$27,R$29,TearSheet!$E$11,_xll.SNL.Clients.Office.Excel.Functions.SPGOPTIONS("DataType",TearSheet!$E$23,"Src",TearSheet!$AI$40,"NA","")))</f>
        <v>34.429703335175972</v>
      </c>
      <c r="S36" s="111" cm="1">
        <f t="array" ref="S36">IF($E36="","",_xll.SNL.Clients.Office.Excel.Functions.SPG($E36,$R$27,S$29,TearSheet!$E$11,_xll.SNL.Clients.Office.Excel.Functions.SPGOPTIONS("DataType",TearSheet!$E$23,"Src",TearSheet!$AI$40,"NA","")))</f>
        <v>9.4852991570145981</v>
      </c>
      <c r="T36" s="111" cm="1">
        <f t="array" ref="T36">IF($E36="","",_xll.SNL.Clients.Office.Excel.Functions.SPG($E36,$R$27,T$29,TearSheet!$E$11,_xll.SNL.Clients.Office.Excel.Functions.SPGOPTIONS("DataType",TearSheet!$E$23,"Src",TearSheet!$AI$40,"NA","")))</f>
        <v>11.342723004694836</v>
      </c>
      <c r="U36" s="111" cm="1">
        <f t="array" ref="U36">IF($E36="","",_xll.SNL.Clients.Office.Excel.Functions.SPG($E36,$R$27,U$29,TearSheet!$E$11,_xll.SNL.Clients.Office.Excel.Functions.SPGOPTIONS("DataType",TearSheet!$E$23,"Src",TearSheet!$AI$40,"NA","")))</f>
        <v>11.090202401751956</v>
      </c>
      <c r="V36" s="111" cm="1">
        <f t="array" ref="V36">IF($E36="","",_xll.SNL.Clients.Office.Excel.Functions.SPG($E36,$R$27,V$29,TearSheet!$E$11,_xll.SNL.Clients.Office.Excel.Functions.SPGOPTIONS("DataType",TearSheet!$E$23,"Src",TearSheet!$AI$40,"NA","")))</f>
        <v>9.50133244820287</v>
      </c>
      <c r="W36" s="115" cm="1">
        <f t="array" ref="W36">IF($E36="","",_xll.SNL.Clients.Office.Excel.Functions.SPG($E36,$R$27,W$29,TearSheet!$E$11,_xll.SNL.Clients.Office.Excel.Functions.SPGOPTIONS("DataType",TearSheet!$E$23,"Src",TearSheet!$AI$40,"NA","")))</f>
        <v>9.5855228026409129</v>
      </c>
    </row>
    <row r="37" spans="2:26" ht="11.25" customHeight="1" x14ac:dyDescent="0.2">
      <c r="B37" s="92" t="str">
        <f t="shared" si="2"/>
        <v>Meta Platforms, Inc.</v>
      </c>
      <c r="C37" s="70"/>
      <c r="D37" s="225" t="str">
        <f t="shared" si="3"/>
        <v/>
      </c>
      <c r="E37" s="94" t="str">
        <f t="shared" si="4"/>
        <v>NASDAQGS:META</v>
      </c>
      <c r="F37" s="108" cm="1">
        <f t="array" ref="F37">IF($E37="","",_xll.SNL.Clients.Office.Excel.Functions.SPG($E37,$F$30,F$29,TearSheet!$E$11,_xll.SNL.Clients.Office.Excel.Functions.SPGOPTIONS("Curr",TearSheet!$AL$1,"Mag",TearSheet!$AG$33,"DataType",TearSheet!$E$23,"Src",TearSheet!$AI$40,"NA","")))</f>
        <v>164501</v>
      </c>
      <c r="G37" s="109" cm="1">
        <f t="array" ref="G37">IF($E37="","",_xll.SNL.Clients.Office.Excel.Functions.SPG($E37,$F$30,G$29,TearSheet!$E$11,_xll.SNL.Clients.Office.Excel.Functions.SPGOPTIONS("Curr",TearSheet!$AL$1,"Mag",TearSheet!$AG$33,"DataType",TearSheet!$E$23,"Src",TearSheet!$AI$40,"NA","")))</f>
        <v>200965</v>
      </c>
      <c r="H37" s="109" cm="1">
        <f t="array" ref="H37">IF($E37="","",_xll.SNL.Clients.Office.Excel.Functions.SPG($E37,$F$30,H$29,TearSheet!$E$11,_xll.SNL.Clients.Office.Excel.Functions.SPGOPTIONS("Curr",TearSheet!$AL$1,"Mag",TearSheet!$AG$33,"DataType",TearSheet!$E$23,"Src",TearSheet!$AI$40,"NA","")))</f>
        <v>253991.33882340282</v>
      </c>
      <c r="I37" s="109" cm="1">
        <f t="array" ref="I37">IF($E37="","",_xll.SNL.Clients.Office.Excel.Functions.SPG($E37,$F$30,I$29,TearSheet!$E$11,_xll.SNL.Clients.Office.Excel.Functions.SPGOPTIONS("Curr",TearSheet!$AL$1,"Mag",TearSheet!$AG$33,"DataType",TearSheet!$E$23,"Src",TearSheet!$AI$40,"NA","")))</f>
        <v>242659.68285566196</v>
      </c>
      <c r="J37" s="109" cm="1">
        <f t="array" ref="J37">IF($E37="","",_xll.SNL.Clients.Office.Excel.Functions.SPG($E37,$F$30,J$29,TearSheet!$E$11,_xll.SNL.Clients.Office.Excel.Functions.SPGOPTIONS("Curr",TearSheet!$AL$1,"Mag",TearSheet!$AG$33,"DataType",TearSheet!$E$23,"Src",TearSheet!$AI$40,"NA","")))</f>
        <v>294997.75311114808</v>
      </c>
      <c r="K37" s="154" cm="1">
        <f t="array" ref="K37">IF($E37="","",_xll.SNL.Clients.Office.Excel.Functions.SPG($E37,$F$30,K$29,TearSheet!$E$11,_xll.SNL.Clients.Office.Excel.Functions.SPGOPTIONS("Curr",TearSheet!$AL$1,"Mag",TearSheet!$AG$33,"DataType",TearSheet!$E$23,"Src",TearSheet!$AI$40,"NA","")))</f>
        <v>351949.25506855128</v>
      </c>
      <c r="L37" s="108" cm="1">
        <f t="array" ref="L37">IF($E37="","",_xll.SNL.Clients.Office.Excel.Functions.SPG($E37,$L$30,L$29,TearSheet!$E$11,_xll.SNL.Clients.Office.Excel.Functions.SPGOPTIONS("Curr",TearSheet!$AL$1,"Mag",TearSheet!$AG$33,"DataType",TearSheet!$E$23,"Src",TearSheet!$AI$40,"NA","")))</f>
        <v>135393</v>
      </c>
      <c r="M37" s="109" cm="1">
        <f t="array" ref="M37">IF($E37="","",_xll.SNL.Clients.Office.Excel.Functions.SPG($E37,$L$30,M$29,TearSheet!$E$11,_xll.SNL.Clients.Office.Excel.Functions.SPGOPTIONS("Curr",TearSheet!$AL$1,"Mag",TearSheet!$AG$33,"DataType",TearSheet!$E$23,"Src",TearSheet!$AI$40,"NA","")))</f>
        <v>165915</v>
      </c>
      <c r="N37" s="109" cm="1">
        <f t="array" ref="N37">IF($E37="","",_xll.SNL.Clients.Office.Excel.Functions.SPG($E37,$L$30,N$29,TearSheet!$E$11,_xll.SNL.Clients.Office.Excel.Functions.SPGOPTIONS("Curr",TearSheet!$AL$1,"Mag",TearSheet!$AG$33,"DataType",TearSheet!$E$23,"Src",TearSheet!$AI$40,"NA","")))</f>
        <v>205112.8411310782</v>
      </c>
      <c r="O37" s="109" cm="1">
        <f t="array" ref="O37">IF($E37="","",_xll.SNL.Clients.Office.Excel.Functions.SPG($E37,$L$30,O$29,TearSheet!$E$11,_xll.SNL.Clients.Office.Excel.Functions.SPGOPTIONS("Curr",TearSheet!$AL$1,"Mag",TearSheet!$AG$33,"DataType",TearSheet!$E$23,"Src",TearSheet!$AI$40,"NA","")))</f>
        <v>196736.31617703955</v>
      </c>
      <c r="P37" s="109" cm="1">
        <f t="array" ref="P37">IF($E37="","",_xll.SNL.Clients.Office.Excel.Functions.SPG($E37,$L$30,P$29,TearSheet!$E$11,_xll.SNL.Clients.Office.Excel.Functions.SPGOPTIONS("Curr",TearSheet!$AL$1,"Mag",TearSheet!$AG$33,"DataType",TearSheet!$E$23,"Src",TearSheet!$AI$40,"NA","")))</f>
        <v>233512.4880905438</v>
      </c>
      <c r="Q37" s="109" cm="1">
        <f t="array" ref="Q37">IF($E37="","",_xll.SNL.Clients.Office.Excel.Functions.SPG($E37,$L$30,Q$29,TearSheet!$E$11,_xll.SNL.Clients.Office.Excel.Functions.SPGOPTIONS("Curr",TearSheet!$AL$1,"Mag",TearSheet!$AG$33,"DataType",TearSheet!$E$23,"Src",TearSheet!$AI$40,"NA","")))</f>
        <v>273395.90374625614</v>
      </c>
      <c r="R37" s="110" cm="1">
        <f t="array" ref="R37">IF($E37="","",_xll.SNL.Clients.Office.Excel.Functions.SPG($E37,$R$27,R$29,TearSheet!$E$11,_xll.SNL.Clients.Office.Excel.Functions.SPGOPTIONS("DataType",TearSheet!$E$23,"Src",TearSheet!$AI$40,"NA","")))</f>
        <v>34.766919520005509</v>
      </c>
      <c r="S37" s="111" cm="1">
        <f t="array" ref="S37">IF($E37="","",_xll.SNL.Clients.Office.Excel.Functions.SPG($E37,$R$27,S$29,TearSheet!$E$11,_xll.SNL.Clients.Office.Excel.Functions.SPGOPTIONS("DataType",TearSheet!$E$23,"Src",TearSheet!$AI$40,"NA","")))</f>
        <v>20.429662885948328</v>
      </c>
      <c r="T37" s="111" cm="1">
        <f t="array" ref="T37">IF($E37="","",_xll.SNL.Clients.Office.Excel.Functions.SPG($E37,$R$27,T$29,TearSheet!$E$11,_xll.SNL.Clients.Office.Excel.Functions.SPGOPTIONS("DataType",TearSheet!$E$23,"Src",TearSheet!$AI$40,"NA","")))</f>
        <v>18.692526309658074</v>
      </c>
      <c r="U37" s="111" cm="1">
        <f t="array" ref="U37">IF($E37="","",_xll.SNL.Clients.Office.Excel.Functions.SPG($E37,$R$27,U$29,TearSheet!$E$11,_xll.SNL.Clients.Office.Excel.Functions.SPGOPTIONS("DataType",TearSheet!$E$23,"Src",TearSheet!$AI$40,"NA","")))</f>
        <v>19.063750016372158</v>
      </c>
      <c r="V37" s="111" cm="1">
        <f t="array" ref="V37">IF($E37="","",_xll.SNL.Clients.Office.Excel.Functions.SPG($E37,$R$27,V$29,TearSheet!$E$11,_xll.SNL.Clients.Office.Excel.Functions.SPGOPTIONS("DataType",TearSheet!$E$23,"Src",TearSheet!$AI$40,"NA","")))</f>
        <v>24.504508675396718</v>
      </c>
      <c r="W37" s="115" cm="1">
        <f t="array" ref="W37">IF($E37="","",_xll.SNL.Clients.Office.Excel.Functions.SPG($E37,$R$27,W$29,TearSheet!$E$11,_xll.SNL.Clients.Office.Excel.Functions.SPGOPTIONS("DataType",TearSheet!$E$23,"Src",TearSheet!$AI$40,"NA","")))</f>
        <v>24.945408370843488</v>
      </c>
    </row>
    <row r="38" spans="2:26" ht="11.25" customHeight="1" x14ac:dyDescent="0.2">
      <c r="B38" s="92" t="str">
        <f t="shared" si="2"/>
        <v>Broadcom Inc.</v>
      </c>
      <c r="C38" s="70"/>
      <c r="D38" s="225" t="str">
        <f t="shared" si="3"/>
        <v/>
      </c>
      <c r="E38" s="94" t="str">
        <f t="shared" si="4"/>
        <v>NASDAQGS:AVGO</v>
      </c>
      <c r="F38" s="108" cm="1">
        <f t="array" ref="F38">IF($E38="","",_xll.SNL.Clients.Office.Excel.Functions.SPG($E38,$F$30,F$29,TearSheet!$E$11,_xll.SNL.Clients.Office.Excel.Functions.SPGOPTIONS("Curr",TearSheet!$AL$1,"Mag",TearSheet!$AG$33,"DataType",TearSheet!$E$23,"Src",TearSheet!$AI$40,"NA","")))</f>
        <v>51574</v>
      </c>
      <c r="G38" s="109" cm="1">
        <f t="array" ref="G38">IF($E38="","",_xll.SNL.Clients.Office.Excel.Functions.SPG($E38,$F$30,G$29,TearSheet!$E$11,_xll.SNL.Clients.Office.Excel.Functions.SPGOPTIONS("Curr",TearSheet!$AL$1,"Mag",TearSheet!$AG$33,"DataType",TearSheet!$E$23,"Src",TearSheet!$AI$40,"NA","")))</f>
        <v>63887</v>
      </c>
      <c r="H38" s="109" cm="1">
        <f t="array" ref="H38">IF($E38="","",_xll.SNL.Clients.Office.Excel.Functions.SPG($E38,$F$30,H$29,TearSheet!$E$11,_xll.SNL.Clients.Office.Excel.Functions.SPGOPTIONS("Curr",TearSheet!$AL$1,"Mag",TearSheet!$AG$33,"DataType",TearSheet!$E$23,"Src",TearSheet!$AI$40,"NA","")))</f>
        <v>105984.89166753746</v>
      </c>
      <c r="I38" s="109" cm="1">
        <f t="array" ref="I38">IF($E38="","",_xll.SNL.Clients.Office.Excel.Functions.SPG($E38,$F$30,I$29,TearSheet!$E$11,_xll.SNL.Clients.Office.Excel.Functions.SPGOPTIONS("Curr",TearSheet!$AL$1,"Mag",TearSheet!$AG$33,"DataType",TearSheet!$E$23,"Src",TearSheet!$AI$40,"NA","")))</f>
        <v>104024.16794603573</v>
      </c>
      <c r="J38" s="109" cm="1">
        <f t="array" ref="J38">IF($E38="","",_xll.SNL.Clients.Office.Excel.Functions.SPG($E38,$F$30,J$29,TearSheet!$E$11,_xll.SNL.Clients.Office.Excel.Functions.SPGOPTIONS("Curr",TearSheet!$AL$1,"Mag",TearSheet!$AG$33,"DataType",TearSheet!$E$23,"Src",TearSheet!$AI$40,"NA","")))</f>
        <v>171062.58804000204</v>
      </c>
      <c r="K38" s="154" cm="1">
        <f t="array" ref="K38">IF($E38="","",_xll.SNL.Clients.Office.Excel.Functions.SPG($E38,$F$30,K$29,TearSheet!$E$11,_xll.SNL.Clients.Office.Excel.Functions.SPGOPTIONS("Curr",TearSheet!$AL$1,"Mag",TearSheet!$AG$33,"DataType",TearSheet!$E$23,"Src",TearSheet!$AI$40,"NA","")))</f>
        <v>272670.09881846223</v>
      </c>
      <c r="L38" s="108" cm="1">
        <f t="array" ref="L38">IF($E38="","",_xll.SNL.Clients.Office.Excel.Functions.SPG($E38,$L$30,L$29,TearSheet!$E$11,_xll.SNL.Clients.Office.Excel.Functions.SPGOPTIONS("Curr",TearSheet!$AL$1,"Mag",TearSheet!$AG$33,"DataType",TearSheet!$E$23,"Src",TearSheet!$AI$40,"NA","")))</f>
        <v>39459</v>
      </c>
      <c r="M38" s="109" cm="1">
        <f t="array" ref="M38">IF($E38="","",_xll.SNL.Clients.Office.Excel.Functions.SPG($E38,$L$30,M$29,TearSheet!$E$11,_xll.SNL.Clients.Office.Excel.Functions.SPGOPTIONS("Curr",TearSheet!$AL$1,"Mag",TearSheet!$AG$33,"DataType",TearSheet!$E$23,"Src",TearSheet!$AI$40,"NA","")))</f>
        <v>50245</v>
      </c>
      <c r="N38" s="109" cm="1">
        <f t="array" ref="N38">IF($E38="","",_xll.SNL.Clients.Office.Excel.Functions.SPG($E38,$L$30,N$29,TearSheet!$E$11,_xll.SNL.Clients.Office.Excel.Functions.SPGOPTIONS("Curr",TearSheet!$AL$1,"Mag",TearSheet!$AG$33,"DataType",TearSheet!$E$23,"Src",TearSheet!$AI$40,"NA","")))</f>
        <v>79484.389234212329</v>
      </c>
      <c r="O38" s="109" cm="1">
        <f t="array" ref="O38">IF($E38="","",_xll.SNL.Clients.Office.Excel.Functions.SPG($E38,$L$30,O$29,TearSheet!$E$11,_xll.SNL.Clients.Office.Excel.Functions.SPGOPTIONS("Curr",TearSheet!$AL$1,"Mag",TearSheet!$AG$33,"DataType",TearSheet!$E$23,"Src",TearSheet!$AI$40,"NA","")))</f>
        <v>78122.554667139426</v>
      </c>
      <c r="P38" s="109" cm="1">
        <f t="array" ref="P38">IF($E38="","",_xll.SNL.Clients.Office.Excel.Functions.SPG($E38,$L$30,P$29,TearSheet!$E$11,_xll.SNL.Clients.Office.Excel.Functions.SPGOPTIONS("Curr",TearSheet!$AL$1,"Mag",TearSheet!$AG$33,"DataType",TearSheet!$E$23,"Src",TearSheet!$AI$40,"NA","")))</f>
        <v>122949.08877079832</v>
      </c>
      <c r="Q38" s="109" cm="1">
        <f t="array" ref="Q38">IF($E38="","",_xll.SNL.Clients.Office.Excel.Functions.SPG($E38,$L$30,Q$29,TearSheet!$E$11,_xll.SNL.Clients.Office.Excel.Functions.SPGOPTIONS("Curr",TearSheet!$AL$1,"Mag",TearSheet!$AG$33,"DataType",TearSheet!$E$23,"Src",TearSheet!$AI$40,"NA","")))</f>
        <v>190173.73112703825</v>
      </c>
      <c r="R38" s="110" cm="1">
        <f t="array" ref="R38">IF($E38="","",_xll.SNL.Clients.Office.Excel.Functions.SPG($E38,$R$27,R$29,TearSheet!$E$11,_xll.SNL.Clients.Office.Excel.Functions.SPGOPTIONS("DataType",TearSheet!$E$23,"Src",TearSheet!$AI$40,"NA","")))</f>
        <v>37.410071942446045</v>
      </c>
      <c r="S38" s="111" cm="1">
        <f t="array" ref="S38">IF($E38="","",_xll.SNL.Clients.Office.Excel.Functions.SPG($E38,$R$27,S$29,TearSheet!$E$11,_xll.SNL.Clients.Office.Excel.Functions.SPGOPTIONS("DataType",TearSheet!$E$23,"Src",TearSheet!$AI$40,"NA","")))</f>
        <v>34.821456563313163</v>
      </c>
      <c r="T38" s="111" cm="1">
        <f t="array" ref="T38">IF($E38="","",_xll.SNL.Clients.Office.Excel.Functions.SPG($E38,$R$27,T$29,TearSheet!$E$11,_xll.SNL.Clients.Office.Excel.Functions.SPGOPTIONS("DataType",TearSheet!$E$23,"Src",TearSheet!$AI$40,"NA","")))</f>
        <v>66.529264185148449</v>
      </c>
      <c r="U38" s="111" cm="1">
        <f t="array" ref="U38">IF($E38="","",_xll.SNL.Clients.Office.Excel.Functions.SPG($E38,$R$27,U$29,TearSheet!$E$11,_xll.SNL.Clients.Office.Excel.Functions.SPGOPTIONS("DataType",TearSheet!$E$23,"Src",TearSheet!$AI$40,"NA","")))</f>
        <v>65.052462186323254</v>
      </c>
      <c r="V38" s="111" cm="1">
        <f t="array" ref="V38">IF($E38="","",_xll.SNL.Clients.Office.Excel.Functions.SPG($E38,$R$27,V$29,TearSheet!$E$11,_xll.SNL.Clients.Office.Excel.Functions.SPGOPTIONS("DataType",TearSheet!$E$23,"Src",TearSheet!$AI$40,"NA","")))</f>
        <v>61.347055552721137</v>
      </c>
      <c r="W38" s="115" cm="1">
        <f t="array" ref="W38">IF($E38="","",_xll.SNL.Clients.Office.Excel.Functions.SPG($E38,$R$27,W$29,TearSheet!$E$11,_xll.SNL.Clients.Office.Excel.Functions.SPGOPTIONS("DataType",TearSheet!$E$23,"Src",TearSheet!$AI$40,"NA","")))</f>
        <v>56.411914584048148</v>
      </c>
    </row>
    <row r="39" spans="2:26" ht="11.25" customHeight="1" x14ac:dyDescent="0.2">
      <c r="B39" s="92" t="str">
        <f t="shared" si="2"/>
        <v>International Business Machines Corporation</v>
      </c>
      <c r="C39" s="70"/>
      <c r="D39" s="225" t="str">
        <f t="shared" si="3"/>
        <v/>
      </c>
      <c r="E39" s="94" t="str">
        <f t="shared" si="4"/>
        <v>NYSE:IBM</v>
      </c>
      <c r="F39" s="108" cm="1">
        <f t="array" ref="F39">IF($E39="","",_xll.SNL.Clients.Office.Excel.Functions.SPG($E39,$F$30,F$29,TearSheet!$E$11,_xll.SNL.Clients.Office.Excel.Functions.SPGOPTIONS("Curr",TearSheet!$AL$1,"Mag",TearSheet!$AG$33,"DataType",TearSheet!$E$23,"Src",TearSheet!$AI$40,"NA","")))</f>
        <v>62753</v>
      </c>
      <c r="G39" s="109" cm="1">
        <f t="array" ref="G39">IF($E39="","",_xll.SNL.Clients.Office.Excel.Functions.SPG($E39,$F$30,G$29,TearSheet!$E$11,_xll.SNL.Clients.Office.Excel.Functions.SPGOPTIONS("Curr",TearSheet!$AL$1,"Mag",TearSheet!$AG$33,"DataType",TearSheet!$E$23,"Src",TearSheet!$AI$40,"NA","")))</f>
        <v>67535</v>
      </c>
      <c r="H39" s="109" cm="1">
        <f t="array" ref="H39">IF($E39="","",_xll.SNL.Clients.Office.Excel.Functions.SPG($E39,$F$30,H$29,TearSheet!$E$11,_xll.SNL.Clients.Office.Excel.Functions.SPGOPTIONS("Curr",TearSheet!$AL$1,"Mag",TearSheet!$AG$33,"DataType",TearSheet!$E$23,"Src",TearSheet!$AI$40,"NA","")))</f>
        <v>70311.891754701719</v>
      </c>
      <c r="I39" s="109" cm="1">
        <f t="array" ref="I39">IF($E39="","",_xll.SNL.Clients.Office.Excel.Functions.SPG($E39,$F$30,I$29,TearSheet!$E$11,_xll.SNL.Clients.Office.Excel.Functions.SPGOPTIONS("Curr",TearSheet!$AL$1,"Mag",TearSheet!$AG$33,"DataType",TearSheet!$E$23,"Src",TearSheet!$AI$40,"NA","")))</f>
        <v>69718.473790683274</v>
      </c>
      <c r="J39" s="109" cm="1">
        <f t="array" ref="J39">IF($E39="","",_xll.SNL.Clients.Office.Excel.Functions.SPG($E39,$F$30,J$29,TearSheet!$E$11,_xll.SNL.Clients.Office.Excel.Functions.SPGOPTIONS("Curr",TearSheet!$AL$1,"Mag",TearSheet!$AG$33,"DataType",TearSheet!$E$23,"Src",TearSheet!$AI$40,"NA","")))</f>
        <v>72352.275999012345</v>
      </c>
      <c r="K39" s="154" cm="1">
        <f t="array" ref="K39">IF($E39="","",_xll.SNL.Clients.Office.Excel.Functions.SPG($E39,$F$30,K$29,TearSheet!$E$11,_xll.SNL.Clients.Office.Excel.Functions.SPGOPTIONS("Curr",TearSheet!$AL$1,"Mag",TearSheet!$AG$33,"DataType",TearSheet!$E$23,"Src",TearSheet!$AI$40,"NA","")))</f>
        <v>75933.499832571702</v>
      </c>
      <c r="L39" s="108" cm="1">
        <f t="array" ref="L39">IF($E39="","",_xll.SNL.Clients.Office.Excel.Functions.SPG($E39,$L$30,L$29,TearSheet!$E$11,_xll.SNL.Clients.Office.Excel.Functions.SPGOPTIONS("Curr",TearSheet!$AL$1,"Mag",TearSheet!$AG$33,"DataType",TearSheet!$E$23,"Src",TearSheet!$AI$40,"NA","")))</f>
        <v>36275</v>
      </c>
      <c r="M39" s="109" cm="1">
        <f t="array" ref="M39">IF($E39="","",_xll.SNL.Clients.Office.Excel.Functions.SPG($E39,$L$30,M$29,TearSheet!$E$11,_xll.SNL.Clients.Office.Excel.Functions.SPGOPTIONS("Curr",TearSheet!$AL$1,"Mag",TearSheet!$AG$33,"DataType",TearSheet!$E$23,"Src",TearSheet!$AI$40,"NA","")))</f>
        <v>40184</v>
      </c>
      <c r="N39" s="109" cm="1">
        <f t="array" ref="N39">IF($E39="","",_xll.SNL.Clients.Office.Excel.Functions.SPG($E39,$L$30,N$29,TearSheet!$E$11,_xll.SNL.Clients.Office.Excel.Functions.SPGOPTIONS("Curr",TearSheet!$AL$1,"Mag",TearSheet!$AG$33,"DataType",TearSheet!$E$23,"Src",TearSheet!$AI$40,"NA","")))</f>
        <v>41818.567769284171</v>
      </c>
      <c r="O39" s="109" cm="1">
        <f t="array" ref="O39">IF($E39="","",_xll.SNL.Clients.Office.Excel.Functions.SPG($E39,$L$30,O$29,TearSheet!$E$11,_xll.SNL.Clients.Office.Excel.Functions.SPGOPTIONS("Curr",TearSheet!$AL$1,"Mag",TearSheet!$AG$33,"DataType",TearSheet!$E$23,"Src",TearSheet!$AI$40,"NA","")))</f>
        <v>41469.262876122069</v>
      </c>
      <c r="P39" s="109" cm="1">
        <f t="array" ref="P39">IF($E39="","",_xll.SNL.Clients.Office.Excel.Functions.SPG($E39,$L$30,P$29,TearSheet!$E$11,_xll.SNL.Clients.Office.Excel.Functions.SPGOPTIONS("Curr",TearSheet!$AL$1,"Mag",TearSheet!$AG$33,"DataType",TearSheet!$E$23,"Src",TearSheet!$AI$40,"NA","")))</f>
        <v>43314.668544161861</v>
      </c>
      <c r="Q39" s="109" cm="1">
        <f t="array" ref="Q39">IF($E39="","",_xll.SNL.Clients.Office.Excel.Functions.SPG($E39,$L$30,Q$29,TearSheet!$E$11,_xll.SNL.Clients.Office.Excel.Functions.SPGOPTIONS("Curr",TearSheet!$AL$1,"Mag",TearSheet!$AG$33,"DataType",TearSheet!$E$23,"Src",TearSheet!$AI$40,"NA","")))</f>
        <v>45895.712826495102</v>
      </c>
      <c r="R39" s="110" cm="1">
        <f t="array" ref="R39">IF($E39="","",_xll.SNL.Clients.Office.Excel.Functions.SPG($E39,$R$27,R$29,TearSheet!$E$11,_xll.SNL.Clients.Office.Excel.Functions.SPGOPTIONS("DataType",TearSheet!$E$23,"Src",TearSheet!$AI$40,"NA","")))</f>
        <v>3.1069972166483271</v>
      </c>
      <c r="S39" s="111" cm="1">
        <f t="array" ref="S39">IF($E39="","",_xll.SNL.Clients.Office.Excel.Functions.SPG($E39,$R$27,S$29,TearSheet!$E$11,_xll.SNL.Clients.Office.Excel.Functions.SPGOPTIONS("DataType",TearSheet!$E$23,"Src",TearSheet!$AI$40,"NA","")))</f>
        <v>20.234806629834253</v>
      </c>
      <c r="T39" s="111" cm="1">
        <f t="array" ref="T39">IF($E39="","",_xll.SNL.Clients.Office.Excel.Functions.SPG($E39,$R$27,T$29,TearSheet!$E$11,_xll.SNL.Clients.Office.Excel.Functions.SPGOPTIONS("DataType",TearSheet!$E$23,"Src",TearSheet!$AI$40,"NA","")))</f>
        <v>5.6234854117757314</v>
      </c>
      <c r="U39" s="111" cm="1">
        <f t="array" ref="U39">IF($E39="","",_xll.SNL.Clients.Office.Excel.Functions.SPG($E39,$R$27,U$29,TearSheet!$E$11,_xll.SNL.Clients.Office.Excel.Functions.SPGOPTIONS("DataType",TearSheet!$E$23,"Src",TearSheet!$AI$40,"NA","")))</f>
        <v>8.7459047405663206</v>
      </c>
      <c r="V39" s="111" cm="1">
        <f t="array" ref="V39">IF($E39="","",_xll.SNL.Clients.Office.Excel.Functions.SPG($E39,$R$27,V$29,TearSheet!$E$11,_xll.SNL.Clients.Office.Excel.Functions.SPGOPTIONS("DataType",TearSheet!$E$23,"Src",TearSheet!$AI$40,"NA","")))</f>
        <v>6.4737995684464522</v>
      </c>
      <c r="W39" s="115" cm="1">
        <f t="array" ref="W39">IF($E39="","",_xll.SNL.Clients.Office.Excel.Functions.SPG($E39,$R$27,W$29,TearSheet!$E$11,_xll.SNL.Clients.Office.Excel.Functions.SPGOPTIONS("DataType",TearSheet!$E$23,"Src",TearSheet!$AI$40,"NA","")))</f>
        <v>5.6229432205025631</v>
      </c>
    </row>
    <row r="40" spans="2:26" ht="11.25" customHeight="1" x14ac:dyDescent="0.2">
      <c r="B40" s="92" t="str">
        <f t="shared" si="2"/>
        <v>Intel Corporation</v>
      </c>
      <c r="C40" s="70"/>
      <c r="D40" s="225" t="str">
        <f t="shared" si="3"/>
        <v/>
      </c>
      <c r="E40" s="94" t="str">
        <f t="shared" si="4"/>
        <v>NASDAQGS:INTC</v>
      </c>
      <c r="F40" s="108" cm="1">
        <f t="array" ref="F40">IF($E40="","",_xll.SNL.Clients.Office.Excel.Functions.SPG($E40,$F$30,F$29,TearSheet!$E$11,_xll.SNL.Clients.Office.Excel.Functions.SPGOPTIONS("Curr",TearSheet!$AL$1,"Mag",TearSheet!$AG$33,"DataType",TearSheet!$E$23,"Src",TearSheet!$AI$40,"NA","")))</f>
        <v>53101</v>
      </c>
      <c r="G40" s="109" cm="1">
        <f t="array" ref="G40">IF($E40="","",_xll.SNL.Clients.Office.Excel.Functions.SPG($E40,$F$30,G$29,TearSheet!$E$11,_xll.SNL.Clients.Office.Excel.Functions.SPGOPTIONS("Curr",TearSheet!$AL$1,"Mag",TearSheet!$AG$33,"DataType",TearSheet!$E$23,"Src",TearSheet!$AI$40,"NA","")))</f>
        <v>52853</v>
      </c>
      <c r="H40" s="109" cm="1">
        <f t="array" ref="H40">IF($E40="","",_xll.SNL.Clients.Office.Excel.Functions.SPG($E40,$F$30,H$29,TearSheet!$E$11,_xll.SNL.Clients.Office.Excel.Functions.SPGOPTIONS("Curr",TearSheet!$AL$1,"Mag",TearSheet!$AG$33,"DataType",TearSheet!$E$23,"Src",TearSheet!$AI$40,"NA","")))</f>
        <v>63019.863563618252</v>
      </c>
      <c r="I40" s="109" cm="1">
        <f t="array" ref="I40">IF($E40="","",_xll.SNL.Clients.Office.Excel.Functions.SPG($E40,$F$30,I$29,TearSheet!$E$11,_xll.SNL.Clients.Office.Excel.Functions.SPGOPTIONS("Curr",TearSheet!$AL$1,"Mag",TearSheet!$AG$33,"DataType",TearSheet!$E$23,"Src",TearSheet!$AI$40,"NA","")))</f>
        <v>60847.218747283398</v>
      </c>
      <c r="J40" s="109" cm="1">
        <f t="array" ref="J40">IF($E40="","",_xll.SNL.Clients.Office.Excel.Functions.SPG($E40,$F$30,J$29,TearSheet!$E$11,_xll.SNL.Clients.Office.Excel.Functions.SPGOPTIONS("Curr",TearSheet!$AL$1,"Mag",TearSheet!$AG$33,"DataType",TearSheet!$E$23,"Src",TearSheet!$AI$40,"NA","")))</f>
        <v>70520.103013074317</v>
      </c>
      <c r="K40" s="154" cm="1">
        <f t="array" ref="K40">IF($E40="","",_xll.SNL.Clients.Office.Excel.Functions.SPG($E40,$F$30,K$29,TearSheet!$E$11,_xll.SNL.Clients.Office.Excel.Functions.SPGOPTIONS("Curr",TearSheet!$AL$1,"Mag",TearSheet!$AG$33,"DataType",TearSheet!$E$23,"Src",TearSheet!$AI$40,"NA","")))</f>
        <v>81188.321730946205</v>
      </c>
      <c r="L40" s="108" cm="1">
        <f t="array" ref="L40">IF($E40="","",_xll.SNL.Clients.Office.Excel.Functions.SPG($E40,$L$30,L$29,TearSheet!$E$11,_xll.SNL.Clients.Office.Excel.Functions.SPGOPTIONS("Curr",TearSheet!$AL$1,"Mag",TearSheet!$AG$33,"DataType",TearSheet!$E$23,"Src",TearSheet!$AI$40,"NA","")))</f>
        <v>19099</v>
      </c>
      <c r="M40" s="109" cm="1">
        <f t="array" ref="M40">IF($E40="","",_xll.SNL.Clients.Office.Excel.Functions.SPG($E40,$L$30,M$29,TearSheet!$E$11,_xll.SNL.Clients.Office.Excel.Functions.SPGOPTIONS("Curr",TearSheet!$AL$1,"Mag",TearSheet!$AG$33,"DataType",TearSheet!$E$23,"Src",TearSheet!$AI$40,"NA","")))</f>
        <v>19410</v>
      </c>
      <c r="N40" s="109" cm="1">
        <f t="array" ref="N40">IF($E40="","",_xll.SNL.Clients.Office.Excel.Functions.SPG($E40,$L$30,N$29,TearSheet!$E$11,_xll.SNL.Clients.Office.Excel.Functions.SPGOPTIONS("Curr",TearSheet!$AL$1,"Mag",TearSheet!$AG$33,"DataType",TearSheet!$E$23,"Src",TearSheet!$AI$40,"NA","")))</f>
        <v>26398.891342093983</v>
      </c>
      <c r="O40" s="109" cm="1">
        <f t="array" ref="O40">IF($E40="","",_xll.SNL.Clients.Office.Excel.Functions.SPG($E40,$L$30,O$29,TearSheet!$E$11,_xll.SNL.Clients.Office.Excel.Functions.SPGOPTIONS("Curr",TearSheet!$AL$1,"Mag",TearSheet!$AG$33,"DataType",TearSheet!$E$23,"Src",TearSheet!$AI$40,"NA","")))</f>
        <v>24905.374836112256</v>
      </c>
      <c r="P40" s="109" cm="1">
        <f t="array" ref="P40">IF($E40="","",_xll.SNL.Clients.Office.Excel.Functions.SPG($E40,$L$30,P$29,TearSheet!$E$11,_xll.SNL.Clients.Office.Excel.Functions.SPGOPTIONS("Curr",TearSheet!$AL$1,"Mag",TearSheet!$AG$33,"DataType",TearSheet!$E$23,"Src",TearSheet!$AI$40,"NA","")))</f>
        <v>30645.370495464482</v>
      </c>
      <c r="Q40" s="109" cm="1">
        <f t="array" ref="Q40">IF($E40="","",_xll.SNL.Clients.Office.Excel.Functions.SPG($E40,$L$30,Q$29,TearSheet!$E$11,_xll.SNL.Clients.Office.Excel.Functions.SPGOPTIONS("Curr",TearSheet!$AL$1,"Mag",TearSheet!$AG$33,"DataType",TearSheet!$E$23,"Src",TearSheet!$AI$40,"NA","")))</f>
        <v>37595.184411790156</v>
      </c>
      <c r="R40" s="110" cm="1">
        <f t="array" ref="R40">IF($E40="","",_xll.SNL.Clients.Office.Excel.Functions.SPG($E40,$R$27,R$29,TearSheet!$E$11,_xll.SNL.Clients.Office.Excel.Functions.SPGOPTIONS("DataType",TearSheet!$E$23,"Src",TearSheet!$AI$40,"NA","")))</f>
        <v>-22.028315110737314</v>
      </c>
      <c r="S40" s="111" cm="1">
        <f t="array" ref="S40">IF($E40="","",_xll.SNL.Clients.Office.Excel.Functions.SPG($E40,$R$27,S$29,TearSheet!$E$11,_xll.SNL.Clients.Office.Excel.Functions.SPGOPTIONS("DataType",TearSheet!$E$23,"Src",TearSheet!$AI$40,"NA","")))</f>
        <v>31.43370786516854</v>
      </c>
      <c r="T40" s="111" cm="1">
        <f t="array" ref="T40">IF($E40="","",_xll.SNL.Clients.Office.Excel.Functions.SPG($E40,$R$27,T$29,TearSheet!$E$11,_xll.SNL.Clients.Office.Excel.Functions.SPGOPTIONS("DataType",TearSheet!$E$23,"Src",TearSheet!$AI$40,"NA","")))</f>
        <v>56.78668349122119</v>
      </c>
      <c r="U40" s="111" cm="1">
        <f t="array" ref="U40">IF($E40="","",_xll.SNL.Clients.Office.Excel.Functions.SPG($E40,$R$27,U$29,TearSheet!$E$11,_xll.SNL.Clients.Office.Excel.Functions.SPGOPTIONS("DataType",TearSheet!$E$23,"Src",TearSheet!$AI$40,"NA","")))</f>
        <v>51.368787330037335</v>
      </c>
      <c r="V40" s="111" cm="1">
        <f t="array" ref="V40">IF($E40="","",_xll.SNL.Clients.Office.Excel.Functions.SPG($E40,$R$27,V$29,TearSheet!$E$11,_xll.SNL.Clients.Office.Excel.Functions.SPGOPTIONS("DataType",TearSheet!$E$23,"Src",TearSheet!$AI$40,"NA","")))</f>
        <v>31.145199305387429</v>
      </c>
      <c r="W40" s="115" cm="1">
        <f t="array" ref="W40">IF($E40="","",_xll.SNL.Clients.Office.Excel.Functions.SPG($E40,$R$27,W$29,TearSheet!$E$11,_xll.SNL.Clients.Office.Excel.Functions.SPGOPTIONS("DataType",TearSheet!$E$23,"Src",TearSheet!$AI$40,"NA","")))</f>
        <v>26.167588661168647</v>
      </c>
    </row>
    <row r="41" spans="2:26" ht="11.25" customHeight="1" x14ac:dyDescent="0.2">
      <c r="B41" s="92" t="str">
        <f t="shared" si="2"/>
        <v>Advanced Micro Devices, Inc.</v>
      </c>
      <c r="C41" s="237"/>
      <c r="D41" s="225" t="str">
        <f t="shared" si="3"/>
        <v/>
      </c>
      <c r="E41" s="94" t="str">
        <f t="shared" si="4"/>
        <v>NASDAQGS:AMD</v>
      </c>
      <c r="F41" s="108" cm="1">
        <f t="array" ref="F41">IF($E41="","",_xll.SNL.Clients.Office.Excel.Functions.SPG($E41,$F$30,F$29,TearSheet!$E$11,_xll.SNL.Clients.Office.Excel.Functions.SPGOPTIONS("Curr",TearSheet!$AL$1,"Mag",TearSheet!$AG$33,"DataType",TearSheet!$E$23,"Src",TearSheet!$AI$40,"NA","")))</f>
        <v>25785</v>
      </c>
      <c r="G41" s="109" cm="1">
        <f t="array" ref="G41">IF($E41="","",_xll.SNL.Clients.Office.Excel.Functions.SPG($E41,$F$30,G$29,TearSheet!$E$11,_xll.SNL.Clients.Office.Excel.Functions.SPGOPTIONS("Curr",TearSheet!$AL$1,"Mag",TearSheet!$AG$33,"DataType",TearSheet!$E$23,"Src",TearSheet!$AI$40,"NA","")))</f>
        <v>34639</v>
      </c>
      <c r="H41" s="109" cm="1">
        <f t="array" ref="H41">IF($E41="","",_xll.SNL.Clients.Office.Excel.Functions.SPG($E41,$F$30,H$29,TearSheet!$E$11,_xll.SNL.Clients.Office.Excel.Functions.SPGOPTIONS("Curr",TearSheet!$AL$1,"Mag",TearSheet!$AG$33,"DataType",TearSheet!$E$23,"Src",TearSheet!$AI$40,"NA","")))</f>
        <v>51519.734183478336</v>
      </c>
      <c r="I41" s="109" cm="1">
        <f t="array" ref="I41">IF($E41="","",_xll.SNL.Clients.Office.Excel.Functions.SPG($E41,$F$30,I$29,TearSheet!$E$11,_xll.SNL.Clients.Office.Excel.Functions.SPGOPTIONS("Curr",TearSheet!$AL$1,"Mag",TearSheet!$AG$33,"DataType",TearSheet!$E$23,"Src",TearSheet!$AI$40,"NA","")))</f>
        <v>47912.344412762417</v>
      </c>
      <c r="J41" s="109" cm="1">
        <f t="array" ref="J41">IF($E41="","",_xll.SNL.Clients.Office.Excel.Functions.SPG($E41,$F$30,J$29,TearSheet!$E$11,_xll.SNL.Clients.Office.Excel.Functions.SPGOPTIONS("Curr",TearSheet!$AL$1,"Mag",TearSheet!$AG$33,"DataType",TearSheet!$E$23,"Src",TearSheet!$AI$40,"NA","")))</f>
        <v>82133.4912700321</v>
      </c>
      <c r="K41" s="154" cm="1">
        <f t="array" ref="K41">IF($E41="","",_xll.SNL.Clients.Office.Excel.Functions.SPG($E41,$F$30,K$29,TearSheet!$E$11,_xll.SNL.Clients.Office.Excel.Functions.SPGOPTIONS("Curr",TearSheet!$AL$1,"Mag",TearSheet!$AG$33,"DataType",TearSheet!$E$23,"Src",TearSheet!$AI$40,"NA","")))</f>
        <v>118077.74792110713</v>
      </c>
      <c r="L41" s="108" cm="1">
        <f t="array" ref="L41">IF($E41="","",_xll.SNL.Clients.Office.Excel.Functions.SPG($E41,$L$30,L$29,TearSheet!$E$11,_xll.SNL.Clients.Office.Excel.Functions.SPGOPTIONS("Curr",TearSheet!$AL$1,"Mag",TearSheet!$AG$33,"DataType",TearSheet!$E$23,"Src",TearSheet!$AI$40,"NA","")))</f>
        <v>13759</v>
      </c>
      <c r="M41" s="109" cm="1">
        <f t="array" ref="M41">IF($E41="","",_xll.SNL.Clients.Office.Excel.Functions.SPG($E41,$L$30,M$29,TearSheet!$E$11,_xll.SNL.Clients.Office.Excel.Functions.SPGOPTIONS("Curr",TearSheet!$AL$1,"Mag",TearSheet!$AG$33,"DataType",TearSheet!$E$23,"Src",TearSheet!$AI$40,"NA","")))</f>
        <v>18165</v>
      </c>
      <c r="N41" s="109" cm="1">
        <f t="array" ref="N41">IF($E41="","",_xll.SNL.Clients.Office.Excel.Functions.SPG($E41,$L$30,N$29,TearSheet!$E$11,_xll.SNL.Clients.Office.Excel.Functions.SPGOPTIONS("Curr",TearSheet!$AL$1,"Mag",TearSheet!$AG$33,"DataType",TearSheet!$E$23,"Src",TearSheet!$AI$40,"NA","")))</f>
        <v>28657.140419056301</v>
      </c>
      <c r="O41" s="109" cm="1">
        <f t="array" ref="O41">IF($E41="","",_xll.SNL.Clients.Office.Excel.Functions.SPG($E41,$L$30,O$29,TearSheet!$E$11,_xll.SNL.Clients.Office.Excel.Functions.SPGOPTIONS("Curr",TearSheet!$AL$1,"Mag",TearSheet!$AG$33,"DataType",TearSheet!$E$23,"Src",TearSheet!$AI$40,"NA","")))</f>
        <v>26414.984384299067</v>
      </c>
      <c r="P41" s="109" cm="1">
        <f t="array" ref="P41">IF($E41="","",_xll.SNL.Clients.Office.Excel.Functions.SPG($E41,$L$30,P$29,TearSheet!$E$11,_xll.SNL.Clients.Office.Excel.Functions.SPGOPTIONS("Curr",TearSheet!$AL$1,"Mag",TearSheet!$AG$33,"DataType",TearSheet!$E$23,"Src",TearSheet!$AI$40,"NA","")))</f>
        <v>45363.665185930724</v>
      </c>
      <c r="Q41" s="109" cm="1">
        <f t="array" ref="Q41">IF($E41="","",_xll.SNL.Clients.Office.Excel.Functions.SPG($E41,$L$30,Q$29,TearSheet!$E$11,_xll.SNL.Clients.Office.Excel.Functions.SPGOPTIONS("Curr",TearSheet!$AL$1,"Mag",TearSheet!$AG$33,"DataType",TearSheet!$E$23,"Src",TearSheet!$AI$40,"NA","")))</f>
        <v>65179.1589150609</v>
      </c>
      <c r="R41" s="110" cm="1">
        <f t="array" ref="R41">IF($E41="","",_xll.SNL.Clients.Office.Excel.Functions.SPG($E41,$R$27,R$29,TearSheet!$E$11,_xll.SNL.Clients.Office.Excel.Functions.SPGOPTIONS("DataType",TearSheet!$E$23,"Src",TearSheet!$AI$40,"NA","")))</f>
        <v>23.908296943231441</v>
      </c>
      <c r="S41" s="111" cm="1">
        <f t="array" ref="S41">IF($E41="","",_xll.SNL.Clients.Office.Excel.Functions.SPG($E41,$R$27,S$29,TearSheet!$E$11,_xll.SNL.Clients.Office.Excel.Functions.SPGOPTIONS("DataType",TearSheet!$E$23,"Src",TearSheet!$AI$40,"NA","")))</f>
        <v>25.124816446402349</v>
      </c>
      <c r="T41" s="111" cm="1">
        <f t="array" ref="T41">IF($E41="","",_xll.SNL.Clients.Office.Excel.Functions.SPG($E41,$R$27,T$29,TearSheet!$E$11,_xll.SNL.Clients.Office.Excel.Functions.SPGOPTIONS("DataType",TearSheet!$E$23,"Src",TearSheet!$AI$40,"NA","")))</f>
        <v>73.0968752745828</v>
      </c>
      <c r="U41" s="111" cm="1">
        <f t="array" ref="U41">IF($E41="","",_xll.SNL.Clients.Office.Excel.Functions.SPG($E41,$R$27,U$29,TearSheet!$E$11,_xll.SNL.Clients.Office.Excel.Functions.SPGOPTIONS("DataType",TearSheet!$E$23,"Src",TearSheet!$AI$40,"NA","")))</f>
        <v>62.84531201814972</v>
      </c>
      <c r="V41" s="111" cm="1">
        <f t="array" ref="V41">IF($E41="","",_xll.SNL.Clients.Office.Excel.Functions.SPG($E41,$R$27,V$29,TearSheet!$E$11,_xll.SNL.Clients.Office.Excel.Functions.SPGOPTIONS("DataType",TearSheet!$E$23,"Src",TearSheet!$AI$40,"NA","")))</f>
        <v>100.30538690914916</v>
      </c>
      <c r="W41" s="115" cm="1">
        <f t="array" ref="W41">IF($E41="","",_xll.SNL.Clients.Office.Excel.Functions.SPG($E41,$R$27,W$29,TearSheet!$E$11,_xll.SNL.Clients.Office.Excel.Functions.SPGOPTIONS("DataType",TearSheet!$E$23,"Src",TearSheet!$AI$40,"NA","")))</f>
        <v>56.98444845889167</v>
      </c>
    </row>
    <row r="42" spans="2:26" ht="11.25" customHeight="1" x14ac:dyDescent="0.2">
      <c r="B42" s="92" t="str">
        <f t="shared" si="2"/>
        <v>Dell Technologies Inc.</v>
      </c>
      <c r="C42" s="238"/>
      <c r="D42" s="225" t="str">
        <f t="shared" si="3"/>
        <v/>
      </c>
      <c r="E42" s="94" t="str">
        <f t="shared" si="4"/>
        <v>NYSE:DELL</v>
      </c>
      <c r="F42" s="108" cm="1">
        <f t="array" ref="F42">IF($E42="","",_xll.SNL.Clients.Office.Excel.Functions.SPG($E42,$F$30,F$29,TearSheet!$E$11,_xll.SNL.Clients.Office.Excel.Functions.SPGOPTIONS("Curr",TearSheet!$AL$1,"Mag",TearSheet!$AG$33,"DataType",TearSheet!$E$23,"Src",TearSheet!$AI$40,"NA","")))</f>
        <v>88425</v>
      </c>
      <c r="G42" s="109" cm="1">
        <f t="array" ref="G42">IF($E42="","",_xll.SNL.Clients.Office.Excel.Functions.SPG($E42,$F$30,G$29,TearSheet!$E$11,_xll.SNL.Clients.Office.Excel.Functions.SPGOPTIONS("Curr",TearSheet!$AL$1,"Mag",TearSheet!$AG$33,"DataType",TearSheet!$E$23,"Src",TearSheet!$AI$40,"NA","")))</f>
        <v>95567</v>
      </c>
      <c r="H42" s="109" cm="1">
        <f t="array" ref="H42">IF($E42="","",_xll.SNL.Clients.Office.Excel.Functions.SPG($E42,$F$30,H$29,TearSheet!$E$11,_xll.SNL.Clients.Office.Excel.Functions.SPGOPTIONS("Curr",TearSheet!$AL$1,"Mag",TearSheet!$AG$33,"DataType",TearSheet!$E$23,"Src",TearSheet!$AI$40,"NA","")))</f>
        <v>113538</v>
      </c>
      <c r="I42" s="109" cm="1">
        <f t="array" ref="I42">IF($E42="","",_xll.SNL.Clients.Office.Excel.Functions.SPG($E42,$F$30,I$29,TearSheet!$E$11,_xll.SNL.Clients.Office.Excel.Functions.SPGOPTIONS("Curr",TearSheet!$AL$1,"Mag",TearSheet!$AG$33,"DataType",TearSheet!$E$23,"Src",TearSheet!$AI$40,"NA","")))</f>
        <v>170764.307113705</v>
      </c>
      <c r="J42" s="109" cm="1">
        <f t="array" ref="J42">IF($E42="","",_xll.SNL.Clients.Office.Excel.Functions.SPG($E42,$F$30,J$29,TearSheet!$E$11,_xll.SNL.Clients.Office.Excel.Functions.SPGOPTIONS("Curr",TearSheet!$AL$1,"Mag",TearSheet!$AG$33,"DataType",TearSheet!$E$23,"Src",TearSheet!$AI$40,"NA","")))</f>
        <v>224420.34340377073</v>
      </c>
      <c r="K42" s="154" cm="1">
        <f t="array" ref="K42">IF($E42="","",_xll.SNL.Clients.Office.Excel.Functions.SPG($E42,$F$30,K$29,TearSheet!$E$11,_xll.SNL.Clients.Office.Excel.Functions.SPGOPTIONS("Curr",TearSheet!$AL$1,"Mag",TearSheet!$AG$33,"DataType",TearSheet!$E$23,"Src",TearSheet!$AI$40,"NA","")))</f>
        <v>256869.3773055434</v>
      </c>
      <c r="L42" s="108" cm="1">
        <f t="array" ref="L42">IF($E42="","",_xll.SNL.Clients.Office.Excel.Functions.SPG($E42,$L$30,L$29,TearSheet!$E$11,_xll.SNL.Clients.Office.Excel.Functions.SPGOPTIONS("Curr",TearSheet!$AL$1,"Mag",TearSheet!$AG$33,"DataType",TearSheet!$E$23,"Src",TearSheet!$AI$40,"NA","")))</f>
        <v>21644</v>
      </c>
      <c r="M42" s="109" cm="1">
        <f t="array" ref="M42">IF($E42="","",_xll.SNL.Clients.Office.Excel.Functions.SPG($E42,$L$30,M$29,TearSheet!$E$11,_xll.SNL.Clients.Office.Excel.Functions.SPGOPTIONS("Curr",TearSheet!$AL$1,"Mag",TearSheet!$AG$33,"DataType",TearSheet!$E$23,"Src",TearSheet!$AI$40,"NA","")))</f>
        <v>21810</v>
      </c>
      <c r="N42" s="109" cm="1">
        <f t="array" ref="N42">IF($E42="","",_xll.SNL.Clients.Office.Excel.Functions.SPG($E42,$L$30,N$29,TearSheet!$E$11,_xll.SNL.Clients.Office.Excel.Functions.SPGOPTIONS("Curr",TearSheet!$AL$1,"Mag",TearSheet!$AG$33,"DataType",TearSheet!$E$23,"Src",TearSheet!$AI$40,"NA","")))</f>
        <v>23159</v>
      </c>
      <c r="O42" s="109" cm="1">
        <f t="array" ref="O42">IF($E42="","",_xll.SNL.Clients.Office.Excel.Functions.SPG($E42,$L$30,O$29,TearSheet!$E$11,_xll.SNL.Clients.Office.Excel.Functions.SPGOPTIONS("Curr",TearSheet!$AL$1,"Mag",TearSheet!$AG$33,"DataType",TearSheet!$E$23,"Src",TearSheet!$AI$40,"NA","")))</f>
        <v>33456.169347085452</v>
      </c>
      <c r="P42" s="109" cm="1">
        <f t="array" ref="P42">IF($E42="","",_xll.SNL.Clients.Office.Excel.Functions.SPG($E42,$L$30,P$29,TearSheet!$E$11,_xll.SNL.Clients.Office.Excel.Functions.SPGOPTIONS("Curr",TearSheet!$AL$1,"Mag",TearSheet!$AG$33,"DataType",TearSheet!$E$23,"Src",TearSheet!$AI$40,"NA","")))</f>
        <v>41925.493185852982</v>
      </c>
      <c r="Q42" s="109" cm="1">
        <f t="array" ref="Q42">IF($E42="","",_xll.SNL.Clients.Office.Excel.Functions.SPG($E42,$L$30,Q$29,TearSheet!$E$11,_xll.SNL.Clients.Office.Excel.Functions.SPGOPTIONS("Curr",TearSheet!$AL$1,"Mag",TearSheet!$AG$33,"DataType",TearSheet!$E$23,"Src",TearSheet!$AI$40,"NA","")))</f>
        <v>47274.461595531262</v>
      </c>
      <c r="R42" s="110" cm="1">
        <f t="array" ref="R42">IF($E42="","",_xll.SNL.Clients.Office.Excel.Functions.SPG($E42,$R$27,R$29,TearSheet!$E$11,_xll.SNL.Clients.Office.Excel.Functions.SPGOPTIONS("DataType",TearSheet!$E$23,"Src",TearSheet!$AI$40,"NA","")))</f>
        <v>-3.998515632247889</v>
      </c>
      <c r="S42" s="111" cm="1">
        <f t="array" ref="S42">IF($E42="","",_xll.SNL.Clients.Office.Excel.Functions.SPG($E42,$R$27,S$29,TearSheet!$E$11,_xll.SNL.Clients.Office.Excel.Functions.SPGOPTIONS("DataType",TearSheet!$E$23,"Src",TearSheet!$AI$40,"NA","")))</f>
        <v>6.1557788944723617</v>
      </c>
      <c r="T42" s="111" cm="1">
        <f t="array" ref="T42">IF($E42="","",_xll.SNL.Clients.Office.Excel.Functions.SPG($E42,$R$27,T$29,TearSheet!$E$11,_xll.SNL.Clients.Office.Excel.Functions.SPGOPTIONS("DataType",TearSheet!$E$23,"Src",TearSheet!$AI$40,"NA","")))</f>
        <v>14.000910332271278</v>
      </c>
      <c r="U42" s="111" cm="1">
        <f t="array" ref="U42">IF($E42="","",_xll.SNL.Clients.Office.Excel.Functions.SPG($E42,$R$27,U$29,TearSheet!$E$11,_xll.SNL.Clients.Office.Excel.Functions.SPGOPTIONS("DataType",TearSheet!$E$23,"Src",TearSheet!$AI$40,"NA","")))</f>
        <v>70.618392801763562</v>
      </c>
      <c r="V42" s="111" cm="1">
        <f t="array" ref="V42">IF($E42="","",_xll.SNL.Clients.Office.Excel.Functions.SPG($E42,$R$27,V$29,TearSheet!$E$11,_xll.SNL.Clients.Office.Excel.Functions.SPGOPTIONS("DataType",TearSheet!$E$23,"Src",TearSheet!$AI$40,"NA","")))</f>
        <v>40.241307958677865</v>
      </c>
      <c r="W42" s="115" cm="1">
        <f t="array" ref="W42">IF($E42="","",_xll.SNL.Clients.Office.Excel.Functions.SPG($E42,$R$27,W$29,TearSheet!$E$11,_xll.SNL.Clients.Office.Excel.Functions.SPGOPTIONS("DataType",TearSheet!$E$23,"Src",TearSheet!$AI$40,"NA","")))</f>
        <v>13.889610082101839</v>
      </c>
    </row>
    <row r="43" spans="2:26" ht="11.25" customHeight="1" x14ac:dyDescent="0.2">
      <c r="B43" s="213" t="str">
        <f t="shared" si="2"/>
        <v>Microsoft Corporation</v>
      </c>
      <c r="C43" s="173"/>
      <c r="D43" s="268" t="s">
        <v>468</v>
      </c>
      <c r="E43" s="214" t="str">
        <f>IF($E25="","",$E25)</f>
        <v>MSFT</v>
      </c>
      <c r="F43" s="215" cm="1">
        <f t="array" ref="F43">IF($E43="","",_xll.SNL.Clients.Office.Excel.Functions.SPG($E43,$F$30,F$29,TearSheet!$E$11,_xll.SNL.Clients.Office.Excel.Functions.SPGOPTIONS("Curr",TearSheet!$AL$1,"Mag",TearSheet!$AG$33,"DataType",TearSheet!$E$23,"Src",TearSheet!$AI$40,"NA","")))</f>
        <v>245122</v>
      </c>
      <c r="G43" s="216" cm="1">
        <f t="array" ref="G43">IF($E43="","",_xll.SNL.Clients.Office.Excel.Functions.SPG($E43,$F$30,G$29,TearSheet!$E$11,_xll.SNL.Clients.Office.Excel.Functions.SPGOPTIONS("Curr",TearSheet!$AL$1,"Mag",TearSheet!$AG$33,"DataType",TearSheet!$E$23,"Src",TearSheet!$AI$40,"NA","")))</f>
        <v>281724</v>
      </c>
      <c r="H43" s="216" cm="1">
        <f t="array" ref="H43">IF($E43="","",_xll.SNL.Clients.Office.Excel.Functions.SPG($E43,$F$30,H$29,TearSheet!$E$11,_xll.SNL.Clients.Office.Excel.Functions.SPGOPTIONS("Curr",TearSheet!$AL$1,"Mag",TearSheet!$AG$33,"DataType",TearSheet!$E$23,"Src",TearSheet!$AI$40,"NA","")))</f>
        <v>331839</v>
      </c>
      <c r="I43" s="216" cm="1">
        <f t="array" ref="I43">IF($E43="","",_xll.SNL.Clients.Office.Excel.Functions.SPG($E43,$F$30,I$29,TearSheet!$E$11,_xll.SNL.Clients.Office.Excel.Functions.SPGOPTIONS("Curr",TearSheet!$AL$1,"Mag",TearSheet!$AG$33,"DataType",TearSheet!$E$23,"Src",TearSheet!$AI$40,"NA","")))</f>
        <v>349062.67564356932</v>
      </c>
      <c r="J43" s="216" cm="1">
        <f t="array" ref="J43">IF($E43="","",_xll.SNL.Clients.Office.Excel.Functions.SPG($E43,$F$30,J$29,TearSheet!$E$11,_xll.SNL.Clients.Office.Excel.Functions.SPGOPTIONS("Curr",TearSheet!$AL$1,"Mag",TearSheet!$AG$33,"DataType",TearSheet!$E$23,"Src",TearSheet!$AI$40,"NA","")))</f>
        <v>413360.62770784501</v>
      </c>
      <c r="K43" s="207" cm="1">
        <f t="array" ref="K43">IF($E43="","",_xll.SNL.Clients.Office.Excel.Functions.SPG($E43,$F$30,K$29,TearSheet!$E$11,_xll.SNL.Clients.Office.Excel.Functions.SPGOPTIONS("Curr",TearSheet!$AL$1,"Mag",TearSheet!$AG$33,"DataType",TearSheet!$E$23,"Src",TearSheet!$AI$40,"NA","")))</f>
        <v>497058.24166396062</v>
      </c>
      <c r="L43" s="215" cm="1">
        <f t="array" ref="L43">IF($E43="","",_xll.SNL.Clients.Office.Excel.Functions.SPG($E43,$L$30,L$29,TearSheet!$E$11,_xll.SNL.Clients.Office.Excel.Functions.SPGOPTIONS("Curr",TearSheet!$AL$1,"Mag",TearSheet!$AG$33,"DataType",TearSheet!$E$23,"Src",TearSheet!$AI$40,"NA","")))</f>
        <v>171008</v>
      </c>
      <c r="M43" s="216" cm="1">
        <f t="array" ref="M43">IF($E43="","",_xll.SNL.Clients.Office.Excel.Functions.SPG($E43,$L$30,M$29,TearSheet!$E$11,_xll.SNL.Clients.Office.Excel.Functions.SPGOPTIONS("Curr",TearSheet!$AL$1,"Mag",TearSheet!$AG$33,"DataType",TearSheet!$E$23,"Src",TearSheet!$AI$40,"NA","")))</f>
        <v>193893</v>
      </c>
      <c r="N43" s="216" cm="1">
        <f t="array" ref="N43">IF($E43="","",_xll.SNL.Clients.Office.Excel.Functions.SPG($E43,$L$30,N$29,TearSheet!$E$11,_xll.SNL.Clients.Office.Excel.Functions.SPGOPTIONS("Curr",TearSheet!$AL$1,"Mag",TearSheet!$AG$33,"DataType",TearSheet!$E$23,"Src",TearSheet!$AI$40,"NA","")))</f>
        <v>225465</v>
      </c>
      <c r="O43" s="216" cm="1">
        <f t="array" ref="O43">IF($E43="","",_xll.SNL.Clients.Office.Excel.Functions.SPG($E43,$L$30,O$29,TearSheet!$E$11,_xll.SNL.Clients.Office.Excel.Functions.SPGOPTIONS("Curr",TearSheet!$AL$1,"Mag",TearSheet!$AG$33,"DataType",TearSheet!$E$23,"Src",TearSheet!$AI$40,"NA","")))</f>
        <v>235067.80922032928</v>
      </c>
      <c r="P43" s="216" cm="1">
        <f t="array" ref="P43">IF($E43="","",_xll.SNL.Clients.Office.Excel.Functions.SPG($E43,$L$30,P$29,TearSheet!$E$11,_xll.SNL.Clients.Office.Excel.Functions.SPGOPTIONS("Curr",TearSheet!$AL$1,"Mag",TearSheet!$AG$33,"DataType",TearSheet!$E$23,"Src",TearSheet!$AI$40,"NA","")))</f>
        <v>271615.13501765887</v>
      </c>
      <c r="Q43" s="216" cm="1">
        <f t="array" ref="Q43">IF($E43="","",_xll.SNL.Clients.Office.Excel.Functions.SPG($E43,$L$30,Q$29,TearSheet!$E$11,_xll.SNL.Clients.Office.Excel.Functions.SPGOPTIONS("Curr",TearSheet!$AL$1,"Mag",TearSheet!$AG$33,"DataType",TearSheet!$E$23,"Src",TearSheet!$AI$40,"NA","")))</f>
        <v>321009.5027767357</v>
      </c>
      <c r="R43" s="217" cm="1">
        <f t="array" ref="R43">IF($E43="","",_xll.SNL.Clients.Office.Excel.Functions.SPG($E43,$R$27,R$29,TearSheet!$E$11,_xll.SNL.Clients.Office.Excel.Functions.SPGOPTIONS("DataType",TearSheet!$E$23,"Src",TearSheet!$AI$40,"NA","")))</f>
        <v>27.198107285983294</v>
      </c>
      <c r="S43" s="218" cm="1">
        <f t="array" ref="S43">IF($E43="","",_xll.SNL.Clients.Office.Excel.Functions.SPG($E43,$R$27,S$29,TearSheet!$E$11,_xll.SNL.Clients.Office.Excel.Functions.SPGOPTIONS("DataType",TearSheet!$E$23,"Src",TearSheet!$AI$40,"NA","")))</f>
        <v>23.505162465836623</v>
      </c>
      <c r="T43" s="218" cm="1">
        <f t="array" ref="T43">IF($E43="","",_xll.SNL.Clients.Office.Excel.Functions.SPG($E43,$R$27,T$29,TearSheet!$E$11,_xll.SNL.Clients.Office.Excel.Functions.SPGOPTIONS("DataType",TearSheet!$E$23,"Src",TearSheet!$AI$40,"NA","")))</f>
        <v>22.130795852004844</v>
      </c>
      <c r="U43" s="218" cm="1">
        <f t="array" ref="U43">IF($E43="","",_xll.SNL.Clients.Office.Excel.Functions.SPG($E43,$R$27,U$29,TearSheet!$E$11,_xll.SNL.Clients.Office.Excel.Functions.SPGOPTIONS("DataType",TearSheet!$E$23,"Src",TearSheet!$AI$40,"NA","")))</f>
        <v>21.840084836757278</v>
      </c>
      <c r="V43" s="218" cm="1">
        <f t="array" ref="V43">IF($E43="","",_xll.SNL.Clients.Office.Excel.Functions.SPG($E43,$R$27,V$29,TearSheet!$E$11,_xll.SNL.Clients.Office.Excel.Functions.SPGOPTIONS("DataType",TearSheet!$E$23,"Src",TearSheet!$AI$40,"NA","")))</f>
        <v>21.165073662764257</v>
      </c>
      <c r="W43" s="219" cm="1">
        <f t="array" ref="W43">IF($E43="","",_xll.SNL.Clients.Office.Excel.Functions.SPG($E43,$R$27,W$29,TearSheet!$E$11,_xll.SNL.Clients.Office.Excel.Functions.SPGOPTIONS("DataType",TearSheet!$E$23,"Src",TearSheet!$AI$40,"NA","")))</f>
        <v>21.734209424941778</v>
      </c>
    </row>
    <row r="44" spans="2:26" ht="11.25" customHeight="1" x14ac:dyDescent="0.25">
      <c r="B44" s="40"/>
      <c r="C44" s="40"/>
      <c r="D44" s="40"/>
      <c r="E44" s="40"/>
      <c r="F44" s="40"/>
      <c r="G44" s="40"/>
      <c r="H44" s="40"/>
      <c r="I44" s="40"/>
      <c r="J44" s="40"/>
      <c r="K44" s="40"/>
      <c r="L44" s="40"/>
      <c r="M44" s="40"/>
      <c r="N44" s="40"/>
      <c r="O44" s="40"/>
      <c r="P44" s="40"/>
      <c r="Q44" s="40"/>
      <c r="R44" s="40"/>
      <c r="S44" s="40"/>
      <c r="T44" s="40"/>
      <c r="U44" s="40"/>
      <c r="V44" s="152"/>
      <c r="W44" s="152"/>
    </row>
    <row r="45" spans="2:26" ht="11.25" hidden="1" customHeight="1" outlineLevel="1" x14ac:dyDescent="0.35">
      <c r="F45" s="32" t="str">
        <f>LEFT(F49,LEN(F49)-4)</f>
        <v>Free Cash Flow Yield</v>
      </c>
      <c r="G45" s="44"/>
      <c r="H45" s="44"/>
      <c r="I45" s="44"/>
      <c r="J45" s="44"/>
      <c r="L45" s="32" t="str">
        <f>LEFT(L49,LEN(L49)-4)</f>
        <v>Price / Sales</v>
      </c>
      <c r="M45" s="44"/>
      <c r="N45" s="44"/>
      <c r="O45" s="44"/>
      <c r="R45" s="32" t="str">
        <f>LEFT(R49,LEN(R49)-4)</f>
        <v>Price / Free Cash Flow</v>
      </c>
      <c r="S45" s="44"/>
      <c r="T45" s="44"/>
      <c r="U45" s="32"/>
      <c r="V45" s="55"/>
      <c r="W45" s="55"/>
    </row>
    <row r="46" spans="2:26" ht="11.25" hidden="1" customHeight="1" outlineLevel="1" x14ac:dyDescent="0.35">
      <c r="F46" s="32" t="str">
        <f>RIGHT(F49,3)</f>
        <v>(%)</v>
      </c>
      <c r="G46" s="44"/>
      <c r="H46" s="44"/>
      <c r="I46" s="44"/>
      <c r="J46" s="44"/>
      <c r="L46" s="32" t="str">
        <f>RIGHT(L49,3)</f>
        <v>(x)</v>
      </c>
      <c r="M46" s="44"/>
      <c r="N46" s="44"/>
      <c r="O46" s="44"/>
      <c r="R46" s="32" t="str">
        <f>RIGHT(R49,3)</f>
        <v>(x)</v>
      </c>
      <c r="S46" s="44"/>
      <c r="T46" s="44"/>
      <c r="U46" s="32"/>
      <c r="V46" s="53"/>
      <c r="W46" s="53"/>
    </row>
    <row r="47" spans="2:26" ht="11.5" collapsed="1" x14ac:dyDescent="0.25">
      <c r="B47" s="66"/>
      <c r="C47" s="67"/>
      <c r="D47" s="67"/>
      <c r="E47" s="59"/>
      <c r="F47" s="282" t="s">
        <v>328</v>
      </c>
      <c r="G47" s="283"/>
      <c r="H47" s="283"/>
      <c r="I47" s="289"/>
      <c r="J47" s="289"/>
      <c r="K47" s="289"/>
      <c r="L47" s="289"/>
      <c r="M47" s="289"/>
      <c r="N47" s="289"/>
      <c r="O47" s="289"/>
      <c r="P47" s="289"/>
      <c r="Q47" s="289"/>
      <c r="R47" s="289"/>
      <c r="S47" s="289"/>
      <c r="T47" s="289"/>
      <c r="U47" s="289"/>
      <c r="V47" s="289"/>
      <c r="W47" s="290"/>
      <c r="Y47" s="32"/>
    </row>
    <row r="48" spans="2:26" ht="11.25" customHeight="1" collapsed="1" x14ac:dyDescent="0.2">
      <c r="B48" s="68"/>
      <c r="C48" s="69"/>
      <c r="D48" s="234"/>
      <c r="E48" s="160"/>
      <c r="F48" s="161" t="str">
        <f>IF(MID(G48,2,1)="Q",IF(MID(G48,2,2)="Q1",LEFT(G48,2)&amp;"4"&amp;RIGHT(G48,4)-1,LEFT(G48,2)&amp;(MID(G48,3,1)-1)&amp;RIGHT(G48,4)),LEFT(G48,2)&amp;(RIGHT(G48,4)-1))</f>
        <v>FY2024</v>
      </c>
      <c r="G48" s="161" t="str">
        <f>TearSheet!$E$8</f>
        <v>FY2025</v>
      </c>
      <c r="H48" s="161" t="str">
        <f>IF(MID(G48,2,1)="Q",IF(MID(G48,2,2)="Q4",LEFT(G48,2)&amp;"1"&amp;RIGHT(G48,4)+1,LEFT(G48,2)&amp;MID(G48,3,1)+1&amp;RIGHT(G48,4)),LEFT(G48,2)&amp;RIGHT(G48,4)+1)</f>
        <v>FY2026</v>
      </c>
      <c r="I48" s="162" t="s">
        <v>216</v>
      </c>
      <c r="J48" s="162" t="s">
        <v>217</v>
      </c>
      <c r="K48" s="162" t="s">
        <v>218</v>
      </c>
      <c r="L48" s="156" t="str">
        <f>IF(MID(M48,2,1)="Q",IF(MID(M48,2,2)="Q1",LEFT(M48,2)&amp;"4"&amp;RIGHT(M48,4)-1,LEFT(M48,2)&amp;(MID(M48,3,1)-1)&amp;RIGHT(M48,4)),LEFT(M48,2)&amp;(RIGHT(M48,4)-1))</f>
        <v>FY2024</v>
      </c>
      <c r="M48" s="156" t="str">
        <f>TearSheet!$E$8</f>
        <v>FY2025</v>
      </c>
      <c r="N48" s="156" t="str">
        <f>IF(MID(M48,2,1)="Q",IF(MID(M48,2,2)="Q4",LEFT(M48,2)&amp;"1"&amp;RIGHT(M48,4)+1,LEFT(M48,2)&amp;MID(M48,3,1)+1&amp;RIGHT(M48,4)),LEFT(M48,2)&amp;RIGHT(M48,4)+1)</f>
        <v>FY2026</v>
      </c>
      <c r="O48" s="156" t="s">
        <v>216</v>
      </c>
      <c r="P48" s="156" t="s">
        <v>217</v>
      </c>
      <c r="Q48" s="156" t="s">
        <v>218</v>
      </c>
      <c r="R48" s="156" t="str">
        <f>IF(MID(S48,2,1)="Q",IF(MID(S48,2,2)="Q1",LEFT(S48,2)&amp;"4"&amp;RIGHT(S48,4)-1,LEFT(S48,2)&amp;(MID(S48,3,1)-1)&amp;RIGHT(S48,4)),LEFT(S48,2)&amp;(RIGHT(S48,4)-1))</f>
        <v>FY2024</v>
      </c>
      <c r="S48" s="156" t="str">
        <f>TearSheet!$E$8</f>
        <v>FY2025</v>
      </c>
      <c r="T48" s="156" t="str">
        <f>IF(MID(S48,2,1)="Q",IF(MID(S48,2,2)="Q4",LEFT(S48,2)&amp;"1"&amp;RIGHT(S48,4)+1,LEFT(S48,2)&amp;MID(S48,3,1)+1&amp;RIGHT(S48,4)),LEFT(S48,2)&amp;RIGHT(S48,4)+1)</f>
        <v>FY2026</v>
      </c>
      <c r="U48" s="156" t="s">
        <v>216</v>
      </c>
      <c r="V48" s="156" t="s">
        <v>217</v>
      </c>
      <c r="W48" s="156" t="s">
        <v>218</v>
      </c>
    </row>
    <row r="49" spans="2:28" ht="11.25" customHeight="1" x14ac:dyDescent="0.25">
      <c r="B49" s="68" t="s">
        <v>206</v>
      </c>
      <c r="C49" s="69"/>
      <c r="D49" s="235" t="s">
        <v>463</v>
      </c>
      <c r="E49" s="65" t="s">
        <v>207</v>
      </c>
      <c r="F49" s="286" t="s">
        <v>259</v>
      </c>
      <c r="G49" s="287"/>
      <c r="H49" s="287"/>
      <c r="I49" s="287"/>
      <c r="J49" s="287"/>
      <c r="K49" s="288"/>
      <c r="L49" s="286" t="s">
        <v>245</v>
      </c>
      <c r="M49" s="287"/>
      <c r="N49" s="287"/>
      <c r="O49" s="287"/>
      <c r="P49" s="287"/>
      <c r="Q49" s="288"/>
      <c r="R49" s="286" t="s">
        <v>249</v>
      </c>
      <c r="S49" s="287"/>
      <c r="T49" s="287"/>
      <c r="U49" s="287"/>
      <c r="V49" s="287"/>
      <c r="W49" s="288"/>
    </row>
    <row r="50" spans="2:28" ht="11.25" customHeight="1" x14ac:dyDescent="0.2">
      <c r="B50" s="92" t="str">
        <f t="shared" ref="B50:B62" si="5">IF($B31="","",$B31)</f>
        <v>Alphabet Inc.</v>
      </c>
      <c r="C50" s="93"/>
      <c r="D50" s="225" t="str">
        <f>IF(D13="","",D13)</f>
        <v/>
      </c>
      <c r="E50" s="95" t="str">
        <f>IF(D50&lt;&gt;"",D50,IF(AA13="","",AA13))</f>
        <v>NASDAQGS:GOOGL</v>
      </c>
      <c r="F50" s="50" cm="1">
        <f t="array" ref="F50">IF($E50="","",_xll.SNL.Clients.Office.Excel.Functions.SPG($E50,$F$45,F$48,TearSheet!$E$11,_xll.SNL.Clients.Office.Excel.Functions.SPGOPTIONS("DataType",TearSheet!$E$23,"Src",TearSheet!$AI$40,"NA","")))</f>
        <v>3.0881084155060381</v>
      </c>
      <c r="G50" s="51" cm="1">
        <f t="array" ref="G50">IF($E50="","",_xll.SNL.Clients.Office.Excel.Functions.SPG($E50,$F$45,G$48,TearSheet!$E$11,_xll.SNL.Clients.Office.Excel.Functions.SPGOPTIONS("DataType",TearSheet!$E$23,"Src",TearSheet!$AI$40,"NA","")))</f>
        <v>1.9139548431422233</v>
      </c>
      <c r="H50" s="51" cm="1">
        <f t="array" ref="H50">IF($E50="","",_xll.SNL.Clients.Office.Excel.Functions.SPG($E50,$F$45,H$48,TearSheet!$E$11,_xll.SNL.Clients.Office.Excel.Functions.SPGOPTIONS("DataType",TearSheet!$E$23,"Src",TearSheet!$AI$40,"NA","")))</f>
        <v>9.2861790591708973E-2</v>
      </c>
      <c r="I50" s="51" cm="1">
        <f t="array" ref="I50">IF($E50="","",_xll.SNL.Clients.Office.Excel.Functions.SPG($E50,$F$45,I$48,TearSheet!$E$11,_xll.SNL.Clients.Office.Excel.Functions.SPGOPTIONS("DataType",TearSheet!$E$23,"Src",TearSheet!$AI$40,"NA","")))</f>
        <v>0.43488060800538325</v>
      </c>
      <c r="J50" s="51" cm="1">
        <f t="array" ref="J50">IF($E50="","",_xll.SNL.Clients.Office.Excel.Functions.SPG($E50,$F$45,J$48,TearSheet!$E$11,_xll.SNL.Clients.Office.Excel.Functions.SPGOPTIONS("DataType",TearSheet!$E$23,"Src",TearSheet!$AI$40,"NA","")))</f>
        <v>-0.49484479423830718</v>
      </c>
      <c r="K50" s="51" cm="1">
        <f t="array" ref="K50">IF($E50="","",_xll.SNL.Clients.Office.Excel.Functions.SPG($E50,$F$45,K$48,TearSheet!$E$11,_xll.SNL.Clients.Office.Excel.Functions.SPGOPTIONS("DataType",TearSheet!$E$23,"Src",TearSheet!$AI$40,"NA","")))</f>
        <v>-5.0510100231551364E-2</v>
      </c>
      <c r="L50" s="47" cm="1">
        <f t="array" ref="L50">IF($E50="","",_xll.SNL.Clients.Office.Excel.Functions.SPG($E50,$L$45,L$48,TearSheet!$E$11,_xll.SNL.Clients.Office.Excel.Functions.SPGOPTIONS("DataType",TearSheet!$E$23,"Src",TearSheet!$AI$40,"NA","")))</f>
        <v>6.7317026552920138</v>
      </c>
      <c r="M50" s="48" cm="1">
        <f t="array" ref="M50">IF($E50="","",_xll.SNL.Clients.Office.Excel.Functions.SPG($E50,$L$45,M$48,TearSheet!$E$11,_xll.SNL.Clients.Office.Excel.Functions.SPGOPTIONS("DataType",TearSheet!$E$23,"Src",TearSheet!$AI$40,"NA","")))</f>
        <v>9.502601554975227</v>
      </c>
      <c r="N50" s="48" cm="1">
        <f t="array" ref="N50">IF($E50="","",_xll.SNL.Clients.Office.Excel.Functions.SPG($E50,$L$45,N$48,TearSheet!$E$11,_xll.SNL.Clients.Office.Excel.Functions.SPGOPTIONS("DataType",TearSheet!$E$23,"Src",TearSheet!$AI$40,"NA","")))</f>
        <v>8.7210177104569571</v>
      </c>
      <c r="O50" s="48" cm="1">
        <f t="array" ref="O50">IF($E50="","",_xll.SNL.Clients.Office.Excel.Functions.SPG($E50,$L$45,O$48,TearSheet!$E$11,_xll.SNL.Clients.Office.Excel.Functions.SPGOPTIONS("DataType",TearSheet!$E$23,"Src",TearSheet!$AI$40,"NA","")))</f>
        <v>9.0861298586121766</v>
      </c>
      <c r="P50" s="48" cm="1">
        <f t="array" ref="P50">IF($E50="","",_xll.SNL.Clients.Office.Excel.Functions.SPG($E50,$L$45,P$48,TearSheet!$E$11,_xll.SNL.Clients.Office.Excel.Functions.SPGOPTIONS("DataType",TearSheet!$E$23,"Src",TearSheet!$AI$40,"NA","")))</f>
        <v>7.3505882753796108</v>
      </c>
      <c r="Q50" s="48" cm="1">
        <f t="array" ref="Q50">IF($E50="","",_xll.SNL.Clients.Office.Excel.Functions.SPG($E50,$L$45,Q$48,TearSheet!$E$11,_xll.SNL.Clients.Office.Excel.Functions.SPGOPTIONS("DataType",TearSheet!$E$23,"Src",TearSheet!$AI$40,"NA","")))</f>
        <v>6.1217277318312027</v>
      </c>
      <c r="R50" s="47" cm="1">
        <f t="array" ref="R50">IF($E50="","",_xll.SNL.Clients.Office.Excel.Functions.SPG($E50,$R$45,R$48,TearSheet!$E$11,_xll.SNL.Clients.Office.Excel.Functions.SPGOPTIONS("DataType",TearSheet!$E$23,"Src",TearSheet!$AI$40,"NA","")))</f>
        <v>32.382282790940593</v>
      </c>
      <c r="S50" s="48" cm="1">
        <f t="array" ref="S50">IF($E50="","",_xll.SNL.Clients.Office.Excel.Functions.SPG($E50,$R$45,S$48,TearSheet!$E$11,_xll.SNL.Clients.Office.Excel.Functions.SPGOPTIONS("DataType",TearSheet!$E$23,"Src",TearSheet!$AI$40,"NA","")))</f>
        <v>52.24783665001501</v>
      </c>
      <c r="T50" s="48" t="str" cm="1">
        <f t="array" ref="T50">IF($E50="","",_xll.SNL.Clients.Office.Excel.Functions.SPG($E50,$R$45,T$48,TearSheet!$E$11,_xll.SNL.Clients.Office.Excel.Functions.SPGOPTIONS("DataType",TearSheet!$E$23,"Src",TearSheet!$AI$40,"NA","")))</f>
        <v>NA</v>
      </c>
      <c r="U50" s="48" cm="1">
        <f t="array" ref="U50">IF($E50="","",_xll.SNL.Clients.Office.Excel.Functions.SPG($E50,$R$45,U$48,TearSheet!$E$11,_xll.SNL.Clients.Office.Excel.Functions.SPGOPTIONS("DataType",TearSheet!$E$23,"Src",TearSheet!$AI$40,"NA","")))</f>
        <v>229.94817004754125</v>
      </c>
      <c r="V50" s="48" t="str" cm="1">
        <f t="array" ref="V50">IF($E50="","",_xll.SNL.Clients.Office.Excel.Functions.SPG($E50,$R$45,V$48,TearSheet!$E$11,_xll.SNL.Clients.Office.Excel.Functions.SPGOPTIONS("DataType",TearSheet!$E$23,"Src",TearSheet!$AI$40,"NA","")))</f>
        <v>NA</v>
      </c>
      <c r="W50" s="49" t="str" cm="1">
        <f t="array" ref="W50">IF($E50="","",_xll.SNL.Clients.Office.Excel.Functions.SPG($E50,$R$45,W$48,TearSheet!$E$11,_xll.SNL.Clients.Office.Excel.Functions.SPGOPTIONS("DataType",TearSheet!$E$23,"Src",TearSheet!$AI$40,"NA","")))</f>
        <v>NA</v>
      </c>
    </row>
    <row r="51" spans="2:28" ht="11.25" customHeight="1" x14ac:dyDescent="0.2">
      <c r="B51" s="92" t="str">
        <f t="shared" si="5"/>
        <v>Oracle Corporation</v>
      </c>
      <c r="C51" s="93"/>
      <c r="D51" s="225" t="str">
        <f t="shared" ref="D51:D61" si="6">IF(D14="","",D14)</f>
        <v/>
      </c>
      <c r="E51" s="94" t="str">
        <f t="shared" ref="E51:E61" si="7">IF(D51&lt;&gt;"",D51,IF(AA14="","",AA14))</f>
        <v>NYSE:ORCL</v>
      </c>
      <c r="F51" s="50" cm="1">
        <f t="array" ref="F51">IF($E51="","",_xll.SNL.Clients.Office.Excel.Functions.SPG($E51,$F$45,F$48,TearSheet!$E$11,_xll.SNL.Clients.Office.Excel.Functions.SPGOPTIONS("DataType",TearSheet!$E$23,"Src",TearSheet!$AI$40,"NA","")))</f>
        <v>3.5689308293929849</v>
      </c>
      <c r="G51" s="51" cm="1">
        <f t="array" ref="G51">IF($E51="","",_xll.SNL.Clients.Office.Excel.Functions.SPG($E51,$F$45,G$48,TearSheet!$E$11,_xll.SNL.Clients.Office.Excel.Functions.SPGOPTIONS("DataType",TearSheet!$E$23,"Src",TearSheet!$AI$40,"NA","")))</f>
        <v>-8.3043460631774924E-2</v>
      </c>
      <c r="H51" s="51" cm="1">
        <f t="array" ref="H51">IF($E51="","",_xll.SNL.Clients.Office.Excel.Functions.SPG($E51,$F$45,H$48,TearSheet!$E$11,_xll.SNL.Clients.Office.Excel.Functions.SPGOPTIONS("DataType",TearSheet!$E$23,"Src",TearSheet!$AI$40,"NA","")))</f>
        <v>-3.600117776714634</v>
      </c>
      <c r="I51" s="51" cm="1">
        <f t="array" ref="I51">IF($E51="","",_xll.SNL.Clients.Office.Excel.Functions.SPG($E51,$F$45,I$48,TearSheet!$E$11,_xll.SNL.Clients.Office.Excel.Functions.SPGOPTIONS("DataType",TearSheet!$E$23,"Src",TearSheet!$AI$40,"NA","")))</f>
        <v>-6.5981391743761035</v>
      </c>
      <c r="J51" s="51" cm="1">
        <f t="array" ref="J51">IF($E51="","",_xll.SNL.Clients.Office.Excel.Functions.SPG($E51,$F$45,J$48,TearSheet!$E$11,_xll.SNL.Clients.Office.Excel.Functions.SPGOPTIONS("DataType",TearSheet!$E$23,"Src",TearSheet!$AI$40,"NA","")))</f>
        <v>-7.828520662214264</v>
      </c>
      <c r="K51" s="51" cm="1">
        <f t="array" ref="K51">IF($E51="","",_xll.SNL.Clients.Office.Excel.Functions.SPG($E51,$F$45,K$48,TearSheet!$E$11,_xll.SNL.Clients.Office.Excel.Functions.SPGOPTIONS("DataType",TearSheet!$E$23,"Src",TearSheet!$AI$40,"NA","")))</f>
        <v>-4.4117239713600513</v>
      </c>
      <c r="L51" s="50" cm="1">
        <f t="array" ref="L51">IF($E51="","",_xll.SNL.Clients.Office.Excel.Functions.SPG($E51,$L$45,L$48,TearSheet!$E$11,_xll.SNL.Clients.Office.Excel.Functions.SPGOPTIONS("DataType",TearSheet!$E$23,"Src",TearSheet!$AI$40,"NA","")))</f>
        <v>6.2466224202715201</v>
      </c>
      <c r="M51" s="51" cm="1">
        <f t="array" ref="M51">IF($E51="","",_xll.SNL.Clients.Office.Excel.Functions.SPG($E51,$L$45,M$48,TearSheet!$E$11,_xll.SNL.Clients.Office.Excel.Functions.SPGOPTIONS("DataType",TearSheet!$E$23,"Src",TearSheet!$AI$40,"NA","")))</f>
        <v>8.2651087998048745</v>
      </c>
      <c r="N51" s="51" cm="1">
        <f t="array" ref="N51">IF($E51="","",_xll.SNL.Clients.Office.Excel.Functions.SPG($E51,$L$45,N$48,TearSheet!$E$11,_xll.SNL.Clients.Office.Excel.Functions.SPGOPTIONS("DataType",TearSheet!$E$23,"Src",TearSheet!$AI$40,"NA","")))</f>
        <v>9.7676992740175486</v>
      </c>
      <c r="O51" s="51" cm="1">
        <f t="array" ref="O51">IF($E51="","",_xll.SNL.Clients.Office.Excel.Functions.SPG($E51,$L$45,O$48,TearSheet!$E$11,_xll.SNL.Clients.Office.Excel.Functions.SPGOPTIONS("DataType",TearSheet!$E$23,"Src",TearSheet!$AI$40,"NA","")))</f>
        <v>5.5853427127141035</v>
      </c>
      <c r="P51" s="51" cm="1">
        <f t="array" ref="P51">IF($E51="","",_xll.SNL.Clients.Office.Excel.Functions.SPG($E51,$L$45,P$48,TearSheet!$E$11,_xll.SNL.Clients.Office.Excel.Functions.SPGOPTIONS("DataType",TearSheet!$E$23,"Src",TearSheet!$AI$40,"NA","")))</f>
        <v>4.1256349255440501</v>
      </c>
      <c r="Q51" s="51" cm="1">
        <f t="array" ref="Q51">IF($E51="","",_xll.SNL.Clients.Office.Excel.Functions.SPG($E51,$L$45,Q$48,TearSheet!$E$11,_xll.SNL.Clients.Office.Excel.Functions.SPGOPTIONS("DataType",TearSheet!$E$23,"Src",TearSheet!$AI$40,"NA","")))</f>
        <v>2.9331565391782339</v>
      </c>
      <c r="R51" s="50" cm="1">
        <f t="array" ref="R51">IF($E51="","",_xll.SNL.Clients.Office.Excel.Functions.SPG($E51,$R$45,R$48,TearSheet!$E$11,_xll.SNL.Clients.Office.Excel.Functions.SPGOPTIONS("DataType",TearSheet!$E$23,"Src",TearSheet!$AI$40,"NA","")))</f>
        <v>28.019596002371479</v>
      </c>
      <c r="S51" s="51" t="str" cm="1">
        <f t="array" ref="S51">IF($E51="","",_xll.SNL.Clients.Office.Excel.Functions.SPG($E51,$R$45,S$48,TearSheet!$E$11,_xll.SNL.Clients.Office.Excel.Functions.SPGOPTIONS("DataType",TearSheet!$E$23,"Src",TearSheet!$AI$40,"NA","")))</f>
        <v>NA</v>
      </c>
      <c r="T51" s="51" t="str" cm="1">
        <f t="array" ref="T51">IF($E51="","",_xll.SNL.Clients.Office.Excel.Functions.SPG($E51,$R$45,T$48,TearSheet!$E$11,_xll.SNL.Clients.Office.Excel.Functions.SPGOPTIONS("DataType",TearSheet!$E$23,"Src",TearSheet!$AI$40,"NA","")))</f>
        <v>NA</v>
      </c>
      <c r="U51" s="51" t="str" cm="1">
        <f t="array" ref="U51">IF($E51="","",_xll.SNL.Clients.Office.Excel.Functions.SPG($E51,$R$45,U$48,TearSheet!$E$11,_xll.SNL.Clients.Office.Excel.Functions.SPGOPTIONS("DataType",TearSheet!$E$23,"Src",TearSheet!$AI$40,"NA","")))</f>
        <v>NA</v>
      </c>
      <c r="V51" s="51" t="str" cm="1">
        <f t="array" ref="V51">IF($E51="","",_xll.SNL.Clients.Office.Excel.Functions.SPG($E51,$R$45,V$48,TearSheet!$E$11,_xll.SNL.Clients.Office.Excel.Functions.SPGOPTIONS("DataType",TearSheet!$E$23,"Src",TearSheet!$AI$40,"NA","")))</f>
        <v>NA</v>
      </c>
      <c r="W51" s="52" t="str" cm="1">
        <f t="array" ref="W51">IF($E51="","",_xll.SNL.Clients.Office.Excel.Functions.SPG($E51,$R$45,W$48,TearSheet!$E$11,_xll.SNL.Clients.Office.Excel.Functions.SPGOPTIONS("DataType",TearSheet!$E$23,"Src",TearSheet!$AI$40,"NA","")))</f>
        <v>NA</v>
      </c>
    </row>
    <row r="52" spans="2:28" ht="11.25" customHeight="1" x14ac:dyDescent="0.2">
      <c r="B52" s="92" t="str">
        <f t="shared" si="5"/>
        <v>Apple Inc.</v>
      </c>
      <c r="C52" s="93"/>
      <c r="D52" s="225" t="str">
        <f t="shared" si="6"/>
        <v/>
      </c>
      <c r="E52" s="94" t="str">
        <f t="shared" si="7"/>
        <v>NASDAQGS:AAPL</v>
      </c>
      <c r="F52" s="50" cm="1">
        <f t="array" ref="F52">IF($E52="","",_xll.SNL.Clients.Office.Excel.Functions.SPG($E52,$F$45,F$48,TearSheet!$E$11,_xll.SNL.Clients.Office.Excel.Functions.SPGOPTIONS("DataType",TearSheet!$E$23,"Src",TearSheet!$AI$40,"NA","")))</f>
        <v>3.0308049824697716</v>
      </c>
      <c r="G52" s="51" cm="1">
        <f t="array" ref="G52">IF($E52="","",_xll.SNL.Clients.Office.Excel.Functions.SPG($E52,$F$45,G$48,TearSheet!$E$11,_xll.SNL.Clients.Office.Excel.Functions.SPGOPTIONS("DataType",TearSheet!$E$23,"Src",TearSheet!$AI$40,"NA","")))</f>
        <v>2.585086398339679</v>
      </c>
      <c r="H52" s="51" cm="1">
        <f t="array" ref="H52">IF($E52="","",_xll.SNL.Clients.Office.Excel.Functions.SPG($E52,$F$45,H$48,TearSheet!$E$11,_xll.SNL.Clients.Office.Excel.Functions.SPGOPTIONS("DataType",TearSheet!$E$23,"Src",TearSheet!$AI$40,"NA","")))</f>
        <v>2.8542897722776757</v>
      </c>
      <c r="I52" s="51" cm="1">
        <f t="array" ref="I52">IF($E52="","",_xll.SNL.Clients.Office.Excel.Functions.SPG($E52,$F$45,I$48,TearSheet!$E$11,_xll.SNL.Clients.Office.Excel.Functions.SPGOPTIONS("DataType",TearSheet!$E$23,"Src",TearSheet!$AI$40,"NA","")))</f>
        <v>2.8688897197083048</v>
      </c>
      <c r="J52" s="51" cm="1">
        <f t="array" ref="J52">IF($E52="","",_xll.SNL.Clients.Office.Excel.Functions.SPG($E52,$F$45,J$48,TearSheet!$E$11,_xll.SNL.Clients.Office.Excel.Functions.SPGOPTIONS("DataType",TearSheet!$E$23,"Src",TearSheet!$AI$40,"NA","")))</f>
        <v>3.2461877537803594</v>
      </c>
      <c r="K52" s="51" cm="1">
        <f t="array" ref="K52">IF($E52="","",_xll.SNL.Clients.Office.Excel.Functions.SPG($E52,$F$45,K$48,TearSheet!$E$11,_xll.SNL.Clients.Office.Excel.Functions.SPGOPTIONS("DataType",TearSheet!$E$23,"Src",TearSheet!$AI$40,"NA","")))</f>
        <v>3.533836036584697</v>
      </c>
      <c r="L52" s="50" cm="1">
        <f t="array" ref="L52">IF($E52="","",_xll.SNL.Clients.Office.Excel.Functions.SPG($E52,$L$45,L$48,TearSheet!$E$11,_xll.SNL.Clients.Office.Excel.Functions.SPGOPTIONS("DataType",TearSheet!$E$23,"Src",TearSheet!$AI$40,"NA","")))</f>
        <v>9.1809841446417835</v>
      </c>
      <c r="M52" s="51" cm="1">
        <f t="array" ref="M52">IF($E52="","",_xll.SNL.Clients.Office.Excel.Functions.SPG($E52,$L$45,M$48,TearSheet!$E$11,_xll.SNL.Clients.Office.Excel.Functions.SPGOPTIONS("DataType",TearSheet!$E$23,"Src",TearSheet!$AI$40,"NA","")))</f>
        <v>9.1806920809734684</v>
      </c>
      <c r="N52" s="51" cm="1">
        <f t="array" ref="N52">IF($E52="","",_xll.SNL.Clients.Office.Excel.Functions.SPG($E52,$L$45,N$48,TearSheet!$E$11,_xll.SNL.Clients.Office.Excel.Functions.SPGOPTIONS("DataType",TearSheet!$E$23,"Src",TearSheet!$AI$40,"NA","")))</f>
        <v>10.524586925030711</v>
      </c>
      <c r="O52" s="51" cm="1">
        <f t="array" ref="O52">IF($E52="","",_xll.SNL.Clients.Office.Excel.Functions.SPG($E52,$L$45,O$48,TearSheet!$E$11,_xll.SNL.Clients.Office.Excel.Functions.SPGOPTIONS("DataType",TearSheet!$E$23,"Src",TearSheet!$AI$40,"NA","")))</f>
        <v>10.475571755478265</v>
      </c>
      <c r="P52" s="51" cm="1">
        <f t="array" ref="P52">IF($E52="","",_xll.SNL.Clients.Office.Excel.Functions.SPG($E52,$L$45,P$48,TearSheet!$E$11,_xll.SNL.Clients.Office.Excel.Functions.SPGOPTIONS("DataType",TearSheet!$E$23,"Src",TearSheet!$AI$40,"NA","")))</f>
        <v>9.3470082780354584</v>
      </c>
      <c r="Q52" s="51" cm="1">
        <f t="array" ref="Q52">IF($E52="","",_xll.SNL.Clients.Office.Excel.Functions.SPG($E52,$L$45,Q$48,TearSheet!$E$11,_xll.SNL.Clients.Office.Excel.Functions.SPGOPTIONS("DataType",TearSheet!$E$23,"Src",TearSheet!$AI$40,"NA","")))</f>
        <v>8.558942613915665</v>
      </c>
      <c r="R52" s="50" cm="1">
        <f t="array" ref="R52">IF($E52="","",_xll.SNL.Clients.Office.Excel.Functions.SPG($E52,$R$45,R$48,TearSheet!$E$11,_xll.SNL.Clients.Office.Excel.Functions.SPGOPTIONS("DataType",TearSheet!$E$23,"Src",TearSheet!$AI$40,"NA","")))</f>
        <v>32.994534646208429</v>
      </c>
      <c r="S52" s="51" cm="1">
        <f t="array" ref="S52">IF($E52="","",_xll.SNL.Clients.Office.Excel.Functions.SPG($E52,$R$45,S$48,TearSheet!$E$11,_xll.SNL.Clients.Office.Excel.Functions.SPGOPTIONS("DataType",TearSheet!$E$23,"Src",TearSheet!$AI$40,"NA","")))</f>
        <v>38.683426621341134</v>
      </c>
      <c r="T52" s="51" cm="1">
        <f t="array" ref="T52">IF($E52="","",_xll.SNL.Clients.Office.Excel.Functions.SPG($E52,$R$45,T$48,TearSheet!$E$11,_xll.SNL.Clients.Office.Excel.Functions.SPGOPTIONS("DataType",TearSheet!$E$23,"Src",TearSheet!$AI$40,"NA","")))</f>
        <v>35.034985225134193</v>
      </c>
      <c r="U52" s="51" cm="1">
        <f t="array" ref="U52">IF($E52="","",_xll.SNL.Clients.Office.Excel.Functions.SPG($E52,$R$45,U$48,TearSheet!$E$11,_xll.SNL.Clients.Office.Excel.Functions.SPGOPTIONS("DataType",TearSheet!$E$23,"Src",TearSheet!$AI$40,"NA","")))</f>
        <v>34.856690138011835</v>
      </c>
      <c r="V52" s="51" cm="1">
        <f t="array" ref="V52">IF($E52="","",_xll.SNL.Clients.Office.Excel.Functions.SPG($E52,$R$45,V$48,TearSheet!$E$11,_xll.SNL.Clients.Office.Excel.Functions.SPGOPTIONS("DataType",TearSheet!$E$23,"Src",TearSheet!$AI$40,"NA","")))</f>
        <v>30.805365427044279</v>
      </c>
      <c r="W52" s="52" cm="1">
        <f t="array" ref="W52">IF($E52="","",_xll.SNL.Clients.Office.Excel.Functions.SPG($E52,$R$45,W$48,TearSheet!$E$11,_xll.SNL.Clients.Office.Excel.Functions.SPGOPTIONS("DataType",TearSheet!$E$23,"Src",TearSheet!$AI$40,"NA","")))</f>
        <v>28.297860728322235</v>
      </c>
    </row>
    <row r="53" spans="2:28" ht="11.25" customHeight="1" x14ac:dyDescent="0.2">
      <c r="B53" s="92" t="str">
        <f t="shared" si="5"/>
        <v>NVIDIA Corporation</v>
      </c>
      <c r="C53" s="93"/>
      <c r="D53" s="225" t="str">
        <f t="shared" si="6"/>
        <v/>
      </c>
      <c r="E53" s="94" t="str">
        <f t="shared" si="7"/>
        <v>NASDAQGS:NVDA</v>
      </c>
      <c r="F53" s="50" cm="1">
        <f t="array" ref="F53">IF($E53="","",_xll.SNL.Clients.Office.Excel.Functions.SPG($E53,$F$45,F$48,TearSheet!$E$11,_xll.SNL.Clients.Office.Excel.Functions.SPGOPTIONS("DataType",TearSheet!$E$23,"Src",TearSheet!$AI$40,"NA","")))</f>
        <v>1.7612008581160319</v>
      </c>
      <c r="G53" s="51" cm="1">
        <f t="array" ref="G53">IF($E53="","",_xll.SNL.Clients.Office.Excel.Functions.SPG($E53,$F$45,G$48,TearSheet!$E$11,_xll.SNL.Clients.Office.Excel.Functions.SPGOPTIONS("DataType",TearSheet!$E$23,"Src",TearSheet!$AI$40,"NA","")))</f>
        <v>2.04327000724071</v>
      </c>
      <c r="H53" s="51" cm="1">
        <f t="array" ref="H53">IF($E53="","",_xll.SNL.Clients.Office.Excel.Functions.SPG($E53,$F$45,H$48,TearSheet!$E$11,_xll.SNL.Clients.Office.Excel.Functions.SPGOPTIONS("DataType",TearSheet!$E$23,"Src",TearSheet!$AI$40,"NA","")))</f>
        <v>2.0633629663552786</v>
      </c>
      <c r="I53" s="51" cm="1">
        <f t="array" ref="I53">IF($E53="","",_xll.SNL.Clients.Office.Excel.Functions.SPG($E53,$F$45,I$48,TearSheet!$E$11,_xll.SNL.Clients.Office.Excel.Functions.SPGOPTIONS("DataType",TearSheet!$E$23,"Src",TearSheet!$AI$40,"NA","")))</f>
        <v>2.8501031079941885</v>
      </c>
      <c r="J53" s="51" cm="1">
        <f t="array" ref="J53">IF($E53="","",_xll.SNL.Clients.Office.Excel.Functions.SPG($E53,$F$45,J$48,TearSheet!$E$11,_xll.SNL.Clients.Office.Excel.Functions.SPGOPTIONS("DataType",TearSheet!$E$23,"Src",TearSheet!$AI$40,"NA","")))</f>
        <v>5.1793958470575472</v>
      </c>
      <c r="K53" s="51" cm="1">
        <f t="array" ref="K53">IF($E53="","",_xll.SNL.Clients.Office.Excel.Functions.SPG($E53,$F$45,K$48,TearSheet!$E$11,_xll.SNL.Clients.Office.Excel.Functions.SPGOPTIONS("DataType",TearSheet!$E$23,"Src",TearSheet!$AI$40,"NA","")))</f>
        <v>7.7793173201621713</v>
      </c>
      <c r="L53" s="50" cm="1">
        <f t="array" ref="L53">IF($E53="","",_xll.SNL.Clients.Office.Excel.Functions.SPG($E53,$L$45,L$48,TearSheet!$E$11,_xll.SNL.Clients.Office.Excel.Functions.SPGOPTIONS("DataType",TearSheet!$E$23,"Src",TearSheet!$AI$40,"NA","")))</f>
        <v>25.183632710679227</v>
      </c>
      <c r="M53" s="51" cm="1">
        <f t="array" ref="M53">IF($E53="","",_xll.SNL.Clients.Office.Excel.Functions.SPG($E53,$L$45,M$48,TearSheet!$E$11,_xll.SNL.Clients.Office.Excel.Functions.SPGOPTIONS("DataType",TearSheet!$E$23,"Src",TearSheet!$AI$40,"NA","")))</f>
        <v>22.822105335754845</v>
      </c>
      <c r="N53" s="51" cm="1">
        <f t="array" ref="N53">IF($E53="","",_xll.SNL.Clients.Office.Excel.Functions.SPG($E53,$L$45,N$48,TearSheet!$E$11,_xll.SNL.Clients.Office.Excel.Functions.SPGOPTIONS("DataType",TearSheet!$E$23,"Src",TearSheet!$AI$40,"NA","")))</f>
        <v>21.6977133251211</v>
      </c>
      <c r="O53" s="51" cm="1">
        <f t="array" ref="O53">IF($E53="","",_xll.SNL.Clients.Office.Excel.Functions.SPG($E53,$L$45,O$48,TearSheet!$E$11,_xll.SNL.Clients.Office.Excel.Functions.SPGOPTIONS("DataType",TearSheet!$E$23,"Src",TearSheet!$AI$40,"NA","")))</f>
        <v>15.760295391901407</v>
      </c>
      <c r="P53" s="51" cm="1">
        <f t="array" ref="P53">IF($E53="","",_xll.SNL.Clients.Office.Excel.Functions.SPG($E53,$L$45,P$48,TearSheet!$E$11,_xll.SNL.Clients.Office.Excel.Functions.SPGOPTIONS("DataType",TearSheet!$E$23,"Src",TearSheet!$AI$40,"NA","")))</f>
        <v>8.945550778238875</v>
      </c>
      <c r="Q53" s="51" cm="1">
        <f t="array" ref="Q53">IF($E53="","",_xll.SNL.Clients.Office.Excel.Functions.SPG($E53,$L$45,Q$48,TearSheet!$E$11,_xll.SNL.Clients.Office.Excel.Functions.SPGOPTIONS("DataType",TearSheet!$E$23,"Src",TearSheet!$AI$40,"NA","")))</f>
        <v>6.3181024874161844</v>
      </c>
      <c r="R53" s="50" cm="1">
        <f t="array" ref="R53">IF($E53="","",_xll.SNL.Clients.Office.Excel.Functions.SPG($E53,$R$45,R$48,TearSheet!$E$11,_xll.SNL.Clients.Office.Excel.Functions.SPGOPTIONS("DataType",TearSheet!$E$23,"Src",TearSheet!$AI$40,"NA","")))</f>
        <v>56.779440879316084</v>
      </c>
      <c r="S53" s="51" cm="1">
        <f t="array" ref="S53">IF($E53="","",_xll.SNL.Clients.Office.Excel.Functions.SPG($E53,$R$45,S$48,TearSheet!$E$11,_xll.SNL.Clients.Office.Excel.Functions.SPGOPTIONS("DataType",TearSheet!$E$23,"Src",TearSheet!$AI$40,"NA","")))</f>
        <v>48.941157872249519</v>
      </c>
      <c r="T53" s="51" cm="1">
        <f t="array" ref="T53">IF($E53="","",_xll.SNL.Clients.Office.Excel.Functions.SPG($E53,$R$45,T$48,TearSheet!$E$11,_xll.SNL.Clients.Office.Excel.Functions.SPGOPTIONS("DataType",TearSheet!$E$23,"Src",TearSheet!$AI$40,"NA","")))</f>
        <v>48.464570524225245</v>
      </c>
      <c r="U53" s="51" cm="1">
        <f t="array" ref="U53">IF($E53="","",_xll.SNL.Clients.Office.Excel.Functions.SPG($E53,$R$45,U$48,TearSheet!$E$11,_xll.SNL.Clients.Office.Excel.Functions.SPGOPTIONS("DataType",TearSheet!$E$23,"Src",TearSheet!$AI$40,"NA","")))</f>
        <v>35.086449932113787</v>
      </c>
      <c r="V53" s="51" cm="1">
        <f t="array" ref="V53">IF($E53="","",_xll.SNL.Clients.Office.Excel.Functions.SPG($E53,$R$45,V$48,TearSheet!$E$11,_xll.SNL.Clients.Office.Excel.Functions.SPGOPTIONS("DataType",TearSheet!$E$23,"Src",TearSheet!$AI$40,"NA","")))</f>
        <v>19.307271147620572</v>
      </c>
      <c r="W53" s="52" cm="1">
        <f t="array" ref="W53">IF($E53="","",_xll.SNL.Clients.Office.Excel.Functions.SPG($E53,$R$45,W$48,TearSheet!$E$11,_xll.SNL.Clients.Office.Excel.Functions.SPGOPTIONS("DataType",TearSheet!$E$23,"Src",TearSheet!$AI$40,"NA","")))</f>
        <v>12.854598402975977</v>
      </c>
    </row>
    <row r="54" spans="2:28" ht="11.25" customHeight="1" x14ac:dyDescent="0.2">
      <c r="B54" s="92" t="str">
        <f t="shared" si="5"/>
        <v>Adobe Inc.</v>
      </c>
      <c r="C54" s="93"/>
      <c r="D54" s="225" t="str">
        <f t="shared" si="6"/>
        <v/>
      </c>
      <c r="E54" s="94" t="str">
        <f t="shared" si="7"/>
        <v>NASDAQGS:ADBE</v>
      </c>
      <c r="F54" s="50" cm="1">
        <f t="array" ref="F54">IF($E54="","",_xll.SNL.Clients.Office.Excel.Functions.SPG($E54,$F$45,F$48,TearSheet!$E$11,_xll.SNL.Clients.Office.Excel.Functions.SPGOPTIONS("DataType",TearSheet!$E$23,"Src",TearSheet!$AI$40,"NA","")))</f>
        <v>3.3910715708634034</v>
      </c>
      <c r="G54" s="51" cm="1">
        <f t="array" ref="G54">IF($E54="","",_xll.SNL.Clients.Office.Excel.Functions.SPG($E54,$F$45,G$48,TearSheet!$E$11,_xll.SNL.Clients.Office.Excel.Functions.SPGOPTIONS("DataType",TearSheet!$E$23,"Src",TearSheet!$AI$40,"NA","")))</f>
        <v>7.2114815834099026</v>
      </c>
      <c r="H54" s="51" cm="1">
        <f t="array" ref="H54">IF($E54="","",_xll.SNL.Clients.Office.Excel.Functions.SPG($E54,$F$45,H$48,TearSheet!$E$11,_xll.SNL.Clients.Office.Excel.Functions.SPGOPTIONS("DataType",TearSheet!$E$23,"Src",TearSheet!$AI$40,"NA","")))</f>
        <v>10.830224115148415</v>
      </c>
      <c r="I54" s="51" cm="1">
        <f t="array" ref="I54">IF($E54="","",_xll.SNL.Clients.Office.Excel.Functions.SPG($E54,$F$45,I$48,TearSheet!$E$11,_xll.SNL.Clients.Office.Excel.Functions.SPGOPTIONS("DataType",TearSheet!$E$23,"Src",TearSheet!$AI$40,"NA","")))</f>
        <v>10.693787121801515</v>
      </c>
      <c r="J54" s="51" cm="1">
        <f t="array" ref="J54">IF($E54="","",_xll.SNL.Clients.Office.Excel.Functions.SPG($E54,$F$45,J$48,TearSheet!$E$11,_xll.SNL.Clients.Office.Excel.Functions.SPGOPTIONS("DataType",TearSheet!$E$23,"Src",TearSheet!$AI$40,"NA","")))</f>
        <v>12.184315442040178</v>
      </c>
      <c r="K54" s="51" cm="1">
        <f t="array" ref="K54">IF($E54="","",_xll.SNL.Clients.Office.Excel.Functions.SPG($E54,$F$45,K$48,TearSheet!$E$11,_xll.SNL.Clients.Office.Excel.Functions.SPGOPTIONS("DataType",TearSheet!$E$23,"Src",TearSheet!$AI$40,"NA","")))</f>
        <v>13.549518214075645</v>
      </c>
      <c r="L54" s="50" cm="1">
        <f t="array" ref="L54">IF($E54="","",_xll.SNL.Clients.Office.Excel.Functions.SPG($E54,$L$45,L$48,TearSheet!$E$11,_xll.SNL.Clients.Office.Excel.Functions.SPGOPTIONS("DataType",TearSheet!$E$23,"Src",TearSheet!$AI$40,"NA","")))</f>
        <v>10.784028598000463</v>
      </c>
      <c r="M54" s="51" cm="1">
        <f t="array" ref="M54">IF($E54="","",_xll.SNL.Clients.Office.Excel.Functions.SPG($E54,$L$45,M$48,TearSheet!$E$11,_xll.SNL.Clients.Office.Excel.Functions.SPGOPTIONS("DataType",TearSheet!$E$23,"Src",TearSheet!$AI$40,"NA","")))</f>
        <v>5.7509996213555468</v>
      </c>
      <c r="N54" s="51" cm="1">
        <f t="array" ref="N54">IF($E54="","",_xll.SNL.Clients.Office.Excel.Functions.SPG($E54,$L$45,N$48,TearSheet!$E$11,_xll.SNL.Clients.Office.Excel.Functions.SPGOPTIONS("DataType",TearSheet!$E$23,"Src",TearSheet!$AI$40,"NA","")))</f>
        <v>3.5557120715442636</v>
      </c>
      <c r="O54" s="51" cm="1">
        <f t="array" ref="O54">IF($E54="","",_xll.SNL.Clients.Office.Excel.Functions.SPG($E54,$L$45,O$48,TearSheet!$E$11,_xll.SNL.Clients.Office.Excel.Functions.SPGOPTIONS("DataType",TearSheet!$E$23,"Src",TearSheet!$AI$40,"NA","")))</f>
        <v>3.6316141085322338</v>
      </c>
      <c r="P54" s="51" cm="1">
        <f t="array" ref="P54">IF($E54="","",_xll.SNL.Clients.Office.Excel.Functions.SPG($E54,$L$45,P$48,TearSheet!$E$11,_xll.SNL.Clients.Office.Excel.Functions.SPGOPTIONS("DataType",TearSheet!$E$23,"Src",TearSheet!$AI$40,"NA","")))</f>
        <v>3.1801331973936104</v>
      </c>
      <c r="Q54" s="51" cm="1">
        <f t="array" ref="Q54">IF($E54="","",_xll.SNL.Clients.Office.Excel.Functions.SPG($E54,$L$45,Q$48,TearSheet!$E$11,_xll.SNL.Clients.Office.Excel.Functions.SPGOPTIONS("DataType",TearSheet!$E$23,"Src",TearSheet!$AI$40,"NA","")))</f>
        <v>2.8406722098120585</v>
      </c>
      <c r="R54" s="50" cm="1">
        <f t="array" ref="R54">IF($E54="","",_xll.SNL.Clients.Office.Excel.Functions.SPG($E54,$R$45,R$48,TearSheet!$E$11,_xll.SNL.Clients.Office.Excel.Functions.SPGOPTIONS("DataType",TearSheet!$E$23,"Src",TearSheet!$AI$40,"NA","")))</f>
        <v>29.489203607265335</v>
      </c>
      <c r="S54" s="51" cm="1">
        <f t="array" ref="S54">IF($E54="","",_xll.SNL.Clients.Office.Excel.Functions.SPG($E54,$R$45,S$48,TearSheet!$E$11,_xll.SNL.Clients.Office.Excel.Functions.SPGOPTIONS("DataType",TearSheet!$E$23,"Src",TearSheet!$AI$40,"NA","")))</f>
        <v>13.866776035322777</v>
      </c>
      <c r="T54" s="51" cm="1">
        <f t="array" ref="T54">IF($E54="","",_xll.SNL.Clients.Office.Excel.Functions.SPG($E54,$R$45,T$48,TearSheet!$E$11,_xll.SNL.Clients.Office.Excel.Functions.SPGOPTIONS("DataType",TearSheet!$E$23,"Src",TearSheet!$AI$40,"NA","")))</f>
        <v>9.2334192660083865</v>
      </c>
      <c r="U54" s="51" cm="1">
        <f t="array" ref="U54">IF($E54="","",_xll.SNL.Clients.Office.Excel.Functions.SPG($E54,$R$45,U$48,TearSheet!$E$11,_xll.SNL.Clients.Office.Excel.Functions.SPGOPTIONS("DataType",TearSheet!$E$23,"Src",TearSheet!$AI$40,"NA","")))</f>
        <v>9.3512241136845855</v>
      </c>
      <c r="V54" s="51" cm="1">
        <f t="array" ref="V54">IF($E54="","",_xll.SNL.Clients.Office.Excel.Functions.SPG($E54,$R$45,V$48,TearSheet!$E$11,_xll.SNL.Clients.Office.Excel.Functions.SPGOPTIONS("DataType",TearSheet!$E$23,"Src",TearSheet!$AI$40,"NA","")))</f>
        <v>8.2072727413938082</v>
      </c>
      <c r="W54" s="52" cm="1">
        <f t="array" ref="W54">IF($E54="","",_xll.SNL.Clients.Office.Excel.Functions.SPG($E54,$R$45,W$48,TearSheet!$E$11,_xll.SNL.Clients.Office.Excel.Functions.SPGOPTIONS("DataType",TearSheet!$E$23,"Src",TearSheet!$AI$40,"NA","")))</f>
        <v>7.3803362171296261</v>
      </c>
    </row>
    <row r="55" spans="2:28" ht="11.25" customHeight="1" x14ac:dyDescent="0.2">
      <c r="B55" s="92" t="str">
        <f t="shared" si="5"/>
        <v>Salesforce, Inc.</v>
      </c>
      <c r="C55" s="93"/>
      <c r="D55" s="225" t="str">
        <f t="shared" si="6"/>
        <v/>
      </c>
      <c r="E55" s="94" t="str">
        <f t="shared" si="7"/>
        <v>NYSE:CRM</v>
      </c>
      <c r="F55" s="50" cm="1">
        <f t="array" ref="F55">IF($E55="","",_xll.SNL.Clients.Office.Excel.Functions.SPG($E55,$F$45,F$48,TearSheet!$E$11,_xll.SNL.Clients.Office.Excel.Functions.SPGOPTIONS("DataType",TearSheet!$E$23,"Src",TearSheet!$AI$40,"NA","")))</f>
        <v>3.4321878475652574</v>
      </c>
      <c r="G55" s="51" cm="1">
        <f t="array" ref="G55">IF($E55="","",_xll.SNL.Clients.Office.Excel.Functions.SPG($E55,$F$45,G$48,TearSheet!$E$11,_xll.SNL.Clients.Office.Excel.Functions.SPGOPTIONS("DataType",TearSheet!$E$23,"Src",TearSheet!$AI$40,"NA","")))</f>
        <v>3.7350418280978048</v>
      </c>
      <c r="H55" s="51" cm="1">
        <f t="array" ref="H55">IF($E55="","",_xll.SNL.Clients.Office.Excel.Functions.SPG($E55,$F$45,H$48,TearSheet!$E$11,_xll.SNL.Clients.Office.Excel.Functions.SPGOPTIONS("DataType",TearSheet!$E$23,"Src",TearSheet!$AI$40,"NA","")))</f>
        <v>7.0963557192921742</v>
      </c>
      <c r="I55" s="51" cm="1">
        <f t="array" ref="I55">IF($E55="","",_xll.SNL.Clients.Office.Excel.Functions.SPG($E55,$F$45,I$48,TearSheet!$E$11,_xll.SNL.Clients.Office.Excel.Functions.SPGOPTIONS("DataType",TearSheet!$E$23,"Src",TearSheet!$AI$40,"NA","")))</f>
        <v>7.2451619443713229</v>
      </c>
      <c r="J55" s="51" cm="1">
        <f t="array" ref="J55">IF($E55="","",_xll.SNL.Clients.Office.Excel.Functions.SPG($E55,$F$45,J$48,TearSheet!$E$11,_xll.SNL.Clients.Office.Excel.Functions.SPGOPTIONS("DataType",TearSheet!$E$23,"Src",TearSheet!$AI$40,"NA","")))</f>
        <v>8.1267775926079899</v>
      </c>
      <c r="K55" s="51" cm="1">
        <f t="array" ref="K55">IF($E55="","",_xll.SNL.Clients.Office.Excel.Functions.SPG($E55,$F$45,K$48,TearSheet!$E$11,_xll.SNL.Clients.Office.Excel.Functions.SPGOPTIONS("DataType",TearSheet!$E$23,"Src",TearSheet!$AI$40,"NA","")))</f>
        <v>9.2883767479781394</v>
      </c>
      <c r="L55" s="50" cm="1">
        <f t="array" ref="L55">IF($E55="","",_xll.SNL.Clients.Office.Excel.Functions.SPG($E55,$L$45,L$48,TearSheet!$E$11,_xll.SNL.Clients.Office.Excel.Functions.SPGOPTIONS("DataType",TearSheet!$E$23,"Src",TearSheet!$AI$40,"NA","")))</f>
        <v>7.9390970249878068</v>
      </c>
      <c r="M55" s="51" cm="1">
        <f t="array" ref="M55">IF($E55="","",_xll.SNL.Clients.Office.Excel.Functions.SPG($E55,$L$45,M$48,TearSheet!$E$11,_xll.SNL.Clients.Office.Excel.Functions.SPGOPTIONS("DataType",TearSheet!$E$23,"Src",TearSheet!$AI$40,"NA","")))</f>
        <v>8.7848324317192237</v>
      </c>
      <c r="N55" s="51" cm="1">
        <f t="array" ref="N55">IF($E55="","",_xll.SNL.Clients.Office.Excel.Functions.SPG($E55,$L$45,N$48,TearSheet!$E$11,_xll.SNL.Clients.Office.Excel.Functions.SPGOPTIONS("DataType",TearSheet!$E$23,"Src",TearSheet!$AI$40,"NA","")))</f>
        <v>4.8873989163154725</v>
      </c>
      <c r="O55" s="51" cm="1">
        <f t="array" ref="O55">IF($E55="","",_xll.SNL.Clients.Office.Excel.Functions.SPG($E55,$L$45,O$48,TearSheet!$E$11,_xll.SNL.Clients.Office.Excel.Functions.SPGOPTIONS("DataType",TearSheet!$E$23,"Src",TearSheet!$AI$40,"NA","")))</f>
        <v>4.5928194811021061</v>
      </c>
      <c r="P55" s="51" cm="1">
        <f t="array" ref="P55">IF($E55="","",_xll.SNL.Clients.Office.Excel.Functions.SPG($E55,$L$45,P$48,TearSheet!$E$11,_xll.SNL.Clients.Office.Excel.Functions.SPGOPTIONS("DataType",TearSheet!$E$23,"Src",TearSheet!$AI$40,"NA","")))</f>
        <v>3.9737649536897863</v>
      </c>
      <c r="Q55" s="51" cm="1">
        <f t="array" ref="Q55">IF($E55="","",_xll.SNL.Clients.Office.Excel.Functions.SPG($E55,$L$45,Q$48,TearSheet!$E$11,_xll.SNL.Clients.Office.Excel.Functions.SPGOPTIONS("DataType",TearSheet!$E$23,"Src",TearSheet!$AI$40,"NA","")))</f>
        <v>3.5463450054507</v>
      </c>
      <c r="R55" s="50" cm="1">
        <f t="array" ref="R55">IF($E55="","",_xll.SNL.Clients.Office.Excel.Functions.SPG($E55,$R$45,R$48,TearSheet!$E$11,_xll.SNL.Clients.Office.Excel.Functions.SPGOPTIONS("DataType",TearSheet!$E$23,"Src",TearSheet!$AI$40,"NA","")))</f>
        <v>29.135934407243621</v>
      </c>
      <c r="S55" s="51" cm="1">
        <f t="array" ref="S55">IF($E55="","",_xll.SNL.Clients.Office.Excel.Functions.SPG($E55,$R$45,S$48,TearSheet!$E$11,_xll.SNL.Clients.Office.Excel.Functions.SPGOPTIONS("DataType",TearSheet!$E$23,"Src",TearSheet!$AI$40,"NA","")))</f>
        <v>26.773461878719665</v>
      </c>
      <c r="T55" s="51" cm="1">
        <f t="array" ref="T55">IF($E55="","",_xll.SNL.Clients.Office.Excel.Functions.SPG($E55,$R$45,T$48,TearSheet!$E$11,_xll.SNL.Clients.Office.Excel.Functions.SPGOPTIONS("DataType",TearSheet!$E$23,"Src",TearSheet!$AI$40,"NA","")))</f>
        <v>14.091740036106096</v>
      </c>
      <c r="U55" s="51" cm="1">
        <f t="array" ref="U55">IF($E55="","",_xll.SNL.Clients.Office.Excel.Functions.SPG($E55,$R$45,U$48,TearSheet!$E$11,_xll.SNL.Clients.Office.Excel.Functions.SPGOPTIONS("DataType",TearSheet!$E$23,"Src",TearSheet!$AI$40,"NA","")))</f>
        <v>13.80231398108206</v>
      </c>
      <c r="V55" s="51" cm="1">
        <f t="array" ref="V55">IF($E55="","",_xll.SNL.Clients.Office.Excel.Functions.SPG($E55,$R$45,V$48,TearSheet!$E$11,_xll.SNL.Clients.Office.Excel.Functions.SPGOPTIONS("DataType",TearSheet!$E$23,"Src",TearSheet!$AI$40,"NA","")))</f>
        <v>12.305000212010071</v>
      </c>
      <c r="W55" s="52" cm="1">
        <f t="array" ref="W55">IF($E55="","",_xll.SNL.Clients.Office.Excel.Functions.SPG($E55,$R$45,W$48,TearSheet!$E$11,_xll.SNL.Clients.Office.Excel.Functions.SPGOPTIONS("DataType",TearSheet!$E$23,"Src",TearSheet!$AI$40,"NA","")))</f>
        <v>10.76614382828169</v>
      </c>
    </row>
    <row r="56" spans="2:28" ht="11.25" customHeight="1" x14ac:dyDescent="0.2">
      <c r="B56" s="92" t="str">
        <f t="shared" si="5"/>
        <v>Meta Platforms, Inc.</v>
      </c>
      <c r="C56" s="93"/>
      <c r="D56" s="225" t="str">
        <f t="shared" si="6"/>
        <v/>
      </c>
      <c r="E56" s="94" t="str">
        <f t="shared" si="7"/>
        <v>NASDAQGS:META</v>
      </c>
      <c r="F56" s="50" cm="1">
        <f t="array" ref="F56">IF($E56="","",_xll.SNL.Clients.Office.Excel.Functions.SPG($E56,$F$45,F$48,TearSheet!$E$11,_xll.SNL.Clients.Office.Excel.Functions.SPGOPTIONS("DataType",TearSheet!$E$23,"Src",TearSheet!$AI$40,"NA","")))</f>
        <v>3.4042608463926918</v>
      </c>
      <c r="G56" s="51" cm="1">
        <f t="array" ref="G56">IF($E56="","",_xll.SNL.Clients.Office.Excel.Functions.SPG($E56,$F$45,G$48,TearSheet!$E$11,_xll.SNL.Clients.Office.Excel.Functions.SPGOPTIONS("DataType",TearSheet!$E$23,"Src",TearSheet!$AI$40,"NA","")))</f>
        <v>2.564975229694054</v>
      </c>
      <c r="H56" s="51" cm="1">
        <f t="array" ref="H56">IF($E56="","",_xll.SNL.Clients.Office.Excel.Functions.SPG($E56,$F$45,H$48,TearSheet!$E$11,_xll.SNL.Clients.Office.Excel.Functions.SPGOPTIONS("DataType",TearSheet!$E$23,"Src",TearSheet!$AI$40,"NA","")))</f>
        <v>-0.27402561162037403</v>
      </c>
      <c r="I56" s="51" cm="1">
        <f t="array" ref="I56">IF($E56="","",_xll.SNL.Clients.Office.Excel.Functions.SPG($E56,$F$45,I$48,TearSheet!$E$11,_xll.SNL.Clients.Office.Excel.Functions.SPGOPTIONS("DataType",TearSheet!$E$23,"Src",TearSheet!$AI$40,"NA","")))</f>
        <v>0.25904639988426237</v>
      </c>
      <c r="J56" s="51" cm="1">
        <f t="array" ref="J56">IF($E56="","",_xll.SNL.Clients.Office.Excel.Functions.SPG($E56,$F$45,J$48,TearSheet!$E$11,_xll.SNL.Clients.Office.Excel.Functions.SPGOPTIONS("DataType",TearSheet!$E$23,"Src",TearSheet!$AI$40,"NA","")))</f>
        <v>-1.1297296976601912</v>
      </c>
      <c r="K56" s="51" cm="1">
        <f t="array" ref="K56">IF($E56="","",_xll.SNL.Clients.Office.Excel.Functions.SPG($E56,$F$45,K$48,TearSheet!$E$11,_xll.SNL.Clients.Office.Excel.Functions.SPGOPTIONS("DataType",TearSheet!$E$23,"Src",TearSheet!$AI$40,"NA","")))</f>
        <v>-0.53530462496033782</v>
      </c>
      <c r="L56" s="50" cm="1">
        <f t="array" ref="L56">IF($E56="","",_xll.SNL.Clients.Office.Excel.Functions.SPG($E56,$L$45,L$48,TearSheet!$E$11,_xll.SNL.Clients.Office.Excel.Functions.SPGOPTIONS("DataType",TearSheet!$E$23,"Src",TearSheet!$AI$40,"NA","")))</f>
        <v>9.3040920364741648</v>
      </c>
      <c r="M56" s="51" cm="1">
        <f t="array" ref="M56">IF($E56="","",_xll.SNL.Clients.Office.Excel.Functions.SPG($E56,$L$45,M$48,TearSheet!$E$11,_xll.SNL.Clients.Office.Excel.Functions.SPGOPTIONS("DataType",TearSheet!$E$23,"Src",TearSheet!$AI$40,"NA","")))</f>
        <v>8.4553861742094405</v>
      </c>
      <c r="N56" s="51" cm="1">
        <f t="array" ref="N56">IF($E56="","",_xll.SNL.Clients.Office.Excel.Functions.SPG($E56,$L$45,N$48,TearSheet!$E$11,_xll.SNL.Clients.Office.Excel.Functions.SPGOPTIONS("DataType",TearSheet!$E$23,"Src",TearSheet!$AI$40,"NA","")))</f>
        <v>7.7137495678454453</v>
      </c>
      <c r="O56" s="51" cm="1">
        <f t="array" ref="O56">IF($E56="","",_xll.SNL.Clients.Office.Excel.Functions.SPG($E56,$L$45,O$48,TearSheet!$E$11,_xll.SNL.Clients.Office.Excel.Functions.SPGOPTIONS("DataType",TearSheet!$E$23,"Src",TearSheet!$AI$40,"NA","")))</f>
        <v>8.0766149082930454</v>
      </c>
      <c r="P56" s="51" cm="1">
        <f t="array" ref="P56">IF($E56="","",_xll.SNL.Clients.Office.Excel.Functions.SPG($E56,$L$45,P$48,TearSheet!$E$11,_xll.SNL.Clients.Office.Excel.Functions.SPGOPTIONS("DataType",TearSheet!$E$23,"Src",TearSheet!$AI$40,"NA","")))</f>
        <v>6.6821260434438647</v>
      </c>
      <c r="Q56" s="51" cm="1">
        <f t="array" ref="Q56">IF($E56="","",_xll.SNL.Clients.Office.Excel.Functions.SPG($E56,$L$45,Q$48,TearSheet!$E$11,_xll.SNL.Clients.Office.Excel.Functions.SPGOPTIONS("DataType",TearSheet!$E$23,"Src",TearSheet!$AI$40,"NA","")))</f>
        <v>5.6551638441373422</v>
      </c>
      <c r="R56" s="50" cm="1">
        <f t="array" ref="R56">IF($E56="","",_xll.SNL.Clients.Office.Excel.Functions.SPG($E56,$R$45,R$48,TearSheet!$E$11,_xll.SNL.Clients.Office.Excel.Functions.SPGOPTIONS("DataType",TearSheet!$E$23,"Src",TearSheet!$AI$40,"NA","")))</f>
        <v>29.374952306009252</v>
      </c>
      <c r="S56" s="51" cm="1">
        <f t="array" ref="S56">IF($E56="","",_xll.SNL.Clients.Office.Excel.Functions.SPG($E56,$R$45,S$48,TearSheet!$E$11,_xll.SNL.Clients.Office.Excel.Functions.SPGOPTIONS("DataType",TearSheet!$E$23,"Src",TearSheet!$AI$40,"NA","")))</f>
        <v>38.986731272226685</v>
      </c>
      <c r="T56" s="51" t="str" cm="1">
        <f t="array" ref="T56">IF($E56="","",_xll.SNL.Clients.Office.Excel.Functions.SPG($E56,$R$45,T$48,TearSheet!$E$11,_xll.SNL.Clients.Office.Excel.Functions.SPGOPTIONS("DataType",TearSheet!$E$23,"Src",TearSheet!$AI$40,"NA","")))</f>
        <v>NA</v>
      </c>
      <c r="U56" s="51" t="str" cm="1">
        <f t="array" ref="U56">IF($E56="","",_xll.SNL.Clients.Office.Excel.Functions.SPG($E56,$R$45,U$48,TearSheet!$E$11,_xll.SNL.Clients.Office.Excel.Functions.SPGOPTIONS("DataType",TearSheet!$E$23,"Src",TearSheet!$AI$40,"NA","")))</f>
        <v>NA</v>
      </c>
      <c r="V56" s="51" t="str" cm="1">
        <f t="array" ref="V56">IF($E56="","",_xll.SNL.Clients.Office.Excel.Functions.SPG($E56,$R$45,V$48,TearSheet!$E$11,_xll.SNL.Clients.Office.Excel.Functions.SPGOPTIONS("DataType",TearSheet!$E$23,"Src",TearSheet!$AI$40,"NA","")))</f>
        <v>NA</v>
      </c>
      <c r="W56" s="52" t="str" cm="1">
        <f t="array" ref="W56">IF($E56="","",_xll.SNL.Clients.Office.Excel.Functions.SPG($E56,$R$45,W$48,TearSheet!$E$11,_xll.SNL.Clients.Office.Excel.Functions.SPGOPTIONS("DataType",TearSheet!$E$23,"Src",TearSheet!$AI$40,"NA","")))</f>
        <v>NA</v>
      </c>
    </row>
    <row r="57" spans="2:28" ht="11.25" customHeight="1" x14ac:dyDescent="0.2">
      <c r="B57" s="92" t="str">
        <f t="shared" si="5"/>
        <v>Broadcom Inc.</v>
      </c>
      <c r="C57" s="93"/>
      <c r="D57" s="225" t="str">
        <f t="shared" si="6"/>
        <v/>
      </c>
      <c r="E57" s="94" t="str">
        <f t="shared" si="7"/>
        <v>NASDAQGS:AVGO</v>
      </c>
      <c r="F57" s="50" cm="1">
        <f t="array" ref="F57">IF($E57="","",_xll.SNL.Clients.Office.Excel.Functions.SPG($E57,$F$45,F$48,TearSheet!$E$11,_xll.SNL.Clients.Office.Excel.Functions.SPGOPTIONS("DataType",TearSheet!$E$23,"Src",TearSheet!$AI$40,"NA","")))</f>
        <v>2.34477578845441</v>
      </c>
      <c r="G57" s="51" cm="1">
        <f t="array" ref="G57">IF($E57="","",_xll.SNL.Clients.Office.Excel.Functions.SPG($E57,$F$45,G$48,TearSheet!$E$11,_xll.SNL.Clients.Office.Excel.Functions.SPGOPTIONS("DataType",TearSheet!$E$23,"Src",TearSheet!$AI$40,"NA","")))</f>
        <v>1.4730599614492208</v>
      </c>
      <c r="H57" s="51" cm="1">
        <f t="array" ref="H57">IF($E57="","",_xll.SNL.Clients.Office.Excel.Functions.SPG($E57,$F$45,H$48,TearSheet!$E$11,_xll.SNL.Clients.Office.Excel.Functions.SPGOPTIONS("DataType",TearSheet!$E$23,"Src",TearSheet!$AI$40,"NA","")))</f>
        <v>2.9416510492943773</v>
      </c>
      <c r="I57" s="51" cm="1">
        <f t="array" ref="I57">IF($E57="","",_xll.SNL.Clients.Office.Excel.Functions.SPG($E57,$F$45,I$48,TearSheet!$E$11,_xll.SNL.Clients.Office.Excel.Functions.SPGOPTIONS("DataType",TearSheet!$E$23,"Src",TearSheet!$AI$40,"NA","")))</f>
        <v>2.8756165202902522</v>
      </c>
      <c r="J57" s="51" cm="1">
        <f t="array" ref="J57">IF($E57="","",_xll.SNL.Clients.Office.Excel.Functions.SPG($E57,$F$45,J$48,TearSheet!$E$11,_xll.SNL.Clients.Office.Excel.Functions.SPGOPTIONS("DataType",TearSheet!$E$23,"Src",TearSheet!$AI$40,"NA","")))</f>
        <v>4.9182187120222283</v>
      </c>
      <c r="K57" s="51" cm="1">
        <f t="array" ref="K57">IF($E57="","",_xll.SNL.Clients.Office.Excel.Functions.SPG($E57,$F$45,K$48,TearSheet!$E$11,_xll.SNL.Clients.Office.Excel.Functions.SPGOPTIONS("DataType",TearSheet!$E$23,"Src",TearSheet!$AI$40,"NA","")))</f>
        <v>7.519782267286983</v>
      </c>
      <c r="L57" s="50" cm="1">
        <f t="array" ref="L57">IF($E57="","",_xll.SNL.Clients.Office.Excel.Functions.SPG($E57,$L$45,L$48,TearSheet!$E$11,_xll.SNL.Clients.Office.Excel.Functions.SPGOPTIONS("DataType",TearSheet!$E$23,"Src",TearSheet!$AI$40,"NA","")))</f>
        <v>16.053986310931865</v>
      </c>
      <c r="M57" s="51" cm="1">
        <f t="array" ref="M57">IF($E57="","",_xll.SNL.Clients.Office.Excel.Functions.SPG($E57,$L$45,M$48,TearSheet!$E$11,_xll.SNL.Clients.Office.Excel.Functions.SPGOPTIONS("DataType",TearSheet!$E$23,"Src",TearSheet!$AI$40,"NA","")))</f>
        <v>28.598636498818227</v>
      </c>
      <c r="N57" s="51" cm="1">
        <f t="array" ref="N57">IF($E57="","",_xll.SNL.Clients.Office.Excel.Functions.SPG($E57,$L$45,N$48,TearSheet!$E$11,_xll.SNL.Clients.Office.Excel.Functions.SPGOPTIONS("DataType",TearSheet!$E$23,"Src",TearSheet!$AI$40,"NA","")))</f>
        <v>16.653456191570065</v>
      </c>
      <c r="O57" s="51" cm="1">
        <f t="array" ref="O57">IF($E57="","",_xll.SNL.Clients.Office.Excel.Functions.SPG($E57,$L$45,O$48,TearSheet!$E$11,_xll.SNL.Clients.Office.Excel.Functions.SPGOPTIONS("DataType",TearSheet!$E$23,"Src",TearSheet!$AI$40,"NA","")))</f>
        <v>16.967673862260366</v>
      </c>
      <c r="P57" s="51" cm="1">
        <f t="array" ref="P57">IF($E57="","",_xll.SNL.Clients.Office.Excel.Functions.SPG($E57,$L$45,P$48,TearSheet!$E$11,_xll.SNL.Clients.Office.Excel.Functions.SPGOPTIONS("DataType",TearSheet!$E$23,"Src",TearSheet!$AI$40,"NA","")))</f>
        <v>10.270232619836706</v>
      </c>
      <c r="Q57" s="51" cm="1">
        <f t="array" ref="Q57">IF($E57="","",_xll.SNL.Clients.Office.Excel.Functions.SPG($E57,$L$45,Q$48,TearSheet!$E$11,_xll.SNL.Clients.Office.Excel.Functions.SPGOPTIONS("DataType",TearSheet!$E$23,"Src",TearSheet!$AI$40,"NA","")))</f>
        <v>6.4316874022320984</v>
      </c>
      <c r="R57" s="50" cm="1">
        <f t="array" ref="R57">IF($E57="","",_xll.SNL.Clients.Office.Excel.Functions.SPG($E57,$R$45,R$48,TearSheet!$E$11,_xll.SNL.Clients.Office.Excel.Functions.SPGOPTIONS("DataType",TearSheet!$E$23,"Src",TearSheet!$AI$40,"NA","")))</f>
        <v>42.648000927165974</v>
      </c>
      <c r="S57" s="51" cm="1">
        <f t="array" ref="S57">IF($E57="","",_xll.SNL.Clients.Office.Excel.Functions.SPG($E57,$R$45,S$48,TearSheet!$E$11,_xll.SNL.Clients.Office.Excel.Functions.SPGOPTIONS("DataType",TearSheet!$E$23,"Src",TearSheet!$AI$40,"NA","")))</f>
        <v>67.885899160288318</v>
      </c>
      <c r="T57" s="51" cm="1">
        <f t="array" ref="T57">IF($E57="","",_xll.SNL.Clients.Office.Excel.Functions.SPG($E57,$R$45,T$48,TearSheet!$E$11,_xll.SNL.Clients.Office.Excel.Functions.SPGOPTIONS("DataType",TearSheet!$E$23,"Src",TearSheet!$AI$40,"NA","")))</f>
        <v>33.99451475523832</v>
      </c>
      <c r="U57" s="51" cm="1">
        <f t="array" ref="U57">IF($E57="","",_xll.SNL.Clients.Office.Excel.Functions.SPG($E57,$R$45,U$48,TearSheet!$E$11,_xll.SNL.Clients.Office.Excel.Functions.SPGOPTIONS("DataType",TearSheet!$E$23,"Src",TearSheet!$AI$40,"NA","")))</f>
        <v>34.775151448186293</v>
      </c>
      <c r="V57" s="51" cm="1">
        <f t="array" ref="V57">IF($E57="","",_xll.SNL.Clients.Office.Excel.Functions.SPG($E57,$R$45,V$48,TearSheet!$E$11,_xll.SNL.Clients.Office.Excel.Functions.SPGOPTIONS("DataType",TearSheet!$E$23,"Src",TearSheet!$AI$40,"NA","")))</f>
        <v>20.33256466524298</v>
      </c>
      <c r="W57" s="52" cm="1">
        <f t="array" ref="W57">IF($E57="","",_xll.SNL.Clients.Office.Excel.Functions.SPG($E57,$R$45,W$48,TearSheet!$E$11,_xll.SNL.Clients.Office.Excel.Functions.SPGOPTIONS("DataType",TearSheet!$E$23,"Src",TearSheet!$AI$40,"NA","")))</f>
        <v>13.298257375752236</v>
      </c>
    </row>
    <row r="58" spans="2:28" ht="11.25" customHeight="1" x14ac:dyDescent="0.2">
      <c r="B58" s="92" t="str">
        <f t="shared" si="5"/>
        <v>International Business Machines Corporation</v>
      </c>
      <c r="C58" s="93"/>
      <c r="D58" s="225" t="str">
        <f t="shared" si="6"/>
        <v/>
      </c>
      <c r="E58" s="94" t="str">
        <f t="shared" si="7"/>
        <v>NYSE:IBM</v>
      </c>
      <c r="F58" s="50" cm="1">
        <f t="array" ref="F58">IF($E58="","",_xll.SNL.Clients.Office.Excel.Functions.SPG($E58,$F$45,F$48,TearSheet!$E$11,_xll.SNL.Clients.Office.Excel.Functions.SPGOPTIONS("DataType",TearSheet!$E$23,"Src",TearSheet!$AI$40,"NA","")))</f>
        <v>6.1883497406193841</v>
      </c>
      <c r="G58" s="51" cm="1">
        <f t="array" ref="G58">IF($E58="","",_xll.SNL.Clients.Office.Excel.Functions.SPG($E58,$F$45,G$48,TearSheet!$E$11,_xll.SNL.Clients.Office.Excel.Functions.SPGOPTIONS("DataType",TearSheet!$E$23,"Src",TearSheet!$AI$40,"NA","")))</f>
        <v>5.2432840884702738</v>
      </c>
      <c r="H58" s="51" cm="1">
        <f t="array" ref="H58">IF($E58="","",_xll.SNL.Clients.Office.Excel.Functions.SPG($E58,$F$45,H$48,TearSheet!$E$11,_xll.SNL.Clients.Office.Excel.Functions.SPGOPTIONS("DataType",TearSheet!$E$23,"Src",TearSheet!$AI$40,"NA","")))</f>
        <v>7.249130583827684</v>
      </c>
      <c r="I58" s="51" cm="1">
        <f t="array" ref="I58">IF($E58="","",_xll.SNL.Clients.Office.Excel.Functions.SPG($E58,$F$45,I$48,TearSheet!$E$11,_xll.SNL.Clients.Office.Excel.Functions.SPGOPTIONS("DataType",TearSheet!$E$23,"Src",TearSheet!$AI$40,"NA","")))</f>
        <v>7.1381595499115198</v>
      </c>
      <c r="J58" s="51" cm="1">
        <f t="array" ref="J58">IF($E58="","",_xll.SNL.Clients.Office.Excel.Functions.SPG($E58,$F$45,J$48,TearSheet!$E$11,_xll.SNL.Clients.Office.Excel.Functions.SPGOPTIONS("DataType",TearSheet!$E$23,"Src",TearSheet!$AI$40,"NA","")))</f>
        <v>7.6253059075118399</v>
      </c>
      <c r="K58" s="51" cm="1">
        <f t="array" ref="K58">IF($E58="","",_xll.SNL.Clients.Office.Excel.Functions.SPG($E58,$F$45,K$48,TearSheet!$E$11,_xll.SNL.Clients.Office.Excel.Functions.SPGOPTIONS("DataType",TearSheet!$E$23,"Src",TearSheet!$AI$40,"NA","")))</f>
        <v>8.2540865666444532</v>
      </c>
      <c r="L58" s="50" cm="1">
        <f t="array" ref="L58">IF($E58="","",_xll.SNL.Clients.Office.Excel.Functions.SPG($E58,$L$45,L$48,TearSheet!$E$11,_xll.SNL.Clients.Office.Excel.Functions.SPGOPTIONS("DataType",TearSheet!$E$23,"Src",TearSheet!$AI$40,"NA","")))</f>
        <v>3.2829689715538701</v>
      </c>
      <c r="M58" s="51" cm="1">
        <f t="array" ref="M58">IF($E58="","",_xll.SNL.Clients.Office.Excel.Functions.SPG($E58,$L$45,M$48,TearSheet!$E$11,_xll.SNL.Clients.Office.Excel.Functions.SPGOPTIONS("DataType",TearSheet!$E$23,"Src",TearSheet!$AI$40,"NA","")))</f>
        <v>4.1609104802825199</v>
      </c>
      <c r="N58" s="51" cm="1">
        <f t="array" ref="N58">IF($E58="","",_xll.SNL.Clients.Office.Excel.Functions.SPG($E58,$L$45,N$48,TearSheet!$E$11,_xll.SNL.Clients.Office.Excel.Functions.SPGOPTIONS("DataType",TearSheet!$E$23,"Src",TearSheet!$AI$40,"NA","")))</f>
        <v>3.1314875492688632</v>
      </c>
      <c r="O58" s="51" cm="1">
        <f t="array" ref="O58">IF($E58="","",_xll.SNL.Clients.Office.Excel.Functions.SPG($E58,$L$45,O$48,TearSheet!$E$11,_xll.SNL.Clients.Office.Excel.Functions.SPGOPTIONS("DataType",TearSheet!$E$23,"Src",TearSheet!$AI$40,"NA","")))</f>
        <v>3.1544267210638401</v>
      </c>
      <c r="P58" s="51" cm="1">
        <f t="array" ref="P58">IF($E58="","",_xll.SNL.Clients.Office.Excel.Functions.SPG($E58,$L$45,P$48,TearSheet!$E$11,_xll.SNL.Clients.Office.Excel.Functions.SPGOPTIONS("DataType",TearSheet!$E$23,"Src",TearSheet!$AI$40,"NA","")))</f>
        <v>3.0619307333919252</v>
      </c>
      <c r="Q58" s="51" cm="1">
        <f t="array" ref="Q58">IF($E58="","",_xll.SNL.Clients.Office.Excel.Functions.SPG($E58,$L$45,Q$48,TearSheet!$E$11,_xll.SNL.Clients.Office.Excel.Functions.SPGOPTIONS("DataType",TearSheet!$E$23,"Src",TearSheet!$AI$40,"NA","")))</f>
        <v>2.93679246286213</v>
      </c>
      <c r="R58" s="50" cm="1">
        <f t="array" ref="R58">IF($E58="","",_xll.SNL.Clients.Office.Excel.Functions.SPG($E58,$R$45,R$48,TearSheet!$E$11,_xll.SNL.Clients.Office.Excel.Functions.SPGOPTIONS("DataType",TearSheet!$E$23,"Src",TearSheet!$AI$40,"NA","")))</f>
        <v>16.159396962265276</v>
      </c>
      <c r="S58" s="51" cm="1">
        <f t="array" ref="S58">IF($E58="","",_xll.SNL.Clients.Office.Excel.Functions.SPG($E58,$R$45,S$48,TearSheet!$E$11,_xll.SNL.Clients.Office.Excel.Functions.SPGOPTIONS("DataType",TearSheet!$E$23,"Src",TearSheet!$AI$40,"NA","")))</f>
        <v>19.07201637612868</v>
      </c>
      <c r="T58" s="51" cm="1">
        <f t="array" ref="T58">IF($E58="","",_xll.SNL.Clients.Office.Excel.Functions.SPG($E58,$R$45,T$48,TearSheet!$E$11,_xll.SNL.Clients.Office.Excel.Functions.SPGOPTIONS("DataType",TearSheet!$E$23,"Src",TearSheet!$AI$40,"NA","")))</f>
        <v>13.794757708337213</v>
      </c>
      <c r="U58" s="51" cm="1">
        <f t="array" ref="U58">IF($E58="","",_xll.SNL.Clients.Office.Excel.Functions.SPG($E58,$R$45,U$48,TearSheet!$E$11,_xll.SNL.Clients.Office.Excel.Functions.SPGOPTIONS("DataType",TearSheet!$E$23,"Src",TearSheet!$AI$40,"NA","")))</f>
        <v>14.00921334144731</v>
      </c>
      <c r="V58" s="51" cm="1">
        <f t="array" ref="V58">IF($E58="","",_xll.SNL.Clients.Office.Excel.Functions.SPG($E58,$R$45,V$48,TearSheet!$E$11,_xll.SNL.Clients.Office.Excel.Functions.SPGOPTIONS("DataType",TearSheet!$E$23,"Src",TearSheet!$AI$40,"NA","")))</f>
        <v>13.11422796841344</v>
      </c>
      <c r="W58" s="52" cm="1">
        <f t="array" ref="W58">IF($E58="","",_xll.SNL.Clients.Office.Excel.Functions.SPG($E58,$R$45,W$48,TearSheet!$E$11,_xll.SNL.Clients.Office.Excel.Functions.SPGOPTIONS("DataType",TearSheet!$E$23,"Src",TearSheet!$AI$40,"NA","")))</f>
        <v>12.115210955517414</v>
      </c>
    </row>
    <row r="59" spans="2:28" ht="11.25" customHeight="1" x14ac:dyDescent="0.2">
      <c r="B59" s="92" t="str">
        <f t="shared" si="5"/>
        <v>Intel Corporation</v>
      </c>
      <c r="C59" s="93"/>
      <c r="D59" s="225" t="str">
        <f t="shared" si="6"/>
        <v/>
      </c>
      <c r="E59" s="94" t="str">
        <f t="shared" si="7"/>
        <v>NASDAQGS:INTC</v>
      </c>
      <c r="F59" s="50" cm="1">
        <f t="array" ref="F59">IF($E59="","",_xll.SNL.Clients.Office.Excel.Functions.SPG($E59,$F$45,F$48,TearSheet!$E$11,_xll.SNL.Clients.Office.Excel.Functions.SPGOPTIONS("DataType",TearSheet!$E$23,"Src",TearSheet!$AI$40,"NA","")))</f>
        <v>-18.244109352786257</v>
      </c>
      <c r="G59" s="51" cm="1">
        <f t="array" ref="G59">IF($E59="","",_xll.SNL.Clients.Office.Excel.Functions.SPG($E59,$F$45,G$48,TearSheet!$E$11,_xll.SNL.Clients.Office.Excel.Functions.SPGOPTIONS("DataType",TearSheet!$E$23,"Src",TearSheet!$AI$40,"NA","")))</f>
        <v>-2.9669116511981413</v>
      </c>
      <c r="H59" s="51" cm="1">
        <f t="array" ref="H59">IF($E59="","",_xll.SNL.Clients.Office.Excel.Functions.SPG($E59,$F$45,H$48,TearSheet!$E$11,_xll.SNL.Clients.Office.Excel.Functions.SPGOPTIONS("DataType",TearSheet!$E$23,"Src",TearSheet!$AI$40,"NA","")))</f>
        <v>-7.2803991699671236E-2</v>
      </c>
      <c r="I59" s="51" cm="1">
        <f t="array" ref="I59">IF($E59="","",_xll.SNL.Clients.Office.Excel.Functions.SPG($E59,$F$45,I$48,TearSheet!$E$11,_xll.SNL.Clients.Office.Excel.Functions.SPGOPTIONS("DataType",TearSheet!$E$23,"Src",TearSheet!$AI$40,"NA","")))</f>
        <v>-0.28480662990368155</v>
      </c>
      <c r="J59" s="51" cm="1">
        <f t="array" ref="J59">IF($E59="","",_xll.SNL.Clients.Office.Excel.Functions.SPG($E59,$F$45,J$48,TearSheet!$E$11,_xll.SNL.Clients.Office.Excel.Functions.SPGOPTIONS("DataType",TearSheet!$E$23,"Src",TearSheet!$AI$40,"NA","")))</f>
        <v>-1.6309277300267096E-2</v>
      </c>
      <c r="K59" s="51" cm="1">
        <f t="array" ref="K59">IF($E59="","",_xll.SNL.Clients.Office.Excel.Functions.SPG($E59,$F$45,K$48,TearSheet!$E$11,_xll.SNL.Clients.Office.Excel.Functions.SPGOPTIONS("DataType",TearSheet!$E$23,"Src",TearSheet!$AI$40,"NA","")))</f>
        <v>0.52767327426686139</v>
      </c>
      <c r="L59" s="50" cm="1">
        <f t="array" ref="L59">IF($E59="","",_xll.SNL.Clients.Office.Excel.Functions.SPG($E59,$L$45,L$48,TearSheet!$E$11,_xll.SNL.Clients.Office.Excel.Functions.SPGOPTIONS("DataType",TearSheet!$E$23,"Src",TearSheet!$AI$40,"NA","")))</f>
        <v>1.6160524283911792</v>
      </c>
      <c r="M59" s="51" cm="1">
        <f t="array" ref="M59">IF($E59="","",_xll.SNL.Clients.Office.Excel.Functions.SPG($E59,$L$45,M$48,TearSheet!$E$11,_xll.SNL.Clients.Office.Excel.Functions.SPGOPTIONS("DataType",TearSheet!$E$23,"Src",TearSheet!$AI$40,"NA","")))</f>
        <v>3.1590122604204112</v>
      </c>
      <c r="N59" s="51" cm="1">
        <f t="array" ref="N59">IF($E59="","",_xll.SNL.Clients.Office.Excel.Functions.SPG($E59,$L$45,N$48,TearSheet!$E$11,_xll.SNL.Clients.Office.Excel.Functions.SPGOPTIONS("DataType",TearSheet!$E$23,"Src",TearSheet!$AI$40,"NA","")))</f>
        <v>8.3639492405503439</v>
      </c>
      <c r="O59" s="51" cm="1">
        <f t="array" ref="O59">IF($E59="","",_xll.SNL.Clients.Office.Excel.Functions.SPG($E59,$L$45,O$48,TearSheet!$E$11,_xll.SNL.Clients.Office.Excel.Functions.SPGOPTIONS("DataType",TearSheet!$E$23,"Src",TearSheet!$AI$40,"NA","")))</f>
        <v>8.4537733895159697</v>
      </c>
      <c r="P59" s="51" cm="1">
        <f t="array" ref="P59">IF($E59="","",_xll.SNL.Clients.Office.Excel.Functions.SPG($E59,$L$45,P$48,TearSheet!$E$11,_xll.SNL.Clients.Office.Excel.Functions.SPGOPTIONS("DataType",TearSheet!$E$23,"Src",TearSheet!$AI$40,"NA","")))</f>
        <v>7.591605866430414</v>
      </c>
      <c r="Q59" s="51" cm="1">
        <f t="array" ref="Q59">IF($E59="","",_xll.SNL.Clients.Office.Excel.Functions.SPG($E59,$L$45,Q$48,TearSheet!$E$11,_xll.SNL.Clients.Office.Excel.Functions.SPGOPTIONS("DataType",TearSheet!$E$23,"Src",TearSheet!$AI$40,"NA","")))</f>
        <v>6.6548393937057284</v>
      </c>
      <c r="R59" s="50" t="str" cm="1">
        <f t="array" ref="R59">IF($E59="","",_xll.SNL.Clients.Office.Excel.Functions.SPG($E59,$R$45,R$48,TearSheet!$E$11,_xll.SNL.Clients.Office.Excel.Functions.SPGOPTIONS("DataType",TearSheet!$E$23,"Src",TearSheet!$AI$40,"NA","")))</f>
        <v>NA</v>
      </c>
      <c r="S59" s="51" t="str" cm="1">
        <f t="array" ref="S59">IF($E59="","",_xll.SNL.Clients.Office.Excel.Functions.SPG($E59,$R$45,S$48,TearSheet!$E$11,_xll.SNL.Clients.Office.Excel.Functions.SPGOPTIONS("DataType",TearSheet!$E$23,"Src",TearSheet!$AI$40,"NA","")))</f>
        <v>NA</v>
      </c>
      <c r="T59" s="51" t="str" cm="1">
        <f t="array" ref="T59">IF($E59="","",_xll.SNL.Clients.Office.Excel.Functions.SPG($E59,$R$45,T$48,TearSheet!$E$11,_xll.SNL.Clients.Office.Excel.Functions.SPGOPTIONS("DataType",TearSheet!$E$23,"Src",TearSheet!$AI$40,"NA","")))</f>
        <v>NA</v>
      </c>
      <c r="U59" s="51" t="str" cm="1">
        <f t="array" ref="U59">IF($E59="","",_xll.SNL.Clients.Office.Excel.Functions.SPG($E59,$R$45,U$48,TearSheet!$E$11,_xll.SNL.Clients.Office.Excel.Functions.SPGOPTIONS("DataType",TearSheet!$E$23,"Src",TearSheet!$AI$40,"NA","")))</f>
        <v>NA</v>
      </c>
      <c r="V59" s="51" t="str" cm="1">
        <f t="array" ref="V59">IF($E59="","",_xll.SNL.Clients.Office.Excel.Functions.SPG($E59,$R$45,V$48,TearSheet!$E$11,_xll.SNL.Clients.Office.Excel.Functions.SPGOPTIONS("DataType",TearSheet!$E$23,"Src",TearSheet!$AI$40,"NA","")))</f>
        <v>NA</v>
      </c>
      <c r="W59" s="52" cm="1">
        <f t="array" ref="W59">IF($E59="","",_xll.SNL.Clients.Office.Excel.Functions.SPG($E59,$R$45,W$48,TearSheet!$E$11,_xll.SNL.Clients.Office.Excel.Functions.SPGOPTIONS("DataType",TearSheet!$E$23,"Src",TearSheet!$AI$40,"NA","")))</f>
        <v>189.51120869052534</v>
      </c>
    </row>
    <row r="60" spans="2:28" ht="11.25" customHeight="1" x14ac:dyDescent="0.2">
      <c r="B60" s="92" t="str">
        <f t="shared" si="5"/>
        <v>Advanced Micro Devices, Inc.</v>
      </c>
      <c r="C60" s="93"/>
      <c r="D60" s="225" t="str">
        <f t="shared" si="6"/>
        <v/>
      </c>
      <c r="E60" s="94" t="str">
        <f t="shared" si="7"/>
        <v>NASDAQGS:AMD</v>
      </c>
      <c r="F60" s="50" cm="1">
        <f t="array" ref="F60">IF($E60="","",_xll.SNL.Clients.Office.Excel.Functions.SPG($E60,$F$45,F$48,TearSheet!$E$11,_xll.SNL.Clients.Office.Excel.Functions.SPGOPTIONS("DataType",TearSheet!$E$23,"Src",TearSheet!$AI$40,"NA","")))</f>
        <v>1.2159418514460003</v>
      </c>
      <c r="G60" s="51" cm="1">
        <f t="array" ref="G60">IF($E60="","",_xll.SNL.Clients.Office.Excel.Functions.SPG($E60,$F$45,G$48,TearSheet!$E$11,_xll.SNL.Clients.Office.Excel.Functions.SPGOPTIONS("DataType",TearSheet!$E$23,"Src",TearSheet!$AI$40,"NA","")))</f>
        <v>1.9216897067648071</v>
      </c>
      <c r="H60" s="51" cm="1">
        <f t="array" ref="H60">IF($E60="","",_xll.SNL.Clients.Office.Excel.Functions.SPG($E60,$F$45,H$48,TearSheet!$E$11,_xll.SNL.Clients.Office.Excel.Functions.SPGOPTIONS("DataType",TearSheet!$E$23,"Src",TearSheet!$AI$40,"NA","")))</f>
        <v>0.68961065670660793</v>
      </c>
      <c r="I60" s="51" cm="1">
        <f t="array" ref="I60">IF($E60="","",_xll.SNL.Clients.Office.Excel.Functions.SPG($E60,$F$45,I$48,TearSheet!$E$11,_xll.SNL.Clients.Office.Excel.Functions.SPGOPTIONS("DataType",TearSheet!$E$23,"Src",TearSheet!$AI$40,"NA","")))</f>
        <v>0.68748229085446089</v>
      </c>
      <c r="J60" s="51" cm="1">
        <f t="array" ref="J60">IF($E60="","",_xll.SNL.Clients.Office.Excel.Functions.SPG($E60,$F$45,J$48,TearSheet!$E$11,_xll.SNL.Clients.Office.Excel.Functions.SPGOPTIONS("DataType",TearSheet!$E$23,"Src",TearSheet!$AI$40,"NA","")))</f>
        <v>1.4945446505200104</v>
      </c>
      <c r="K60" s="51" cm="1">
        <f t="array" ref="K60">IF($E60="","",_xll.SNL.Clients.Office.Excel.Functions.SPG($E60,$F$45,K$48,TearSheet!$E$11,_xll.SNL.Clients.Office.Excel.Functions.SPGOPTIONS("DataType",TearSheet!$E$23,"Src",TearSheet!$AI$40,"NA","")))</f>
        <v>2.7790507990476212</v>
      </c>
      <c r="L60" s="50" cm="1">
        <f t="array" ref="L60">IF($E60="","",_xll.SNL.Clients.Office.Excel.Functions.SPG($E60,$L$45,L$48,TearSheet!$E$11,_xll.SNL.Clients.Office.Excel.Functions.SPGOPTIONS("DataType",TearSheet!$E$23,"Src",TearSheet!$AI$40,"NA","")))</f>
        <v>7.6685478727893761</v>
      </c>
      <c r="M60" s="51" cm="1">
        <f t="array" ref="M60">IF($E60="","",_xll.SNL.Clients.Office.Excel.Functions.SPG($E60,$L$45,M$48,TearSheet!$E$11,_xll.SNL.Clients.Office.Excel.Functions.SPGOPTIONS("DataType",TearSheet!$E$23,"Src",TearSheet!$AI$40,"NA","")))</f>
        <v>10.117873519863311</v>
      </c>
      <c r="N60" s="51" cm="1">
        <f t="array" ref="N60">IF($E60="","",_xll.SNL.Clients.Office.Excel.Functions.SPG($E60,$L$45,N$48,TearSheet!$E$11,_xll.SNL.Clients.Office.Excel.Functions.SPGOPTIONS("DataType",TearSheet!$E$23,"Src",TearSheet!$AI$40,"NA","")))</f>
        <v>19.470514031490829</v>
      </c>
      <c r="O60" s="51" cm="1">
        <f t="array" ref="O60">IF($E60="","",_xll.SNL.Clients.Office.Excel.Functions.SPG($E60,$L$45,O$48,TearSheet!$E$11,_xll.SNL.Clients.Office.Excel.Functions.SPGOPTIONS("DataType",TearSheet!$E$23,"Src",TearSheet!$AI$40,"NA","")))</f>
        <v>20.896842746886971</v>
      </c>
      <c r="P60" s="51" cm="1">
        <f t="array" ref="P60">IF($E60="","",_xll.SNL.Clients.Office.Excel.Functions.SPG($E60,$L$45,P$48,TearSheet!$E$11,_xll.SNL.Clients.Office.Excel.Functions.SPGOPTIONS("DataType",TearSheet!$E$23,"Src",TearSheet!$AI$40,"NA","")))</f>
        <v>12.323416674936505</v>
      </c>
      <c r="Q60" s="51" cm="1">
        <f t="array" ref="Q60">IF($E60="","",_xll.SNL.Clients.Office.Excel.Functions.SPG($E60,$L$45,Q$48,TearSheet!$E$11,_xll.SNL.Clients.Office.Excel.Functions.SPGOPTIONS("DataType",TearSheet!$E$23,"Src",TearSheet!$AI$40,"NA","")))</f>
        <v>8.7026852733600482</v>
      </c>
      <c r="R60" s="50" cm="1">
        <f t="array" ref="R60">IF($E60="","",_xll.SNL.Clients.Office.Excel.Functions.SPG($E60,$R$45,R$48,TearSheet!$E$11,_xll.SNL.Clients.Office.Excel.Functions.SPGOPTIONS("DataType",TearSheet!$E$23,"Src",TearSheet!$AI$40,"NA","")))</f>
        <v>82.240774820835227</v>
      </c>
      <c r="S60" s="51" cm="1">
        <f t="array" ref="S60">IF($E60="","",_xll.SNL.Clients.Office.Excel.Functions.SPG($E60,$R$45,S$48,TearSheet!$E$11,_xll.SNL.Clients.Office.Excel.Functions.SPGOPTIONS("DataType",TearSheet!$E$23,"Src",TearSheet!$AI$40,"NA","")))</f>
        <v>52.037537406781176</v>
      </c>
      <c r="T60" s="51" cm="1">
        <f t="array" ref="T60">IF($E60="","",_xll.SNL.Clients.Office.Excel.Functions.SPG($E60,$R$45,T$48,TearSheet!$E$11,_xll.SNL.Clients.Office.Excel.Functions.SPGOPTIONS("DataType",TearSheet!$E$23,"Src",TearSheet!$AI$40,"NA","")))</f>
        <v>145.00936003160487</v>
      </c>
      <c r="U60" s="51" cm="1">
        <f t="array" ref="U60">IF($E60="","",_xll.SNL.Clients.Office.Excel.Functions.SPG($E60,$R$45,U$48,TearSheet!$E$11,_xll.SNL.Clients.Office.Excel.Functions.SPGOPTIONS("DataType",TearSheet!$E$23,"Src",TearSheet!$AI$40,"NA","")))</f>
        <v>145.45829227937142</v>
      </c>
      <c r="V60" s="51" cm="1">
        <f t="array" ref="V60">IF($E60="","",_xll.SNL.Clients.Office.Excel.Functions.SPG($E60,$R$45,V$48,TearSheet!$E$11,_xll.SNL.Clients.Office.Excel.Functions.SPGOPTIONS("DataType",TearSheet!$E$23,"Src",TearSheet!$AI$40,"NA","")))</f>
        <v>66.910011664894782</v>
      </c>
      <c r="W60" s="52" cm="1">
        <f t="array" ref="W60">IF($E60="","",_xll.SNL.Clients.Office.Excel.Functions.SPG($E60,$R$45,W$48,TearSheet!$E$11,_xll.SNL.Clients.Office.Excel.Functions.SPGOPTIONS("DataType",TearSheet!$E$23,"Src",TearSheet!$AI$40,"NA","")))</f>
        <v>35.983509201872067</v>
      </c>
    </row>
    <row r="61" spans="2:28" ht="11.25" customHeight="1" x14ac:dyDescent="0.2">
      <c r="B61" s="92" t="str">
        <f t="shared" si="5"/>
        <v>Dell Technologies Inc.</v>
      </c>
      <c r="C61" s="93"/>
      <c r="D61" s="225" t="str">
        <f t="shared" si="6"/>
        <v/>
      </c>
      <c r="E61" s="94" t="str">
        <f t="shared" si="7"/>
        <v>NYSE:DELL</v>
      </c>
      <c r="F61" s="50" cm="1">
        <f t="array" ref="F61">IF($E61="","",_xll.SNL.Clients.Office.Excel.Functions.SPG($E61,$F$45,F$48,TearSheet!$E$11,_xll.SNL.Clients.Office.Excel.Functions.SPGOPTIONS("DataType",TearSheet!$E$23,"Src",TearSheet!$AI$40,"NA","")))</f>
        <v>9.6983803704781302</v>
      </c>
      <c r="G61" s="51" cm="1">
        <f t="array" ref="G61">IF($E61="","",_xll.SNL.Clients.Office.Excel.Functions.SPG($E61,$F$45,G$48,TearSheet!$E$11,_xll.SNL.Clients.Office.Excel.Functions.SPGOPTIONS("DataType",TearSheet!$E$23,"Src",TearSheet!$AI$40,"NA","")))</f>
        <v>2.6234888811235288</v>
      </c>
      <c r="H61" s="51" cm="1">
        <f t="array" ref="H61">IF($E61="","",_xll.SNL.Clients.Office.Excel.Functions.SPG($E61,$F$45,H$48,TearSheet!$E$11,_xll.SNL.Clients.Office.Excel.Functions.SPGOPTIONS("DataType",TearSheet!$E$23,"Src",TearSheet!$AI$40,"NA","")))</f>
        <v>10.922718149291436</v>
      </c>
      <c r="I61" s="51" cm="1">
        <f t="array" ref="I61">IF($E61="","",_xll.SNL.Clients.Office.Excel.Functions.SPG($E61,$F$45,I$48,TearSheet!$E$11,_xll.SNL.Clients.Office.Excel.Functions.SPGOPTIONS("DataType",TearSheet!$E$23,"Src",TearSheet!$AI$40,"NA","")))</f>
        <v>3.421903875344122</v>
      </c>
      <c r="J61" s="51" cm="1">
        <f t="array" ref="J61">IF($E61="","",_xll.SNL.Clients.Office.Excel.Functions.SPG($E61,$F$45,J$48,TearSheet!$E$11,_xll.SNL.Clients.Office.Excel.Functions.SPGOPTIONS("DataType",TearSheet!$E$23,"Src",TearSheet!$AI$40,"NA","")))</f>
        <v>4.8966433597571122</v>
      </c>
      <c r="K61" s="51" cm="1">
        <f t="array" ref="K61">IF($E61="","",_xll.SNL.Clients.Office.Excel.Functions.SPG($E61,$F$45,K$48,TearSheet!$E$11,_xll.SNL.Clients.Office.Excel.Functions.SPGOPTIONS("DataType",TearSheet!$E$23,"Src",TearSheet!$AI$40,"NA","")))</f>
        <v>6.0427055079016334</v>
      </c>
      <c r="L61" s="50" cm="1">
        <f t="array" ref="L61">IF($E61="","",_xll.SNL.Clients.Office.Excel.Functions.SPG($E61,$L$45,L$48,TearSheet!$E$11,_xll.SNL.Clients.Office.Excel.Functions.SPGOPTIONS("DataType",TearSheet!$E$23,"Src",TearSheet!$AI$40,"NA","")))</f>
        <v>0.69031518235793043</v>
      </c>
      <c r="M61" s="51" cm="1">
        <f t="array" ref="M61">IF($E61="","",_xll.SNL.Clients.Office.Excel.Functions.SPG($E61,$L$45,M$48,TearSheet!$E$11,_xll.SNL.Clients.Office.Excel.Functions.SPGOPTIONS("DataType",TearSheet!$E$23,"Src",TearSheet!$AI$40,"NA","")))</f>
        <v>0.78106250065399141</v>
      </c>
      <c r="N61" s="51" cm="1">
        <f t="array" ref="N61">IF($E61="","",_xll.SNL.Clients.Office.Excel.Functions.SPG($E61,$L$45,N$48,TearSheet!$E$11,_xll.SNL.Clients.Office.Excel.Functions.SPGOPTIONS("DataType",TearSheet!$E$23,"Src",TearSheet!$AI$40,"NA","")))</f>
        <v>0.68943402208952065</v>
      </c>
      <c r="O61" s="51" cm="1">
        <f t="array" ref="O61">IF($E61="","",_xll.SNL.Clients.Office.Excel.Functions.SPG($E61,$L$45,O$48,TearSheet!$E$11,_xll.SNL.Clients.Office.Excel.Functions.SPGOPTIONS("DataType",TearSheet!$E$23,"Src",TearSheet!$AI$40,"NA","")))</f>
        <v>2.20614254945747</v>
      </c>
      <c r="P61" s="51" cm="1">
        <f t="array" ref="P61">IF($E61="","",_xll.SNL.Clients.Office.Excel.Functions.SPG($E61,$L$45,P$48,TearSheet!$E$11,_xll.SNL.Clients.Office.Excel.Functions.SPGOPTIONS("DataType",TearSheet!$E$23,"Src",TearSheet!$AI$40,"NA","")))</f>
        <v>1.6385007366304865</v>
      </c>
      <c r="Q61" s="51" cm="1">
        <f t="array" ref="Q61">IF($E61="","",_xll.SNL.Clients.Office.Excel.Functions.SPG($E61,$L$45,Q$48,TearSheet!$E$11,_xll.SNL.Clients.Office.Excel.Functions.SPGOPTIONS("DataType",TearSheet!$E$23,"Src",TearSheet!$AI$40,"NA","")))</f>
        <v>1.3967275780774113</v>
      </c>
      <c r="R61" s="50" cm="1">
        <f t="array" ref="R61">IF($E61="","",_xll.SNL.Clients.Office.Excel.Functions.SPG($E61,$R$45,R$48,TearSheet!$E$11,_xll.SNL.Clients.Office.Excel.Functions.SPGOPTIONS("DataType",TearSheet!$E$23,"Src",TearSheet!$AI$40,"NA","")))</f>
        <v>10.311</v>
      </c>
      <c r="S61" s="51" cm="1">
        <f t="array" ref="S61">IF($E61="","",_xll.SNL.Clients.Office.Excel.Functions.SPG($E61,$R$45,S$48,TearSheet!$E$11,_xll.SNL.Clients.Office.Excel.Functions.SPGOPTIONS("DataType",TearSheet!$E$23,"Src",TearSheet!$AI$40,"NA","")))</f>
        <v>38.117180796731354</v>
      </c>
      <c r="T61" s="51" cm="1">
        <f t="array" ref="T61">IF($E61="","",_xll.SNL.Clients.Office.Excel.Functions.SPG($E61,$R$45,T$48,TearSheet!$E$11,_xll.SNL.Clients.Office.Excel.Functions.SPGOPTIONS("DataType",TearSheet!$E$23,"Src",TearSheet!$AI$40,"NA","")))</f>
        <v>9.1552302854658087</v>
      </c>
      <c r="U61" s="51" cm="1">
        <f t="array" ref="U61">IF($E61="","",_xll.SNL.Clients.Office.Excel.Functions.SPG($E61,$R$45,U$48,TearSheet!$E$11,_xll.SNL.Clients.Office.Excel.Functions.SPGOPTIONS("DataType",TearSheet!$E$23,"Src",TearSheet!$AI$40,"NA","")))</f>
        <v>29.223497691016686</v>
      </c>
      <c r="V61" s="51" cm="1">
        <f t="array" ref="V61">IF($E61="","",_xll.SNL.Clients.Office.Excel.Functions.SPG($E61,$R$45,V$48,TearSheet!$E$11,_xll.SNL.Clients.Office.Excel.Functions.SPGOPTIONS("DataType",TearSheet!$E$23,"Src",TearSheet!$AI$40,"NA","")))</f>
        <v>20.422153024630386</v>
      </c>
      <c r="W61" s="52" cm="1">
        <f t="array" ref="W61">IF($E61="","",_xll.SNL.Clients.Office.Excel.Functions.SPG($E61,$R$45,W$48,TearSheet!$E$11,_xll.SNL.Clients.Office.Excel.Functions.SPGOPTIONS("DataType",TearSheet!$E$23,"Src",TearSheet!$AI$40,"NA","")))</f>
        <v>16.548878622206036</v>
      </c>
    </row>
    <row r="62" spans="2:28" ht="11.25" customHeight="1" x14ac:dyDescent="0.2">
      <c r="B62" s="213" t="str">
        <f t="shared" si="5"/>
        <v>Microsoft Corporation</v>
      </c>
      <c r="C62" s="220"/>
      <c r="D62" s="268" t="s">
        <v>468</v>
      </c>
      <c r="E62" s="214" t="str">
        <f>IF($E43="","",$E43)</f>
        <v>MSFT</v>
      </c>
      <c r="F62" s="221" cm="1">
        <f t="array" ref="F62">IF($E62="","",_xll.SNL.Clients.Office.Excel.Functions.SPG($E62,$F$45,F$48,TearSheet!$E$11,_xll.SNL.Clients.Office.Excel.Functions.SPGOPTIONS("DataType",TearSheet!$E$23,"Src",TearSheet!$AI$40,"NA","")))</f>
        <v>2.2189927381394807</v>
      </c>
      <c r="G62" s="222" cm="1">
        <f t="array" ref="G62">IF($E62="","",_xll.SNL.Clients.Office.Excel.Functions.SPG($E62,$F$45,G$48,TearSheet!$E$11,_xll.SNL.Clients.Office.Excel.Functions.SPGOPTIONS("DataType",TearSheet!$E$23,"Src",TearSheet!$AI$40,"NA","")))</f>
        <v>1.9285700329582651</v>
      </c>
      <c r="H62" s="222" cm="1">
        <f t="array" ref="H62">IF($E62="","",_xll.SNL.Clients.Office.Excel.Functions.SPG($E62,$F$45,H$48,TearSheet!$E$11,_xll.SNL.Clients.Office.Excel.Functions.SPGOPTIONS("DataType",TearSheet!$E$23,"Src",TearSheet!$AI$40,"NA","")))</f>
        <v>2.4093403551108064</v>
      </c>
      <c r="I62" s="222" cm="1">
        <f t="array" ref="I62">IF($E62="","",_xll.SNL.Clients.Office.Excel.Functions.SPG($E62,$F$45,I$48,TearSheet!$E$11,_xll.SNL.Clients.Office.Excel.Functions.SPGOPTIONS("DataType",TearSheet!$E$23,"Src",TearSheet!$AI$40,"NA","")))</f>
        <v>1.3644431698209001</v>
      </c>
      <c r="J62" s="222" cm="1">
        <f t="array" ref="J62">IF($E62="","",_xll.SNL.Clients.Office.Excel.Functions.SPG($E62,$F$45,J$48,TearSheet!$E$11,_xll.SNL.Clients.Office.Excel.Functions.SPGOPTIONS("DataType",TearSheet!$E$23,"Src",TearSheet!$AI$40,"NA","")))</f>
        <v>0.74801365827090849</v>
      </c>
      <c r="K62" s="222" cm="1">
        <f t="array" ref="K62">IF($E62="","",_xll.SNL.Clients.Office.Excel.Functions.SPG($E62,$F$45,K$48,TearSheet!$E$11,_xll.SNL.Clients.Office.Excel.Functions.SPGOPTIONS("DataType",TearSheet!$E$23,"Src",TearSheet!$AI$40,"NA","")))</f>
        <v>1.1646434357543509</v>
      </c>
      <c r="L62" s="221" cm="1">
        <f t="array" ref="L62">IF($E62="","",_xll.SNL.Clients.Office.Excel.Functions.SPG($E62,$L$45,L$48,TearSheet!$E$11,_xll.SNL.Clients.Office.Excel.Functions.SPGOPTIONS("DataType",TearSheet!$E$23,"Src",TearSheet!$AI$40,"NA","")))</f>
        <v>13.617896700418568</v>
      </c>
      <c r="M62" s="222" cm="1">
        <f t="array" ref="M62">IF($E62="","",_xll.SNL.Clients.Office.Excel.Functions.SPG($E62,$L$45,M$48,TearSheet!$E$11,_xll.SNL.Clients.Office.Excel.Functions.SPGOPTIONS("DataType",TearSheet!$E$23,"Src",TearSheet!$AI$40,"NA","")))</f>
        <v>13.180153803012876</v>
      </c>
      <c r="N62" s="222" cm="1">
        <f t="array" ref="N62">IF($E62="","",_xll.SNL.Clients.Office.Excel.Functions.SPG($E62,$L$45,N$48,TearSheet!$E$11,_xll.SNL.Clients.Office.Excel.Functions.SPGOPTIONS("DataType",TearSheet!$E$23,"Src",TearSheet!$AI$40,"NA","")))</f>
        <v>8.3779123611148769</v>
      </c>
      <c r="O62" s="222" cm="1">
        <f t="array" ref="O62">IF($E62="","",_xll.SNL.Clients.Office.Excel.Functions.SPG($E62,$L$45,O$48,TearSheet!$E$11,_xll.SNL.Clients.Office.Excel.Functions.SPGOPTIONS("DataType",TearSheet!$E$23,"Src",TearSheet!$AI$40,"NA","")))</f>
        <v>11.593549554580699</v>
      </c>
      <c r="P62" s="222" cm="1">
        <f t="array" ref="P62">IF($E62="","",_xll.SNL.Clients.Office.Excel.Functions.SPG($E62,$L$45,P$48,TearSheet!$E$11,_xll.SNL.Clients.Office.Excel.Functions.SPGOPTIONS("DataType",TearSheet!$E$23,"Src",TearSheet!$AI$40,"NA","")))</f>
        <v>9.7697077243300292</v>
      </c>
      <c r="Q62" s="222" cm="1">
        <f t="array" ref="Q62">IF($E62="","",_xll.SNL.Clients.Office.Excel.Functions.SPG($E62,$L$45,Q$48,TearSheet!$E$11,_xll.SNL.Clients.Office.Excel.Functions.SPGOPTIONS("DataType",TearSheet!$E$23,"Src",TearSheet!$AI$40,"NA","")))</f>
        <v>8.1173297582895589</v>
      </c>
      <c r="R62" s="221" cm="1">
        <f t="array" ref="R62">IF($E62="","",_xll.SNL.Clients.Office.Excel.Functions.SPG($E62,$R$45,R$48,TearSheet!$E$11,_xll.SNL.Clients.Office.Excel.Functions.SPGOPTIONS("DataType",TearSheet!$E$23,"Src",TearSheet!$AI$40,"NA","")))</f>
        <v>45.065492230427587</v>
      </c>
      <c r="S62" s="222" cm="1">
        <f t="array" ref="S62">IF($E62="","",_xll.SNL.Clients.Office.Excel.Functions.SPG($E62,$R$45,S$48,TearSheet!$E$11,_xll.SNL.Clients.Office.Excel.Functions.SPGOPTIONS("DataType",TearSheet!$E$23,"Src",TearSheet!$AI$40,"NA","")))</f>
        <v>51.851889374537443</v>
      </c>
      <c r="T62" s="222" cm="1">
        <f t="array" ref="T62">IF($E62="","",_xll.SNL.Clients.Office.Excel.Functions.SPG($E62,$R$45,T$48,TearSheet!$E$11,_xll.SNL.Clients.Office.Excel.Functions.SPGOPTIONS("DataType",TearSheet!$E$23,"Src",TearSheet!$AI$40,"NA","")))</f>
        <v>41.505136369743397</v>
      </c>
      <c r="U62" s="222" cm="1">
        <f t="array" ref="U62">IF($E62="","",_xll.SNL.Clients.Office.Excel.Functions.SPG($E62,$R$45,U$48,TearSheet!$E$11,_xll.SNL.Clients.Office.Excel.Functions.SPGOPTIONS("DataType",TearSheet!$E$23,"Src",TearSheet!$AI$40,"NA","")))</f>
        <v>73.289970745447917</v>
      </c>
      <c r="V62" s="222" cm="1">
        <f t="array" ref="V62">IF($E62="","",_xll.SNL.Clients.Office.Excel.Functions.SPG($E62,$R$45,V$48,TearSheet!$E$11,_xll.SNL.Clients.Office.Excel.Functions.SPGOPTIONS("DataType",TearSheet!$E$23,"Src",TearSheet!$AI$40,"NA","")))</f>
        <v>133.68739847766651</v>
      </c>
      <c r="W62" s="223" cm="1">
        <f t="array" ref="W62">IF($E62="","",_xll.SNL.Clients.Office.Excel.Functions.SPG($E62,$R$45,W$48,TearSheet!$E$11,_xll.SNL.Clients.Office.Excel.Functions.SPGOPTIONS("DataType",TearSheet!$E$23,"Src",TearSheet!$AI$40,"NA","")))</f>
        <v>85.863189479301042</v>
      </c>
    </row>
    <row r="64" spans="2:28" ht="11.25" customHeight="1" x14ac:dyDescent="0.25">
      <c r="B64" s="227" t="s">
        <v>456</v>
      </c>
      <c r="C64" s="40"/>
      <c r="D64" s="40"/>
      <c r="E64" s="40"/>
      <c r="F64" s="40"/>
      <c r="G64" s="40"/>
      <c r="H64" s="40"/>
      <c r="I64" s="40"/>
      <c r="J64" s="40"/>
      <c r="K64" s="40"/>
      <c r="L64" s="40"/>
      <c r="M64" s="40"/>
      <c r="N64" s="40"/>
      <c r="O64" s="40"/>
      <c r="P64" s="40"/>
      <c r="Q64" s="40"/>
      <c r="R64" s="40"/>
      <c r="S64" s="40"/>
      <c r="T64" s="40"/>
      <c r="U64" s="40"/>
      <c r="V64" s="152"/>
      <c r="W64" s="152"/>
      <c r="X64" s="55"/>
      <c r="Y64" s="55"/>
      <c r="Z64" s="30"/>
      <c r="AB64" s="30"/>
    </row>
    <row r="65" spans="2:28" ht="11.25" customHeight="1" x14ac:dyDescent="0.25">
      <c r="R65" s="32"/>
      <c r="V65" s="55"/>
      <c r="W65" s="55"/>
      <c r="X65" s="55"/>
      <c r="Y65" s="55"/>
      <c r="Z65" s="30"/>
      <c r="AB65" s="30"/>
    </row>
    <row r="66" spans="2:28" ht="11.25" customHeight="1" collapsed="1" x14ac:dyDescent="0.25">
      <c r="B66" s="202"/>
      <c r="C66" s="202"/>
      <c r="D66" s="202"/>
      <c r="E66" s="203"/>
      <c r="F66" s="55"/>
      <c r="G66" s="55"/>
      <c r="H66" s="55"/>
      <c r="I66" s="55"/>
      <c r="J66" s="55"/>
      <c r="K66" s="55"/>
      <c r="L66" s="55"/>
      <c r="M66" s="55"/>
      <c r="N66" s="55"/>
      <c r="O66" s="55"/>
      <c r="P66" s="55"/>
      <c r="Q66" s="55"/>
      <c r="R66" s="55"/>
      <c r="S66" s="55"/>
      <c r="T66" s="55"/>
      <c r="U66" s="55"/>
      <c r="V66" s="55"/>
      <c r="W66" s="55"/>
      <c r="AB66" s="30"/>
    </row>
    <row r="67" spans="2:28" ht="11.25" customHeight="1" x14ac:dyDescent="0.25">
      <c r="B67" s="202"/>
      <c r="C67" s="202"/>
      <c r="D67" s="202"/>
      <c r="E67" s="203"/>
      <c r="F67" s="201"/>
      <c r="G67" s="201"/>
      <c r="H67" s="201"/>
      <c r="I67" s="201"/>
      <c r="J67" s="201"/>
      <c r="K67" s="201"/>
      <c r="L67" s="201"/>
      <c r="M67" s="201"/>
      <c r="N67" s="201"/>
      <c r="O67" s="201"/>
      <c r="P67" s="201"/>
      <c r="Q67" s="201"/>
      <c r="R67" s="201"/>
      <c r="S67" s="201"/>
      <c r="T67" s="201"/>
      <c r="U67" s="201"/>
      <c r="V67" s="201"/>
      <c r="W67" s="201"/>
      <c r="X67" s="56"/>
      <c r="Y67" s="56"/>
    </row>
    <row r="68" spans="2:28" ht="11.25" customHeight="1" x14ac:dyDescent="0.2">
      <c r="B68" s="200"/>
      <c r="C68" s="15"/>
      <c r="D68" s="15"/>
      <c r="E68" s="54"/>
      <c r="F68" s="198"/>
      <c r="G68" s="198"/>
      <c r="H68" s="198"/>
      <c r="I68" s="198"/>
      <c r="J68" s="198"/>
      <c r="K68" s="198"/>
      <c r="L68" s="198"/>
      <c r="M68" s="198"/>
      <c r="N68" s="198"/>
      <c r="O68" s="198"/>
      <c r="P68" s="198"/>
      <c r="Q68" s="198"/>
      <c r="R68" s="199"/>
      <c r="S68" s="199"/>
      <c r="T68" s="199"/>
      <c r="U68" s="199"/>
      <c r="V68" s="199"/>
      <c r="W68" s="199"/>
      <c r="X68" s="56"/>
      <c r="Y68" s="56"/>
    </row>
    <row r="69" spans="2:28" ht="11.25" customHeight="1" x14ac:dyDescent="0.2">
      <c r="B69" s="200"/>
      <c r="C69" s="15"/>
      <c r="D69" s="15"/>
      <c r="E69" s="54"/>
      <c r="F69" s="198"/>
      <c r="G69" s="198"/>
      <c r="H69" s="198"/>
      <c r="I69" s="198"/>
      <c r="J69" s="198"/>
      <c r="K69" s="198"/>
      <c r="L69" s="198"/>
      <c r="M69" s="198"/>
      <c r="N69" s="198"/>
      <c r="O69" s="198"/>
      <c r="P69" s="198"/>
      <c r="Q69" s="198"/>
      <c r="R69" s="199"/>
      <c r="S69" s="199"/>
      <c r="T69" s="199"/>
      <c r="U69" s="199"/>
      <c r="V69" s="199"/>
      <c r="W69" s="199"/>
      <c r="X69" s="56"/>
      <c r="Y69" s="56"/>
    </row>
    <row r="70" spans="2:28" ht="11.25" customHeight="1" x14ac:dyDescent="0.2">
      <c r="B70" s="200"/>
      <c r="C70" s="15"/>
      <c r="D70" s="15"/>
      <c r="E70" s="54"/>
      <c r="F70" s="198"/>
      <c r="G70" s="198"/>
      <c r="H70" s="198"/>
      <c r="I70" s="198"/>
      <c r="J70" s="198"/>
      <c r="K70" s="198"/>
      <c r="L70" s="198"/>
      <c r="M70" s="198"/>
      <c r="N70" s="198"/>
      <c r="O70" s="198"/>
      <c r="P70" s="198"/>
      <c r="Q70" s="198"/>
      <c r="R70" s="199"/>
      <c r="S70" s="199"/>
      <c r="T70" s="199"/>
      <c r="U70" s="199"/>
      <c r="V70" s="199"/>
      <c r="W70" s="199"/>
      <c r="X70" s="56"/>
      <c r="Y70" s="56"/>
    </row>
    <row r="71" spans="2:28" ht="11.25" customHeight="1" x14ac:dyDescent="0.2">
      <c r="B71" s="200"/>
      <c r="C71" s="15"/>
      <c r="D71" s="15"/>
      <c r="E71" s="54"/>
      <c r="F71" s="198"/>
      <c r="G71" s="198"/>
      <c r="H71" s="198"/>
      <c r="I71" s="198"/>
      <c r="J71" s="198"/>
      <c r="K71" s="198"/>
      <c r="L71" s="198"/>
      <c r="M71" s="198"/>
      <c r="N71" s="198"/>
      <c r="O71" s="198"/>
      <c r="P71" s="198"/>
      <c r="Q71" s="198"/>
      <c r="R71" s="199"/>
      <c r="S71" s="199"/>
      <c r="T71" s="199"/>
      <c r="U71" s="199"/>
      <c r="V71" s="199"/>
      <c r="W71" s="199"/>
      <c r="X71" s="56"/>
      <c r="Y71" s="56"/>
    </row>
    <row r="72" spans="2:28" ht="11.25" customHeight="1" x14ac:dyDescent="0.2">
      <c r="B72" s="200"/>
      <c r="C72" s="15"/>
      <c r="D72" s="15"/>
      <c r="E72" s="54"/>
      <c r="F72" s="198"/>
      <c r="G72" s="198"/>
      <c r="H72" s="198"/>
      <c r="I72" s="198"/>
      <c r="J72" s="198"/>
      <c r="K72" s="198"/>
      <c r="L72" s="198"/>
      <c r="M72" s="198"/>
      <c r="N72" s="198"/>
      <c r="O72" s="198"/>
      <c r="P72" s="198"/>
      <c r="Q72" s="198"/>
      <c r="R72" s="199"/>
      <c r="S72" s="199"/>
      <c r="T72" s="199"/>
      <c r="U72" s="199"/>
      <c r="V72" s="199"/>
      <c r="W72" s="199"/>
      <c r="X72" s="56"/>
      <c r="Y72" s="56"/>
    </row>
    <row r="73" spans="2:28" ht="11.25" customHeight="1" x14ac:dyDescent="0.2">
      <c r="B73" s="200"/>
      <c r="C73" s="15"/>
      <c r="D73" s="15"/>
      <c r="E73" s="54"/>
      <c r="F73" s="198"/>
      <c r="G73" s="198"/>
      <c r="H73" s="198"/>
      <c r="I73" s="198"/>
      <c r="J73" s="198"/>
      <c r="K73" s="198"/>
      <c r="L73" s="198"/>
      <c r="M73" s="198"/>
      <c r="N73" s="198"/>
      <c r="O73" s="198"/>
      <c r="P73" s="198"/>
      <c r="Q73" s="198"/>
      <c r="R73" s="199"/>
      <c r="S73" s="199"/>
      <c r="T73" s="199"/>
      <c r="U73" s="199"/>
      <c r="V73" s="199"/>
      <c r="W73" s="199"/>
      <c r="X73" s="56"/>
      <c r="Y73" s="56"/>
    </row>
    <row r="74" spans="2:28" ht="11.25" customHeight="1" x14ac:dyDescent="0.2">
      <c r="B74" s="200"/>
      <c r="C74" s="15"/>
      <c r="D74" s="15"/>
      <c r="E74" s="54"/>
      <c r="F74" s="198"/>
      <c r="G74" s="198"/>
      <c r="H74" s="198"/>
      <c r="I74" s="198"/>
      <c r="J74" s="198"/>
      <c r="K74" s="198"/>
      <c r="L74" s="198"/>
      <c r="M74" s="198"/>
      <c r="N74" s="198"/>
      <c r="O74" s="198"/>
      <c r="P74" s="198"/>
      <c r="Q74" s="198"/>
      <c r="R74" s="199"/>
      <c r="S74" s="199"/>
      <c r="T74" s="199"/>
      <c r="U74" s="199"/>
      <c r="V74" s="199"/>
      <c r="W74" s="199"/>
      <c r="X74" s="56"/>
      <c r="Y74" s="56"/>
    </row>
    <row r="75" spans="2:28" ht="11.25" customHeight="1" x14ac:dyDescent="0.2">
      <c r="B75" s="200"/>
      <c r="C75" s="15"/>
      <c r="D75" s="15"/>
      <c r="E75" s="54"/>
      <c r="F75" s="198"/>
      <c r="G75" s="198"/>
      <c r="H75" s="198"/>
      <c r="I75" s="198"/>
      <c r="J75" s="198"/>
      <c r="K75" s="198"/>
      <c r="L75" s="198"/>
      <c r="M75" s="198"/>
      <c r="N75" s="198"/>
      <c r="O75" s="198"/>
      <c r="P75" s="198"/>
      <c r="Q75" s="198"/>
      <c r="R75" s="199"/>
      <c r="S75" s="199"/>
      <c r="T75" s="199"/>
      <c r="U75" s="199"/>
      <c r="V75" s="199"/>
      <c r="W75" s="199"/>
      <c r="X75" s="56"/>
      <c r="Y75" s="56"/>
    </row>
    <row r="76" spans="2:28" ht="11.25" customHeight="1" x14ac:dyDescent="0.2">
      <c r="B76" s="200"/>
      <c r="C76" s="15"/>
      <c r="D76" s="15"/>
      <c r="E76" s="54"/>
      <c r="F76" s="198"/>
      <c r="G76" s="198"/>
      <c r="H76" s="198"/>
      <c r="I76" s="198"/>
      <c r="J76" s="198"/>
      <c r="K76" s="198"/>
      <c r="L76" s="198"/>
      <c r="M76" s="198"/>
      <c r="N76" s="198"/>
      <c r="O76" s="198"/>
      <c r="P76" s="198"/>
      <c r="Q76" s="198"/>
      <c r="R76" s="199"/>
      <c r="S76" s="199"/>
      <c r="T76" s="199"/>
      <c r="U76" s="199"/>
      <c r="V76" s="199"/>
      <c r="W76" s="199"/>
    </row>
    <row r="77" spans="2:28" ht="11.25" customHeight="1" x14ac:dyDescent="0.35">
      <c r="B77" s="200"/>
      <c r="C77" s="15"/>
      <c r="D77" s="15"/>
      <c r="E77" s="54"/>
      <c r="F77" s="198"/>
      <c r="G77" s="198"/>
      <c r="H77" s="198"/>
      <c r="I77" s="198"/>
      <c r="J77" s="198"/>
      <c r="K77" s="198"/>
      <c r="L77" s="198"/>
      <c r="M77" s="198"/>
      <c r="N77" s="198"/>
      <c r="O77" s="198"/>
      <c r="P77" s="198"/>
      <c r="Q77" s="198"/>
      <c r="R77" s="199"/>
      <c r="S77" s="199"/>
      <c r="T77" s="199"/>
      <c r="U77" s="199"/>
      <c r="V77" s="199"/>
      <c r="W77" s="199"/>
      <c r="Y77" s="44"/>
    </row>
    <row r="78" spans="2:28" ht="11.25" customHeight="1" x14ac:dyDescent="0.35">
      <c r="B78" s="200"/>
      <c r="E78" s="54"/>
      <c r="F78" s="198"/>
      <c r="G78" s="198"/>
      <c r="H78" s="198"/>
      <c r="I78" s="198"/>
      <c r="J78" s="198"/>
      <c r="K78" s="198"/>
      <c r="L78" s="198"/>
      <c r="M78" s="198"/>
      <c r="N78" s="198"/>
      <c r="O78" s="198"/>
      <c r="P78" s="198"/>
      <c r="Q78" s="198"/>
      <c r="R78" s="199"/>
      <c r="S78" s="199"/>
      <c r="T78" s="199"/>
      <c r="U78" s="199"/>
      <c r="V78" s="199"/>
      <c r="W78" s="199"/>
      <c r="Y78" s="44"/>
    </row>
    <row r="79" spans="2:28" ht="11.25" customHeight="1" x14ac:dyDescent="0.25">
      <c r="B79" s="200"/>
      <c r="E79" s="54"/>
      <c r="F79" s="198"/>
      <c r="G79" s="198"/>
      <c r="H79" s="198"/>
      <c r="I79" s="198"/>
      <c r="J79" s="198"/>
      <c r="K79" s="198"/>
      <c r="L79" s="198"/>
      <c r="M79" s="198"/>
      <c r="N79" s="198"/>
      <c r="O79" s="198"/>
      <c r="P79" s="198"/>
      <c r="Q79" s="198"/>
      <c r="R79" s="199"/>
      <c r="S79" s="199"/>
      <c r="T79" s="199"/>
      <c r="U79" s="199"/>
      <c r="V79" s="199"/>
      <c r="W79" s="199"/>
      <c r="X79" s="55"/>
      <c r="Y79" s="55"/>
    </row>
    <row r="80" spans="2:28" ht="11.25" customHeight="1" x14ac:dyDescent="0.25">
      <c r="V80" s="55"/>
      <c r="W80" s="55"/>
      <c r="X80" s="55"/>
      <c r="Y80" s="55"/>
    </row>
    <row r="81" spans="2:28" ht="11.25" customHeight="1" x14ac:dyDescent="0.35">
      <c r="F81" s="32"/>
      <c r="G81" s="44"/>
      <c r="H81" s="44"/>
      <c r="I81" s="44"/>
      <c r="J81" s="44"/>
      <c r="L81" s="32"/>
      <c r="M81" s="44"/>
      <c r="N81" s="44"/>
      <c r="O81" s="44"/>
      <c r="R81" s="32"/>
      <c r="S81" s="44"/>
      <c r="T81" s="44"/>
      <c r="U81" s="32"/>
      <c r="V81" s="55"/>
      <c r="W81" s="55"/>
      <c r="X81" s="55"/>
      <c r="Y81" s="55"/>
    </row>
    <row r="82" spans="2:28" ht="11.25" customHeight="1" x14ac:dyDescent="0.35">
      <c r="F82" s="32"/>
      <c r="G82" s="44"/>
      <c r="H82" s="44"/>
      <c r="I82" s="44"/>
      <c r="J82" s="44"/>
      <c r="L82" s="32"/>
      <c r="M82" s="44"/>
      <c r="N82" s="44"/>
      <c r="O82" s="44"/>
      <c r="R82" s="32"/>
      <c r="S82" s="44"/>
      <c r="T82" s="44"/>
      <c r="U82" s="32"/>
      <c r="V82" s="53"/>
      <c r="W82" s="53"/>
      <c r="X82" s="53"/>
      <c r="Y82" s="53"/>
    </row>
    <row r="83" spans="2:28" ht="11.25" customHeight="1" collapsed="1" x14ac:dyDescent="0.25">
      <c r="B83" s="202"/>
      <c r="C83" s="202"/>
      <c r="D83" s="202"/>
      <c r="E83" s="202"/>
      <c r="F83" s="55"/>
      <c r="G83" s="55"/>
      <c r="H83" s="55"/>
      <c r="I83" s="55"/>
      <c r="J83" s="55"/>
      <c r="K83" s="55"/>
      <c r="L83" s="55"/>
      <c r="M83" s="55"/>
      <c r="N83" s="55"/>
      <c r="O83" s="55"/>
      <c r="P83" s="55"/>
      <c r="Q83" s="55"/>
      <c r="R83" s="55"/>
      <c r="S83" s="55"/>
      <c r="T83" s="55"/>
      <c r="U83" s="55"/>
      <c r="V83" s="55"/>
      <c r="W83" s="55"/>
      <c r="X83" s="53"/>
      <c r="Y83" s="53"/>
    </row>
    <row r="84" spans="2:28" ht="11.25" customHeight="1" x14ac:dyDescent="0.2">
      <c r="B84" s="202"/>
      <c r="C84" s="202"/>
      <c r="D84" s="202"/>
      <c r="E84" s="202"/>
      <c r="F84" s="201"/>
      <c r="G84" s="201"/>
      <c r="H84" s="201"/>
      <c r="I84" s="201"/>
      <c r="J84" s="201"/>
      <c r="K84" s="201"/>
      <c r="L84" s="201"/>
      <c r="M84" s="201"/>
      <c r="N84" s="201"/>
      <c r="O84" s="201"/>
      <c r="P84" s="201"/>
      <c r="Q84" s="201"/>
      <c r="R84" s="201"/>
      <c r="S84" s="201"/>
      <c r="T84" s="201"/>
      <c r="U84" s="201"/>
      <c r="V84" s="201"/>
      <c r="W84" s="201"/>
    </row>
    <row r="85" spans="2:28" ht="11.25" customHeight="1" x14ac:dyDescent="0.2">
      <c r="B85" s="200"/>
      <c r="C85" s="200"/>
      <c r="D85" s="200"/>
      <c r="E85" s="54"/>
      <c r="F85" s="53"/>
      <c r="G85" s="53"/>
      <c r="H85" s="53"/>
      <c r="I85" s="53"/>
      <c r="J85" s="53"/>
      <c r="K85" s="53"/>
      <c r="L85" s="53"/>
      <c r="M85" s="53"/>
      <c r="N85" s="53"/>
      <c r="O85" s="53"/>
      <c r="P85" s="53"/>
      <c r="Q85" s="53"/>
      <c r="R85" s="53"/>
      <c r="S85" s="53"/>
      <c r="T85" s="53"/>
      <c r="U85" s="53"/>
      <c r="V85" s="53"/>
      <c r="W85" s="53"/>
    </row>
    <row r="86" spans="2:28" ht="11.25" customHeight="1" x14ac:dyDescent="0.2">
      <c r="B86" s="200"/>
      <c r="C86" s="200"/>
      <c r="D86" s="200"/>
      <c r="E86" s="54"/>
      <c r="F86" s="53"/>
      <c r="G86" s="53"/>
      <c r="H86" s="53"/>
      <c r="I86" s="53"/>
      <c r="J86" s="53"/>
      <c r="K86" s="53"/>
      <c r="L86" s="53"/>
      <c r="M86" s="53"/>
      <c r="N86" s="53"/>
      <c r="O86" s="53"/>
      <c r="P86" s="53"/>
      <c r="Q86" s="53"/>
      <c r="R86" s="53"/>
      <c r="S86" s="53"/>
      <c r="T86" s="53"/>
      <c r="U86" s="53"/>
      <c r="V86" s="53"/>
      <c r="W86" s="53"/>
    </row>
    <row r="87" spans="2:28" ht="11.25" customHeight="1" x14ac:dyDescent="0.2">
      <c r="B87" s="200"/>
      <c r="C87" s="200"/>
      <c r="D87" s="200"/>
      <c r="E87" s="54"/>
      <c r="F87" s="53"/>
      <c r="G87" s="53"/>
      <c r="H87" s="53"/>
      <c r="I87" s="53"/>
      <c r="J87" s="53"/>
      <c r="K87" s="53"/>
      <c r="L87" s="53"/>
      <c r="M87" s="53"/>
      <c r="N87" s="53"/>
      <c r="O87" s="53"/>
      <c r="P87" s="53"/>
      <c r="Q87" s="53"/>
      <c r="R87" s="53"/>
      <c r="S87" s="53"/>
      <c r="T87" s="53"/>
      <c r="U87" s="53"/>
      <c r="V87" s="53"/>
      <c r="W87" s="53"/>
    </row>
    <row r="88" spans="2:28" ht="11.25" customHeight="1" x14ac:dyDescent="0.2">
      <c r="B88" s="200"/>
      <c r="C88" s="200"/>
      <c r="D88" s="200"/>
      <c r="E88" s="54"/>
      <c r="F88" s="53"/>
      <c r="G88" s="53"/>
      <c r="H88" s="53"/>
      <c r="I88" s="53"/>
      <c r="J88" s="53"/>
      <c r="K88" s="53"/>
      <c r="L88" s="53"/>
      <c r="M88" s="53"/>
      <c r="N88" s="53"/>
      <c r="O88" s="53"/>
      <c r="P88" s="53"/>
      <c r="Q88" s="53"/>
      <c r="R88" s="53"/>
      <c r="S88" s="53"/>
      <c r="T88" s="53"/>
      <c r="U88" s="53"/>
      <c r="V88" s="53"/>
      <c r="W88" s="53"/>
    </row>
    <row r="89" spans="2:28" ht="11.25" customHeight="1" x14ac:dyDescent="0.2">
      <c r="B89" s="200"/>
      <c r="C89" s="200"/>
      <c r="D89" s="200"/>
      <c r="E89" s="54"/>
      <c r="F89" s="53"/>
      <c r="G89" s="53"/>
      <c r="H89" s="53"/>
      <c r="I89" s="53"/>
      <c r="J89" s="53"/>
      <c r="K89" s="53"/>
      <c r="L89" s="53"/>
      <c r="M89" s="53"/>
      <c r="N89" s="53"/>
      <c r="O89" s="53"/>
      <c r="P89" s="53"/>
      <c r="Q89" s="53"/>
      <c r="R89" s="53"/>
      <c r="S89" s="53"/>
      <c r="T89" s="53"/>
      <c r="U89" s="53"/>
      <c r="V89" s="53"/>
      <c r="W89" s="53"/>
    </row>
    <row r="90" spans="2:28" ht="11.25" customHeight="1" x14ac:dyDescent="0.2">
      <c r="B90" s="200"/>
      <c r="C90" s="200"/>
      <c r="D90" s="200"/>
      <c r="E90" s="54"/>
      <c r="F90" s="53"/>
      <c r="G90" s="53"/>
      <c r="H90" s="53"/>
      <c r="I90" s="53"/>
      <c r="J90" s="53"/>
      <c r="K90" s="53"/>
      <c r="L90" s="53"/>
      <c r="M90" s="53"/>
      <c r="N90" s="53"/>
      <c r="O90" s="53"/>
      <c r="P90" s="53"/>
      <c r="Q90" s="53"/>
      <c r="R90" s="53"/>
      <c r="S90" s="53"/>
      <c r="T90" s="53"/>
      <c r="U90" s="53"/>
      <c r="V90" s="53"/>
      <c r="W90" s="53"/>
    </row>
    <row r="91" spans="2:28" ht="11.25" customHeight="1" x14ac:dyDescent="0.2">
      <c r="B91" s="200"/>
      <c r="C91" s="200"/>
      <c r="D91" s="200"/>
      <c r="E91" s="54"/>
      <c r="F91" s="53"/>
      <c r="G91" s="53"/>
      <c r="H91" s="53"/>
      <c r="I91" s="53"/>
      <c r="J91" s="53"/>
      <c r="K91" s="53"/>
      <c r="L91" s="53"/>
      <c r="M91" s="53"/>
      <c r="N91" s="53"/>
      <c r="O91" s="53"/>
      <c r="P91" s="53"/>
      <c r="Q91" s="53"/>
      <c r="R91" s="53"/>
      <c r="S91" s="53"/>
      <c r="T91" s="53"/>
      <c r="U91" s="53"/>
      <c r="V91" s="53"/>
      <c r="W91" s="53"/>
    </row>
    <row r="92" spans="2:28" ht="11.25" customHeight="1" x14ac:dyDescent="0.2">
      <c r="B92" s="200"/>
      <c r="C92" s="200"/>
      <c r="D92" s="200"/>
      <c r="E92" s="54"/>
      <c r="F92" s="53"/>
      <c r="G92" s="53"/>
      <c r="H92" s="53"/>
      <c r="I92" s="53"/>
      <c r="J92" s="53"/>
      <c r="K92" s="53"/>
      <c r="L92" s="53"/>
      <c r="M92" s="53"/>
      <c r="N92" s="53"/>
      <c r="O92" s="53"/>
      <c r="P92" s="53"/>
      <c r="Q92" s="53"/>
      <c r="R92" s="53"/>
      <c r="S92" s="53"/>
      <c r="T92" s="53"/>
      <c r="U92" s="53"/>
      <c r="V92" s="53"/>
      <c r="W92" s="53"/>
    </row>
    <row r="93" spans="2:28" ht="11.25" customHeight="1" x14ac:dyDescent="0.2">
      <c r="B93" s="200"/>
      <c r="C93" s="200"/>
      <c r="D93" s="200"/>
      <c r="E93" s="54"/>
      <c r="F93" s="53"/>
      <c r="G93" s="53"/>
      <c r="H93" s="53"/>
      <c r="I93" s="53"/>
      <c r="J93" s="53"/>
      <c r="K93" s="53"/>
      <c r="L93" s="53"/>
      <c r="M93" s="53"/>
      <c r="N93" s="53"/>
      <c r="O93" s="53"/>
      <c r="P93" s="53"/>
      <c r="Q93" s="53"/>
      <c r="R93" s="53"/>
      <c r="S93" s="53"/>
      <c r="T93" s="53"/>
      <c r="U93" s="53"/>
      <c r="V93" s="53"/>
      <c r="W93" s="53"/>
    </row>
    <row r="94" spans="2:28" ht="11.25" customHeight="1" x14ac:dyDescent="0.2">
      <c r="B94" s="200"/>
      <c r="C94" s="200"/>
      <c r="D94" s="200"/>
      <c r="E94" s="54"/>
      <c r="F94" s="53"/>
      <c r="G94" s="53"/>
      <c r="H94" s="53"/>
      <c r="I94" s="53"/>
      <c r="J94" s="53"/>
      <c r="K94" s="53"/>
      <c r="L94" s="53"/>
      <c r="M94" s="53"/>
      <c r="N94" s="53"/>
      <c r="O94" s="53"/>
      <c r="P94" s="53"/>
      <c r="Q94" s="53"/>
      <c r="R94" s="53"/>
      <c r="S94" s="53"/>
      <c r="T94" s="53"/>
      <c r="U94" s="53"/>
      <c r="V94" s="53"/>
      <c r="W94" s="53"/>
    </row>
    <row r="95" spans="2:28" ht="11.25" customHeight="1" x14ac:dyDescent="0.2">
      <c r="B95" s="200"/>
      <c r="C95" s="200"/>
      <c r="D95" s="200"/>
      <c r="E95" s="54"/>
      <c r="F95" s="53"/>
      <c r="G95" s="53"/>
      <c r="H95" s="53"/>
      <c r="I95" s="53"/>
      <c r="J95" s="53"/>
      <c r="K95" s="53"/>
      <c r="L95" s="53"/>
      <c r="M95" s="53"/>
      <c r="N95" s="53"/>
      <c r="O95" s="53"/>
      <c r="P95" s="53"/>
      <c r="Q95" s="53"/>
      <c r="R95" s="53"/>
      <c r="S95" s="53"/>
      <c r="T95" s="53"/>
      <c r="U95" s="53"/>
      <c r="V95" s="53"/>
      <c r="W95" s="53"/>
      <c r="AA95"/>
      <c r="AB95"/>
    </row>
    <row r="96" spans="2:28" ht="11.25" customHeight="1" x14ac:dyDescent="0.2">
      <c r="B96" s="200"/>
      <c r="C96" s="200"/>
      <c r="D96" s="200"/>
      <c r="E96" s="54"/>
      <c r="F96" s="53"/>
      <c r="G96" s="53"/>
      <c r="H96" s="53"/>
      <c r="I96" s="53"/>
      <c r="J96" s="53"/>
      <c r="K96" s="53"/>
      <c r="L96" s="53"/>
      <c r="M96" s="53"/>
      <c r="N96" s="53"/>
      <c r="O96" s="53"/>
      <c r="P96" s="53"/>
      <c r="Q96" s="53"/>
      <c r="R96" s="53"/>
      <c r="S96" s="53"/>
      <c r="T96" s="53"/>
      <c r="U96" s="53"/>
      <c r="V96" s="53"/>
      <c r="W96" s="53"/>
      <c r="AA96"/>
      <c r="AB96"/>
    </row>
    <row r="97" spans="25:28" ht="11.25" customHeight="1" x14ac:dyDescent="0.2">
      <c r="Y97"/>
      <c r="Z97"/>
      <c r="AA97"/>
      <c r="AB97"/>
    </row>
    <row r="98" spans="25:28" ht="11.25" customHeight="1" x14ac:dyDescent="0.2">
      <c r="Y98"/>
      <c r="Z98"/>
      <c r="AA98"/>
      <c r="AB98"/>
    </row>
    <row r="99" spans="25:28" ht="11.25" customHeight="1" x14ac:dyDescent="0.2">
      <c r="Y99"/>
      <c r="Z99"/>
      <c r="AA99"/>
      <c r="AB99"/>
    </row>
    <row r="100" spans="25:28" ht="11.25" customHeight="1" x14ac:dyDescent="0.2">
      <c r="AA100"/>
      <c r="AB100"/>
    </row>
    <row r="101" spans="25:28" ht="11.25" customHeight="1" x14ac:dyDescent="0.2">
      <c r="AA101"/>
      <c r="AB101"/>
    </row>
    <row r="102" spans="25:28" ht="11.25" customHeight="1" x14ac:dyDescent="0.2">
      <c r="AA102"/>
      <c r="AB102"/>
    </row>
    <row r="103" spans="25:28" ht="11.25" customHeight="1" x14ac:dyDescent="0.2">
      <c r="AA103"/>
      <c r="AB103"/>
    </row>
    <row r="104" spans="25:28" ht="11.25" customHeight="1" x14ac:dyDescent="0.2">
      <c r="AA104"/>
      <c r="AB104"/>
    </row>
    <row r="105" spans="25:28" ht="11.25" customHeight="1" x14ac:dyDescent="0.2">
      <c r="AA105"/>
      <c r="AB105"/>
    </row>
    <row r="106" spans="25:28" ht="11.25" customHeight="1" x14ac:dyDescent="0.2">
      <c r="AA106"/>
      <c r="AB106"/>
    </row>
    <row r="107" spans="25:28" ht="11.25" customHeight="1" x14ac:dyDescent="0.2">
      <c r="AA107"/>
      <c r="AB107"/>
    </row>
    <row r="108" spans="25:28" ht="11.25" customHeight="1" x14ac:dyDescent="0.2">
      <c r="AA108"/>
      <c r="AB108"/>
    </row>
    <row r="109" spans="25:28" ht="11.25" customHeight="1" x14ac:dyDescent="0.2">
      <c r="AA109"/>
      <c r="AB109"/>
    </row>
    <row r="110" spans="25:28" ht="11.25" customHeight="1" x14ac:dyDescent="0.2">
      <c r="AA110"/>
      <c r="AB110"/>
    </row>
    <row r="111" spans="25:28" ht="11.25" customHeight="1" x14ac:dyDescent="0.2">
      <c r="AA111"/>
      <c r="AB111"/>
    </row>
    <row r="112" spans="25:28" ht="11.25" customHeight="1" x14ac:dyDescent="0.2">
      <c r="AA112"/>
      <c r="AB112"/>
    </row>
    <row r="113" spans="27:28" ht="11.25" customHeight="1" x14ac:dyDescent="0.2">
      <c r="AA113"/>
      <c r="AB113"/>
    </row>
    <row r="114" spans="27:28" ht="11.25" customHeight="1" x14ac:dyDescent="0.2">
      <c r="AA114"/>
      <c r="AB114"/>
    </row>
    <row r="115" spans="27:28" ht="11.25" customHeight="1" x14ac:dyDescent="0.2">
      <c r="AA115"/>
      <c r="AB115"/>
    </row>
  </sheetData>
  <mergeCells count="28">
    <mergeCell ref="F49:K49"/>
    <mergeCell ref="L49:Q49"/>
    <mergeCell ref="F47:W47"/>
    <mergeCell ref="K11:Q11"/>
    <mergeCell ref="R11:W11"/>
    <mergeCell ref="I11:I12"/>
    <mergeCell ref="L30:Q30"/>
    <mergeCell ref="F28:Q28"/>
    <mergeCell ref="F30:K30"/>
    <mergeCell ref="R49:W49"/>
    <mergeCell ref="R30:W30"/>
    <mergeCell ref="R28:W28"/>
    <mergeCell ref="B25:C25"/>
    <mergeCell ref="B20:C20"/>
    <mergeCell ref="B22:C22"/>
    <mergeCell ref="B21:C21"/>
    <mergeCell ref="B23:C23"/>
    <mergeCell ref="B24:C24"/>
    <mergeCell ref="F10:W10"/>
    <mergeCell ref="B15:C15"/>
    <mergeCell ref="B16:C16"/>
    <mergeCell ref="B17:C17"/>
    <mergeCell ref="B18:C18"/>
    <mergeCell ref="B19:C19"/>
    <mergeCell ref="B13:C13"/>
    <mergeCell ref="B14:C14"/>
    <mergeCell ref="J11:J12"/>
    <mergeCell ref="F11:F12"/>
  </mergeCells>
  <conditionalFormatting sqref="F50:K62">
    <cfRule type="expression" dxfId="9" priority="3">
      <formula>$F$46="(%)"</formula>
    </cfRule>
  </conditionalFormatting>
  <conditionalFormatting sqref="F85:K96">
    <cfRule type="expression" dxfId="8" priority="7">
      <formula>$F$82="(%)"</formula>
    </cfRule>
  </conditionalFormatting>
  <conditionalFormatting sqref="L50:Q62">
    <cfRule type="expression" dxfId="7" priority="1">
      <formula>$L$46="(%)"</formula>
    </cfRule>
  </conditionalFormatting>
  <conditionalFormatting sqref="L85:Q96 K97:O105 Q102:T113">
    <cfRule type="expression" dxfId="6" priority="8">
      <formula>$L$82="(%)"</formula>
    </cfRule>
  </conditionalFormatting>
  <conditionalFormatting sqref="Q97:U99">
    <cfRule type="expression" dxfId="5" priority="13">
      <formula>$L$82="(%)"</formula>
    </cfRule>
  </conditionalFormatting>
  <conditionalFormatting sqref="R50:W62">
    <cfRule type="expression" dxfId="4" priority="6">
      <formula>$R$46="(%)"</formula>
    </cfRule>
  </conditionalFormatting>
  <conditionalFormatting sqref="R85:W96">
    <cfRule type="expression" dxfId="3" priority="14">
      <formula>$R$82="(%)"</formula>
    </cfRule>
  </conditionalFormatting>
  <conditionalFormatting sqref="V46:W46 X83:Y83 V97:X99">
    <cfRule type="expression" dxfId="2" priority="5">
      <formula>$U$82="(%)"</formula>
    </cfRule>
  </conditionalFormatting>
  <conditionalFormatting sqref="V63:W63">
    <cfRule type="expression" dxfId="1" priority="2">
      <formula>$U$46="(%)"</formula>
    </cfRule>
  </conditionalFormatting>
  <conditionalFormatting sqref="V82:Y82">
    <cfRule type="expression" dxfId="0" priority="12">
      <formula>$U$82="(%)"</formula>
    </cfRule>
  </conditionalFormatting>
  <printOptions horizontalCentered="1"/>
  <pageMargins left="0.25" right="0.25" top="0.25" bottom="0.25" header="0.75" footer="0.75"/>
  <pageSetup scale="50" fitToWidth="0" fitToHeight="0"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7E773672-6D1E-4B4B-86D4-38B07E953F9B}">
          <x14:formula1>
            <xm:f>TearSheet!$AB$34:$AB$45</xm:f>
          </x14:formula1>
          <xm:sqref>G12:H12 K12:Q12</xm:sqref>
        </x14:dataValidation>
        <x14:dataValidation type="list" allowBlank="1" showInputMessage="1" showErrorMessage="1" xr:uid="{4402E1CC-6724-4417-B982-F7E3F054C9D4}">
          <x14:formula1>
            <xm:f>TearSheet!$AF$42:$AF$43</xm:f>
          </x14:formula1>
          <xm:sqref>R11:W11</xm:sqref>
        </x14:dataValidation>
        <x14:dataValidation type="list" allowBlank="1" showInputMessage="1" showErrorMessage="1" xr:uid="{70201EB4-C208-4F3D-8784-C01A9ECC135D}">
          <x14:formula1>
            <xm:f>TearSheet!$AB$49:$AB$56</xm:f>
          </x14:formula1>
          <xm:sqref>F30:Q30</xm:sqref>
        </x14:dataValidation>
        <x14:dataValidation type="list" allowBlank="1" showInputMessage="1" showErrorMessage="1" xr:uid="{01704746-CE80-4FE7-B2EC-F3F17CDCF6A5}">
          <x14:formula1>
            <xm:f>TearSheet!$AC$49:$AC$65</xm:f>
          </x14:formula1>
          <xm:sqref>R30:W30</xm:sqref>
        </x14:dataValidation>
        <x14:dataValidation type="list" allowBlank="1" showInputMessage="1" showErrorMessage="1" xr:uid="{60743B33-150D-4FCA-85BD-EDE4057E8DE5}">
          <x14:formula1>
            <xm:f>TearSheet!$AD$49:$AD$117</xm:f>
          </x14:formula1>
          <xm:sqref>F49:W49</xm:sqref>
        </x14:dataValidation>
      </x14:dataValidations>
    </ext>
  </extLs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TearSheet</vt:lpstr>
      <vt:lpstr>PeerAnalysis</vt:lpstr>
      <vt:lpstr>Data</vt:lpstr>
      <vt:lpstr>PeerAnalysis!Print_Area</vt:lpstr>
      <vt:lpstr>TearSheet!Print_Area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Choudhary, Drushti</dc:creator>
  <cp:keywords/>
  <dc:description/>
  <cp:lastModifiedBy>Khanna, Chahat</cp:lastModifiedBy>
  <cp:lastPrinted>2026-10-06T13:10:34Z</cp:lastPrinted>
  <dcterms:created xsi:type="dcterms:W3CDTF">2024-04-04T13:16:46Z</dcterms:created>
  <dcterms:modified xsi:type="dcterms:W3CDTF">2026-10-15T08:21:49Z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{988530DD-BD24-4C52-B145-0F21672DDCB8}</vt:lpwstr>
  </property>
  <property fmtid="{D5CDD505-2E9C-101B-9397-08002B2CF9AE}" pid="3" name="MSIP_Label_6267e522-0091-4d88-9989-f382df9eb3cc_Enabled">
    <vt:lpwstr>true</vt:lpwstr>
  </property>
  <property fmtid="{D5CDD505-2E9C-101B-9397-08002B2CF9AE}" pid="4" name="MSIP_Label_6267e522-0091-4d88-9989-f382df9eb3cc_SetDate">
    <vt:lpwstr>2026-01-13T10:21:19Z</vt:lpwstr>
  </property>
  <property fmtid="{D5CDD505-2E9C-101B-9397-08002B2CF9AE}" pid="5" name="MSIP_Label_6267e522-0091-4d88-9989-f382df9eb3cc_Method">
    <vt:lpwstr>Privileged</vt:lpwstr>
  </property>
  <property fmtid="{D5CDD505-2E9C-101B-9397-08002B2CF9AE}" pid="6" name="MSIP_Label_6267e522-0091-4d88-9989-f382df9eb3cc_Name">
    <vt:lpwstr>General</vt:lpwstr>
  </property>
  <property fmtid="{D5CDD505-2E9C-101B-9397-08002B2CF9AE}" pid="7" name="MSIP_Label_6267e522-0091-4d88-9989-f382df9eb3cc_SiteId">
    <vt:lpwstr>8f3e36ea-8039-4b40-81a7-7dc0599e8645</vt:lpwstr>
  </property>
  <property fmtid="{D5CDD505-2E9C-101B-9397-08002B2CF9AE}" pid="8" name="MSIP_Label_6267e522-0091-4d88-9989-f382df9eb3cc_ActionId">
    <vt:lpwstr>8fd43e36-01a4-4b4b-a5cb-df11666fc18b</vt:lpwstr>
  </property>
  <property fmtid="{D5CDD505-2E9C-101B-9397-08002B2CF9AE}" pid="9" name="MSIP_Label_6267e522-0091-4d88-9989-f382df9eb3cc_ContentBits">
    <vt:lpwstr>0</vt:lpwstr>
  </property>
  <property fmtid="{D5CDD505-2E9C-101B-9397-08002B2CF9AE}" pid="10" name="MSIP_Label_6267e522-0091-4d88-9989-f382df9eb3cc_Tag">
    <vt:lpwstr>10, 0, 1, 1</vt:lpwstr>
  </property>
  <property fmtid="{D5CDD505-2E9C-101B-9397-08002B2CF9AE}" pid="11" name="KeyFile">
    <vt:r8>435425874</vt:r8>
  </property>
  <property fmtid="{D5CDD505-2E9C-101B-9397-08002B2CF9AE}" pid="12" name="snltemplateid">
    <vt:r8>435425874</vt:r8>
  </property>
</Properties>
</file>