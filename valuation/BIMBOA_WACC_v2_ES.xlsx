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5E280E79-E2C2-4227-B94C-6C9D9B424E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CC" sheetId="1" r:id="rId1"/>
    <sheet name="Inputs_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F80" i="1"/>
  <c r="E80" i="1"/>
  <c r="D80" i="1"/>
  <c r="C80" i="1"/>
  <c r="G70" i="1"/>
  <c r="F70" i="1"/>
  <c r="E70" i="1"/>
  <c r="D70" i="1"/>
  <c r="C70" i="1"/>
  <c r="C62" i="1"/>
  <c r="C61" i="1"/>
  <c r="C63" i="1" s="1"/>
  <c r="C59" i="1"/>
  <c r="N43" i="1"/>
  <c r="N38" i="1"/>
  <c r="K38" i="1"/>
  <c r="L38" i="1" s="1"/>
  <c r="K37" i="1"/>
  <c r="L37" i="1" s="1"/>
  <c r="N37" i="1" s="1"/>
  <c r="L36" i="1"/>
  <c r="N36" i="1" s="1"/>
  <c r="K36" i="1"/>
  <c r="K35" i="1"/>
  <c r="L35" i="1" s="1"/>
  <c r="N35" i="1" s="1"/>
  <c r="K34" i="1"/>
  <c r="L34" i="1" s="1"/>
  <c r="N34" i="1" s="1"/>
  <c r="K33" i="1"/>
  <c r="L33" i="1" s="1"/>
  <c r="N33" i="1" s="1"/>
  <c r="K32" i="1"/>
  <c r="L32" i="1" s="1"/>
  <c r="N32" i="1" s="1"/>
  <c r="I28" i="1"/>
  <c r="I26" i="1"/>
  <c r="I25" i="1"/>
  <c r="I24" i="1"/>
  <c r="I23" i="1"/>
  <c r="I27" i="1" s="1"/>
  <c r="C13" i="1" s="1"/>
  <c r="C17" i="1"/>
  <c r="C16" i="1"/>
  <c r="C15" i="1"/>
  <c r="B82" i="1" l="1"/>
  <c r="B81" i="1"/>
  <c r="B84" i="1"/>
  <c r="B85" i="1"/>
  <c r="B83" i="1"/>
  <c r="C57" i="1"/>
  <c r="C58" i="1" s="1"/>
  <c r="C60" i="1" s="1"/>
  <c r="C64" i="1" s="1"/>
  <c r="C66" i="1" s="1"/>
  <c r="N40" i="1"/>
  <c r="N39" i="1"/>
  <c r="E84" i="1"/>
  <c r="D84" i="1"/>
  <c r="C84" i="1"/>
  <c r="G83" i="1"/>
  <c r="F83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G72" i="1"/>
  <c r="F72" i="1"/>
  <c r="E72" i="1"/>
  <c r="D72" i="1"/>
  <c r="C72" i="1"/>
  <c r="G71" i="1"/>
  <c r="F71" i="1"/>
  <c r="E71" i="1"/>
  <c r="C73" i="1"/>
  <c r="C71" i="1"/>
  <c r="D71" i="1"/>
  <c r="G82" i="1" l="1"/>
  <c r="F82" i="1"/>
  <c r="E82" i="1"/>
  <c r="D82" i="1"/>
  <c r="C82" i="1"/>
  <c r="G81" i="1"/>
  <c r="F81" i="1"/>
  <c r="E81" i="1"/>
  <c r="D81" i="1"/>
  <c r="C81" i="1"/>
  <c r="G84" i="1"/>
  <c r="F84" i="1"/>
  <c r="G85" i="1"/>
  <c r="F85" i="1"/>
  <c r="E85" i="1"/>
  <c r="D85" i="1"/>
  <c r="C85" i="1"/>
  <c r="E83" i="1"/>
  <c r="D83" i="1"/>
  <c r="C83" i="1"/>
</calcChain>
</file>

<file path=xl/sharedStrings.xml><?xml version="1.0" encoding="utf-8"?>
<sst xmlns="http://schemas.openxmlformats.org/spreadsheetml/2006/main" count="283" uniqueCount="208">
  <si>
    <t>Análisis de WACC</t>
  </si>
  <si>
    <t>Grupo Bimbo, S.A.B. de C.V. (BMV:BIMBO A) | fecha de valuación 2026-10-16 | MXN nominal | formato según S&amp;P Capital IQ Pro 'WACC Analysis' (valores predeterminados de la plantilla reemplazados: tasa libre de riesgo local, ERP de mercado maduro, tasa marginal de impuestos legal, costo de la deuda en MXN).</t>
  </si>
  <si>
    <t>Azul sobre amarillo = insumo. [sourced] de un reporte presentado o fuente pública; [guidance] declaración de la administración; [assumption] juicio del equipo o del asistente (propuesta hasta que el equipo confirme); [calc] calculado; [unverified] aún sin vincular a una fuente.</t>
  </si>
  <si>
    <t>PASO 1 - SELECCIONES</t>
  </si>
  <si>
    <t>Ruta: 1 = A local (M-Bono, CRP 0); 2 = B Damodaran (rf libre de impago + CRP ponderada por exposición)</t>
  </si>
  <si>
    <t>Beta: 1 = mediana bottom-up; 2 = promedio bottom-up; 3 = industria (Damodaran); 4 = regresión de Bimbo (desapalancada)</t>
  </si>
  <si>
    <t>PASO 2 - TASA LIBRE DE RIESGO Y RIESGO PAÍS</t>
  </si>
  <si>
    <t>Rendimiento del M-Bono de México a 10 años</t>
  </si>
  <si>
    <t>[sourced] M-Bono 10y, tasas de S&amp;P Capital IQ 2026-10-16 (wacc_inputs F1)</t>
  </si>
  <si>
    <t>Diferencial de impago soberano de México (variante B)</t>
  </si>
  <si>
    <t>[sourced] Diferencial de impago de Damodaran basado en la calificación de México (Baa2) 1.62%, ctryprem Jan-2026 (wacc_inputs G2); el CDS 5y de 0.953% es una alternativa de menor plazo (F7)</t>
  </si>
  <si>
    <t>Prima de riesgo país del capital, ponderada por exposición (variante B; cálculo abajo)</t>
  </si>
  <si>
    <t>[calc] CRP ponderada por exposición, tabla abajo</t>
  </si>
  <si>
    <t>Prima por tamaño</t>
  </si>
  <si>
    <t>[assumption] Sin prima por tamaño (gran capitalización)</t>
  </si>
  <si>
    <t>Tasa libre de riesgo en MXN libre de impago (variante B) = M-Bono 10y - diferencial de impago</t>
  </si>
  <si>
    <t>Tasa libre de riesgo usada</t>
  </si>
  <si>
    <t>Prima de riesgo país usada</t>
  </si>
  <si>
    <t>Prima de riesgo de mercado (mercado maduro)</t>
  </si>
  <si>
    <t>[sourced] ERP implícita de Damodaran 4.20%, 1-Oct-2026 (wacc_inputs G1)</t>
  </si>
  <si>
    <t>Tasa marginal de impuestos (legal de México)</t>
  </si>
  <si>
    <t>[sourced] Tasa corporativa legal de México 30% (Ley del ISR); la tasa efectiva/de efectivo es un supuesto de proyección independiente.</t>
  </si>
  <si>
    <t>Variante B: CRP = suma por regiones de (peso x CRP); peso = participación en el EBITDA ajustado FY2025</t>
  </si>
  <si>
    <t>Región</t>
  </si>
  <si>
    <t>Peso del EBITDA ajust. FY25</t>
  </si>
  <si>
    <t>Peso por ventas</t>
  </si>
  <si>
    <t>CRP regional</t>
  </si>
  <si>
    <t>Contribución</t>
  </si>
  <si>
    <t>Norteamérica (EUA + Canadá)</t>
  </si>
  <si>
    <t>ctryprem de Damodaran Jan-2026: EUA 0.23% x 60/77 plantas + Canadá 0% (wacc_inputs I1)</t>
  </si>
  <si>
    <t>México</t>
  </si>
  <si>
    <t>CRP de México de Damodaran 2.46% (Baa2), Jan-2026; peso del EBITDA incl. eliminaciones</t>
  </si>
  <si>
    <t>Europa, Asia y África</t>
  </si>
  <si>
    <t>Proxy: España 1.55% [assumption]</t>
  </si>
  <si>
    <t>Latinoamérica</t>
  </si>
  <si>
    <t>Proxy: Brasil 3.24% [assumption]</t>
  </si>
  <si>
    <t>CRP ponderada por exposición</t>
  </si>
  <si>
    <t>Ponderada por ventas (sensibilidad)</t>
  </si>
  <si>
    <t>PASO 3 - BETA BOTTOM-UP (Hamada: beta_u = beta_l / (1 + (1 - t) x D/E); deuda con arrendamientos, capital a valor de mercado)</t>
  </si>
  <si>
    <t>Par</t>
  </si>
  <si>
    <t>Ticker</t>
  </si>
  <si>
    <t>Tasa marginal</t>
  </si>
  <si>
    <t>Beta apalancada</t>
  </si>
  <si>
    <t>Deuda con arrendamientos</t>
  </si>
  <si>
    <t>Capital de mercado</t>
  </si>
  <si>
    <t>D/E</t>
  </si>
  <si>
    <t>Beta desapalancada</t>
  </si>
  <si>
    <t>Incluido</t>
  </si>
  <si>
    <t>Usado</t>
  </si>
  <si>
    <t>Fuente</t>
  </si>
  <si>
    <t>Flowers Foods</t>
  </si>
  <si>
    <t>NYSE:FLO</t>
  </si>
  <si>
    <t>yes</t>
  </si>
  <si>
    <t>[sourced] beta de stockanalysis.com 5Y (16-Oct); CIQ</t>
  </si>
  <si>
    <t>Aryzta</t>
  </si>
  <si>
    <t>SWX:ARYN</t>
  </si>
  <si>
    <t>[sourced] beta de stockanalysis.com 5Y; CIQ</t>
  </si>
  <si>
    <t>J.M. Smucker</t>
  </si>
  <si>
    <t>NYSE:SJM</t>
  </si>
  <si>
    <t>[sourced] beta de stockanalysis.com 5Y (Yahoo 0.27); CIQ</t>
  </si>
  <si>
    <t>Campbell's</t>
  </si>
  <si>
    <t>NasdaqGS:CPB</t>
  </si>
  <si>
    <t>[sourced] beta de stockanalysis.com 5Y (Yahoo 0.04); CIQ</t>
  </si>
  <si>
    <t>Mondelez</t>
  </si>
  <si>
    <t>NasdaqGS:MDLZ</t>
  </si>
  <si>
    <t>[sourced] beta de stockanalysis.com 5Y (Yahoo 0.39); deuda de CIQ 22,059 (incl. arrendamientos operativos no circulantes 609) + arrendamientos operativos circulantes 164 (10-K del 31-Dec-2025, proxy para Jun-26) [assumption]</t>
  </si>
  <si>
    <t>PepsiCo</t>
  </si>
  <si>
    <t>NasdaqGS:PEP</t>
  </si>
  <si>
    <t>[sourced] beta de stockanalysis.com 5Y (Yahoo 0.36); deuda de CIQ 51,881 (excluye arrendamientos operativos) + pasivos por arrendamiento operativo 3,846 (10-K del 27-Dec-2025) [assumption: último disponible]</t>
  </si>
  <si>
    <t>Arca Continental</t>
  </si>
  <si>
    <t>BMV:AC</t>
  </si>
  <si>
    <t>no</t>
  </si>
  <si>
    <t>[unverified] beta solo de Yahoo; la capitalización de mercado no concilia con las acciones (wacc_inputs H1)</t>
  </si>
  <si>
    <t>Mediana (incluidos)</t>
  </si>
  <si>
    <t>Promedio (incluidos)</t>
  </si>
  <si>
    <t>Beta desapalancada de la industria (Damodaran, Food Processing)</t>
  </si>
  <si>
    <t>[sourced] Damodaran Food Processing, Global (n=1,450), beta desapalancada 0.53; corregida por efectivo 0.56 (conjunto de datos con fecha 5-Jan-2026 en betaGlobal.xls; pie de página 'January 2025' desactualizado; wacc_inputs G6). Desapalancada con la opción de tasa marginal del archivo (25.37%); con la tasa efectiva (16.35%) daría 0.51. US: 0.46 (G5)</t>
  </si>
  <si>
    <t>Beta de regresión de Bimbo, desapalancada con su propio D/E de mercado</t>
  </si>
  <si>
    <t>[unverified] Beta publicada de Bimbo 0.32 (investing.com, ventana no indicada) desapalancada con D/E de 0.743 e impuestos de 30% (wacc_inputs E2); no se calculó regresión (solo 13 cierres mensuales)</t>
  </si>
  <si>
    <t>Beta desapalancada seleccionada</t>
  </si>
  <si>
    <t>PASO 4 - ESTRUCTURA DE CAPITAL Y COSTO DE LA DEUDA (MXN)</t>
  </si>
  <si>
    <t>D/E de mercado actual de Bimbo (deuda con arrendamientos / capitalización de mercado)</t>
  </si>
  <si>
    <t>[calc] (153,660 de deuda + 33,361 de arrendamientos) / capitalización de mercado 251,684 a MXN 58.60 x 4,294.9m acciones (wacc_inputs D2)</t>
  </si>
  <si>
    <t>Mediana del D/E de mercado de los pares</t>
  </si>
  <si>
    <t>[calc] Mediana del D/E de mercado con arrendamientos de 9 pares (wacc_inputs H1)</t>
  </si>
  <si>
    <t>D/E implícito en el rango de confort de la administración de 2.0-2.5x sin IFRS 16 más arrendamientos</t>
  </si>
  <si>
    <t>[calc] Deuda neta sin IFRS 16 a 2.25x (punto medio del rango de confort de 2.0-2.5x) x EBITDA ajustado sin IFRS 16 54,839 (= 137,097 / 2.5) + efectivo 16,563 + arrendamientos 33,361 = 173,392 / 251,684 [assumption]</t>
  </si>
  <si>
    <t>D/E objetivo usado (decisión del equipo)</t>
  </si>
  <si>
    <t>valuation/valuation.yaml</t>
  </si>
  <si>
    <t>Candidato de Kd antes de impuestos: A. Rendimiento de mercado de BIMBO 23L (2033)</t>
  </si>
  <si>
    <t>[sourced] Exportación de LSEG 2026-10-10 (wacc_inputs J2-A)</t>
  </si>
  <si>
    <t>Candidato de Kd antes de impuestos: B. M-Bono 10y + diferencial de la emisión BIMBO 26 de 0.45pp (propuesta)</t>
  </si>
  <si>
    <t>[calc] wacc_inputs J2-B</t>
  </si>
  <si>
    <t>Candidato de Kd antes de impuestos: C. M-Bono 10y + diferencial sintético BBB+ de Damodaran de 1.00pp</t>
  </si>
  <si>
    <t>[calc] wacc_inputs J2-C</t>
  </si>
  <si>
    <t>Candidato de Kd antes de impuestos: Alternativa de respaldo: cupón de la emisión BIMBO 26 (no es un rendimiento)</t>
  </si>
  <si>
    <t>[sourced] wacc_inputs J2</t>
  </si>
  <si>
    <t>Costo de la deuda antes de impuestos usado (decisión del equipo)</t>
  </si>
  <si>
    <t>PASO 5 - COSTO DEL CAPITAL PROPIO Y WACC</t>
  </si>
  <si>
    <t>Beta reapalancada = beta_u x (1 + (1 - t) x D/E)</t>
  </si>
  <si>
    <t>Costo del capital propio = rf + beta_l x ERP + CRP + tamaño</t>
  </si>
  <si>
    <t>E / (D + E)</t>
  </si>
  <si>
    <t>Componente del costo del capital propio</t>
  </si>
  <si>
    <t>Costo de la deuda después de impuestos</t>
  </si>
  <si>
    <t>D / (D + E)</t>
  </si>
  <si>
    <t>Componente del costo de la deuda</t>
  </si>
  <si>
    <t>WACC</t>
  </si>
  <si>
    <t>WACC en valuation/valuation.yaml (conjunto de insumos del motor)</t>
  </si>
  <si>
    <t>Control: WACC del libro = WACC de valuation.yaml</t>
  </si>
  <si>
    <t>Difiere solo si los selectores o insumos de esta hoja se cambian respecto del conjunto de valuation.yaml.</t>
  </si>
  <si>
    <t>ANÁLISIS DE SENSIBILIDAD DE WACC</t>
  </si>
  <si>
    <t>WACC: D/(D+E) (filas; beta reapalancada con cada D/E) x costo de la deuda antes de impuestos (columnas)</t>
  </si>
  <si>
    <t>WACC: beta desapalancada (filas) x prima de riesgo de mercado (columnas), con el D/E objetivo</t>
  </si>
  <si>
    <t>(1) Beta desapalancada = beta apalancada / (1 + (1 - tasa de impuestos) x D/E). (2) Beta reapalancada = beta desapalancada x (1 + (1 - tasa de impuestos) x D/E). Datos fuente: valuation/inputs/wacc_inputs.yaml y la wiki (ver Inputs_Sources).</t>
  </si>
  <si>
    <t>Insumos y fuentes</t>
  </si>
  <si>
    <t>[sourced] de un reporte presentado o fuente pública; [guidance] declaración de la administración; [assumption] juicio del equipo o del asistente (propuesta hasta que el equipo confirme); [calc] calculado; [unverified] aún sin vincular a una fuente.</t>
  </si>
  <si>
    <t>Concepto</t>
  </si>
  <si>
    <t>Valor</t>
  </si>
  <si>
    <t>Unidad</t>
  </si>
  <si>
    <t>Etiqueta</t>
  </si>
  <si>
    <t>Fecha</t>
  </si>
  <si>
    <t>Precio de la acción, cierre oficial de la BMV (PPP)</t>
  </si>
  <si>
    <t>MXN</t>
  </si>
  <si>
    <t>sourced</t>
  </si>
  <si>
    <t>BMV 'Estadisticas de operacion' BIMBO serie A (https://www.bmv.com.mx/es/emisoras/estadisticas/BIMBO-5163): PPP 58.60, último 58.62, anterior 57.97; investing.com / Yahoo coinciden (wacc_inputs A1)</t>
  </si>
  <si>
    <t>2026-10-16</t>
  </si>
  <si>
    <t>Máximo / mínimo de 52 semanas</t>
  </si>
  <si>
    <t>68.67 / 53.03</t>
  </si>
  <si>
    <t>CIQ corporate_issuance.csv (wacc_inputs A4-A5)</t>
  </si>
  <si>
    <t>2026-10-06</t>
  </si>
  <si>
    <t>Acciones en circulación</t>
  </si>
  <si>
    <t>m</t>
  </si>
  <si>
    <t>Aviso de la BMV (wacc_inputs A8)</t>
  </si>
  <si>
    <t>2026-07-29</t>
  </si>
  <si>
    <t>Capitalización de mercado</t>
  </si>
  <si>
    <t>MXN m</t>
  </si>
  <si>
    <t>calc</t>
  </si>
  <si>
    <t>precio x acciones (wacc_inputs A9)</t>
  </si>
  <si>
    <t>M-Bono 10y</t>
  </si>
  <si>
    <t>%</t>
  </si>
  <si>
    <t>Tasas de S&amp;P Capital IQ</t>
  </si>
  <si>
    <t>UST 10y</t>
  </si>
  <si>
    <t>CDS 5y de México</t>
  </si>
  <si>
    <t>S&amp;P Capital IQ CDS</t>
  </si>
  <si>
    <t>ERP implícita de Damodaran</t>
  </si>
  <si>
    <t>Página principal de Damodaran</t>
  </si>
  <si>
    <t>2026-10-01</t>
  </si>
  <si>
    <t>Diferencial de impago / CRP de México de Damodaran</t>
  </si>
  <si>
    <t>1.62% / 2.46%</t>
  </si>
  <si>
    <t>ctryprem de Damodaran (copia de Jan-2026)</t>
  </si>
  <si>
    <t>2026-01-05</t>
  </si>
  <si>
    <t>Beta desapalancada de Damodaran, Food Processing, Global / US</t>
  </si>
  <si>
    <t>0.53 / 0.46</t>
  </si>
  <si>
    <t>x</t>
  </si>
  <si>
    <t>Betas de Damodaran; betaGlobal.xls 'Date updated' 5-Jan-2026 (https://pages.stern.nyu.edu/~adamodar/pc/datasets/betaGlobal.xls, consultado el 2026-10-17); encabezado de BetasGlobal.html 'January 2026', pie de página 'January 2025' desactualizado</t>
  </si>
  <si>
    <t>Crecimiento del PIB real de México 2029-31 / inflación del IPC 2029-31</t>
  </si>
  <si>
    <t>2.1% / 3.0%</t>
  </si>
  <si>
    <t>FMI WEO October 2026, DataMapper NGDP_RPCH y PCPIPCH (https://www.imf.org/external/datamapper/api/v1/NGDP_RPCH/MEX, última modificación 2026-10-08)</t>
  </si>
  <si>
    <t>2026-10-08</t>
  </si>
  <si>
    <t>Crecimiento del PIB real de México, promedio de los próximos 10 años (2027-36), promedio / mediana</t>
  </si>
  <si>
    <t>1.88% / 1.80%</t>
  </si>
  <si>
    <t>Banxico, Encuesta sobre las Expectativas de los Especialistas en Economia del Sector Privado: septiembre 2026 (publicada el 1-Oct-2026), Cuadro 6 p.8</t>
  </si>
  <si>
    <t>Provisiones incl. posiciones fiscales inciertas (UTP 8,692; impuestos 1,318; laborales 512; civiles 506; otras 1)</t>
  </si>
  <si>
    <t>BMV 2Q26 XBRL p.59 (pasivos contingentes)</t>
  </si>
  <si>
    <t>2026-06-30</t>
  </si>
  <si>
    <t>Línea de otras provisiones a largo plazo (provisiones + MEPP + compensaciones diferidas + otras)</t>
  </si>
  <si>
    <t>BMV 2Q26 XBRL [210000] p.13 (12,999.0 en Dec-25)</t>
  </si>
  <si>
    <t>Pasivos por derivados 978 + 2,658 menos activos 785 + 988 (neto 1,864)</t>
  </si>
  <si>
    <t>BMV 2Q26 XBRL p.64-65 (instrumentos financieros por categoría)</t>
  </si>
  <si>
    <t>Pagos de arrendamientos / intereses devengados 1H26</t>
  </si>
  <si>
    <t>3,948 / 1,042</t>
  </si>
  <si>
    <t>BMV 2Q26 XBRL p.100 (movimiento de arrendamientos)</t>
  </si>
  <si>
    <t>Beta publicada de Bimbo</t>
  </si>
  <si>
    <t>unverified</t>
  </si>
  <si>
    <t>investing.com (ventana no indicada)</t>
  </si>
  <si>
    <t>Rendimiento de BIMBO 23L</t>
  </si>
  <si>
    <t>Exportación de LSEG (precios ~10-Oct)</t>
  </si>
  <si>
    <t>2026-10-10</t>
  </si>
  <si>
    <t>Deuda / arrendamientos / efectivo, 31-Dec-2025</t>
  </si>
  <si>
    <t>153,663 / 34,790 / 8,535</t>
  </si>
  <si>
    <t>EEFF25 p.12 vía data/financials.csv</t>
  </si>
  <si>
    <t>2025-12-31</t>
  </si>
  <si>
    <t>Deuda / arrendamientos / efectivo, 30-Jun-2026</t>
  </si>
  <si>
    <t>153,660 / 33,361 / 16,563</t>
  </si>
  <si>
    <t>BMV Jun-26; CIQ</t>
  </si>
  <si>
    <t>Línea de beneficios a empleados: retiro 2,130 + bienestar de EUA 3,272 + ajuste bruto de activos del plan 362 + bonos a largo plazo 743</t>
  </si>
  <si>
    <t>EEFF25 p.75 nota 18</t>
  </si>
  <si>
    <t>Otros pasivos a largo plazo: provisiones 10,684 (UTP 8,537; impuestos 1,196; laborales 439; civiles 511; otras 1) + MEPP 985 + compensaciones diferidas 1,060 + otros 270</t>
  </si>
  <si>
    <t>EEFF25 p.79-80 nota 19</t>
  </si>
  <si>
    <t>Pasivos netos por derivados (3,902 - 717)</t>
  </si>
  <si>
    <t>EEFF25 p.12 (data/adjustments.md)</t>
  </si>
  <si>
    <t>Pasivo por reclamaciones de autoseguro de EUA (en otras cuentas por pagar y pasivos acumulados: operativo)</t>
  </si>
  <si>
    <t>EEFF25 p.36</t>
  </si>
  <si>
    <t>Inversiones en asociadas</t>
  </si>
  <si>
    <t>EEFF25 p.12</t>
  </si>
  <si>
    <t>Utilidad de NCI 1H26 (anualizada 1,814)</t>
  </si>
  <si>
    <t>CIQ trimestral: 1Q26 436 + 2Q26 471</t>
  </si>
  <si>
    <t>Utilidad de NCI FY23 / FY24 / FY25; extracción mediante entidades estructuradas; dividendos de NCI</t>
  </si>
  <si>
    <t>1,445 / 1,499 / 1,813; 1,851 / 3,120 / 2,240; 91 / 109 / 135</t>
  </si>
  <si>
    <t>EEFF25 p.13, p.15</t>
  </si>
  <si>
    <t>Dividendo de 2026 pagado (13-May)</t>
  </si>
  <si>
    <t>MXN/acción</t>
  </si>
  <si>
    <t>wacc_inputs C1-C4</t>
  </si>
  <si>
    <t>2026-05-13</t>
  </si>
  <si>
    <t>Dividendo por acción de consenso FY2027E (próximos 12 meses)</t>
  </si>
  <si>
    <t>Consenso de CIQ (data/capitaliq/consensus.csv)</t>
  </si>
  <si>
    <t>2026-09-20</t>
  </si>
  <si>
    <t>Supuestos: model/drivers.yaml (etiqueta, justificación y pilar por supuesto). Histórico: data/financials.csv (documento y página por cifra) y data/adjustments.md.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</si>
</sst>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%;\(0.00%\);&quot;-&quot;"/>
    <numFmt numFmtId="165" formatCode="0.0%;\(0.0%\);&quot;-&quot;"/>
    <numFmt numFmtId="166" formatCode="0.000"/>
    <numFmt numFmtId="167" formatCode="#,##0;\(#,##0\);&quot;-&quot;"/>
    <numFmt numFmtId="168" formatCode="#,##0.0000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" fontId="6" fillId="3" borderId="0" xfId="0" applyNumberFormat="1" applyFont="1" applyFill="1"/>
    <xf numFmtId="164" fontId="6" fillId="3" borderId="0" xfId="0" applyNumberFormat="1" applyFont="1" applyFill="1"/>
    <xf numFmtId="164" fontId="5" fillId="0" borderId="0" xfId="0" applyNumberFormat="1" applyFont="1"/>
    <xf numFmtId="0" fontId="7" fillId="0" borderId="0" xfId="0" applyFont="1"/>
    <xf numFmtId="164" fontId="7" fillId="0" borderId="0" xfId="0" applyNumberFormat="1" applyFont="1"/>
    <xf numFmtId="165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166" fontId="6" fillId="3" borderId="0" xfId="0" applyNumberFormat="1" applyFont="1" applyFill="1"/>
    <xf numFmtId="167" fontId="6" fillId="3" borderId="0" xfId="0" applyNumberFormat="1" applyFont="1" applyFill="1"/>
    <xf numFmtId="166" fontId="5" fillId="0" borderId="0" xfId="0" applyNumberFormat="1" applyFont="1"/>
    <xf numFmtId="49" fontId="6" fillId="3" borderId="0" xfId="0" applyNumberFormat="1" applyFont="1" applyFill="1"/>
    <xf numFmtId="166" fontId="7" fillId="0" borderId="0" xfId="0" applyNumberFormat="1" applyFont="1"/>
    <xf numFmtId="165" fontId="5" fillId="0" borderId="0" xfId="0" applyNumberFormat="1" applyFont="1"/>
    <xf numFmtId="49" fontId="5" fillId="0" borderId="0" xfId="0" applyNumberFormat="1" applyFont="1"/>
    <xf numFmtId="4" fontId="6" fillId="3" borderId="0" xfId="0" applyNumberFormat="1" applyFont="1" applyFill="1"/>
    <xf numFmtId="168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7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" customWidth="1"/>
    <col min="2" max="2" width="58" customWidth="1"/>
    <col min="3" max="3" width="14" customWidth="1"/>
    <col min="4" max="4" width="3" customWidth="1"/>
    <col min="5" max="5" width="34" customWidth="1"/>
    <col min="6" max="6" width="16" customWidth="1"/>
    <col min="7" max="7" width="10" customWidth="1"/>
    <col min="8" max="8" width="11" customWidth="1"/>
    <col min="9" max="10" width="14" customWidth="1"/>
    <col min="11" max="13" width="11" customWidth="1"/>
    <col min="14" max="14" width="10" customWidth="1"/>
    <col min="15" max="15" width="60" customWidth="1"/>
  </cols>
  <sheetData>
    <row r="2" spans="2:15" ht="18.75" customHeight="1" x14ac:dyDescent="0.3">
      <c r="B2" s="1" t="s">
        <v>0</v>
      </c>
    </row>
    <row r="3" spans="2:15" x14ac:dyDescent="0.25">
      <c r="B3" s="2" t="s">
        <v>1</v>
      </c>
    </row>
    <row r="4" spans="2:15" x14ac:dyDescent="0.25">
      <c r="B4" s="3" t="s">
        <v>2</v>
      </c>
    </row>
    <row r="6" spans="2:15" x14ac:dyDescent="0.25">
      <c r="B6" s="4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2:15" x14ac:dyDescent="0.25">
      <c r="B7" s="6" t="s">
        <v>4</v>
      </c>
      <c r="C7" s="7">
        <v>1</v>
      </c>
    </row>
    <row r="8" spans="2:15" x14ac:dyDescent="0.25">
      <c r="B8" s="6" t="s">
        <v>5</v>
      </c>
      <c r="C8" s="7">
        <v>3</v>
      </c>
    </row>
    <row r="10" spans="2:15" x14ac:dyDescent="0.25">
      <c r="B10" s="4" t="s">
        <v>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2:15" x14ac:dyDescent="0.25">
      <c r="B11" s="6" t="s">
        <v>7</v>
      </c>
      <c r="C11" s="8">
        <v>9.2600000000000002E-2</v>
      </c>
      <c r="E11" s="3" t="s">
        <v>8</v>
      </c>
    </row>
    <row r="12" spans="2:15" x14ac:dyDescent="0.25">
      <c r="B12" s="6" t="s">
        <v>9</v>
      </c>
      <c r="C12" s="8">
        <v>1.6199999999999999E-2</v>
      </c>
      <c r="E12" s="3" t="s">
        <v>10</v>
      </c>
    </row>
    <row r="13" spans="2:15" x14ac:dyDescent="0.25">
      <c r="B13" s="6" t="s">
        <v>11</v>
      </c>
      <c r="C13" s="9">
        <f>I27</f>
        <v>1.7607496000000004E-2</v>
      </c>
      <c r="E13" s="3" t="s">
        <v>12</v>
      </c>
    </row>
    <row r="14" spans="2:15" x14ac:dyDescent="0.25">
      <c r="B14" s="6" t="s">
        <v>13</v>
      </c>
      <c r="C14" s="8">
        <v>0</v>
      </c>
      <c r="E14" s="3" t="s">
        <v>14</v>
      </c>
    </row>
    <row r="15" spans="2:15" x14ac:dyDescent="0.25">
      <c r="B15" s="6" t="s">
        <v>15</v>
      </c>
      <c r="C15" s="9">
        <f>$C$11-$C$12</f>
        <v>7.6399999999999996E-2</v>
      </c>
    </row>
    <row r="16" spans="2:15" x14ac:dyDescent="0.25">
      <c r="B16" s="10" t="s">
        <v>16</v>
      </c>
      <c r="C16" s="11">
        <f>IF($C$7=1,$C$11,$C$15)</f>
        <v>9.2600000000000002E-2</v>
      </c>
    </row>
    <row r="17" spans="2:15" x14ac:dyDescent="0.25">
      <c r="B17" s="10" t="s">
        <v>17</v>
      </c>
      <c r="C17" s="11">
        <f>IF($C$7=1,0,$C$13)</f>
        <v>0</v>
      </c>
    </row>
    <row r="18" spans="2:15" x14ac:dyDescent="0.25">
      <c r="B18" s="6" t="s">
        <v>18</v>
      </c>
      <c r="C18" s="8">
        <v>4.2000000000000003E-2</v>
      </c>
      <c r="E18" s="3" t="s">
        <v>19</v>
      </c>
    </row>
    <row r="19" spans="2:15" x14ac:dyDescent="0.25">
      <c r="B19" s="6" t="s">
        <v>20</v>
      </c>
      <c r="C19" s="12">
        <v>0.3</v>
      </c>
      <c r="E19" s="3" t="s">
        <v>21</v>
      </c>
    </row>
    <row r="21" spans="2:15" x14ac:dyDescent="0.25">
      <c r="B21" s="13" t="s">
        <v>22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 x14ac:dyDescent="0.25">
      <c r="E22" s="10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</row>
    <row r="23" spans="2:15" x14ac:dyDescent="0.25">
      <c r="E23" s="6" t="s">
        <v>28</v>
      </c>
      <c r="F23" s="12">
        <v>0.28799999999999998</v>
      </c>
      <c r="G23" s="12">
        <v>0.44600000000000001</v>
      </c>
      <c r="H23" s="8">
        <v>1.792E-3</v>
      </c>
      <c r="I23" s="9">
        <f>F23*H23</f>
        <v>5.1609599999999996E-4</v>
      </c>
      <c r="O23" s="3" t="s">
        <v>29</v>
      </c>
    </row>
    <row r="24" spans="2:15" x14ac:dyDescent="0.25">
      <c r="E24" s="6" t="s">
        <v>30</v>
      </c>
      <c r="F24" s="12">
        <v>0.55400000000000005</v>
      </c>
      <c r="G24" s="12">
        <v>0.32400000000000001</v>
      </c>
      <c r="H24" s="8">
        <v>2.46E-2</v>
      </c>
      <c r="I24" s="9">
        <f>F24*H24</f>
        <v>1.3628400000000001E-2</v>
      </c>
      <c r="O24" s="3" t="s">
        <v>31</v>
      </c>
    </row>
    <row r="25" spans="2:15" x14ac:dyDescent="0.25">
      <c r="E25" s="6" t="s">
        <v>32</v>
      </c>
      <c r="F25" s="12">
        <v>9.8000000000000004E-2</v>
      </c>
      <c r="G25" s="12">
        <v>0.127</v>
      </c>
      <c r="H25" s="8">
        <v>1.55E-2</v>
      </c>
      <c r="I25" s="9">
        <f>F25*H25</f>
        <v>1.519E-3</v>
      </c>
      <c r="O25" s="3" t="s">
        <v>33</v>
      </c>
    </row>
    <row r="26" spans="2:15" x14ac:dyDescent="0.25">
      <c r="E26" s="6" t="s">
        <v>34</v>
      </c>
      <c r="F26" s="12">
        <v>0.06</v>
      </c>
      <c r="G26" s="12">
        <v>0.10299999999999999</v>
      </c>
      <c r="H26" s="8">
        <v>3.2399999999999998E-2</v>
      </c>
      <c r="I26" s="9">
        <f>F26*H26</f>
        <v>1.9439999999999998E-3</v>
      </c>
      <c r="O26" s="3" t="s">
        <v>35</v>
      </c>
    </row>
    <row r="27" spans="2:15" x14ac:dyDescent="0.25">
      <c r="E27" s="10" t="s">
        <v>36</v>
      </c>
      <c r="I27" s="11">
        <f>SUM(I23:I26)</f>
        <v>1.7607496000000004E-2</v>
      </c>
    </row>
    <row r="28" spans="2:15" x14ac:dyDescent="0.25">
      <c r="E28" s="6" t="s">
        <v>37</v>
      </c>
      <c r="I28" s="9">
        <f>SUMPRODUCT(G23:G26,H23:H26)</f>
        <v>1.4075332000000001E-2</v>
      </c>
    </row>
    <row r="30" spans="2:15" x14ac:dyDescent="0.25">
      <c r="B30" s="4" t="s">
        <v>38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25">
      <c r="E31" s="10" t="s">
        <v>39</v>
      </c>
      <c r="F31" s="10" t="s">
        <v>40</v>
      </c>
      <c r="G31" s="10" t="s">
        <v>41</v>
      </c>
      <c r="H31" s="10" t="s">
        <v>42</v>
      </c>
      <c r="I31" s="10" t="s">
        <v>43</v>
      </c>
      <c r="J31" s="10" t="s">
        <v>44</v>
      </c>
      <c r="K31" s="10" t="s">
        <v>45</v>
      </c>
      <c r="L31" s="10" t="s">
        <v>46</v>
      </c>
      <c r="M31" s="10" t="s">
        <v>47</v>
      </c>
      <c r="N31" s="10" t="s">
        <v>48</v>
      </c>
      <c r="O31" s="10" t="s">
        <v>49</v>
      </c>
    </row>
    <row r="32" spans="2:15" x14ac:dyDescent="0.25">
      <c r="E32" s="6" t="s">
        <v>50</v>
      </c>
      <c r="F32" s="6" t="s">
        <v>51</v>
      </c>
      <c r="G32" s="12">
        <v>0.25</v>
      </c>
      <c r="H32" s="15">
        <v>0.43</v>
      </c>
      <c r="I32" s="16">
        <v>2007.8</v>
      </c>
      <c r="J32" s="16">
        <v>1295.7</v>
      </c>
      <c r="K32" s="17">
        <f t="shared" ref="K32:K38" si="0">IFERROR(I32/J32,0)</f>
        <v>1.5495870957783437</v>
      </c>
      <c r="L32" s="17">
        <f t="shared" ref="L32:L38" si="1">H32/(1+(1-G32)*K32)</f>
        <v>0.19887240991593941</v>
      </c>
      <c r="M32" s="18" t="s">
        <v>52</v>
      </c>
      <c r="N32" s="17">
        <f t="shared" ref="N32:N38" si="2">IF(M32="yes",L32,"excl.")</f>
        <v>0.19887240991593941</v>
      </c>
      <c r="O32" s="3" t="s">
        <v>53</v>
      </c>
    </row>
    <row r="33" spans="2:15" x14ac:dyDescent="0.25">
      <c r="E33" s="6" t="s">
        <v>54</v>
      </c>
      <c r="F33" s="6" t="s">
        <v>55</v>
      </c>
      <c r="G33" s="12">
        <v>0.1961</v>
      </c>
      <c r="H33" s="15">
        <v>0.38</v>
      </c>
      <c r="I33" s="16">
        <v>986.9</v>
      </c>
      <c r="J33" s="16">
        <v>1218.8</v>
      </c>
      <c r="K33" s="17">
        <f t="shared" si="0"/>
        <v>0.80973088283557604</v>
      </c>
      <c r="L33" s="17">
        <f t="shared" si="1"/>
        <v>0.23017153167325302</v>
      </c>
      <c r="M33" s="18" t="s">
        <v>52</v>
      </c>
      <c r="N33" s="17">
        <f t="shared" si="2"/>
        <v>0.23017153167325302</v>
      </c>
      <c r="O33" s="3" t="s">
        <v>56</v>
      </c>
    </row>
    <row r="34" spans="2:15" x14ac:dyDescent="0.25">
      <c r="E34" s="6" t="s">
        <v>57</v>
      </c>
      <c r="F34" s="6" t="s">
        <v>58</v>
      </c>
      <c r="G34" s="12">
        <v>0.25</v>
      </c>
      <c r="H34" s="15">
        <v>0.27</v>
      </c>
      <c r="I34" s="16">
        <v>6940.2</v>
      </c>
      <c r="J34" s="16">
        <v>13612.5</v>
      </c>
      <c r="K34" s="17">
        <f t="shared" si="0"/>
        <v>0.50984022038567489</v>
      </c>
      <c r="L34" s="17">
        <f t="shared" si="1"/>
        <v>0.19531530238898057</v>
      </c>
      <c r="M34" s="18" t="s">
        <v>52</v>
      </c>
      <c r="N34" s="17">
        <f t="shared" si="2"/>
        <v>0.19531530238898057</v>
      </c>
      <c r="O34" s="3" t="s">
        <v>59</v>
      </c>
    </row>
    <row r="35" spans="2:15" x14ac:dyDescent="0.25">
      <c r="E35" s="6" t="s">
        <v>60</v>
      </c>
      <c r="F35" s="6" t="s">
        <v>61</v>
      </c>
      <c r="G35" s="12">
        <v>0.25</v>
      </c>
      <c r="H35" s="15">
        <v>0.04</v>
      </c>
      <c r="I35" s="16">
        <v>7450</v>
      </c>
      <c r="J35" s="16">
        <v>5925.9</v>
      </c>
      <c r="K35" s="17">
        <f t="shared" si="0"/>
        <v>1.2571930002193761</v>
      </c>
      <c r="L35" s="17">
        <f t="shared" si="1"/>
        <v>2.0587836781489392E-2</v>
      </c>
      <c r="M35" s="18" t="s">
        <v>52</v>
      </c>
      <c r="N35" s="17">
        <f t="shared" si="2"/>
        <v>2.0587836781489392E-2</v>
      </c>
      <c r="O35" s="3" t="s">
        <v>62</v>
      </c>
    </row>
    <row r="36" spans="2:15" x14ac:dyDescent="0.25">
      <c r="E36" s="6" t="s">
        <v>63</v>
      </c>
      <c r="F36" s="6" t="s">
        <v>64</v>
      </c>
      <c r="G36" s="12">
        <v>0.25</v>
      </c>
      <c r="H36" s="15">
        <v>0.39</v>
      </c>
      <c r="I36" s="16">
        <v>22223</v>
      </c>
      <c r="J36" s="16">
        <v>81568.800000000003</v>
      </c>
      <c r="K36" s="17">
        <f t="shared" si="0"/>
        <v>0.27244485636665</v>
      </c>
      <c r="L36" s="17">
        <f t="shared" si="1"/>
        <v>0.32383052860940564</v>
      </c>
      <c r="M36" s="18" t="s">
        <v>52</v>
      </c>
      <c r="N36" s="17">
        <f t="shared" si="2"/>
        <v>0.32383052860940564</v>
      </c>
      <c r="O36" s="3" t="s">
        <v>65</v>
      </c>
    </row>
    <row r="37" spans="2:15" x14ac:dyDescent="0.25">
      <c r="E37" s="6" t="s">
        <v>66</v>
      </c>
      <c r="F37" s="6" t="s">
        <v>67</v>
      </c>
      <c r="G37" s="12">
        <v>0.25</v>
      </c>
      <c r="H37" s="15">
        <v>0.36</v>
      </c>
      <c r="I37" s="16">
        <v>55727</v>
      </c>
      <c r="J37" s="16">
        <v>179200.5</v>
      </c>
      <c r="K37" s="17">
        <f t="shared" si="0"/>
        <v>0.31097569482228005</v>
      </c>
      <c r="L37" s="17">
        <f t="shared" si="1"/>
        <v>0.29191593050997588</v>
      </c>
      <c r="M37" s="18" t="s">
        <v>52</v>
      </c>
      <c r="N37" s="17">
        <f t="shared" si="2"/>
        <v>0.29191593050997588</v>
      </c>
      <c r="O37" s="3" t="s">
        <v>68</v>
      </c>
    </row>
    <row r="38" spans="2:15" x14ac:dyDescent="0.25">
      <c r="E38" s="6" t="s">
        <v>69</v>
      </c>
      <c r="F38" s="6" t="s">
        <v>70</v>
      </c>
      <c r="G38" s="12">
        <v>0.3</v>
      </c>
      <c r="H38" s="15">
        <v>0.08</v>
      </c>
      <c r="I38" s="16">
        <v>3644</v>
      </c>
      <c r="J38" s="16">
        <v>18683.400000000001</v>
      </c>
      <c r="K38" s="17">
        <f t="shared" si="0"/>
        <v>0.19503944678163501</v>
      </c>
      <c r="L38" s="17">
        <f t="shared" si="1"/>
        <v>7.038984280076481E-2</v>
      </c>
      <c r="M38" s="18" t="s">
        <v>71</v>
      </c>
      <c r="N38" s="17" t="str">
        <f t="shared" si="2"/>
        <v>excl.</v>
      </c>
      <c r="O38" s="3" t="s">
        <v>72</v>
      </c>
    </row>
    <row r="39" spans="2:15" x14ac:dyDescent="0.25">
      <c r="E39" s="10" t="s">
        <v>73</v>
      </c>
      <c r="N39" s="19">
        <f>MEDIAN(N32:N38)</f>
        <v>0.21452197079459623</v>
      </c>
    </row>
    <row r="40" spans="2:15" x14ac:dyDescent="0.25">
      <c r="E40" s="10" t="s">
        <v>74</v>
      </c>
      <c r="N40" s="19">
        <f>AVERAGE(N32:N38)</f>
        <v>0.21011558997984067</v>
      </c>
    </row>
    <row r="41" spans="2:15" x14ac:dyDescent="0.25">
      <c r="E41" s="6" t="s">
        <v>75</v>
      </c>
      <c r="N41" s="15">
        <v>0.53</v>
      </c>
      <c r="O41" s="3" t="s">
        <v>76</v>
      </c>
    </row>
    <row r="42" spans="2:15" x14ac:dyDescent="0.25">
      <c r="E42" s="6" t="s">
        <v>77</v>
      </c>
      <c r="N42" s="15">
        <v>0.21049999999999999</v>
      </c>
      <c r="O42" s="3" t="s">
        <v>78</v>
      </c>
    </row>
    <row r="43" spans="2:15" x14ac:dyDescent="0.25">
      <c r="E43" s="10" t="s">
        <v>79</v>
      </c>
      <c r="N43" s="19">
        <f>CHOOSE($C$8,$N$39,$N$40,$N$41,$N$42)</f>
        <v>0.53</v>
      </c>
    </row>
    <row r="45" spans="2:15" x14ac:dyDescent="0.25">
      <c r="B45" s="4" t="s">
        <v>80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2:15" x14ac:dyDescent="0.25">
      <c r="B46" s="6" t="s">
        <v>81</v>
      </c>
      <c r="C46" s="15">
        <v>0.74309999999999998</v>
      </c>
      <c r="E46" s="3" t="s">
        <v>82</v>
      </c>
    </row>
    <row r="47" spans="2:15" x14ac:dyDescent="0.25">
      <c r="B47" s="6" t="s">
        <v>83</v>
      </c>
      <c r="C47" s="15">
        <v>0.4793</v>
      </c>
      <c r="E47" s="3" t="s">
        <v>84</v>
      </c>
    </row>
    <row r="48" spans="2:15" x14ac:dyDescent="0.25">
      <c r="B48" s="6" t="s">
        <v>85</v>
      </c>
      <c r="C48" s="15">
        <v>0.68899999999999995</v>
      </c>
      <c r="E48" s="3" t="s">
        <v>86</v>
      </c>
    </row>
    <row r="49" spans="2:15" x14ac:dyDescent="0.25">
      <c r="B49" s="10" t="s">
        <v>87</v>
      </c>
      <c r="C49" s="15">
        <v>0.74309999999999998</v>
      </c>
      <c r="E49" s="3" t="s">
        <v>88</v>
      </c>
    </row>
    <row r="50" spans="2:15" x14ac:dyDescent="0.25">
      <c r="B50" s="6" t="s">
        <v>89</v>
      </c>
      <c r="C50" s="8">
        <v>9.2600000000000002E-2</v>
      </c>
      <c r="E50" s="3" t="s">
        <v>90</v>
      </c>
    </row>
    <row r="51" spans="2:15" x14ac:dyDescent="0.25">
      <c r="B51" s="6" t="s">
        <v>91</v>
      </c>
      <c r="C51" s="8">
        <v>9.7100000000000006E-2</v>
      </c>
      <c r="E51" s="3" t="s">
        <v>92</v>
      </c>
    </row>
    <row r="52" spans="2:15" x14ac:dyDescent="0.25">
      <c r="B52" s="6" t="s">
        <v>93</v>
      </c>
      <c r="C52" s="8">
        <v>0.1026</v>
      </c>
      <c r="E52" s="3" t="s">
        <v>94</v>
      </c>
    </row>
    <row r="53" spans="2:15" x14ac:dyDescent="0.25">
      <c r="B53" s="6" t="s">
        <v>95</v>
      </c>
      <c r="C53" s="8">
        <v>9.2200000000000004E-2</v>
      </c>
      <c r="E53" s="3" t="s">
        <v>96</v>
      </c>
    </row>
    <row r="54" spans="2:15" x14ac:dyDescent="0.25">
      <c r="B54" s="10" t="s">
        <v>97</v>
      </c>
      <c r="C54" s="8">
        <v>9.7100000000000006E-2</v>
      </c>
      <c r="E54" s="3" t="s">
        <v>88</v>
      </c>
    </row>
    <row r="56" spans="2:15" x14ac:dyDescent="0.25">
      <c r="B56" s="4" t="s">
        <v>98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2:15" x14ac:dyDescent="0.25">
      <c r="B57" s="6" t="s">
        <v>99</v>
      </c>
      <c r="C57" s="17">
        <f>$N$43*(1+(1-$C$19)*$C$49)</f>
        <v>0.80569009999999996</v>
      </c>
    </row>
    <row r="58" spans="2:15" x14ac:dyDescent="0.25">
      <c r="B58" s="6" t="s">
        <v>100</v>
      </c>
      <c r="C58" s="9">
        <f>$C$16+$C$57*$C$18+$C$17+$C$14</f>
        <v>0.12643898419999999</v>
      </c>
    </row>
    <row r="59" spans="2:15" x14ac:dyDescent="0.25">
      <c r="B59" s="6" t="s">
        <v>101</v>
      </c>
      <c r="C59" s="20">
        <f>1/(1+$C$49)</f>
        <v>0.57369055131661983</v>
      </c>
    </row>
    <row r="60" spans="2:15" x14ac:dyDescent="0.25">
      <c r="B60" s="6" t="s">
        <v>102</v>
      </c>
      <c r="C60" s="9">
        <f>$C$58*$C$59</f>
        <v>7.2536850553611379E-2</v>
      </c>
    </row>
    <row r="61" spans="2:15" x14ac:dyDescent="0.25">
      <c r="B61" s="6" t="s">
        <v>103</v>
      </c>
      <c r="C61" s="9">
        <f>$C$54*(1-$C$19)</f>
        <v>6.7970000000000003E-2</v>
      </c>
    </row>
    <row r="62" spans="2:15" x14ac:dyDescent="0.25">
      <c r="B62" s="6" t="s">
        <v>104</v>
      </c>
      <c r="C62" s="20">
        <f>$C$49/(1+$C$49)</f>
        <v>0.42630944868338017</v>
      </c>
    </row>
    <row r="63" spans="2:15" x14ac:dyDescent="0.25">
      <c r="B63" s="6" t="s">
        <v>105</v>
      </c>
      <c r="C63" s="9">
        <f>$C$61*$C$62</f>
        <v>2.8976253227009349E-2</v>
      </c>
    </row>
    <row r="64" spans="2:15" x14ac:dyDescent="0.25">
      <c r="B64" s="10" t="s">
        <v>106</v>
      </c>
      <c r="C64" s="11">
        <f>$C$60+$C$63</f>
        <v>0.10151310378062073</v>
      </c>
    </row>
    <row r="65" spans="2:15" x14ac:dyDescent="0.25">
      <c r="B65" s="6" t="s">
        <v>107</v>
      </c>
      <c r="C65" s="8">
        <v>0.1015131037806207</v>
      </c>
    </row>
    <row r="66" spans="2:15" x14ac:dyDescent="0.25">
      <c r="B66" s="10" t="s">
        <v>108</v>
      </c>
      <c r="C66" s="21" t="str">
        <f>IF(ABS($C$64-$C$65)&lt;0.000001,"OK","DIFFERENT SELECTION")</f>
        <v>OK</v>
      </c>
      <c r="E66" s="3" t="s">
        <v>109</v>
      </c>
    </row>
    <row r="68" spans="2:15" x14ac:dyDescent="0.25">
      <c r="B68" s="4" t="s">
        <v>110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2:15" x14ac:dyDescent="0.25">
      <c r="B69" s="13" t="s">
        <v>111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2:15" x14ac:dyDescent="0.25">
      <c r="C70" s="9">
        <f>$C$54+(-0.01)</f>
        <v>8.7100000000000011E-2</v>
      </c>
      <c r="D70" s="9">
        <f>$C$54+(-0.005)</f>
        <v>9.2100000000000001E-2</v>
      </c>
      <c r="E70" s="9">
        <f>$C$54+(0)</f>
        <v>9.7100000000000006E-2</v>
      </c>
      <c r="F70" s="9">
        <f>$C$54+(0.005)</f>
        <v>0.10210000000000001</v>
      </c>
      <c r="G70" s="9">
        <f>$C$54+(0.01)</f>
        <v>0.1071</v>
      </c>
    </row>
    <row r="71" spans="2:15" x14ac:dyDescent="0.25">
      <c r="B71" s="12">
        <v>0.25</v>
      </c>
      <c r="C71" s="9">
        <f t="shared" ref="C71:G77" si="3">(1-$B71)*($C$16+$N$43*(1+(1-$C$19)*($B71/(1-$B71)))*$C$18+$C$17+$C$14)+$B71*C$70*(1-$C$19)</f>
        <v>0.10528300000000002</v>
      </c>
      <c r="D71" s="9">
        <f t="shared" si="3"/>
        <v>0.106158</v>
      </c>
      <c r="E71" s="9">
        <f t="shared" si="3"/>
        <v>0.10703300000000002</v>
      </c>
      <c r="F71" s="9">
        <f t="shared" si="3"/>
        <v>0.107908</v>
      </c>
      <c r="G71" s="9">
        <f t="shared" si="3"/>
        <v>0.108783</v>
      </c>
    </row>
    <row r="72" spans="2:15" x14ac:dyDescent="0.25">
      <c r="B72" s="12">
        <v>0.3</v>
      </c>
      <c r="C72" s="9">
        <f t="shared" si="3"/>
        <v>0.1033676</v>
      </c>
      <c r="D72" s="9">
        <f t="shared" si="3"/>
        <v>0.1044176</v>
      </c>
      <c r="E72" s="9">
        <f t="shared" si="3"/>
        <v>0.10546759999999999</v>
      </c>
      <c r="F72" s="9">
        <f t="shared" si="3"/>
        <v>0.1065176</v>
      </c>
      <c r="G72" s="9">
        <f t="shared" si="3"/>
        <v>0.1075676</v>
      </c>
    </row>
    <row r="73" spans="2:15" x14ac:dyDescent="0.25">
      <c r="B73" s="12">
        <v>0.35</v>
      </c>
      <c r="C73" s="9">
        <f t="shared" si="3"/>
        <v>0.10145220000000001</v>
      </c>
      <c r="D73" s="9">
        <f t="shared" si="3"/>
        <v>0.10267720000000001</v>
      </c>
      <c r="E73" s="9">
        <f t="shared" si="3"/>
        <v>0.1039022</v>
      </c>
      <c r="F73" s="9">
        <f t="shared" si="3"/>
        <v>0.1051272</v>
      </c>
      <c r="G73" s="9">
        <f t="shared" si="3"/>
        <v>0.10635220000000001</v>
      </c>
    </row>
    <row r="74" spans="2:15" x14ac:dyDescent="0.25">
      <c r="B74" s="12">
        <v>0.4</v>
      </c>
      <c r="C74" s="9">
        <f t="shared" si="3"/>
        <v>9.9536800000000009E-2</v>
      </c>
      <c r="D74" s="9">
        <f t="shared" si="3"/>
        <v>0.10093680000000001</v>
      </c>
      <c r="E74" s="9">
        <f t="shared" si="3"/>
        <v>0.10233680000000001</v>
      </c>
      <c r="F74" s="9">
        <f t="shared" si="3"/>
        <v>0.1037368</v>
      </c>
      <c r="G74" s="9">
        <f t="shared" si="3"/>
        <v>0.1051368</v>
      </c>
    </row>
    <row r="75" spans="2:15" x14ac:dyDescent="0.25">
      <c r="B75" s="12">
        <v>0.45</v>
      </c>
      <c r="C75" s="9">
        <f t="shared" si="3"/>
        <v>9.7621400000000011E-2</v>
      </c>
      <c r="D75" s="9">
        <f t="shared" si="3"/>
        <v>9.9196400000000004E-2</v>
      </c>
      <c r="E75" s="9">
        <f t="shared" si="3"/>
        <v>0.10077140000000001</v>
      </c>
      <c r="F75" s="9">
        <f t="shared" si="3"/>
        <v>0.1023464</v>
      </c>
      <c r="G75" s="9">
        <f t="shared" si="3"/>
        <v>0.1039214</v>
      </c>
    </row>
    <row r="76" spans="2:15" x14ac:dyDescent="0.25">
      <c r="B76" s="12">
        <v>0.5</v>
      </c>
      <c r="C76" s="9">
        <f t="shared" si="3"/>
        <v>9.5705999999999999E-2</v>
      </c>
      <c r="D76" s="9">
        <f t="shared" si="3"/>
        <v>9.7456000000000001E-2</v>
      </c>
      <c r="E76" s="9">
        <f t="shared" si="3"/>
        <v>9.9206000000000003E-2</v>
      </c>
      <c r="F76" s="9">
        <f t="shared" si="3"/>
        <v>0.100956</v>
      </c>
      <c r="G76" s="9">
        <f t="shared" si="3"/>
        <v>0.10270599999999999</v>
      </c>
    </row>
    <row r="77" spans="2:15" x14ac:dyDescent="0.25">
      <c r="B77" s="12">
        <v>0.55000000000000004</v>
      </c>
      <c r="C77" s="9">
        <f t="shared" si="3"/>
        <v>9.3790600000000002E-2</v>
      </c>
      <c r="D77" s="9">
        <f t="shared" si="3"/>
        <v>9.5715599999999998E-2</v>
      </c>
      <c r="E77" s="9">
        <f t="shared" si="3"/>
        <v>9.7640599999999994E-2</v>
      </c>
      <c r="F77" s="9">
        <f t="shared" si="3"/>
        <v>9.9565600000000004E-2</v>
      </c>
      <c r="G77" s="9">
        <f t="shared" si="3"/>
        <v>0.10149059999999999</v>
      </c>
    </row>
    <row r="79" spans="2:15" x14ac:dyDescent="0.25">
      <c r="B79" s="13" t="s">
        <v>112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</row>
    <row r="80" spans="2:15" x14ac:dyDescent="0.25">
      <c r="C80" s="9">
        <f>$C$18+(-0.01)</f>
        <v>3.2000000000000001E-2</v>
      </c>
      <c r="D80" s="9">
        <f>$C$18+(-0.005)</f>
        <v>3.7000000000000005E-2</v>
      </c>
      <c r="E80" s="9">
        <f>$C$18+(0)</f>
        <v>4.2000000000000003E-2</v>
      </c>
      <c r="F80" s="9">
        <f>$C$18+(0.005)</f>
        <v>4.7E-2</v>
      </c>
      <c r="G80" s="9">
        <f>$C$18+(0.01)</f>
        <v>5.2000000000000005E-2</v>
      </c>
    </row>
    <row r="81" spans="2:7" x14ac:dyDescent="0.25">
      <c r="B81" s="17">
        <f>$N$43+(-0.2)</f>
        <v>0.33</v>
      </c>
      <c r="C81" s="9">
        <f t="shared" ref="C81:G85" si="4">$C$59*($C$16+$B81*(1+(1-$C$19)*$C$49)*C$80+$C$17+$C$14)+$C$62*$C$61</f>
        <v>9.1309449945499402E-2</v>
      </c>
      <c r="D81" s="9">
        <f t="shared" si="4"/>
        <v>9.2748426768401129E-2</v>
      </c>
      <c r="E81" s="9">
        <f t="shared" si="4"/>
        <v>9.4187403591302843E-2</v>
      </c>
      <c r="F81" s="9">
        <f t="shared" si="4"/>
        <v>9.562638041420457E-2</v>
      </c>
      <c r="G81" s="9">
        <f t="shared" si="4"/>
        <v>9.7065357237106298E-2</v>
      </c>
    </row>
    <row r="82" spans="2:7" x14ac:dyDescent="0.25">
      <c r="B82" s="17">
        <f>$N$43+(-0.1)</f>
        <v>0.43000000000000005</v>
      </c>
      <c r="C82" s="9">
        <f t="shared" si="4"/>
        <v>9.4100192874763358E-2</v>
      </c>
      <c r="D82" s="9">
        <f t="shared" si="4"/>
        <v>9.5975223280362565E-2</v>
      </c>
      <c r="E82" s="9">
        <f t="shared" si="4"/>
        <v>9.7850253685961799E-2</v>
      </c>
      <c r="F82" s="9">
        <f t="shared" si="4"/>
        <v>9.972528409156102E-2</v>
      </c>
      <c r="G82" s="9">
        <f t="shared" si="4"/>
        <v>0.10160031449716023</v>
      </c>
    </row>
    <row r="83" spans="2:7" x14ac:dyDescent="0.25">
      <c r="B83" s="17">
        <f>$N$43+(0)</f>
        <v>0.53</v>
      </c>
      <c r="C83" s="9">
        <f t="shared" si="4"/>
        <v>9.6890935804027314E-2</v>
      </c>
      <c r="D83" s="9">
        <f t="shared" si="4"/>
        <v>9.9202019792324028E-2</v>
      </c>
      <c r="E83" s="9">
        <f t="shared" si="4"/>
        <v>0.10151310378062073</v>
      </c>
      <c r="F83" s="9">
        <f t="shared" si="4"/>
        <v>0.10382418776891744</v>
      </c>
      <c r="G83" s="9">
        <f t="shared" si="4"/>
        <v>0.10613527175721416</v>
      </c>
    </row>
    <row r="84" spans="2:7" x14ac:dyDescent="0.25">
      <c r="B84" s="17">
        <f>$N$43+(0.1)</f>
        <v>0.63</v>
      </c>
      <c r="C84" s="9">
        <f t="shared" si="4"/>
        <v>9.9681678733291257E-2</v>
      </c>
      <c r="D84" s="9">
        <f t="shared" si="4"/>
        <v>0.10242881630428548</v>
      </c>
      <c r="E84" s="9">
        <f t="shared" si="4"/>
        <v>0.10517595387527968</v>
      </c>
      <c r="F84" s="9">
        <f t="shared" si="4"/>
        <v>0.10792309144627388</v>
      </c>
      <c r="G84" s="9">
        <f t="shared" si="4"/>
        <v>0.11067022901726808</v>
      </c>
    </row>
    <row r="85" spans="2:7" x14ac:dyDescent="0.25">
      <c r="B85" s="17">
        <f>$N$43+(0.2)</f>
        <v>0.73</v>
      </c>
      <c r="C85" s="9">
        <f t="shared" si="4"/>
        <v>0.10247242166255521</v>
      </c>
      <c r="D85" s="9">
        <f t="shared" si="4"/>
        <v>0.10565561281624691</v>
      </c>
      <c r="E85" s="9">
        <f t="shared" si="4"/>
        <v>0.10883880396993861</v>
      </c>
      <c r="F85" s="9">
        <f t="shared" si="4"/>
        <v>0.1120219951236303</v>
      </c>
      <c r="G85" s="9">
        <f t="shared" si="4"/>
        <v>0.11520518627732201</v>
      </c>
    </row>
    <row r="87" spans="2:7" x14ac:dyDescent="0.25">
      <c r="B87" s="3" t="s">
        <v>113</v>
      </c>
    </row>
  </sheetData>
  <dataValidations count="2">
    <dataValidation type="list" sqref="C7" xr:uid="{00000000-0002-0000-0000-000000000000}">
      <formula1>"1,2"</formula1>
    </dataValidation>
    <dataValidation type="list" sqref="C8" xr:uid="{00000000-0002-0000-0000-000001000000}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customHeight="1" x14ac:dyDescent="0.3">
      <c r="B2" s="1" t="s">
        <v>114</v>
      </c>
    </row>
    <row r="3" spans="2:7" x14ac:dyDescent="0.25">
      <c r="B3" s="3" t="s">
        <v>115</v>
      </c>
    </row>
    <row r="5" spans="2:7" x14ac:dyDescent="0.25">
      <c r="B5" s="4" t="s">
        <v>116</v>
      </c>
      <c r="C5" s="4" t="s">
        <v>117</v>
      </c>
      <c r="D5" s="4" t="s">
        <v>118</v>
      </c>
      <c r="E5" s="4" t="s">
        <v>119</v>
      </c>
      <c r="F5" s="4" t="s">
        <v>49</v>
      </c>
      <c r="G5" s="4" t="s">
        <v>120</v>
      </c>
    </row>
    <row r="6" spans="2:7" x14ac:dyDescent="0.25">
      <c r="B6" s="6" t="s">
        <v>121</v>
      </c>
      <c r="C6" s="22">
        <v>58.6</v>
      </c>
      <c r="D6" s="6" t="s">
        <v>122</v>
      </c>
      <c r="E6" s="6" t="s">
        <v>123</v>
      </c>
      <c r="F6" s="6" t="s">
        <v>124</v>
      </c>
      <c r="G6" s="6" t="s">
        <v>125</v>
      </c>
    </row>
    <row r="7" spans="2:7" x14ac:dyDescent="0.25">
      <c r="B7" s="6" t="s">
        <v>126</v>
      </c>
      <c r="C7" s="6" t="s">
        <v>127</v>
      </c>
      <c r="D7" s="6" t="s">
        <v>122</v>
      </c>
      <c r="E7" s="6" t="s">
        <v>123</v>
      </c>
      <c r="F7" s="6" t="s">
        <v>128</v>
      </c>
      <c r="G7" s="6" t="s">
        <v>129</v>
      </c>
    </row>
    <row r="8" spans="2:7" x14ac:dyDescent="0.25">
      <c r="B8" s="6" t="s">
        <v>130</v>
      </c>
      <c r="C8" s="22">
        <v>4294.9437150000003</v>
      </c>
      <c r="D8" s="6" t="s">
        <v>131</v>
      </c>
      <c r="E8" s="6" t="s">
        <v>123</v>
      </c>
      <c r="F8" s="6" t="s">
        <v>132</v>
      </c>
      <c r="G8" s="6" t="s">
        <v>133</v>
      </c>
    </row>
    <row r="9" spans="2:7" x14ac:dyDescent="0.25">
      <c r="B9" s="6" t="s">
        <v>134</v>
      </c>
      <c r="C9" s="22">
        <v>251683.7</v>
      </c>
      <c r="D9" s="6" t="s">
        <v>135</v>
      </c>
      <c r="E9" s="6" t="s">
        <v>136</v>
      </c>
      <c r="F9" s="6" t="s">
        <v>137</v>
      </c>
      <c r="G9" s="6" t="s">
        <v>125</v>
      </c>
    </row>
    <row r="10" spans="2:7" x14ac:dyDescent="0.25">
      <c r="B10" s="6" t="s">
        <v>138</v>
      </c>
      <c r="C10" s="23">
        <v>9.2600000000000002E-2</v>
      </c>
      <c r="D10" s="6" t="s">
        <v>139</v>
      </c>
      <c r="E10" s="6" t="s">
        <v>123</v>
      </c>
      <c r="F10" s="6" t="s">
        <v>140</v>
      </c>
      <c r="G10" s="6" t="s">
        <v>125</v>
      </c>
    </row>
    <row r="11" spans="2:7" x14ac:dyDescent="0.25">
      <c r="B11" s="6" t="s">
        <v>141</v>
      </c>
      <c r="C11" s="23">
        <v>5.0900000000000001E-2</v>
      </c>
      <c r="D11" s="6" t="s">
        <v>139</v>
      </c>
      <c r="E11" s="6" t="s">
        <v>123</v>
      </c>
      <c r="F11" s="6" t="s">
        <v>140</v>
      </c>
      <c r="G11" s="6" t="s">
        <v>125</v>
      </c>
    </row>
    <row r="12" spans="2:7" x14ac:dyDescent="0.25">
      <c r="B12" s="6" t="s">
        <v>142</v>
      </c>
      <c r="C12" s="23">
        <v>9.5300000000000003E-3</v>
      </c>
      <c r="D12" s="6" t="s">
        <v>139</v>
      </c>
      <c r="E12" s="6" t="s">
        <v>123</v>
      </c>
      <c r="F12" s="6" t="s">
        <v>143</v>
      </c>
      <c r="G12" s="6" t="s">
        <v>125</v>
      </c>
    </row>
    <row r="13" spans="2:7" x14ac:dyDescent="0.25">
      <c r="B13" s="6" t="s">
        <v>144</v>
      </c>
      <c r="C13" s="23">
        <v>4.2000000000000003E-2</v>
      </c>
      <c r="D13" s="6" t="s">
        <v>139</v>
      </c>
      <c r="E13" s="6" t="s">
        <v>123</v>
      </c>
      <c r="F13" s="6" t="s">
        <v>145</v>
      </c>
      <c r="G13" s="6" t="s">
        <v>146</v>
      </c>
    </row>
    <row r="14" spans="2:7" x14ac:dyDescent="0.25">
      <c r="B14" s="6" t="s">
        <v>147</v>
      </c>
      <c r="C14" s="6" t="s">
        <v>148</v>
      </c>
      <c r="D14" s="6" t="s">
        <v>139</v>
      </c>
      <c r="E14" s="6" t="s">
        <v>123</v>
      </c>
      <c r="F14" s="6" t="s">
        <v>149</v>
      </c>
      <c r="G14" s="6" t="s">
        <v>150</v>
      </c>
    </row>
    <row r="15" spans="2:7" x14ac:dyDescent="0.25">
      <c r="B15" s="6" t="s">
        <v>151</v>
      </c>
      <c r="C15" s="6" t="s">
        <v>152</v>
      </c>
      <c r="D15" s="6" t="s">
        <v>153</v>
      </c>
      <c r="E15" s="6" t="s">
        <v>123</v>
      </c>
      <c r="F15" s="6" t="s">
        <v>154</v>
      </c>
      <c r="G15" s="6" t="s">
        <v>150</v>
      </c>
    </row>
    <row r="16" spans="2:7" x14ac:dyDescent="0.25">
      <c r="B16" s="6" t="s">
        <v>155</v>
      </c>
      <c r="C16" s="6" t="s">
        <v>156</v>
      </c>
      <c r="D16" s="6" t="s">
        <v>139</v>
      </c>
      <c r="E16" s="6" t="s">
        <v>123</v>
      </c>
      <c r="F16" s="6" t="s">
        <v>157</v>
      </c>
      <c r="G16" s="6" t="s">
        <v>158</v>
      </c>
    </row>
    <row r="17" spans="2:7" x14ac:dyDescent="0.25">
      <c r="B17" s="6" t="s">
        <v>159</v>
      </c>
      <c r="C17" s="6" t="s">
        <v>160</v>
      </c>
      <c r="D17" s="6" t="s">
        <v>139</v>
      </c>
      <c r="E17" s="6" t="s">
        <v>123</v>
      </c>
      <c r="F17" s="6" t="s">
        <v>161</v>
      </c>
      <c r="G17" s="6" t="s">
        <v>146</v>
      </c>
    </row>
    <row r="18" spans="2:7" x14ac:dyDescent="0.25">
      <c r="B18" s="6" t="s">
        <v>162</v>
      </c>
      <c r="C18" s="22">
        <v>11029.4</v>
      </c>
      <c r="D18" s="6" t="s">
        <v>135</v>
      </c>
      <c r="E18" s="6" t="s">
        <v>123</v>
      </c>
      <c r="F18" s="6" t="s">
        <v>163</v>
      </c>
      <c r="G18" s="6" t="s">
        <v>164</v>
      </c>
    </row>
    <row r="19" spans="2:7" x14ac:dyDescent="0.25">
      <c r="B19" s="6" t="s">
        <v>165</v>
      </c>
      <c r="C19" s="22">
        <v>13011.5</v>
      </c>
      <c r="D19" s="6" t="s">
        <v>135</v>
      </c>
      <c r="E19" s="6" t="s">
        <v>123</v>
      </c>
      <c r="F19" s="6" t="s">
        <v>166</v>
      </c>
      <c r="G19" s="6" t="s">
        <v>164</v>
      </c>
    </row>
    <row r="20" spans="2:7" x14ac:dyDescent="0.25">
      <c r="B20" s="6" t="s">
        <v>167</v>
      </c>
      <c r="C20" s="22">
        <v>1864.2</v>
      </c>
      <c r="D20" s="6" t="s">
        <v>135</v>
      </c>
      <c r="E20" s="6" t="s">
        <v>136</v>
      </c>
      <c r="F20" s="6" t="s">
        <v>168</v>
      </c>
      <c r="G20" s="6" t="s">
        <v>164</v>
      </c>
    </row>
    <row r="21" spans="2:7" x14ac:dyDescent="0.25">
      <c r="B21" s="6" t="s">
        <v>169</v>
      </c>
      <c r="C21" s="6" t="s">
        <v>170</v>
      </c>
      <c r="D21" s="6" t="s">
        <v>135</v>
      </c>
      <c r="E21" s="6" t="s">
        <v>123</v>
      </c>
      <c r="F21" s="6" t="s">
        <v>171</v>
      </c>
      <c r="G21" s="6" t="s">
        <v>164</v>
      </c>
    </row>
    <row r="22" spans="2:7" x14ac:dyDescent="0.25">
      <c r="B22" s="6" t="s">
        <v>172</v>
      </c>
      <c r="C22" s="23">
        <v>0.32</v>
      </c>
      <c r="D22" s="6" t="s">
        <v>153</v>
      </c>
      <c r="E22" s="6" t="s">
        <v>173</v>
      </c>
      <c r="F22" s="6" t="s">
        <v>174</v>
      </c>
      <c r="G22" s="6" t="s">
        <v>125</v>
      </c>
    </row>
    <row r="23" spans="2:7" x14ac:dyDescent="0.25">
      <c r="B23" s="6" t="s">
        <v>175</v>
      </c>
      <c r="C23" s="23">
        <v>9.2600000000000002E-2</v>
      </c>
      <c r="D23" s="6" t="s">
        <v>139</v>
      </c>
      <c r="E23" s="6" t="s">
        <v>123</v>
      </c>
      <c r="F23" s="6" t="s">
        <v>176</v>
      </c>
      <c r="G23" s="6" t="s">
        <v>177</v>
      </c>
    </row>
    <row r="24" spans="2:7" x14ac:dyDescent="0.25">
      <c r="B24" s="6" t="s">
        <v>178</v>
      </c>
      <c r="C24" s="6" t="s">
        <v>179</v>
      </c>
      <c r="D24" s="6" t="s">
        <v>135</v>
      </c>
      <c r="E24" s="6" t="s">
        <v>123</v>
      </c>
      <c r="F24" s="6" t="s">
        <v>180</v>
      </c>
      <c r="G24" s="6" t="s">
        <v>181</v>
      </c>
    </row>
    <row r="25" spans="2:7" x14ac:dyDescent="0.25">
      <c r="B25" s="6" t="s">
        <v>182</v>
      </c>
      <c r="C25" s="6" t="s">
        <v>183</v>
      </c>
      <c r="D25" s="6" t="s">
        <v>135</v>
      </c>
      <c r="E25" s="6" t="s">
        <v>123</v>
      </c>
      <c r="F25" s="6" t="s">
        <v>184</v>
      </c>
      <c r="G25" s="6" t="s">
        <v>164</v>
      </c>
    </row>
    <row r="26" spans="2:7" x14ac:dyDescent="0.25">
      <c r="B26" s="6" t="s">
        <v>185</v>
      </c>
      <c r="C26" s="22">
        <v>6507</v>
      </c>
      <c r="D26" s="6" t="s">
        <v>135</v>
      </c>
      <c r="E26" s="6" t="s">
        <v>123</v>
      </c>
      <c r="F26" s="6" t="s">
        <v>186</v>
      </c>
      <c r="G26" s="6" t="s">
        <v>181</v>
      </c>
    </row>
    <row r="27" spans="2:7" x14ac:dyDescent="0.25">
      <c r="B27" s="6" t="s">
        <v>187</v>
      </c>
      <c r="C27" s="22">
        <v>12999</v>
      </c>
      <c r="D27" s="6" t="s">
        <v>135</v>
      </c>
      <c r="E27" s="6" t="s">
        <v>123</v>
      </c>
      <c r="F27" s="6" t="s">
        <v>188</v>
      </c>
      <c r="G27" s="6" t="s">
        <v>181</v>
      </c>
    </row>
    <row r="28" spans="2:7" x14ac:dyDescent="0.25">
      <c r="B28" s="6" t="s">
        <v>189</v>
      </c>
      <c r="C28" s="22">
        <v>3185</v>
      </c>
      <c r="D28" s="6" t="s">
        <v>135</v>
      </c>
      <c r="E28" s="6" t="s">
        <v>123</v>
      </c>
      <c r="F28" s="6" t="s">
        <v>190</v>
      </c>
      <c r="G28" s="6" t="s">
        <v>181</v>
      </c>
    </row>
    <row r="29" spans="2:7" x14ac:dyDescent="0.25">
      <c r="B29" s="6" t="s">
        <v>191</v>
      </c>
      <c r="C29" s="22">
        <v>4216</v>
      </c>
      <c r="D29" s="6" t="s">
        <v>135</v>
      </c>
      <c r="E29" s="6" t="s">
        <v>123</v>
      </c>
      <c r="F29" s="6" t="s">
        <v>192</v>
      </c>
      <c r="G29" s="6" t="s">
        <v>181</v>
      </c>
    </row>
    <row r="30" spans="2:7" x14ac:dyDescent="0.25">
      <c r="B30" s="6" t="s">
        <v>193</v>
      </c>
      <c r="C30" s="22">
        <v>7018</v>
      </c>
      <c r="D30" s="6" t="s">
        <v>135</v>
      </c>
      <c r="E30" s="6" t="s">
        <v>123</v>
      </c>
      <c r="F30" s="6" t="s">
        <v>194</v>
      </c>
      <c r="G30" s="6" t="s">
        <v>181</v>
      </c>
    </row>
    <row r="31" spans="2:7" x14ac:dyDescent="0.25">
      <c r="B31" s="6" t="s">
        <v>195</v>
      </c>
      <c r="C31" s="22">
        <v>907</v>
      </c>
      <c r="D31" s="6" t="s">
        <v>135</v>
      </c>
      <c r="E31" s="6" t="s">
        <v>123</v>
      </c>
      <c r="F31" s="6" t="s">
        <v>196</v>
      </c>
      <c r="G31" s="6" t="s">
        <v>164</v>
      </c>
    </row>
    <row r="32" spans="2:7" x14ac:dyDescent="0.25">
      <c r="B32" s="6" t="s">
        <v>197</v>
      </c>
      <c r="C32" s="6" t="s">
        <v>198</v>
      </c>
      <c r="D32" s="6" t="s">
        <v>135</v>
      </c>
      <c r="E32" s="6" t="s">
        <v>123</v>
      </c>
      <c r="F32" s="6" t="s">
        <v>199</v>
      </c>
      <c r="G32" s="6" t="s">
        <v>181</v>
      </c>
    </row>
    <row r="33" spans="2:7" x14ac:dyDescent="0.25">
      <c r="B33" s="6" t="s">
        <v>200</v>
      </c>
      <c r="C33" s="23">
        <v>1.075</v>
      </c>
      <c r="D33" s="6" t="s">
        <v>201</v>
      </c>
      <c r="E33" s="6" t="s">
        <v>123</v>
      </c>
      <c r="F33" s="6" t="s">
        <v>202</v>
      </c>
      <c r="G33" s="6" t="s">
        <v>203</v>
      </c>
    </row>
    <row r="34" spans="2:7" x14ac:dyDescent="0.25">
      <c r="B34" s="6" t="s">
        <v>204</v>
      </c>
      <c r="C34" s="23">
        <v>1.05</v>
      </c>
      <c r="D34" s="6" t="s">
        <v>201</v>
      </c>
      <c r="E34" s="6" t="s">
        <v>123</v>
      </c>
      <c r="F34" s="6" t="s">
        <v>205</v>
      </c>
      <c r="G34" s="6" t="s">
        <v>206</v>
      </c>
    </row>
    <row r="36" spans="2:7" x14ac:dyDescent="0.25">
      <c r="B36" s="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</vt:lpstr>
      <vt:lpstr>Inputs_Sources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2026-10-17T13:51:57Z</dcterms:created>
  <dcterms:modified xsi:type="dcterms:W3CDTF">2026-10-17T14:17:14Z</dcterms:modified>
</cp:coreProperties>
</file>