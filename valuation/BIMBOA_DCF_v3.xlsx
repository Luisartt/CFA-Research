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fa reserach\valuation\"/>
    </mc:Choice>
  </mc:AlternateContent>
  <xr:revisionPtr revIDLastSave="0" documentId="13_ncr:1_{B2AD9309-6C4A-46A0-9BBD-E3912F73D1F4}" xr6:coauthVersionLast="47" xr6:coauthVersionMax="47" xr10:uidLastSave="{00000000-0000-0000-0000-000000000000}"/>
  <bookViews>
    <workbookView xWindow="-120" yWindow="-120" windowWidth="29040" windowHeight="15720" xr2:uid="{00000000-000D-0000-FFFF-FFFF00000000}"/>
  </bookViews>
  <sheets>
    <sheet name="Cover" sheetId="1" r:id="rId1"/>
    <sheet name="DCF" sheetId="2" r:id="rId2"/>
    <sheet name="Reverse_DCF" sheetId="3" r:id="rId3"/>
    <sheet name="Levers" sheetId="4" r:id="rId4"/>
    <sheet name="Scenarios" sheetId="5" r:id="rId5"/>
    <sheet name="Dated_Check" sheetId="6" r:id="rId6"/>
    <sheet name="Engine_Recon" sheetId="7" r:id="rId7"/>
    <sheet name="Inputs_Sources" sheetId="8" r:id="rId8"/>
    <sheet name="Check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9" l="1"/>
  <c r="C26" i="9"/>
  <c r="C25" i="9"/>
  <c r="C24" i="9"/>
  <c r="C23" i="9"/>
  <c r="C5" i="9"/>
  <c r="E52" i="7"/>
  <c r="J52" i="7" s="1"/>
  <c r="K52" i="7" s="1"/>
  <c r="E51" i="7"/>
  <c r="J51" i="7" s="1"/>
  <c r="K51" i="7" s="1"/>
  <c r="D20" i="6"/>
  <c r="D8" i="6"/>
  <c r="D13" i="6" s="1"/>
  <c r="D17" i="3"/>
  <c r="D10" i="3"/>
  <c r="H259" i="2"/>
  <c r="G259" i="2"/>
  <c r="F259" i="2"/>
  <c r="E259" i="2"/>
  <c r="D259" i="2"/>
  <c r="H251" i="2"/>
  <c r="G251" i="2"/>
  <c r="F251" i="2"/>
  <c r="E251" i="2"/>
  <c r="D251" i="2"/>
  <c r="H243" i="2"/>
  <c r="G243" i="2"/>
  <c r="F243" i="2"/>
  <c r="E243" i="2"/>
  <c r="D243" i="2"/>
  <c r="H235" i="2"/>
  <c r="G235" i="2"/>
  <c r="F235" i="2"/>
  <c r="E235" i="2"/>
  <c r="D235" i="2"/>
  <c r="H227" i="2"/>
  <c r="G227" i="2"/>
  <c r="F227" i="2"/>
  <c r="E227" i="2"/>
  <c r="D227" i="2"/>
  <c r="H175" i="2"/>
  <c r="G175" i="2"/>
  <c r="F175" i="2"/>
  <c r="E175" i="2"/>
  <c r="D175" i="2"/>
  <c r="D166" i="2"/>
  <c r="D161" i="2"/>
  <c r="D127" i="2"/>
  <c r="R107" i="2"/>
  <c r="Q107" i="2"/>
  <c r="P107" i="2"/>
  <c r="O107" i="2"/>
  <c r="N107" i="2"/>
  <c r="M107" i="2"/>
  <c r="L107" i="2"/>
  <c r="K107" i="2"/>
  <c r="J107" i="2"/>
  <c r="I107" i="2"/>
  <c r="H102" i="2"/>
  <c r="G102" i="2"/>
  <c r="F102" i="2"/>
  <c r="E102" i="2"/>
  <c r="H100" i="2"/>
  <c r="H101" i="2" s="1"/>
  <c r="G100" i="2"/>
  <c r="G101" i="2" s="1"/>
  <c r="F100" i="2"/>
  <c r="F101" i="2" s="1"/>
  <c r="E100" i="2"/>
  <c r="E101" i="2" s="1"/>
  <c r="D100" i="2"/>
  <c r="D101" i="2" s="1"/>
  <c r="C17" i="9" s="1"/>
  <c r="R99" i="2"/>
  <c r="Q99" i="2"/>
  <c r="P99" i="2"/>
  <c r="O99" i="2"/>
  <c r="N99" i="2"/>
  <c r="M99" i="2"/>
  <c r="L99" i="2"/>
  <c r="K99" i="2"/>
  <c r="J99" i="2"/>
  <c r="I99" i="2"/>
  <c r="R96" i="2"/>
  <c r="Q96" i="2"/>
  <c r="P96" i="2"/>
  <c r="O96" i="2"/>
  <c r="N96" i="2"/>
  <c r="M96" i="2"/>
  <c r="L96" i="2"/>
  <c r="K96" i="2"/>
  <c r="J96" i="2"/>
  <c r="I96" i="2"/>
  <c r="H87" i="2"/>
  <c r="G87" i="2"/>
  <c r="F87" i="2"/>
  <c r="E87" i="2"/>
  <c r="H84" i="2"/>
  <c r="G84" i="2"/>
  <c r="F84" i="2"/>
  <c r="E84" i="2"/>
  <c r="D84" i="2"/>
  <c r="R81" i="2"/>
  <c r="Q81" i="2"/>
  <c r="P81" i="2"/>
  <c r="O81" i="2"/>
  <c r="N81" i="2"/>
  <c r="M81" i="2"/>
  <c r="L81" i="2"/>
  <c r="K81" i="2"/>
  <c r="J81" i="2"/>
  <c r="I81" i="2"/>
  <c r="H73" i="2"/>
  <c r="G73" i="2"/>
  <c r="F73" i="2"/>
  <c r="E73" i="2"/>
  <c r="D73" i="2"/>
  <c r="H71" i="2"/>
  <c r="G71" i="2"/>
  <c r="F71" i="2"/>
  <c r="E71" i="2"/>
  <c r="I69" i="2"/>
  <c r="J69" i="2" s="1"/>
  <c r="K69" i="2" s="1"/>
  <c r="L69" i="2" s="1"/>
  <c r="M69" i="2" s="1"/>
  <c r="N69" i="2" s="1"/>
  <c r="O69" i="2" s="1"/>
  <c r="P69" i="2" s="1"/>
  <c r="Q69" i="2" s="1"/>
  <c r="R69" i="2" s="1"/>
  <c r="I68" i="2"/>
  <c r="J68" i="2" s="1"/>
  <c r="K68" i="2" s="1"/>
  <c r="L68" i="2" s="1"/>
  <c r="M68" i="2" s="1"/>
  <c r="N68" i="2" s="1"/>
  <c r="O68" i="2" s="1"/>
  <c r="P68" i="2" s="1"/>
  <c r="Q68" i="2" s="1"/>
  <c r="R68" i="2" s="1"/>
  <c r="I67" i="2"/>
  <c r="J67" i="2" s="1"/>
  <c r="K67" i="2" s="1"/>
  <c r="L67" i="2" s="1"/>
  <c r="M67" i="2" s="1"/>
  <c r="N67" i="2" s="1"/>
  <c r="O67" i="2" s="1"/>
  <c r="P67" i="2" s="1"/>
  <c r="Q67" i="2" s="1"/>
  <c r="R67" i="2" s="1"/>
  <c r="I66" i="2"/>
  <c r="J66" i="2" s="1"/>
  <c r="K66" i="2" s="1"/>
  <c r="L66" i="2" s="1"/>
  <c r="M66" i="2" s="1"/>
  <c r="N66" i="2" s="1"/>
  <c r="O66" i="2" s="1"/>
  <c r="P66" i="2" s="1"/>
  <c r="Q66" i="2" s="1"/>
  <c r="R66" i="2" s="1"/>
  <c r="I65" i="2"/>
  <c r="D33" i="2"/>
  <c r="D32" i="2"/>
  <c r="D31" i="2"/>
  <c r="D29" i="2"/>
  <c r="D30" i="2" s="1"/>
  <c r="E13" i="2"/>
  <c r="D13" i="2"/>
  <c r="D10" i="2"/>
  <c r="H103" i="2" l="1"/>
  <c r="C21" i="9"/>
  <c r="G103" i="2"/>
  <c r="C20" i="9"/>
  <c r="F103" i="2"/>
  <c r="C19" i="9"/>
  <c r="E103" i="2"/>
  <c r="C18" i="9"/>
  <c r="H76" i="2"/>
  <c r="H74" i="2"/>
  <c r="G76" i="2"/>
  <c r="G74" i="2"/>
  <c r="F76" i="2"/>
  <c r="F74" i="2"/>
  <c r="E76" i="2"/>
  <c r="E74" i="2"/>
  <c r="D76" i="2"/>
  <c r="D74" i="2"/>
  <c r="I70" i="2"/>
  <c r="J65" i="2"/>
  <c r="C6" i="9"/>
  <c r="D34" i="2"/>
  <c r="D132" i="2"/>
  <c r="D133" i="2"/>
  <c r="D148" i="2"/>
  <c r="D48" i="6"/>
  <c r="E12" i="2"/>
  <c r="H77" i="2" l="1"/>
  <c r="H79" i="2"/>
  <c r="H80" i="2" s="1"/>
  <c r="H82" i="2"/>
  <c r="H83" i="2"/>
  <c r="H88" i="2" s="1"/>
  <c r="G77" i="2"/>
  <c r="G79" i="2"/>
  <c r="G80" i="2" s="1"/>
  <c r="G82" i="2"/>
  <c r="G83" i="2"/>
  <c r="G88" i="2" s="1"/>
  <c r="F77" i="2"/>
  <c r="F79" i="2"/>
  <c r="F80" i="2" s="1"/>
  <c r="F82" i="2"/>
  <c r="F83" i="2"/>
  <c r="F88" i="2" s="1"/>
  <c r="E77" i="2"/>
  <c r="E79" i="2"/>
  <c r="E80" i="2" s="1"/>
  <c r="E82" i="2"/>
  <c r="E83" i="2"/>
  <c r="E88" i="2" s="1"/>
  <c r="D77" i="2"/>
  <c r="D79" i="2"/>
  <c r="D80" i="2" s="1"/>
  <c r="D82" i="2"/>
  <c r="D83" i="2"/>
  <c r="I93" i="2"/>
  <c r="I95" i="2"/>
  <c r="I98" i="2"/>
  <c r="I174" i="2"/>
  <c r="I176" i="2"/>
  <c r="I85" i="2"/>
  <c r="I86" i="2"/>
  <c r="I71" i="2"/>
  <c r="I72" i="2"/>
  <c r="I73" i="2" s="1"/>
  <c r="I75" i="2"/>
  <c r="I78" i="2"/>
  <c r="I84" i="2" s="1"/>
  <c r="K65" i="2"/>
  <c r="J70" i="2"/>
  <c r="C263" i="2"/>
  <c r="C264" i="2"/>
  <c r="I108" i="2"/>
  <c r="E36" i="7" s="1"/>
  <c r="J36" i="7" s="1"/>
  <c r="K36" i="7" s="1"/>
  <c r="J108" i="2"/>
  <c r="E37" i="7" s="1"/>
  <c r="J37" i="7" s="1"/>
  <c r="K37" i="7" s="1"/>
  <c r="K108" i="2"/>
  <c r="E38" i="7" s="1"/>
  <c r="J38" i="7" s="1"/>
  <c r="K38" i="7" s="1"/>
  <c r="L108" i="2"/>
  <c r="E39" i="7" s="1"/>
  <c r="J39" i="7" s="1"/>
  <c r="K39" i="7" s="1"/>
  <c r="M108" i="2"/>
  <c r="E40" i="7" s="1"/>
  <c r="J40" i="7" s="1"/>
  <c r="K40" i="7" s="1"/>
  <c r="N108" i="2"/>
  <c r="E41" i="7" s="1"/>
  <c r="J41" i="7" s="1"/>
  <c r="K41" i="7" s="1"/>
  <c r="O108" i="2"/>
  <c r="E42" i="7" s="1"/>
  <c r="J42" i="7" s="1"/>
  <c r="K42" i="7" s="1"/>
  <c r="P108" i="2"/>
  <c r="E43" i="7" s="1"/>
  <c r="J43" i="7" s="1"/>
  <c r="K43" i="7" s="1"/>
  <c r="Q108" i="2"/>
  <c r="E44" i="7" s="1"/>
  <c r="J44" i="7" s="1"/>
  <c r="K44" i="7" s="1"/>
  <c r="R108" i="2"/>
  <c r="E45" i="7" s="1"/>
  <c r="J45" i="7" s="1"/>
  <c r="K45" i="7" s="1"/>
  <c r="E6" i="7"/>
  <c r="D165" i="2"/>
  <c r="C4" i="9" s="1"/>
  <c r="C219" i="2"/>
  <c r="C229" i="2"/>
  <c r="C230" i="2"/>
  <c r="C232" i="2"/>
  <c r="C236" i="2"/>
  <c r="C237" i="2"/>
  <c r="C238" i="2"/>
  <c r="C239" i="2"/>
  <c r="C240" i="2"/>
  <c r="C244" i="2"/>
  <c r="C228" i="2"/>
  <c r="C231" i="2"/>
  <c r="C245" i="2"/>
  <c r="C246" i="2"/>
  <c r="C247" i="2"/>
  <c r="C248" i="2"/>
  <c r="C252" i="2"/>
  <c r="C253" i="2"/>
  <c r="C254" i="2"/>
  <c r="C255" i="2"/>
  <c r="C256" i="2"/>
  <c r="C260" i="2"/>
  <c r="C261" i="2"/>
  <c r="C262" i="2"/>
  <c r="D12" i="2"/>
  <c r="D141" i="2"/>
  <c r="D142" i="2" s="1"/>
  <c r="D41" i="6"/>
  <c r="D13" i="3"/>
  <c r="D6" i="3"/>
  <c r="E53" i="7"/>
  <c r="J53" i="7" s="1"/>
  <c r="K53" i="7" s="1"/>
  <c r="J174" i="2" l="1"/>
  <c r="I175" i="2"/>
  <c r="I177" i="2"/>
  <c r="I178" i="2" s="1"/>
  <c r="I94" i="2"/>
  <c r="I97" i="2"/>
  <c r="I74" i="2"/>
  <c r="I76" i="2"/>
  <c r="L65" i="2"/>
  <c r="K70" i="2"/>
  <c r="J93" i="2"/>
  <c r="J95" i="2"/>
  <c r="J98" i="2"/>
  <c r="J86" i="2"/>
  <c r="J176" i="2"/>
  <c r="J85" i="2"/>
  <c r="J71" i="2"/>
  <c r="J72" i="2"/>
  <c r="J73" i="2" s="1"/>
  <c r="J75" i="2"/>
  <c r="J78" i="2"/>
  <c r="J84" i="2" s="1"/>
  <c r="F6" i="7"/>
  <c r="G6" i="7"/>
  <c r="H6" i="7" s="1"/>
  <c r="J6" i="7"/>
  <c r="K6" i="7" s="1"/>
  <c r="C22" i="9"/>
  <c r="E60" i="7"/>
  <c r="J60" i="7" s="1"/>
  <c r="K60" i="7" s="1"/>
  <c r="K174" i="2" l="1"/>
  <c r="J175" i="2"/>
  <c r="J177" i="2"/>
  <c r="J178" i="2" s="1"/>
  <c r="I77" i="2"/>
  <c r="I79" i="2"/>
  <c r="I82" i="2"/>
  <c r="I83" i="2" s="1"/>
  <c r="M65" i="2"/>
  <c r="L70" i="2"/>
  <c r="K93" i="2"/>
  <c r="K95" i="2"/>
  <c r="K98" i="2"/>
  <c r="K86" i="2"/>
  <c r="K176" i="2"/>
  <c r="K85" i="2"/>
  <c r="K71" i="2"/>
  <c r="K72" i="2"/>
  <c r="K73" i="2" s="1"/>
  <c r="K75" i="2"/>
  <c r="K78" i="2"/>
  <c r="K84" i="2" s="1"/>
  <c r="J94" i="2"/>
  <c r="J97" i="2"/>
  <c r="J74" i="2"/>
  <c r="J76" i="2"/>
  <c r="I100" i="2"/>
  <c r="L174" i="2" l="1"/>
  <c r="K175" i="2"/>
  <c r="K177" i="2"/>
  <c r="K178" i="2" s="1"/>
  <c r="I80" i="2"/>
  <c r="E26" i="7"/>
  <c r="N65" i="2"/>
  <c r="M70" i="2"/>
  <c r="L93" i="2"/>
  <c r="L95" i="2"/>
  <c r="L98" i="2"/>
  <c r="L86" i="2"/>
  <c r="L176" i="2"/>
  <c r="L85" i="2"/>
  <c r="L71" i="2"/>
  <c r="L72" i="2"/>
  <c r="L73" i="2"/>
  <c r="L75" i="2"/>
  <c r="L78" i="2"/>
  <c r="L84" i="2" s="1"/>
  <c r="K94" i="2"/>
  <c r="K97" i="2"/>
  <c r="K74" i="2"/>
  <c r="K76" i="2"/>
  <c r="J77" i="2"/>
  <c r="J79" i="2"/>
  <c r="J82" i="2"/>
  <c r="J83" i="2"/>
  <c r="I101" i="2"/>
  <c r="I103" i="2" s="1"/>
  <c r="I102" i="2"/>
  <c r="I87" i="2" s="1"/>
  <c r="I88" i="2" s="1"/>
  <c r="J100" i="2"/>
  <c r="M174" i="2" l="1"/>
  <c r="L175" i="2"/>
  <c r="L177" i="2"/>
  <c r="L178" i="2" s="1"/>
  <c r="J26" i="7"/>
  <c r="K26" i="7" s="1"/>
  <c r="G26" i="7"/>
  <c r="F26" i="7"/>
  <c r="O65" i="2"/>
  <c r="N70" i="2"/>
  <c r="M93" i="2"/>
  <c r="M95" i="2"/>
  <c r="M98" i="2"/>
  <c r="M86" i="2"/>
  <c r="M176" i="2"/>
  <c r="M85" i="2"/>
  <c r="M71" i="2"/>
  <c r="M72" i="2"/>
  <c r="M73" i="2" s="1"/>
  <c r="M75" i="2"/>
  <c r="M78" i="2"/>
  <c r="M84" i="2" s="1"/>
  <c r="L94" i="2"/>
  <c r="L100" i="2" s="1"/>
  <c r="L97" i="2"/>
  <c r="L74" i="2"/>
  <c r="L76" i="2"/>
  <c r="K77" i="2"/>
  <c r="K79" i="2"/>
  <c r="K82" i="2"/>
  <c r="K83" i="2"/>
  <c r="J80" i="2"/>
  <c r="E27" i="7"/>
  <c r="I90" i="2"/>
  <c r="E16" i="7"/>
  <c r="I179" i="2"/>
  <c r="I109" i="2"/>
  <c r="J101" i="2"/>
  <c r="J103" i="2" s="1"/>
  <c r="J102" i="2"/>
  <c r="J87" i="2" s="1"/>
  <c r="J88" i="2" s="1"/>
  <c r="K100" i="2"/>
  <c r="N174" i="2" l="1"/>
  <c r="M175" i="2"/>
  <c r="M177" i="2"/>
  <c r="M178" i="2" s="1"/>
  <c r="P65" i="2"/>
  <c r="O70" i="2"/>
  <c r="N93" i="2"/>
  <c r="N95" i="2"/>
  <c r="N98" i="2"/>
  <c r="N86" i="2"/>
  <c r="N176" i="2"/>
  <c r="N85" i="2"/>
  <c r="N71" i="2"/>
  <c r="N72" i="2"/>
  <c r="N73" i="2"/>
  <c r="N75" i="2"/>
  <c r="N78" i="2"/>
  <c r="N84" i="2" s="1"/>
  <c r="M94" i="2"/>
  <c r="M97" i="2"/>
  <c r="M74" i="2"/>
  <c r="M76" i="2"/>
  <c r="L102" i="2"/>
  <c r="L87" i="2" s="1"/>
  <c r="L101" i="2"/>
  <c r="L77" i="2"/>
  <c r="L79" i="2"/>
  <c r="L82" i="2"/>
  <c r="L83" i="2" s="1"/>
  <c r="L88" i="2" s="1"/>
  <c r="K80" i="2"/>
  <c r="E28" i="7"/>
  <c r="G27" i="7"/>
  <c r="F27" i="7"/>
  <c r="J27" i="7"/>
  <c r="K27" i="7" s="1"/>
  <c r="G16" i="7"/>
  <c r="J16" i="7"/>
  <c r="K16" i="7" s="1"/>
  <c r="F16" i="7"/>
  <c r="I180" i="2"/>
  <c r="D14" i="6"/>
  <c r="D16" i="6" s="1"/>
  <c r="D17" i="6" s="1"/>
  <c r="D21" i="6" s="1"/>
  <c r="J90" i="2"/>
  <c r="E17" i="7"/>
  <c r="J179" i="2"/>
  <c r="J109" i="2"/>
  <c r="J89" i="2"/>
  <c r="K101" i="2"/>
  <c r="K103" i="2" s="1"/>
  <c r="K102" i="2"/>
  <c r="K87" i="2" s="1"/>
  <c r="K88" i="2" s="1"/>
  <c r="H26" i="7"/>
  <c r="O174" i="2" l="1"/>
  <c r="N175" i="2"/>
  <c r="N177" i="2"/>
  <c r="N178" i="2" s="1"/>
  <c r="Q65" i="2"/>
  <c r="P70" i="2"/>
  <c r="O93" i="2"/>
  <c r="O95" i="2"/>
  <c r="O98" i="2"/>
  <c r="O86" i="2"/>
  <c r="O176" i="2"/>
  <c r="O85" i="2"/>
  <c r="O71" i="2"/>
  <c r="O72" i="2"/>
  <c r="O73" i="2" s="1"/>
  <c r="O75" i="2"/>
  <c r="O78" i="2"/>
  <c r="O84" i="2" s="1"/>
  <c r="N94" i="2"/>
  <c r="N97" i="2"/>
  <c r="N74" i="2"/>
  <c r="N76" i="2"/>
  <c r="M77" i="2"/>
  <c r="M79" i="2"/>
  <c r="M82" i="2"/>
  <c r="M83" i="2"/>
  <c r="L80" i="2"/>
  <c r="E29" i="7"/>
  <c r="L89" i="2"/>
  <c r="L109" i="2"/>
  <c r="L179" i="2"/>
  <c r="E19" i="7"/>
  <c r="L90" i="2"/>
  <c r="J28" i="7"/>
  <c r="K28" i="7" s="1"/>
  <c r="F28" i="7"/>
  <c r="G28" i="7"/>
  <c r="H28" i="7" s="1"/>
  <c r="J17" i="7"/>
  <c r="K17" i="7" s="1"/>
  <c r="F17" i="7"/>
  <c r="G17" i="7"/>
  <c r="H17" i="7" s="1"/>
  <c r="J180" i="2"/>
  <c r="D22" i="6"/>
  <c r="E18" i="7"/>
  <c r="K90" i="2"/>
  <c r="K179" i="2"/>
  <c r="K109" i="2"/>
  <c r="K89" i="2"/>
  <c r="M100" i="2"/>
  <c r="L103" i="2"/>
  <c r="H27" i="7"/>
  <c r="H16" i="7"/>
  <c r="P174" i="2" l="1"/>
  <c r="O175" i="2"/>
  <c r="O177" i="2"/>
  <c r="O178" i="2" s="1"/>
  <c r="R65" i="2"/>
  <c r="R70" i="2" s="1"/>
  <c r="Q70" i="2"/>
  <c r="P71" i="2"/>
  <c r="P72" i="2"/>
  <c r="P73" i="2"/>
  <c r="P75" i="2"/>
  <c r="P78" i="2"/>
  <c r="P84" i="2" s="1"/>
  <c r="P93" i="2"/>
  <c r="P95" i="2"/>
  <c r="P98" i="2"/>
  <c r="P86" i="2"/>
  <c r="P176" i="2"/>
  <c r="P85" i="2"/>
  <c r="O94" i="2"/>
  <c r="O100" i="2" s="1"/>
  <c r="O97" i="2"/>
  <c r="O74" i="2"/>
  <c r="O76" i="2"/>
  <c r="N77" i="2"/>
  <c r="N79" i="2"/>
  <c r="N82" i="2"/>
  <c r="N83" i="2" s="1"/>
  <c r="M80" i="2"/>
  <c r="E30" i="7"/>
  <c r="J29" i="7"/>
  <c r="K29" i="7" s="1"/>
  <c r="G29" i="7"/>
  <c r="H29" i="7" s="1"/>
  <c r="F29" i="7"/>
  <c r="L180" i="2"/>
  <c r="D24" i="6"/>
  <c r="F19" i="7"/>
  <c r="J19" i="7"/>
  <c r="K19" i="7" s="1"/>
  <c r="G19" i="7"/>
  <c r="G18" i="7"/>
  <c r="F18" i="7"/>
  <c r="J18" i="7"/>
  <c r="K18" i="7" s="1"/>
  <c r="K180" i="2"/>
  <c r="D23" i="6"/>
  <c r="M101" i="2"/>
  <c r="M103" i="2" s="1"/>
  <c r="M102" i="2"/>
  <c r="M87" i="2" s="1"/>
  <c r="M88" i="2" s="1"/>
  <c r="N100" i="2"/>
  <c r="Q174" i="2" l="1"/>
  <c r="P175" i="2"/>
  <c r="P177" i="2"/>
  <c r="P178" i="2" s="1"/>
  <c r="R71" i="2"/>
  <c r="R72" i="2"/>
  <c r="R73" i="2" s="1"/>
  <c r="R75" i="2"/>
  <c r="R78" i="2"/>
  <c r="R84" i="2" s="1"/>
  <c r="R93" i="2"/>
  <c r="R95" i="2"/>
  <c r="R98" i="2"/>
  <c r="R86" i="2"/>
  <c r="R176" i="2"/>
  <c r="R85" i="2"/>
  <c r="Q85" i="2"/>
  <c r="Q71" i="2"/>
  <c r="Q72" i="2"/>
  <c r="Q73" i="2"/>
  <c r="Q75" i="2"/>
  <c r="Q78" i="2"/>
  <c r="Q84" i="2" s="1"/>
  <c r="Q93" i="2"/>
  <c r="Q95" i="2"/>
  <c r="Q98" i="2"/>
  <c r="Q86" i="2"/>
  <c r="Q176" i="2"/>
  <c r="P94" i="2"/>
  <c r="P97" i="2"/>
  <c r="P74" i="2"/>
  <c r="P76" i="2"/>
  <c r="O102" i="2"/>
  <c r="O87" i="2" s="1"/>
  <c r="O101" i="2"/>
  <c r="O77" i="2"/>
  <c r="O79" i="2"/>
  <c r="O82" i="2"/>
  <c r="O83" i="2"/>
  <c r="O88" i="2" s="1"/>
  <c r="N80" i="2"/>
  <c r="E31" i="7"/>
  <c r="J30" i="7"/>
  <c r="K30" i="7" s="1"/>
  <c r="G30" i="7"/>
  <c r="F30" i="7"/>
  <c r="E20" i="7"/>
  <c r="M90" i="2"/>
  <c r="M179" i="2"/>
  <c r="M109" i="2"/>
  <c r="M89" i="2"/>
  <c r="N101" i="2"/>
  <c r="N103" i="2" s="1"/>
  <c r="N102" i="2"/>
  <c r="N87" i="2" s="1"/>
  <c r="N88" i="2" s="1"/>
  <c r="H19" i="7"/>
  <c r="H18" i="7"/>
  <c r="R174" i="2" l="1"/>
  <c r="Q175" i="2"/>
  <c r="Q177" i="2"/>
  <c r="Q178" i="2" s="1"/>
  <c r="R94" i="2"/>
  <c r="R97" i="2"/>
  <c r="R74" i="2"/>
  <c r="R76" i="2"/>
  <c r="Q94" i="2"/>
  <c r="Q97" i="2"/>
  <c r="Q74" i="2"/>
  <c r="Q76" i="2"/>
  <c r="P77" i="2"/>
  <c r="P79" i="2"/>
  <c r="P82" i="2"/>
  <c r="P83" i="2"/>
  <c r="O80" i="2"/>
  <c r="E32" i="7"/>
  <c r="O109" i="2"/>
  <c r="O179" i="2"/>
  <c r="O89" i="2"/>
  <c r="O90" i="2"/>
  <c r="E22" i="7"/>
  <c r="F31" i="7"/>
  <c r="J31" i="7"/>
  <c r="K31" i="7" s="1"/>
  <c r="G31" i="7"/>
  <c r="H31" i="7" s="1"/>
  <c r="G20" i="7"/>
  <c r="F20" i="7"/>
  <c r="J20" i="7"/>
  <c r="K20" i="7" s="1"/>
  <c r="M180" i="2"/>
  <c r="D25" i="6"/>
  <c r="N90" i="2"/>
  <c r="N89" i="2"/>
  <c r="E21" i="7"/>
  <c r="N179" i="2"/>
  <c r="N109" i="2"/>
  <c r="P100" i="2"/>
  <c r="O103" i="2"/>
  <c r="H30" i="7"/>
  <c r="R100" i="2" l="1"/>
  <c r="R101" i="2" s="1"/>
  <c r="R175" i="2"/>
  <c r="R177" i="2"/>
  <c r="E55" i="7"/>
  <c r="J55" i="7" s="1"/>
  <c r="K55" i="7" s="1"/>
  <c r="R77" i="2"/>
  <c r="R79" i="2"/>
  <c r="R82" i="2"/>
  <c r="R83" i="2"/>
  <c r="Q77" i="2"/>
  <c r="Q79" i="2"/>
  <c r="Q82" i="2"/>
  <c r="Q83" i="2"/>
  <c r="P80" i="2"/>
  <c r="E33" i="7"/>
  <c r="J32" i="7"/>
  <c r="K32" i="7" s="1"/>
  <c r="F32" i="7"/>
  <c r="G32" i="7"/>
  <c r="H32" i="7" s="1"/>
  <c r="O180" i="2"/>
  <c r="D27" i="6"/>
  <c r="J22" i="7"/>
  <c r="K22" i="7" s="1"/>
  <c r="F22" i="7"/>
  <c r="G22" i="7"/>
  <c r="H22" i="7" s="1"/>
  <c r="F21" i="7"/>
  <c r="J21" i="7"/>
  <c r="K21" i="7" s="1"/>
  <c r="G21" i="7"/>
  <c r="N180" i="2"/>
  <c r="D26" i="6"/>
  <c r="P102" i="2"/>
  <c r="P87" i="2" s="1"/>
  <c r="P88" i="2" s="1"/>
  <c r="P101" i="2"/>
  <c r="P103" i="2" s="1"/>
  <c r="H20" i="7"/>
  <c r="Q100" i="2"/>
  <c r="R102" i="2" s="1"/>
  <c r="R87" i="2" s="1"/>
  <c r="D170" i="2" s="1"/>
  <c r="D171" i="2" s="1"/>
  <c r="R178" i="2" l="1"/>
  <c r="D203" i="2"/>
  <c r="C12" i="9" s="1"/>
  <c r="E35" i="7"/>
  <c r="D116" i="2"/>
  <c r="R80" i="2"/>
  <c r="D221" i="2"/>
  <c r="D219" i="2"/>
  <c r="D220" i="2"/>
  <c r="R88" i="2"/>
  <c r="Q80" i="2"/>
  <c r="E34" i="7"/>
  <c r="G33" i="7"/>
  <c r="J33" i="7"/>
  <c r="K33" i="7" s="1"/>
  <c r="F33" i="7"/>
  <c r="E23" i="7"/>
  <c r="P90" i="2"/>
  <c r="P89" i="2"/>
  <c r="P179" i="2"/>
  <c r="P109" i="2"/>
  <c r="Q102" i="2"/>
  <c r="Q87" i="2" s="1"/>
  <c r="Q88" i="2" s="1"/>
  <c r="Q101" i="2"/>
  <c r="H21" i="7"/>
  <c r="H33" i="7" l="1"/>
  <c r="F35" i="7"/>
  <c r="J35" i="7"/>
  <c r="K35" i="7" s="1"/>
  <c r="G35" i="7"/>
  <c r="D117" i="2"/>
  <c r="D168" i="2"/>
  <c r="E13" i="7" s="1"/>
  <c r="D32" i="6"/>
  <c r="D202" i="2"/>
  <c r="E64" i="7" s="1"/>
  <c r="J64" i="7" s="1"/>
  <c r="K64" i="7" s="1"/>
  <c r="E49" i="7"/>
  <c r="J49" i="7" s="1"/>
  <c r="K49" i="7" s="1"/>
  <c r="R109" i="2"/>
  <c r="D113" i="2"/>
  <c r="R179" i="2"/>
  <c r="D184" i="2"/>
  <c r="R89" i="2"/>
  <c r="R90" i="2"/>
  <c r="E25" i="7"/>
  <c r="F34" i="7"/>
  <c r="G34" i="7"/>
  <c r="H34" i="7" s="1"/>
  <c r="J34" i="7"/>
  <c r="K34" i="7" s="1"/>
  <c r="J23" i="7"/>
  <c r="K23" i="7" s="1"/>
  <c r="F23" i="7"/>
  <c r="G23" i="7"/>
  <c r="H23" i="7" s="1"/>
  <c r="P180" i="2"/>
  <c r="D28" i="6"/>
  <c r="Q90" i="2"/>
  <c r="Q89" i="2"/>
  <c r="Q179" i="2"/>
  <c r="E24" i="7"/>
  <c r="Q109" i="2"/>
  <c r="R103" i="2"/>
  <c r="Q103" i="2"/>
  <c r="E252" i="2"/>
  <c r="G252" i="2"/>
  <c r="E253" i="2"/>
  <c r="G253" i="2"/>
  <c r="D254" i="2"/>
  <c r="D169" i="2"/>
  <c r="E16" i="2" s="1"/>
  <c r="E254" i="2"/>
  <c r="F254" i="2"/>
  <c r="G254" i="2"/>
  <c r="H254" i="2"/>
  <c r="D255" i="2"/>
  <c r="E255" i="2"/>
  <c r="F255" i="2"/>
  <c r="G255" i="2"/>
  <c r="H255" i="2"/>
  <c r="D256" i="2"/>
  <c r="E256" i="2"/>
  <c r="F256" i="2"/>
  <c r="G256" i="2"/>
  <c r="H256" i="2"/>
  <c r="D252" i="2"/>
  <c r="F252" i="2"/>
  <c r="H252" i="2"/>
  <c r="D253" i="2"/>
  <c r="F253" i="2"/>
  <c r="H253" i="2"/>
  <c r="H35" i="7" l="1"/>
  <c r="E50" i="7"/>
  <c r="J50" i="7" s="1"/>
  <c r="K50" i="7" s="1"/>
  <c r="F13" i="7"/>
  <c r="G13" i="7"/>
  <c r="H13" i="7" s="1"/>
  <c r="J13" i="7"/>
  <c r="K13" i="7" s="1"/>
  <c r="D114" i="2"/>
  <c r="D167" i="2"/>
  <c r="E12" i="7" s="1"/>
  <c r="E47" i="7"/>
  <c r="J47" i="7" s="1"/>
  <c r="K47" i="7" s="1"/>
  <c r="H240" i="2"/>
  <c r="H237" i="2"/>
  <c r="F232" i="2"/>
  <c r="D231" i="2"/>
  <c r="E232" i="2"/>
  <c r="H230" i="2"/>
  <c r="G262" i="2"/>
  <c r="F240" i="2"/>
  <c r="E247" i="2"/>
  <c r="H244" i="2"/>
  <c r="D240" i="2"/>
  <c r="E231" i="2"/>
  <c r="H228" i="2"/>
  <c r="H232" i="2"/>
  <c r="G232" i="2"/>
  <c r="D232" i="2"/>
  <c r="F228" i="2"/>
  <c r="E230" i="2"/>
  <c r="D230" i="2"/>
  <c r="E228" i="2"/>
  <c r="D239" i="2"/>
  <c r="G238" i="2"/>
  <c r="E236" i="2"/>
  <c r="F238" i="2"/>
  <c r="G231" i="2"/>
  <c r="G228" i="2"/>
  <c r="E239" i="2"/>
  <c r="F230" i="2"/>
  <c r="G264" i="2"/>
  <c r="H263" i="2"/>
  <c r="E263" i="2"/>
  <c r="E264" i="2"/>
  <c r="D264" i="2"/>
  <c r="F264" i="2"/>
  <c r="G244" i="2"/>
  <c r="D228" i="2"/>
  <c r="G247" i="2"/>
  <c r="D244" i="2"/>
  <c r="H231" i="2"/>
  <c r="F263" i="2"/>
  <c r="D236" i="2"/>
  <c r="D247" i="2"/>
  <c r="F244" i="2"/>
  <c r="G230" i="2"/>
  <c r="H264" i="2"/>
  <c r="F236" i="2"/>
  <c r="F247" i="2"/>
  <c r="G236" i="2"/>
  <c r="E244" i="2"/>
  <c r="D262" i="2"/>
  <c r="G239" i="2"/>
  <c r="F231" i="2"/>
  <c r="G263" i="2"/>
  <c r="D245" i="2"/>
  <c r="E246" i="2"/>
  <c r="F237" i="2"/>
  <c r="D248" i="2"/>
  <c r="G248" i="2"/>
  <c r="H239" i="2"/>
  <c r="H247" i="2"/>
  <c r="E248" i="2"/>
  <c r="F248" i="2"/>
  <c r="H236" i="2"/>
  <c r="G245" i="2"/>
  <c r="H246" i="2"/>
  <c r="E237" i="2"/>
  <c r="G237" i="2"/>
  <c r="E238" i="2"/>
  <c r="H238" i="2"/>
  <c r="F239" i="2"/>
  <c r="E240" i="2"/>
  <c r="G240" i="2"/>
  <c r="E245" i="2"/>
  <c r="F246" i="2"/>
  <c r="D238" i="2"/>
  <c r="D260" i="2"/>
  <c r="E260" i="2"/>
  <c r="F260" i="2"/>
  <c r="G260" i="2"/>
  <c r="H260" i="2"/>
  <c r="E261" i="2"/>
  <c r="H245" i="2"/>
  <c r="F229" i="2"/>
  <c r="F245" i="2"/>
  <c r="G246" i="2"/>
  <c r="H248" i="2"/>
  <c r="D261" i="2"/>
  <c r="F261" i="2"/>
  <c r="H262" i="2"/>
  <c r="E229" i="2"/>
  <c r="H229" i="2"/>
  <c r="D237" i="2"/>
  <c r="D246" i="2"/>
  <c r="D263" i="2"/>
  <c r="G261" i="2"/>
  <c r="H261" i="2"/>
  <c r="F262" i="2"/>
  <c r="E262" i="2"/>
  <c r="G229" i="2"/>
  <c r="D229" i="2"/>
  <c r="R180" i="2"/>
  <c r="E54" i="7"/>
  <c r="J54" i="7" s="1"/>
  <c r="K54" i="7" s="1"/>
  <c r="D30" i="6"/>
  <c r="D185" i="2"/>
  <c r="D200" i="2"/>
  <c r="F25" i="7"/>
  <c r="J25" i="7"/>
  <c r="K25" i="7" s="1"/>
  <c r="G25" i="7"/>
  <c r="H25" i="7" s="1"/>
  <c r="Q180" i="2"/>
  <c r="D29" i="6"/>
  <c r="F24" i="7"/>
  <c r="G24" i="7"/>
  <c r="H24" i="7" s="1"/>
  <c r="J24" i="7"/>
  <c r="K24" i="7" s="1"/>
  <c r="D112" i="2"/>
  <c r="E48" i="7" l="1"/>
  <c r="J48" i="7" s="1"/>
  <c r="K48" i="7" s="1"/>
  <c r="J12" i="7"/>
  <c r="K12" i="7" s="1"/>
  <c r="G12" i="7"/>
  <c r="F12" i="7"/>
  <c r="D186" i="2"/>
  <c r="D201" i="2"/>
  <c r="C10" i="9" s="1"/>
  <c r="E57" i="7"/>
  <c r="J57" i="7" s="1"/>
  <c r="K57" i="7" s="1"/>
  <c r="D31" i="6"/>
  <c r="D33" i="6" s="1"/>
  <c r="D45" i="6" s="1"/>
  <c r="D51" i="6" s="1"/>
  <c r="C222" i="2"/>
  <c r="D222" i="2" s="1"/>
  <c r="C14" i="9"/>
  <c r="D16" i="2"/>
  <c r="E63" i="7"/>
  <c r="J63" i="7" s="1"/>
  <c r="K63" i="7" s="1"/>
  <c r="E46" i="7"/>
  <c r="J46" i="7" s="1"/>
  <c r="K46" i="7" s="1"/>
  <c r="D14" i="3"/>
  <c r="D118" i="2"/>
  <c r="D115" i="2"/>
  <c r="D119" i="2" s="1"/>
  <c r="E15" i="7" s="1"/>
  <c r="D183" i="2"/>
  <c r="D34" i="6"/>
  <c r="D46" i="6" s="1"/>
  <c r="D52" i="6" s="1"/>
  <c r="J15" i="7" l="1"/>
  <c r="K15" i="7" s="1"/>
  <c r="G15" i="7"/>
  <c r="F15" i="7"/>
  <c r="D15" i="3"/>
  <c r="D16" i="3" s="1"/>
  <c r="E14" i="7" s="1"/>
  <c r="D120" i="2"/>
  <c r="D157" i="2"/>
  <c r="D158" i="2" s="1"/>
  <c r="D159" i="2" s="1"/>
  <c r="E8" i="7"/>
  <c r="D150" i="2"/>
  <c r="D151" i="2" s="1"/>
  <c r="D152" i="2" s="1"/>
  <c r="E7" i="7"/>
  <c r="D7" i="3"/>
  <c r="E56" i="7"/>
  <c r="J56" i="7" s="1"/>
  <c r="K56" i="7" s="1"/>
  <c r="E222" i="2"/>
  <c r="E221" i="2"/>
  <c r="E220" i="2"/>
  <c r="E219" i="2"/>
  <c r="D188" i="2"/>
  <c r="D187" i="2"/>
  <c r="D56" i="6"/>
  <c r="D60" i="6"/>
  <c r="H12" i="7"/>
  <c r="J14" i="7" l="1"/>
  <c r="K14" i="7" s="1"/>
  <c r="F14" i="7"/>
  <c r="G14" i="7"/>
  <c r="D160" i="2"/>
  <c r="D162" i="2"/>
  <c r="D209" i="2" s="1"/>
  <c r="E10" i="7"/>
  <c r="D208" i="2"/>
  <c r="E18" i="2"/>
  <c r="F8" i="7"/>
  <c r="J8" i="7"/>
  <c r="K8" i="7" s="1"/>
  <c r="G8" i="7"/>
  <c r="H8" i="7" s="1"/>
  <c r="D153" i="2"/>
  <c r="D154" i="2"/>
  <c r="D206" i="2"/>
  <c r="D18" i="2"/>
  <c r="E9" i="7"/>
  <c r="F7" i="7"/>
  <c r="J7" i="7"/>
  <c r="K7" i="7" s="1"/>
  <c r="G7" i="7"/>
  <c r="D8" i="3"/>
  <c r="D9" i="3" s="1"/>
  <c r="E66" i="7" s="1"/>
  <c r="J66" i="7" s="1"/>
  <c r="K66" i="7" s="1"/>
  <c r="E17" i="2"/>
  <c r="E65" i="7"/>
  <c r="J65" i="7" s="1"/>
  <c r="K65" i="7" s="1"/>
  <c r="D17" i="2"/>
  <c r="D190" i="2"/>
  <c r="E15" i="2" s="1"/>
  <c r="D193" i="2"/>
  <c r="D194" i="2" s="1"/>
  <c r="E14" i="2"/>
  <c r="E59" i="7"/>
  <c r="J59" i="7" s="1"/>
  <c r="K59" i="7" s="1"/>
  <c r="D189" i="2"/>
  <c r="D191" i="2"/>
  <c r="D192" i="2" s="1"/>
  <c r="E58" i="7"/>
  <c r="J58" i="7" s="1"/>
  <c r="K58" i="7" s="1"/>
  <c r="D14" i="2"/>
  <c r="H15" i="7"/>
  <c r="J10" i="7" l="1"/>
  <c r="K10" i="7" s="1"/>
  <c r="G10" i="7"/>
  <c r="F10" i="7"/>
  <c r="D155" i="2"/>
  <c r="E11" i="7"/>
  <c r="J9" i="7"/>
  <c r="K9" i="7" s="1"/>
  <c r="F9" i="7"/>
  <c r="G9" i="7"/>
  <c r="H9" i="7" s="1"/>
  <c r="D61" i="6"/>
  <c r="D196" i="2"/>
  <c r="E11" i="2" s="1"/>
  <c r="D214" i="2"/>
  <c r="D210" i="2"/>
  <c r="D8" i="2"/>
  <c r="E62" i="7"/>
  <c r="J62" i="7" s="1"/>
  <c r="K62" i="7" s="1"/>
  <c r="D59" i="6"/>
  <c r="D15" i="2"/>
  <c r="C9" i="9"/>
  <c r="D57" i="6"/>
  <c r="D58" i="6"/>
  <c r="F221" i="2"/>
  <c r="D195" i="2"/>
  <c r="D11" i="2" s="1"/>
  <c r="D198" i="2"/>
  <c r="D213" i="2"/>
  <c r="D207" i="2"/>
  <c r="D215" i="2"/>
  <c r="C11" i="9"/>
  <c r="C16" i="9"/>
  <c r="E61" i="7"/>
  <c r="J61" i="7" s="1"/>
  <c r="K61" i="7" s="1"/>
  <c r="D7" i="2"/>
  <c r="D55" i="6"/>
  <c r="H14" i="7"/>
  <c r="H7" i="7"/>
  <c r="F222" i="2"/>
  <c r="F220" i="2"/>
  <c r="F219" i="2"/>
  <c r="C13" i="9"/>
  <c r="C15" i="9" l="1"/>
  <c r="H10" i="7"/>
  <c r="G11" i="7"/>
  <c r="H11" i="7" s="1"/>
  <c r="D69" i="7" s="1"/>
  <c r="C7" i="9" s="1"/>
  <c r="J11" i="7"/>
  <c r="K11" i="7" s="1"/>
  <c r="F11" i="7"/>
  <c r="D199" i="2"/>
  <c r="D9" i="2"/>
  <c r="D71" i="7"/>
  <c r="C8" i="9" s="1"/>
</calcChain>
</file>

<file path=xl/sharedStrings.xml><?xml version="1.0" encoding="utf-8"?>
<sst xmlns="http://schemas.openxmlformats.org/spreadsheetml/2006/main" count="942" uniqueCount="684">
  <si>
    <t>Grupo Bimbo, S.A.B. de C.V. (BMV: BIMBO A) - DCF valuation workbook</t>
  </si>
  <si>
    <t>Valuation date 2026-10-16; MXN millions; IFRS. Generated 2026-10-17 by valuation/build/build_spg_workbooks.py from the canonical model inputs.</t>
  </si>
  <si>
    <t>Sheets</t>
  </si>
  <si>
    <t>DCF - assumptions, drivers, projected free cash flow, working capital, discounting, terminal value, equity bridge, cross-checks, published basis (lease growth, peer-EV exit claims, value walk, lower-return cases) and sensitivity tables (layout after S&amp;P 'DCF Analysis').</t>
  </si>
  <si>
    <t>Published basis = engine mechanics plus two technical corrections: (1) FCFF also deducts the growth in the lease liability, held at the FY2025 share of revenue; (2) the exit method subtracts only the claims inside the peer EV definition (net debt, NCI at market). Engine-basis values are kept for reconciliation.</t>
  </si>
  <si>
    <t>Reverse_DCF - terminal growth and revenue-growth shift implied by the market price.</t>
  </si>
  <si>
    <t>Levers - static grids of the story levers (capex, gross margin, growth) on the published basis.</t>
  </si>
  <si>
    <t>Scenarios - one change at a time against the base: cost-of-capital routes and country-risk weights, Bimbo's own regression beta, North America currency consistency (PPP), terminal capex vs the peer benchmark, exit multiples at the v3 peer medians.</t>
  </si>
  <si>
    <t>v3 (2026-10-17): the base cost of capital is route B - MXN default-free rate (M-Bono 10y minus Mexico's default spread) plus an equity country risk premium weighted by where Bimbo operates (countries -&gt; regions -&gt; FY2025 Adj. EBITDA weights); full build in BIMBOA_WACC_v3.xlsx. A proposal until the team confirms it.</t>
  </si>
  <si>
    <t>Dated_Check - independent valuation anchored at the 30-Jun-2026 balance sheet, rolled to the valuation date.</t>
  </si>
  <si>
    <t>Engine_Recon - line-by-line agreement with the project's model engine (model/model-summary.json).</t>
  </si>
  <si>
    <t>Inputs_Sources - every input with value, tag, source and date.  Checks - integrity checks.</t>
  </si>
  <si>
    <t>Conventions</t>
  </si>
  <si>
    <t>Cash flows discounted to 31-Dec-2025 (mid-year); Gordon TV discounted N - offset, exit TV discounted N; net debt incl. IFRS 16 leases at 31-Dec-2025; value per share rolled forward to today at the cost of equity; 12-month value deducts the next unpaid dividend (the FY2026 dividend was paid on 13-May-2026).</t>
  </si>
  <si>
    <t>The terminal value, WACC inputs, story drivers, target price and rating are TEAM decisions; values here are tagged proposals until the team confirms them (AGENTS.md).</t>
  </si>
  <si>
    <t>Publication gate: report, deck and pitch read valuation/valuation-outputs.yaml, not this workbook or the engine summary directly.</t>
  </si>
  <si>
    <t>[sourced] from a filing or public source; [guidance] management statement; [assumption] team or assistant judgment (proposal until the team confirms); [calc] computed; [unverified] not yet tied to a source.</t>
  </si>
  <si>
    <t>Discounted Cash Flow Analysis</t>
  </si>
  <si>
    <t>Grupo Bimbo, S.A.B. de C.V. (BMV:BIMBO A) | valuation date 2026-10-16 | MXN millions, IFRS | layout after S&amp;P Capital IQ Pro 'DCF Analysis'</t>
  </si>
  <si>
    <t>Blue on yellow = input (change here); black = formula; green = link to another sheet. Every input carries a tag and source in 'Inputs_Sources'. [sourced] from a filing or public source; [guidance] management statement; [assumption] team or assistant judgment (proposal until the team confirms); [calc] computed; [unverified] not yet tied to a source.</t>
  </si>
  <si>
    <t>KEY OUTPUTS - PUBLISHED BASIS (leases grow with the business; exit on peer-EV claims). Engine basis kept for reconciliation ('Engine_Recon')</t>
  </si>
  <si>
    <t>PUBLISHED value per share today - Gordon (MXN)</t>
  </si>
  <si>
    <t>PUBLISHED value per share today - exit multiple, peer-EV-consistent claims (MXN)</t>
  </si>
  <si>
    <t>PUBLISHED 12-month value - Gordon = value x (1 + ke) - next unpaid dividend (MXN)</t>
  </si>
  <si>
    <t>Current share price (MXN)</t>
  </si>
  <si>
    <t>Premium / (discount) today - Gordon / exit</t>
  </si>
  <si>
    <t>WACC / cost of equity</t>
  </si>
  <si>
    <t>Terminal growth / exit multiple</t>
  </si>
  <si>
    <t>Enterprise value - Gordon / exit, published (MXN m)</t>
  </si>
  <si>
    <t>Terminal value share of EV - Gordon / exit, published</t>
  </si>
  <si>
    <t>Return on new capital implied by the terminal value - published / engine basis</t>
  </si>
  <si>
    <t>Gordon at RONIC = WACC / at RONIC 12.5% (lower-return cases, MXN)</t>
  </si>
  <si>
    <t>Engine basis, reconciliation only - Gordon / exit (MXN)</t>
  </si>
  <si>
    <t>Team target price</t>
  </si>
  <si>
    <t>null - team decision (CFA rules: the team sets the target and rating)</t>
  </si>
  <si>
    <t>ASSUMPTIONS - COST OF CAPITAL (from valuation/valuation.yaml; full build in BIMBOA_WACC_v3.xlsx)</t>
  </si>
  <si>
    <t>Risk-free rate</t>
  </si>
  <si>
    <t>[calc] Route B (base, proposal): MXN default-free rate 7.5101% = M-Bono 10y 9.26% [sourced] S&amp;P Capital IQ 16-Oct-2026 (data/capitaliq/capiq-ai-model-gaps-2_2026-10-17.md) - Mexico default spread 1.7499% [sourced] Damodaran July 2026 (Baa3). Route A keeps the M-Bono 9.26% with no country premium</t>
  </si>
  <si>
    <t>Equity risk premium (mature market)</t>
  </si>
  <si>
    <t>[sourced] Damodaran implied ERP 4.20%, 1-Oct-2026 (wacc_inputs G1)</t>
  </si>
  <si>
    <t>Country risk premium</t>
  </si>
  <si>
    <t>[calc] Route B (base, proposal): equity CRP weighted by where Bimbo operates = 2.0496% on FY2025 Adj. EBITDA weights (sales 1.7048%; FY2023-25 EBITDA 1.9900%; FY2023-25 sales 1.6517%; EBITDA weights without Argentina 2.0151%). Country CRPs: Damodaran July 2026 update (Mexico Baa3 2.72%); within regions countries weighted by FY2025 plant counts [assumption: no country sales disclosure]; eliminations attributed to Mexico [assumption]; applied additively (project guide's USD-route formula). Build in BIMBOA_WACC_v3.xlsx</t>
  </si>
  <si>
    <t>Unlevered beta</t>
  </si>
  <si>
    <t>[sourced] Damodaran Food Processing, Global, unlevered 0.53, Jan-2026 dataset: betaGlobal.xls 'Industry Averages' B1 'Date updated' = 5-Jan-2026; the HTML page header reads 'Data used is as of January 2026' and its footer 'Last Updated in January 2025' is stale (the file's own history gives 0.536 for the 2025 dataset vs 0.560 now, cash-corrected) (wacc_inputs G6) - proposal; peer 5Y betas too low to use alone</t>
  </si>
  <si>
    <t>Target debt / equity (market values, debt incl. leases)</t>
  </si>
  <si>
    <t>[calc] Bimbo current market D/E incl. leases 0.743 = (153,660 + 33,361) / 251,684 (wacc_inputs D2) - proposal</t>
  </si>
  <si>
    <t>Pre-tax cost of debt (MXN)</t>
  </si>
  <si>
    <t>[calc] M-Bono 10y 9.26% + 0.45pp BIMBO 26 issue spread = 9.71% (wacc_inputs J2-B) - proposal</t>
  </si>
  <si>
    <t>Marginal tax rate (WACC)</t>
  </si>
  <si>
    <t>[sourced] Mexico statutory 30% (wacc_inputs D7)</t>
  </si>
  <si>
    <t>Relevered beta = unlevered x (1 + (1 - tax) x D/E)</t>
  </si>
  <si>
    <t>Cost of equity = rf + beta x ERP + CRP</t>
  </si>
  <si>
    <t>After-tax cost of debt</t>
  </si>
  <si>
    <t>Equity weight = 1 / (1 + D/E)</t>
  </si>
  <si>
    <t>Debt weight = D/E / (1 + D/E)</t>
  </si>
  <si>
    <t>WACC</t>
  </si>
  <si>
    <t>Same formula as the engine's WACC sheet; the reconciliation is in 'Engine_Recon'.</t>
  </si>
  <si>
    <t>ASSUMPTIONS - DISCOUNTING, TERMINAL VALUE AND SCENARIO SHIFTS</t>
  </si>
  <si>
    <t>Mid-year convention offset (0.5 = mid-year, 0 = end of year)</t>
  </si>
  <si>
    <t>Engine convention: cash flow t is discounted t - offset years from 31-Dec-2025.</t>
  </si>
  <si>
    <t>Years since last fiscal year-end (31-Dec-2025 to the valuation date)</t>
  </si>
  <si>
    <t>Roll-forward of equity value to today at the cost of equity (engine approximation).</t>
  </si>
  <si>
    <t>Terminal growth (g), nominal MXN</t>
  </si>
  <si>
    <t>[assumption] 4.25%: long-run mix of ~36% North America at ~3% in MXN and ~64% Mexico/LatAm/EAA at ~5% (team decision)</t>
  </si>
  <si>
    <t>Exit EV / EBITDA multiple (trailing, applied to final-year EBITDA)</t>
  </si>
  <si>
    <t>[assumption] 6.0x: judgment above the core bakery LTM median 5.53x (Flowers 5.61x, Gruma 5.44x; IFRS 16 basis) for the Mexico mix; all eligible peers 8.27x (NTM 8.79x); Bimbo today 6.94x at NCI book (BIMBOA_PeerAnalysis_v3.xlsx) - team decision</t>
  </si>
  <si>
    <t>Long-term nominal GDP growth, MXN (cap for g)</t>
  </si>
  <si>
    <t>[assumption] 5.0% = ~2% real + 3% Banxico target. Real growth [sourced]: IMF WEO Oct-2026, Mexico 2.1% a year in 2029-31 (DataMapper NGDP_RPCH, last modified 2026-10-08); Banxico private-sector survey Sep-2026 (published 1-Oct-2026, Cuadro 6 p.8), average 2027-36 mean 1.88% / median 1.80%. Compounded with 3.0% inflation (target; IMF CPI 2029-31 3.0%) the range is 4.85-5.16%; 5.0% is its round midpoint. The 3.0% is the target and the IMF projection, not the survey: the survey's own long-run inflation medians are 3.80% (2027-30) and 3.70% (2031-34) (Cuadro 5 p.6), which would give ~5.6% nominal</t>
  </si>
  <si>
    <t>Scenario: revenue growth shift added to every forecast year (0 = base case)</t>
  </si>
  <si>
    <t>Used by the reverse DCF (Goal Seek this cell). Keep 0 for the base case.</t>
  </si>
  <si>
    <t>Scenario: gross margin shift, all forecast years (e.g. -0.01 = -100 bp wheat shock)</t>
  </si>
  <si>
    <t>Climate / input-cost scenario lever. Keep 0 for the base case.</t>
  </si>
  <si>
    <t>Scenario: capex / revenue shift, all forecast years (e.g. +0.005 = +50 bp)</t>
  </si>
  <si>
    <t>Reinvestment lever (debt / FCF pillar). Keep 0 for the base case.</t>
  </si>
  <si>
    <t>FORECAST DRIVERS (model/drivers.yaml; history = implied values)</t>
  </si>
  <si>
    <t>FY2021A</t>
  </si>
  <si>
    <t>FY2022A</t>
  </si>
  <si>
    <t>FY2023A</t>
  </si>
  <si>
    <t>FY2024A</t>
  </si>
  <si>
    <t>FY2025A</t>
  </si>
  <si>
    <t>FY2026E</t>
  </si>
  <si>
    <t>FY2027E</t>
  </si>
  <si>
    <t>FY2028E</t>
  </si>
  <si>
    <t>FY2029E</t>
  </si>
  <si>
    <t>FY2030E</t>
  </si>
  <si>
    <t>FY2031E</t>
  </si>
  <si>
    <t>FY2032E</t>
  </si>
  <si>
    <t>FY2033E</t>
  </si>
  <si>
    <t>FY2034E</t>
  </si>
  <si>
    <t>FY2035E</t>
  </si>
  <si>
    <t>Tag / source / note</t>
  </si>
  <si>
    <t>North America revenue growth</t>
  </si>
  <si>
    <t>[assumption] STORY DRIVER (proposal). FY26 = 1H26 actual (84,901, -11.3% in MXN; ex-FX +0.7%/+1.3% in 1Q/2Q26) plus 2H26 at -3.5% (ex-FX +1.5%, peso about -5% vs 2H25) [calc] wiki quarterly trend. FY27+: USD growth ~+1.5% (category volume -2% to -4%, price/mix +1-2%, share gains claimed by management) plus ~1.5%/yr MXN depreciation (inflation differential) [assumption]. Alternatives in valuation/BIMBOA_DCF_v3.xlsx 'Scenarios': PPP at the 3%/2% inflation targets (0.98%/yr; Gordon -2.18 per share) or at Banxico survey inflation (1.67%/yr; +0.75); Sep-2026 CPI was 3.45% in Mexico vs 3.74% in the US [sourced] macro/macro-view.yaml.</t>
  </si>
  <si>
    <t>Mexico revenue growth</t>
  </si>
  <si>
    <t>[assumption] STORY DRIVER (proposal). FY26 = 1H26 +4.6% and 2H26 +4.7% (1Q26 +4.5%, 2Q26 +4.7%) [calc]. FY27+: packaged bakery market ~3.5% value CAGR 2024-29E (RA25 p.111) plus price/mix with ~3.5-3.8% inflation; fades to 5.0% (long-run nominal) [assumption].</t>
  </si>
  <si>
    <t>Europe, Asia &amp; Africa revenue growth</t>
  </si>
  <si>
    <t>[assumption] Proposal. FY26 = 1H26 +1.3% in MXN (ex-FX +12.6%/+8.4% incl. 2025 bolt-ons) with flat 2H26 after FX [calc]. FY27+: organic ~4.5% (European market 3.4%, Eastern Europe 6.6% CAGR per RA25 p.108), no new M&amp;A [assumption].</t>
  </si>
  <si>
    <t>Latin America revenue growth</t>
  </si>
  <si>
    <t>[assumption] Proposal. FY26 = 1H26 +7.1% plus 2H26 ~+10% (Wickbold consolidated from Oct-2025) [calc]. FY27+: LatAm bakery 5.5% CAGR (RA25 p.108) plus Wickbold synergies, fading to 5.5% [assumption].</t>
  </si>
  <si>
    <t>Inter-regional eliminations revenue growth</t>
  </si>
  <si>
    <t>[assumption] Mechanical: inter-regional eliminations grow with regional sales (1H26 eliminations -8,545 vs -8,202 in 1H25, +4.2%) [calc].</t>
  </si>
  <si>
    <t>Gross margin</t>
  </si>
  <si>
    <t>[assumption] pillar 1: STORY DRIVER (proposal; climate pillar). History 53.4/51.5/51.4/52.6/52.3% (FY21-25, model mapping). 1H26 ~52.6% on the model basis (CIQ 52.9% less the 0.33pp mapping gap) [calc]. CBOT wheat 2026 YTD average +17% vs 2025 and gross margin follows wheat with ~1-year lag (r = -0.74, n = 9; wiki bimbo-climate-metrics-capiq-2026-10) -&gt; FY27 dip of 40bp, recovery to 52.5% [assumption].</t>
  </si>
  <si>
    <t>Operating expenses / revenue</t>
  </si>
  <si>
    <t>[assumption] pillar 2: STORY DRIVER (proposal; new-CEO pillar). Set so model EBITDA margin = 14.7% FY26 (FY25 13.8% + ~90bp, mid of the +70-120bp guidance raised on 2026-07-23 [guidance] 2Q26 call), 14.5% FY27 (wheat lag), then +20bp/yr productivity to 15.3% by FY30. Includes restructuring at a run-rate (FY24 6,293; FY25 3,908). History 43.8/38.0/42.5/44.5/44.4%.</t>
  </si>
  <si>
    <t>D&amp;A / revenue</t>
  </si>
  <si>
    <t>[assumption] pillar -: Mechanical: FY24-FY25 5.65-5.82% incl. right-of-use depreciation (6,142 in FY25); held near 5.85-5.9% as capex normalises [calc] data/financials.csv.</t>
  </si>
  <si>
    <t>Capex / revenue</t>
  </si>
  <si>
    <t>[assumption] pillar 3: STORY DRIVER (proposal; debt/FCF pillar). FY26 = guidance US$1.0-1.2bn (cut on 2026-07-23 [guidance]) at ~Ps 17.6/US$ = ~Ps 19.4bn = 4.6% of revenue; FY27-28 ~5.0-5.2% (consensus capex US$1.21-1.24bn [sourced] CIQ 2026-10-17). Rises to 6.0% by FY35 [assumption] (history 6.3/7.4/8.9/7.4/5.4%, FY21-25 average 7.0%). On the published basis (lease book grows with revenue) total terminal net reinvestment is 29% of NOPAT and the return on new capital implied by the terminal value is 14.6% (engine basis 17.9%); each 50 bp of capex = Ps 9.44 per share (valuation/BIMBOA_DCF_v3.xlsx, Levers). Benchmarks [calc] valuation/BIMBOA_PeerAnalysis_v3.xlsx: peers' consensus capex / revenue 3.66/3.82/3.79% (FY1-FY3), Bimbo consensus 5.16/5.02/4.90% (FY2026-28); the company's impairment tests assume 3.3-4.3% (RA25 p.265, continuity capex). The terminal level is the team's decision (valuation/valuation.md section 11).</t>
  </si>
  <si>
    <t>Lease principal repaid / revenue (engine: = new leases)</t>
  </si>
  <si>
    <t>[assumption] pillar -: Mechanical: FY25 lease principal 5,923 / revenue 426,952 = 1.39% (FY23-25: 1.20/1.30/1.39%) [calc]. Principal is derived (payments 8,060 less lease interest 2,137) and tagged calc in data/financials.csv: the filings do not split the cash interest inside lease payments (data/adjustments.md #6). The engine also uses it as new leases, which keeps the lease liability flat; the published basis in valuation/BIMBOA_DCF_v3.xlsx adds the growth in the lease liability (held at the FY2025 8.15% of revenue).</t>
  </si>
  <si>
    <t>Receivable days (DSO, on revenue)</t>
  </si>
  <si>
    <t>[assumption] pillar -: Mechanical: FY25 20.3 days (FY21-25 range 19.4-21.1) on trade receivables only [calc].</t>
  </si>
  <si>
    <t>Inventory days (DIO, on cost of sales)</t>
  </si>
  <si>
    <t>[assumption] pillar -: Mechanical: FY25 30.8 days on cost of sales (FY21-25 range 30.3-35.5) [calc].</t>
  </si>
  <si>
    <t>Payable days (DPO, on cost of sales)</t>
  </si>
  <si>
    <t>[assumption] pillar -: Mechanical: FY25 70.1 days on cost of sales; held flat, not rebuilt to the 75-83 days of FY21-24 (rising payables would flatter cash flow) [calc].</t>
  </si>
  <si>
    <t>Other current assets / revenue</t>
  </si>
  <si>
    <t>[assumption] pillar -: Mechanical, operating part only grows: FY25 other current assets 15,201 = operating 13,796 (other receivables 11,998 + prepayments 1,798; 3.23% of revenue) + non-operating 1,405 (derivatives 60, collateral 459, held-for-sale 886) held flat in pesos so they create no FCFF [calc] data/adjustments.md working-capital table (Codex audit 2026-10-17, finding 1).</t>
  </si>
  <si>
    <t>Other current liabilities / revenue</t>
  </si>
  <si>
    <t>[assumption] pillar -: Mechanical, operating part only grows: FY25 other current liabilities 31,788 = operating 21,889 (related-party payables 1,154 + PTU 1,592 + operating accruals 19,143; 5.13% of revenue) + non-operating 9,899 (income and other taxes, tax contributions, accrued interest, derivatives) held flat in pesos [calc] data/adjustments.md #9 and working-capital table (Codex audit finding 1).</t>
  </si>
  <si>
    <t>Effective tax rate (on EBIT in the DCF)</t>
  </si>
  <si>
    <t>[assumption] pillar -: Effective (not marginal) rate: FY23-25 33.1/32.6/35.7%, 1H26 ~37% [calc]; statutory 30% plus non-deductibles and loss-making units. The WACC uses the 30% marginal rate separately.</t>
  </si>
  <si>
    <t>PROJECTED CASH FLOWS (MXN millions)</t>
  </si>
  <si>
    <t xml:space="preserve">  North America</t>
  </si>
  <si>
    <t>[sourced] segment revenue, data/financials.csv (history)</t>
  </si>
  <si>
    <t xml:space="preserve">  Mexico</t>
  </si>
  <si>
    <t xml:space="preserve">  Europe, Asia &amp; Africa</t>
  </si>
  <si>
    <t xml:space="preserve">  Latin America</t>
  </si>
  <si>
    <t xml:space="preserve">  Inter-regional eliminations</t>
  </si>
  <si>
    <t>Total revenue</t>
  </si>
  <si>
    <t>[sourced] history data/financials.csv; forecast = sum of segments (or growth driver)</t>
  </si>
  <si>
    <t xml:space="preserve">  Annual growth</t>
  </si>
  <si>
    <t>Cost of sales</t>
  </si>
  <si>
    <t>Forecast = revenue x (1 - (gross margin + scenario shift))</t>
  </si>
  <si>
    <t>Gross profit</t>
  </si>
  <si>
    <t xml:space="preserve">  Gross margin</t>
  </si>
  <si>
    <t>Operating expenses (net, incl. PTU)</t>
  </si>
  <si>
    <t>EBIT</t>
  </si>
  <si>
    <t xml:space="preserve">  EBIT margin</t>
  </si>
  <si>
    <t>D&amp;A (incl. right-of-use depreciation)</t>
  </si>
  <si>
    <t>EBITDA (post-IFRS 16) = EBIT + D&amp;A</t>
  </si>
  <si>
    <t>Engine definition. Company Adjusted EBITDA adds back one-offs (bridge in data/adjustments.md).</t>
  </si>
  <si>
    <t xml:space="preserve">  EBITDA margin</t>
  </si>
  <si>
    <t xml:space="preserve">  Tax rate on EBIT</t>
  </si>
  <si>
    <t>History: effective rate = income tax / pre-tax income (display only); forecast: tax driver</t>
  </si>
  <si>
    <t>Less: taxes on EBIT</t>
  </si>
  <si>
    <t>NOPAT (unlevered net income)</t>
  </si>
  <si>
    <t>Plus: D&amp;A</t>
  </si>
  <si>
    <t>Less: capital expenditures (PP&amp;E + intangibles)</t>
  </si>
  <si>
    <t>Less: new leases (IFRS 16; engine proxy = lease principal repaid)</t>
  </si>
  <si>
    <t>Engine proxy (keeps the lease liability flat). The published basis below also deducts the growth in the lease liability.</t>
  </si>
  <si>
    <t>Plus / (less): change in operating working capital</t>
  </si>
  <si>
    <t>From the working-capital schedule below</t>
  </si>
  <si>
    <t>Unlevered free cash flow (FCFF)</t>
  </si>
  <si>
    <t>Engine: FCFF = NOPAT + D&amp;A - capex - new leases + change in NWC. History: display only.</t>
  </si>
  <si>
    <t xml:space="preserve">  FCFF margin</t>
  </si>
  <si>
    <t>WORKING CAPITAL SCHEDULE (engine chart; non-operating balances shown separately and held flat in the forecast, so only operating items move FCFF)</t>
  </si>
  <si>
    <t>Trade receivables</t>
  </si>
  <si>
    <t>Inventories</t>
  </si>
  <si>
    <t>Other current assets (total)</t>
  </si>
  <si>
    <t xml:space="preserve">  of which non-operating: derivatives, collateral deposits, held for sale (flat)</t>
  </si>
  <si>
    <t>[calc] history = total less other receivables and prepayments (data/adjustments.md operating working-capital table); forecast held at FY2025</t>
  </si>
  <si>
    <t>Trade payables</t>
  </si>
  <si>
    <t>Other current liabilities, non-debt (total)</t>
  </si>
  <si>
    <t xml:space="preserve">  of which non-operating: income and other taxes, accrued interest, derivatives (flat)</t>
  </si>
  <si>
    <t>[calc] history = total less related-party payables, PTU and operating accruals (note 14); forecast held at FY2025</t>
  </si>
  <si>
    <t>Net working capital - engine basis (incl. non-operating balances)</t>
  </si>
  <si>
    <t>Operating working capital = engine basis - non-operating assets + non-operating liabilities</t>
  </si>
  <si>
    <t>Ties to data/adjustments.md: -14,860 / -15,353 / -8,599 / -6,279 / -6,232 (Dec-21 to Dec-25); see 'Checks'</t>
  </si>
  <si>
    <t>(Increase) / decrease in working capital (cash-flow sign; used in FCFF)</t>
  </si>
  <si>
    <t>Engine: change_nwc = -(dAR + dInv + dOCA - dAP - dOCL). Non-operating balances are flat in the forecast (drivers encode them as a declining share of revenue), so this equals the operating change on the base revenue path; under the g_shift scenario they move slightly with revenue.</t>
  </si>
  <si>
    <t xml:space="preserve">  Memo: (increase) / decrease in operating working capital</t>
  </si>
  <si>
    <t>DISCOUNTING (to 31-Dec-2025; engine convention)</t>
  </si>
  <si>
    <t>Forecast year number</t>
  </si>
  <si>
    <t>Discount period = year number - mid-year offset</t>
  </si>
  <si>
    <t>Discount factor = 1 / (1 + WACC) ^ period</t>
  </si>
  <si>
    <t>Present value of FCFF</t>
  </si>
  <si>
    <t>PRESENT VALUE OF THE ENTERPRISE</t>
  </si>
  <si>
    <t>Sum of PV of FCFF, FY2026E-FY2035E</t>
  </si>
  <si>
    <t>Terminal value - Gordon growth = FCFF_N x (1 + g) / (WACC - g)</t>
  </si>
  <si>
    <t>PV of terminal value - Gordon (discounted N - offset: value as of the last cash flow's date)</t>
  </si>
  <si>
    <t>Enterprise value - Gordon</t>
  </si>
  <si>
    <t>Terminal value - exit multiple = final-year EBITDA x multiple</t>
  </si>
  <si>
    <t>PV of terminal value - exit (a year-end value, discounted N)</t>
  </si>
  <si>
    <t>Enterprise value - exit multiple</t>
  </si>
  <si>
    <t>Terminal value share of EV - Gordon</t>
  </si>
  <si>
    <t>Terminal value share of EV - exit</t>
  </si>
  <si>
    <t>EQUITY BRIDGE AND VALUE PER SHARE (engine basis: balances at 31-Dec-2025)</t>
  </si>
  <si>
    <t>Short-term debt</t>
  </si>
  <si>
    <t>[sourced] data/financials.csv FY2025</t>
  </si>
  <si>
    <t>Long-term debt</t>
  </si>
  <si>
    <t>Lease liabilities (IFRS 16)</t>
  </si>
  <si>
    <t>Cash and equivalents</t>
  </si>
  <si>
    <t>Net debt incl. leases</t>
  </si>
  <si>
    <t>Non-controlling interests (book)</t>
  </si>
  <si>
    <t>NCI claim: BBU independent-operator structured entities (consolidated; their earnings sit in EBITDA and FCFF)</t>
  </si>
  <si>
    <t>NCI income, annualised (1H26 x 2)</t>
  </si>
  <si>
    <t>[sourced] CIQ quarterly 1Q26 436 + 2Q26 471; FY2025 1,813 (EEFF25 p.13)</t>
  </si>
  <si>
    <t>Growth of the NCI claim (MXN, US-linked)</t>
  </si>
  <si>
    <t>[assumption] North America terminal growth in MXN; the zero-growth case is shown below</t>
  </si>
  <si>
    <t>NCI at market value = NCI income / (cost of equity - growth)</t>
  </si>
  <si>
    <t>Live at the cost of equity above. FY2023-FY2025 NCI income 1,445 / 1,499 / 1,813 (4,757) [sourced] EEFF25 p.13; extracted through the 'consolidation effect of structured entities' -1,851 / -3,120 / -2,240 (7,211) plus NCI dividends 91 / 109 / 135 (335) [sourced] EEFF25 p.15; book NCI fell from 3,306 (Dec-23) to 743 (Dec-25) [sourced] EEFF25 p.12. Extraction exceeds income, so the IO owners take their earnings out every year: the claim is a cash claim on EBITDA, worth far more than book. The shrinking book base argues against a growing perpetuity: zero-growth case shown.</t>
  </si>
  <si>
    <t>NCI at market value, zero growth = NCI income / cost of equity (sensitivity)</t>
  </si>
  <si>
    <t xml:space="preserve">  Debt-like component: Retirement and post-retirement benefits, net, after tax (Mexico 1,131 x 0.70 + US 485 x 0.75 + EAA/LatAm 514 x 0.70)</t>
  </si>
  <si>
    <t>[calc] EEFF25 p.75 note 18: net liability 2,130 by segment. The 6,507 balance-sheet line also holds +362 'net plan assets presented in other assets' (a surplus shown as an asset elsewhere), which is excluded here. Tax: Mexico 30%, US 25%, EAA/LatAm 30% [assumption]; deductible when paid, and the liability is already a present value, so the shield is applied at nominal</t>
  </si>
  <si>
    <t xml:space="preserve">  Debt-like component: US welfare obligations (prevision social), long-term, after tax (3,272 x 0.75)</t>
  </si>
  <si>
    <t>[calc] EEFF25 p.75 and p.79: long-term 3,272; the short-term 1,389 sits in other payables and accruals and stays in operating working capital</t>
  </si>
  <si>
    <t xml:space="preserve">  Debt-like component: Long-term employee bonuses payable, after tax (743 x 0.70)</t>
  </si>
  <si>
    <t>[calc] EEFF25 p.75 note 18; earned for past service, payable later; 30% [assumption]</t>
  </si>
  <si>
    <t xml:space="preserve">  Debt-like component: MEPP exit liabilities, after tax (985 x 0.75, US)</t>
  </si>
  <si>
    <t>[calc] EEFF25 p.79 notes 18-19: present value of withdrawal payments for plans BBU is exiting, settled against the provision. Contributions to plans still in use (2,700 in FY2025; 2,406 expected for 2026) run through opex and the forecast, so there is no double count</t>
  </si>
  <si>
    <t xml:space="preserve">  Debt-like component: Deferred compensation, after tax (1,060 x 0.70)</t>
  </si>
  <si>
    <t>[calc] EEFF25 p.79 note 19 'Compensaciones diferidas' in other long-term liabilities; jurisdiction not disclosed, 30% [assumption]</t>
  </si>
  <si>
    <t xml:space="preserve">  Debt-like component: Litigation provisions and uncertain tax positions (tax 1,196 + UTP 8,537, no shield; labour 439 and civil 511 x 0.70; other 1)</t>
  </si>
  <si>
    <t>[calc] EEFF25 p.79-80 note 19: provisions 10,684 = tax 1,196, labour 439, civil 511, other 1, uncertain tax positions 8,537 (measured at the most likely or expected amount, IFRIC 23); payments 170 / 233 / 122 in FY23-25. Tax items carry no tax shield [assumption]. Not in data/adjustments.md bridge candidates: added 2026-10-17</t>
  </si>
  <si>
    <t xml:space="preserve">  Debt-like component: Net derivative liabilities (3,902 - 717; mostly debt cross-currency swaps)</t>
  </si>
  <si>
    <t>[calc] EEFF25 p.12 (data/adjustments.md); swaps offset the spot translation of USD debt</t>
  </si>
  <si>
    <t xml:space="preserve">  Debt-like component: NCI at market value less book = NCI income / (ke - g) - book (live at ke)</t>
  </si>
  <si>
    <t>[calc] See nci_claim. Provisional: the claim is valued on accounting income because the cash extracted each year exceeds it</t>
  </si>
  <si>
    <t>Less: debt-like items (sum of components)</t>
  </si>
  <si>
    <t>[calc] sum of the bridge components below, NCI uplift at the base ke (valuation.md, bridge section)</t>
  </si>
  <si>
    <t>Memo: debt-like items in valuation/valuation.yaml (engine input)</t>
  </si>
  <si>
    <t>Plus: non-operating assets</t>
  </si>
  <si>
    <t>[sourced] investments in associates 7,018 at Dec-25 (EEFF25 p.12; results excluded from FCFF)</t>
  </si>
  <si>
    <t>Diluted shares, millions (engine: FY weighted average)</t>
  </si>
  <si>
    <t>[sourced] data/financials.csv FY2025; outstanding shares at the valuation date in 'Dated_Check'</t>
  </si>
  <si>
    <t>[sourced] BMV official close 16-Oct-2026 MXN 58.60 = PPP (precio promedio ponderado); last trade 58.62, prior close 57.97, change +1.0868% computed on the PPP; volume 3,034,823. BMV 'Estadisticas de operacion', BIMBO serie A, https://www.bmv.com.mx/es/emisoras/estadisticas/BIMBO-5163 (retrieved 2026-10-17). investing.com and Yahoo show the same 58.60 (wacc_inputs A1)</t>
  </si>
  <si>
    <t>Next-year dividend per share (engine dps_next; see publication gate)</t>
  </si>
  <si>
    <t>[calc] engine output (first forecast year). The FY2026 dividend was already paid in 2026: valuation/valuation-outputs.yaml carries the corrected next-12-month dividend.</t>
  </si>
  <si>
    <t>Roll-forward factor = (1 + cost of equity) ^ years since FYE</t>
  </si>
  <si>
    <t>Gordon growth method</t>
  </si>
  <si>
    <t>Equity value at FYE = EV + non-op - net debt - NCI - debt-like</t>
  </si>
  <si>
    <t>Value per share at FYE</t>
  </si>
  <si>
    <t>Value per share today (rolled forward)</t>
  </si>
  <si>
    <t>Premium / (discount) to current price - value today</t>
  </si>
  <si>
    <t>12-month target - Gordon = value today x (1 + ke) - next dividend</t>
  </si>
  <si>
    <t>Upside to 12-month target - Gordon</t>
  </si>
  <si>
    <t>Exit multiple method</t>
  </si>
  <si>
    <t>Equity value at FYE</t>
  </si>
  <si>
    <t>Debt-like claims outside the peer-EV definition (all components except the NCI uplift)</t>
  </si>
  <si>
    <t>Peer EVs (CIQ basis: market cap + debt + leases + book NCI - cash) exclude pensions and other employee claims, MEPP, provisions and derivatives. The NCI uplift stays: Bimbo's EBITDA includes the IO earnings, while Flowers' distributors are not consolidated.</t>
  </si>
  <si>
    <t>Value per share today - exit, engine basis on peer-EV-consistent claims (v1 reconciliation)</t>
  </si>
  <si>
    <t>CROSS-CHECKS (terminal economics)</t>
  </si>
  <si>
    <t>WACC - g</t>
  </si>
  <si>
    <t>Engine warns below 2 points.</t>
  </si>
  <si>
    <t>g minus long-term nominal GDP growth (must be &lt;= 0)</t>
  </si>
  <si>
    <t>Exit multiple implied by the Gordon value (TV carried to year-end / final EBITDA)</t>
  </si>
  <si>
    <t>Growth implied by the exit multiple</t>
  </si>
  <si>
    <t>Return on new capital implied by the terminal value = g / (1 - FCFF_N / NOPAT_N)</t>
  </si>
  <si>
    <t>Domain guard: undefined when NOPAT &lt;= 0 or FCFF &gt;= NOPAT (no net reinvestment).</t>
  </si>
  <si>
    <t>Final-year net reinvestment rate = (capex + new leases - D&amp;A + increase in NWC) / NOPAT</t>
  </si>
  <si>
    <t>Steady state: reinvestment rate x RONIC should equal g.</t>
  </si>
  <si>
    <t>RONIC consistent with g and the final-year reinvestment = g / reinvestment rate</t>
  </si>
  <si>
    <t>Compare with WACC and with ROIC history.</t>
  </si>
  <si>
    <t>PUBLISHED BASIS - LEASES GROW WITH THE BUSINESS (lease liability held at the FY2025 share of revenue; new leases = principal + growth in the liability)</t>
  </si>
  <si>
    <t>Lease liabilities (IFRS 16), closing</t>
  </si>
  <si>
    <t>[sourced] history data/financials.csv; forecast = prior year x revenue growth (constant lease intensity)</t>
  </si>
  <si>
    <t xml:space="preserve">  Lease liabilities / revenue</t>
  </si>
  <si>
    <t>History 6.7-9.2% (FY21-25), mean 8.0%: the forecast holds FY2025's 8.15% (test b)</t>
  </si>
  <si>
    <t>Lease principal repaid (engine: = new leases)</t>
  </si>
  <si>
    <t>[calc] history derived as payments less accrued lease interest; the filings do not split the cash interest inside lease payments (data/adjustments.md #6)</t>
  </si>
  <si>
    <t>Growth in the lease liability = new leases - principal</t>
  </si>
  <si>
    <t>New leases (right-of-use additions, organic) = principal + growth in the liability</t>
  </si>
  <si>
    <t>History of new leases + modifications / revenue: 1.11% / 2.13% / 1.65% (FY23-25, 1.63% average)</t>
  </si>
  <si>
    <t>FCFF - published basis = FCFF (engine basis) - growth in the lease liability</t>
  </si>
  <si>
    <t>PV of FCFF - published basis</t>
  </si>
  <si>
    <t>Published valuation</t>
  </si>
  <si>
    <t>Sum of PV of FCFF - published basis</t>
  </si>
  <si>
    <t>FCFF in year N+1 = FCFF_N (engine basis) x (1 + g) - g x lease liability_N</t>
  </si>
  <si>
    <t>The lease book keeps growing at g after the forecast, so g x L_N is deducted every year.</t>
  </si>
  <si>
    <t>Terminal value - Gordon, published = FCFF_N+1 / (WACC - g)</t>
  </si>
  <si>
    <t>PV of terminal value - Gordon, published (discounted N - offset)</t>
  </si>
  <si>
    <t>Enterprise value - Gordon, published</t>
  </si>
  <si>
    <t>Enterprise value - exit, published (exit TV unchanged: EBITDA is the same)</t>
  </si>
  <si>
    <t>Terminal value share of EV - Gordon, published</t>
  </si>
  <si>
    <t>Terminal value share of EV - exit, published</t>
  </si>
  <si>
    <t>Equity value at FYE - Gordon = EV + non-op - net debt - NCI (book) - all debt-like items</t>
  </si>
  <si>
    <t>PUBLISHED value per share today - Gordon</t>
  </si>
  <si>
    <t>Equity value at FYE - exit = EV + non-op - net debt - NCI (book) - NCI uplift (peer-EV claims)</t>
  </si>
  <si>
    <t>PUBLISHED value per share today - exit multiple</t>
  </si>
  <si>
    <t>Premium / (discount) to the current price - Gordon</t>
  </si>
  <si>
    <t>Premium / (discount) to the current price - exit</t>
  </si>
  <si>
    <t>Next unpaid dividend per share (12 months)</t>
  </si>
  <si>
    <t>[sourced] consensus DPS FY2027E, CIQ 2026-09-20; the FY2026 dividend (MXN 1.075) was paid on 13-May-2026</t>
  </si>
  <si>
    <t>12-month value - Gordon, published = value today x (1 + ke) - next unpaid dividend</t>
  </si>
  <si>
    <t>Upside to the 12-month value - Gordon</t>
  </si>
  <si>
    <t>Return on new capital implied by the published terminal value = g / (1 - FCFF_N+1 / NOPAT_N+1)</t>
  </si>
  <si>
    <t>Exit multiple implied by the published Gordon value</t>
  </si>
  <si>
    <t>Growth implied by the exit multiple, published = (X x WACC - FCFF_N) / (X + FCFF_N - L_N)</t>
  </si>
  <si>
    <t>Test (a): FY2035 growth in the lease liability / (g x lease liability FY2035)</t>
  </si>
  <si>
    <t>Walk from the engine basis to the published values (MXN per share today)</t>
  </si>
  <si>
    <t>Engine basis - Gordon</t>
  </si>
  <si>
    <t>Lease growth (Gordon: explicit years and terminal value)</t>
  </si>
  <si>
    <t>Engine basis - exit</t>
  </si>
  <si>
    <t>Peer-EV-consistent claims (add back the claims outside the peer EV)</t>
  </si>
  <si>
    <t>Lease growth (exit: explicit years only)</t>
  </si>
  <si>
    <t>Bridge judgements on the published basis (MXN per share today)</t>
  </si>
  <si>
    <t>Gordon without the NCI uplift (NCI at book only)</t>
  </si>
  <si>
    <t>Exit without the NCI uplift</t>
  </si>
  <si>
    <t>Gordon with the NCI claim at zero growth (NCI income / ke)</t>
  </si>
  <si>
    <t>Lower-return terminal cases - Gordon, published: TV = NOPAT_N+1 x (1 - g / RONIC) / (WACC - g)</t>
  </si>
  <si>
    <t>RONIC</t>
  </si>
  <si>
    <t>TV</t>
  </si>
  <si>
    <t>Value/share</t>
  </si>
  <si>
    <t>vs published</t>
  </si>
  <si>
    <t>RONIC = WACC (growth adds no value)</t>
  </si>
  <si>
    <t>RONIC 12.5%</t>
  </si>
  <si>
    <t>RONIC 15.0%</t>
  </si>
  <si>
    <t>RONIC implied by the published terminal value</t>
  </si>
  <si>
    <t>The value-driver formula prices growth by its return: at RONIC = WACC growth adds nothing. The last row reproduces the published value (check). Total terminal net reinvestment = 1 - FCFF_N+1 / NOPAT_N+1.</t>
  </si>
  <si>
    <t>SENSITIVITY ANALYSIS - PUBLISHED BASIS (roll-forward factor and NCI claim held at the base cost of equity; the engine-basis grid is in the model workbook)</t>
  </si>
  <si>
    <t>Value per share today - Gordon, published: WACC (rows) x terminal growth (columns); n.m. where WACC - g &lt; 1%</t>
  </si>
  <si>
    <t>WACC  \  column variable</t>
  </si>
  <si>
    <t>Value per share today - exit multiple, published (peer-EV claims): WACC (rows) x exit EV/EBITDA (columns)</t>
  </si>
  <si>
    <t>Enterprise value - exit multiple, published: WACC (rows) x exit EV/EBITDA (columns)</t>
  </si>
  <si>
    <t>Implied perpetual growth of the exit value, published: WACC (rows) x exit EV/EBITDA (columns)</t>
  </si>
  <si>
    <t>Premium / (discount) to the current price - exit multiple, published: WACC (rows) x exit EV/EBITDA (columns)</t>
  </si>
  <si>
    <t>Reverse Discounted Cash Flow - what the market price implies</t>
  </si>
  <si>
    <t>Layout after the S&amp;P 'Reverse_DCF' tab. The template imputes growth with a VBA macro; here the procedure is Excel Goal Seek on a single input cell (no macros).</t>
  </si>
  <si>
    <t>1. Terminal growth implied by the market price - PUBLISHED basis (headline)</t>
  </si>
  <si>
    <t>Market EV at FYE = price / roll-forward x shares + net debt + NCI + all debt-like - non-op</t>
  </si>
  <si>
    <t>PV of explicit FCFF, published basis</t>
  </si>
  <si>
    <t>Terminal value implied by the market (at the Gordon discount date)</t>
  </si>
  <si>
    <t>Terminal growth implied by the market price = (TV x WACC - FCFF_N) / (TV + FCFF_N - L_N)</t>
  </si>
  <si>
    <t>Terminal growth used in the DCF</t>
  </si>
  <si>
    <t>1b. Terminal growth implied by the market price - engine basis (reconciliation with the engine)</t>
  </si>
  <si>
    <t>Market EV at FYE = price / roll-forward x shares + net debt + NCI + debt-like - non-op</t>
  </si>
  <si>
    <t>PV of explicit FCFF (from the DCF)</t>
  </si>
  <si>
    <t>Terminal growth implied by the market price</t>
  </si>
  <si>
    <t>Guard: defined only when the market EV exceeds the PV of the explicit cash flows.</t>
  </si>
  <si>
    <t>2. Revenue growth shift implied by the market price (all other drivers fixed)</t>
  </si>
  <si>
    <t>Procedure</t>
  </si>
  <si>
    <t>Data &gt; What-If Analysis &gt; Goal Seek: set 'DCF'!D192 (published Gordon value today) to the current price by changing 'DCF'!D42. Reset the shift to 0 afterwards.</t>
  </si>
  <si>
    <t>Reference solution - Gordon, published (Python bisection, valuation/build/dcf_core.py)</t>
  </si>
  <si>
    <t>Uniform shift added to every forecast year's growth driver; n.a. if no solution in -10%..+10%.</t>
  </si>
  <si>
    <t>Reference solution - exit multiple, published</t>
  </si>
  <si>
    <t>Reference solution - Gordon, engine basis</t>
  </si>
  <si>
    <t>Reconciliation only.</t>
  </si>
  <si>
    <t>Story levers - published value per share today (Gordon and exit), MXN</t>
  </si>
  <si>
    <t>STATIC values computed by valuation/build/dcf_core.py from the same inputs (published basis: leases grow with revenue; exit on peer-EV claims); rebuild to refresh. Live single-scenario levers: the shift inputs on the 'DCF' sheet.</t>
  </si>
  <si>
    <t>Value per share today - Gordon: capex/revenue shift (rows) x gross margin shift (columns)</t>
  </si>
  <si>
    <t>Capex shift (rows) / GM shift (columns)</t>
  </si>
  <si>
    <t>Value per share today - exit multiple: capex/revenue shift (rows) x gross margin shift (columns)</t>
  </si>
  <si>
    <t>Terminal economics by capex shift (Gordon, published)</t>
  </si>
  <si>
    <t>Capex shift</t>
  </si>
  <si>
    <t>Value / share</t>
  </si>
  <si>
    <t>RONIC implied by TV</t>
  </si>
  <si>
    <t>Terminal net reinvestment / NOPAT</t>
  </si>
  <si>
    <t>FY2035 FCFF margin</t>
  </si>
  <si>
    <t>Revenue growth shift (all segments, all years) - published value per share today</t>
  </si>
  <si>
    <t>Growth shift</t>
  </si>
  <si>
    <t>Gordon</t>
  </si>
  <si>
    <t>Exit</t>
  </si>
  <si>
    <t>Scenarios - published value per share today (MXN), one change at a time against the base</t>
  </si>
  <si>
    <t>STATIC values computed by valuation/build/dcf_core.py from the same inputs as the DCF sheet (published basis); rebuild to refresh. The base is the assistant's proposal; every other row is an alternative the team can adopt. Target price and rating stay with the team.</t>
  </si>
  <si>
    <t>BASE</t>
  </si>
  <si>
    <t>Scenario</t>
  </si>
  <si>
    <t>ke</t>
  </si>
  <si>
    <t>g</t>
  </si>
  <si>
    <t>vs price (G)</t>
  </si>
  <si>
    <t>vs price (X)</t>
  </si>
  <si>
    <t>RONIC (TV)</t>
  </si>
  <si>
    <t>What changes</t>
  </si>
  <si>
    <t>Base: route B, CRP weighted by FY2025 Adj. EBITDA (additive); proposals for drivers and terminal</t>
  </si>
  <si>
    <t>valuation.yaml / drivers.yaml</t>
  </si>
  <si>
    <t>COST OF CAPITAL</t>
  </si>
  <si>
    <t>Route A local: M-Bono 10y as risk-free, no country risk premium</t>
  </si>
  <si>
    <t>project guide's preferred local route</t>
  </si>
  <si>
    <t>Route B, CRP weighted by FY2025 sales</t>
  </si>
  <si>
    <t>CRP 1.70%</t>
  </si>
  <si>
    <t>Route B, CRP weighted by FY2023-25 average Adj. EBITDA</t>
  </si>
  <si>
    <t>CRP 1.99%</t>
  </si>
  <si>
    <t>Route B, CRP weighted by FY2023-25 average sales</t>
  </si>
  <si>
    <t>CRP 1.65%</t>
  </si>
  <si>
    <t>Route B, EBITDA weights, Argentina excluded</t>
  </si>
  <si>
    <t>CRP 2.02%</t>
  </si>
  <si>
    <t>Route B, CRP scaled by beta: ke = rf + beta_l x (ERP + CRP)</t>
  </si>
  <si>
    <t>Damodaran operations-weighted ERP</t>
  </si>
  <si>
    <t>Beta: Bimbo 5-year regression vs IPC, unlevered</t>
  </si>
  <si>
    <t>valuation/inputs/beta_regression.json</t>
  </si>
  <si>
    <t>Beta: same, Blume-adjusted</t>
  </si>
  <si>
    <t>0.67 x b + 0.33</t>
  </si>
  <si>
    <t>Beta: Bimbo 3-year regression, unlevered</t>
  </si>
  <si>
    <t>2023-24 de-rating window</t>
  </si>
  <si>
    <t>NORTH AMERICA FX ASSUMPTION (base: ~1.5% a year peso depreciation inside the 3.0% MXN growth)</t>
  </si>
  <si>
    <t>PPP at inflation targets (3% MX vs 2% US): depreciation 0.98% a year replaces 1.5%</t>
  </si>
  <si>
    <t>NA growth FY2027+ 2.47%; NA share FY2035 35.9%; g 4.06%; NCI growth moved too</t>
  </si>
  <si>
    <t>PPP at Banxico survey inflation (3.70% vs 2%): depreciation 1.67% a year replaces 1.5%</t>
  </si>
  <si>
    <t>NA growth FY2027+ 3.17%; NA share FY2035 37.3%; g 4.31%</t>
  </si>
  <si>
    <t>CAPEX SENSITIVITY (FY2031-35 capex / revenue, which also sets the terminal value; base path 5.6% to 6.0%)</t>
  </si>
  <si>
    <t>Capex held at 5.5% (the FY2030 level)</t>
  </si>
  <si>
    <t>no further ramp</t>
  </si>
  <si>
    <t>Capex 5.0% (Bimbo consensus FY2027-28: about 5.0%)</t>
  </si>
  <si>
    <t>near-term consensus, not a perpetual reinvestment estimate</t>
  </si>
  <si>
    <t>Capex 4.5%</t>
  </si>
  <si>
    <t>near FY2025 D&amp;A excl. right-of-use (4.4%)</t>
  </si>
  <si>
    <t>Capex at the peer consensus median FY3 (3.8%)</t>
  </si>
  <si>
    <t>n.m.</t>
  </si>
  <si>
    <t>peers' FY3 consensus; RONIC shows whether it is sustainable</t>
  </si>
  <si>
    <t>EXIT MULTIPLE (exit method only)</t>
  </si>
  <si>
    <t>Core bakery median EV/EBITDA LTM (5.53x)</t>
  </si>
  <si>
    <t>BIMBOA_PeerAnalysis_v3 (recalculated)</t>
  </si>
  <si>
    <t>All eligible peers median EV/EBITDA LTM (8.27x)</t>
  </si>
  <si>
    <t>Bimbo's own LTM multiple on the same claim basis (7.12x)</t>
  </si>
  <si>
    <t>Jun-26 bridge, NCI at market at the base ke</t>
  </si>
  <si>
    <t>Price MXN 58.60 (BMV close 16-Oct-2026). RONIC = return on new capital implied by the Gordon terminal value; 'n.m.' when terminal reinvestment is zero or negative. Capex rows are sensitivities: lower capex with D&amp;A held at its path raises the implied RONIC; a sustainable terminal needs capex, non-lease depreciation, lease investment and working capital reconciled (see the lower-return table on the DCF sheet for the value-driver cross-check).</t>
  </si>
  <si>
    <t>The company's impairment-test discount rates (RA25 p.265) are post-tax book rates in five currencies; they appear only as context in the WACC workbook cross-checks, with no implied value.</t>
  </si>
  <si>
    <t>The Gordon terminal FCFF grows the FY2035 FCFF by g (engine convention), so the FY2035 working-capital movement carries into the terminal year; a rebuilt steady-state terminal year is not used.</t>
  </si>
  <si>
    <t>Valuation-date cross-check (anchored at the latest balance sheet, 30-Jun-2026)</t>
  </si>
  <si>
    <t>Independent of the engine's FYE roll-forward. Still a roll-forward approximation from 30-Jun to the valuation date, not an observed October balance sheet.</t>
  </si>
  <si>
    <t>1H26 actual FCFF (same definition as the forecast FCFF)</t>
  </si>
  <si>
    <t>EBIT 1H26 (operating income)</t>
  </si>
  <si>
    <t>[sourced] Operating income 1Q26 10,030.8 + 2Q26 8,827.5, S&amp;P Capital IQ quarterly (data/capitaliq/income_statement.csv)</t>
  </si>
  <si>
    <t>Less: one-off gain in 1H26 EBIT (La Moderna stake sale, ~50 bp of 1Q26 sales)</t>
  </si>
  <si>
    <t>[calc] Gain on the 1Q26 sale of the 4% stakes in Grupo La Moderna (book 418.1) and Pasta4all (book 105.2) (BMV 1Q26 XBRL p.94-95) = ~50 bp [guidance] x 1Q26 net sales 100,318.7 [sourced] (BMV 1Q26 XBRL [310000] p.14). The amount is not disclosed: CFO, 1Q26 call 2026-04-29 p.7 ('we do not disclose ... the amount'; 'approximately 50 basis points' of Grupo Bimbo EBITDA margin). Filed cross-check: 1Q26 gain on disposal of non-current assets 441.1, incl. a PP&amp;E gain of 29.5 (BMV 1Q26 XBRL [520000] p.17; other operating income note p.103); 1H26 436.2 incl. a PP&amp;E loss of 19.5 (BMV 2Q26 XBRL p.17, p.105). Range ~412-502. While one_off_in_fy26 = 1 the amount cancels between FY2026E and 1H26, so it does not move Dated_Check. Cash already in Jun-26 cash</t>
  </si>
  <si>
    <t>Tax rate (FY2026 forecast driver)</t>
  </si>
  <si>
    <t>D&amp;A 1H26</t>
  </si>
  <si>
    <t>[sourced] D&amp;A total 1Q26 6,028.4 + 2Q26 6,096.7, CIQ quarterly cash flow (CIQ D&amp;A runs ~3% below the filing basis)</t>
  </si>
  <si>
    <t>Capex 1H26 (positive)</t>
  </si>
  <si>
    <t>[sourced] PP&amp;E 6,892 + intangibles 50, BMV Jun-26 p.17-18 (wiki bimbo-cash-flow-and-fcf)</t>
  </si>
  <si>
    <t>Lease principal paid 1H26 (positive)</t>
  </si>
  <si>
    <t>[calc] Lease payments 3,948.42 less lease interest accrued 1,042.03, 1H26 lease roll-forward (BMV 2Q26 XBRL p.100; payments = cash flow 688.02 + 3,260.40, p.18). Same basis as data/financials.csv: the cash split of interest is not disclosed (data/adjustments.md adjustment 6)</t>
  </si>
  <si>
    <t>Change in operating NWC 1H26, cash-flow sign (Dec-25 to Jun-26 balance sheets; income taxes excluded)</t>
  </si>
  <si>
    <t>[calc] Operating basis, cash-flow sign, Dec-25 to Jun-26 CIQ balance sheets (data/capitaliq/balance_sheet.csv): trade receivables +772, other and notes receivable +214, inventory -44, other current assets +1,833, accounts payable -830, accrued expenses +1,816, other current liabilities -220 = -2,009. Income taxes payable (+4,538, seasonal) excluded, as in the DCF, and deducted below as a June claim. June splits of other current assets and accruals are not disclosed, so they are treated as operating [assumption]. CIQ cash-flow basis -2,528 (memo). Codex re-check 2026-10-17</t>
  </si>
  <si>
    <t>FCFF 1H26 = (EBIT - one-off) x (1 - tax) + D&amp;A - capex - lease principal + change in NWC</t>
  </si>
  <si>
    <t>FY2026E FCFF, published basis (DCF)</t>
  </si>
  <si>
    <t>FY2026E forecast includes the 1H26 one-off gain? (1 = yes, 0 = no)</t>
  </si>
  <si>
    <t>[assumption] 1 = the FY2026E forecast includes the gain (the 14.7% FY2026 margin proposal follows guidance raised after 1Q26, which contained it); the FY2026E FCFF is then put on the same basis before 2H26 is derived. Set 0 if the forecast excludes it</t>
  </si>
  <si>
    <t>FY2026E FCFF on the same one-off basis as 1H26 = FY2026E - flag x one-off x (1 - tax)</t>
  </si>
  <si>
    <t>2H26E FCFF = FY2026E (same basis) - 1H26 actual</t>
  </si>
  <si>
    <t>Both halves exclude the gain: the La Moderna proceeds are already in the 30-Jun-2026 cash. The 1H26 lease line is principal; the FY2026 growth in the lease book (published basis) falls in 2H26.</t>
  </si>
  <si>
    <t>Present value at 30-Jun-2026 (mid-period convention, same WACC)</t>
  </si>
  <si>
    <t>Discount time of 2H26 = 0.5 x (1 - offset)</t>
  </si>
  <si>
    <t>PV of 2H26E FCFF</t>
  </si>
  <si>
    <t>PV of FY2027E FCFF, published (time = 1 + 0.5 - offset)</t>
  </si>
  <si>
    <t>PV of FY2028E FCFF, published (time = 2 + 0.5 - offset)</t>
  </si>
  <si>
    <t>PV of FY2029E FCFF, published (time = 3 + 0.5 - offset)</t>
  </si>
  <si>
    <t>PV of FY2030E FCFF, published (time = 4 + 0.5 - offset)</t>
  </si>
  <si>
    <t>PV of FY2031E FCFF, published (time = 5 + 0.5 - offset)</t>
  </si>
  <si>
    <t>PV of FY2032E FCFF, published (time = 6 + 0.5 - offset)</t>
  </si>
  <si>
    <t>PV of FY2033E FCFF, published (time = 7 + 0.5 - offset)</t>
  </si>
  <si>
    <t>PV of FY2034E FCFF, published (time = 8 + 0.5 - offset)</t>
  </si>
  <si>
    <t>PV of FY2035E FCFF, published (time = 9 + 0.5 - offset)</t>
  </si>
  <si>
    <t>PV of terminal value - Gordon, published (at the final cash flow's date)</t>
  </si>
  <si>
    <t>PV of terminal value - exit (year-end FY2035)</t>
  </si>
  <si>
    <t>EV at 30-Jun-2026 - Gordon</t>
  </si>
  <si>
    <t>EV at 30-Jun-2026 - exit</t>
  </si>
  <si>
    <t>Bridge at 30-Jun-2026 and roll to the valuation date</t>
  </si>
  <si>
    <t>Total debt ex-leases, 30-Jun-2026</t>
  </si>
  <si>
    <t>[sourced] Total financial debt 30-Jun-2026 (BMV Jun-26 debt note; 2Q26 release p.6)</t>
  </si>
  <si>
    <t>Lease liabilities, 30-Jun-2026</t>
  </si>
  <si>
    <t>[sourced] Lease liabilities 7,113 + 26,248, CIQ balance sheet 2026 FQ2</t>
  </si>
  <si>
    <t>Cash and equivalents, 30-Jun-2026</t>
  </si>
  <si>
    <t>[sourced] Cash and equivalents 30-Jun-2026 (CIQ; net debt 137,097 per 2Q26 release p.6)</t>
  </si>
  <si>
    <t>Non-controlling interests (book), 30-Jun-2026</t>
  </si>
  <si>
    <t>[sourced] Total minority interest 30-Jun-2026, CIQ balance sheet</t>
  </si>
  <si>
    <t>NCI market-value uplift, 30-Jun-2026 = NCI at market value ('DCF', live at ke) - June book</t>
  </si>
  <si>
    <t>Other debt-like items, 30-Jun-2026 (same policy as the Dec-25 bridge, excl. NCI)</t>
  </si>
  <si>
    <t>[calc] Same policy as Dec-25, 30-Jun-2026 (BMV 2Q26 XBRL, filings/bmv/Reporte_Definitivo_BMV_XBRL_Español_Jun_26.pdf): employee benefits line 6,202 [sourced] p.13 x the Dec-25 net after-tax ratio 0.6899 (4,489.35 / 6,507) = 4,278.92; provisions 11,029.37 [sourced] p.59 = uncertain tax positions 8,692.48 + tax 1,318.41 (no shield) + labour 511.64 and civil 506.26 x 0.70 + other 0.58 = 10,724.00; net derivative liabilities 1,864.18 [sourced] p.64-65 = liabilities 978.28 + 2,658.38 less assets 784.79 + 987.70; MEPP 632.56 and deferred compensation 635.34 after tax. MEPP and deferred compensation are not disclosed separately at Jun-26: the 'other long-term provisions' line is 13,011.49 (p.13), which leaves 1,982.12 beyond provisions (2,314.86 at Dec-25 for MEPP 985 + deferred compensation 1,060 + other 270), split in the Dec-25 proportions [assumption]: MEPP 843.41 x 0.75, deferred compensation 907.63 x 0.70. Was 19,343.67 with Dec-25 values carried. The NCI claim is added live (market value less June book)</t>
  </si>
  <si>
    <t>Seasonal income taxes payable at 30-Jun-2026 (June less Dec-25 level; paid in 2H26)</t>
  </si>
  <si>
    <t>[calc] Income taxes payable 5,597.05 (Jun-26) less 1,059.0 (Dec-25), CIQ balance sheet: taxes accrued on 1H26 profits and paid in 2H26. The Dec-25 level stays in the flat non-operating float, as in the DCF. Deducted in both methods because it lifts June cash</t>
  </si>
  <si>
    <t>Non-operating assets, 30-Jun-2026 (same policy as valuation.yaml)</t>
  </si>
  <si>
    <t>[sourced] Equity-method investments 30-Jun-2026, CIQ balance sheet</t>
  </si>
  <si>
    <t>Equity at 30-Jun-2026 - Gordon (all claims)</t>
  </si>
  <si>
    <t>Equity at 30-Jun-2026 - exit (peer-EV-consistent claims: other debt-like items added back)</t>
  </si>
  <si>
    <t>Days from 30-Jun-2026 to the valuation date</t>
  </si>
  <si>
    <t>[calc] 30-Jun-2026 to 16-Oct-2026</t>
  </si>
  <si>
    <t>Roll factor = (1 + ke) ^ (days / 365)</t>
  </si>
  <si>
    <t>Distributions paid between 30-Jun and the valuation date (dividends + buybacks)</t>
  </si>
  <si>
    <t>[unverified] July 2026 buybacks of 1,340,500 shares at ~MXN 57 (no cash disclosed); dividend paid 13-May-2026, before 30-Jun</t>
  </si>
  <si>
    <t>Shares outstanding at the valuation date, millions</t>
  </si>
  <si>
    <t>[sourced] Shares outstanding 29-Jul-2026, BMV notice (wacc_inputs A8)</t>
  </si>
  <si>
    <t>Value per share at the valuation date - Gordon</t>
  </si>
  <si>
    <t>Value per share at the valuation date - exit</t>
  </si>
  <si>
    <t>Reconciliation with the FYE roll-forward (published basis, 'DCF')</t>
  </si>
  <si>
    <t>FYE roll-forward value today - Gordon, published ('DCF')</t>
  </si>
  <si>
    <t>Dated value - Gordon</t>
  </si>
  <si>
    <t>Difference - Gordon (dated - FYE roll-forward)</t>
  </si>
  <si>
    <t>Difference - Gordon, % of the FYE roll-forward value</t>
  </si>
  <si>
    <t>FYE roll-forward value today - exit, published</t>
  </si>
  <si>
    <t>Dated value - exit</t>
  </si>
  <si>
    <t>Difference - exit, % of the FYE roll-forward value</t>
  </si>
  <si>
    <t>What explains the gap (filled from the build; tagged)</t>
  </si>
  <si>
    <t>The engine rolls Dec-25 equity forward at the cost of equity; the dated check starts from the 30-Jun-2026 balance sheet, which already reflects the 13-May-2026 dividend (MXN 4,627m) and 1H26 buybacks (MXN 496m).</t>
  </si>
  <si>
    <t>Net debt ex-IFRS 16 fell from 145,128 (Dec-25) to 137,097 (Jun-26), helped by peso strength on USD debt and 1H26 cash generation.</t>
  </si>
  <si>
    <t>Still an approximation: the roll from 30-Jun to 16-Oct uses the cost of equity, not an observed October balance sheet.</t>
  </si>
  <si>
    <t>Reconciliation with the model engine (model/model-summary.json)</t>
  </si>
  <si>
    <t>Engine values are pasted from the engine's summary (constants); workbook values are live formulas. Tolerance: relative difference below 1e-6.</t>
  </si>
  <si>
    <t>Item</t>
  </si>
  <si>
    <t>Engine summary</t>
  </si>
  <si>
    <t>This workbook</t>
  </si>
  <si>
    <t>Difference</t>
  </si>
  <si>
    <t>Rel. diff.</t>
  </si>
  <si>
    <t>Status</t>
  </si>
  <si>
    <t>Python replica</t>
  </si>
  <si>
    <t>Rel. diff. vs replica</t>
  </si>
  <si>
    <t>Status vs replica</t>
  </si>
  <si>
    <t>EV - Gordon</t>
  </si>
  <si>
    <t>EV - exit</t>
  </si>
  <si>
    <t>Value per share today - Gordon</t>
  </si>
  <si>
    <t>Value per share today - exit</t>
  </si>
  <si>
    <t>12-month target - Gordon</t>
  </si>
  <si>
    <t>Implied exit multiple</t>
  </si>
  <si>
    <t>Growth implied by exit</t>
  </si>
  <si>
    <t>Terminal growth implied by the price</t>
  </si>
  <si>
    <t>TV share of EV - Gordon</t>
  </si>
  <si>
    <t>FCFF FY2026E</t>
  </si>
  <si>
    <t>FCFF FY2027E</t>
  </si>
  <si>
    <t>FCFF FY2028E</t>
  </si>
  <si>
    <t>FCFF FY2029E</t>
  </si>
  <si>
    <t>FCFF FY2030E</t>
  </si>
  <si>
    <t>FCFF FY2031E</t>
  </si>
  <si>
    <t>FCFF FY2032E</t>
  </si>
  <si>
    <t>FCFF FY2033E</t>
  </si>
  <si>
    <t>FCFF FY2034E</t>
  </si>
  <si>
    <t>FCFF FY2035E</t>
  </si>
  <si>
    <t>EBITDA FY2026E</t>
  </si>
  <si>
    <t>EBITDA FY2027E</t>
  </si>
  <si>
    <t>EBITDA FY2028E</t>
  </si>
  <si>
    <t>EBITDA FY2029E</t>
  </si>
  <si>
    <t>EBITDA FY2030E</t>
  </si>
  <si>
    <t>EBITDA FY2031E</t>
  </si>
  <si>
    <t>EBITDA FY2032E</t>
  </si>
  <si>
    <t>EBITDA FY2033E</t>
  </si>
  <si>
    <t>EBITDA FY2034E</t>
  </si>
  <si>
    <t>EBITDA FY2035E</t>
  </si>
  <si>
    <t>Discount factor FY2026E (replica only)</t>
  </si>
  <si>
    <t>not in summary</t>
  </si>
  <si>
    <t>replica only</t>
  </si>
  <si>
    <t>Discount factor FY2027E (replica only)</t>
  </si>
  <si>
    <t>Discount factor FY2028E (replica only)</t>
  </si>
  <si>
    <t>Discount factor FY2029E (replica only)</t>
  </si>
  <si>
    <t>Discount factor FY2030E (replica only)</t>
  </si>
  <si>
    <t>Discount factor FY2031E (replica only)</t>
  </si>
  <si>
    <t>Discount factor FY2032E (replica only)</t>
  </si>
  <si>
    <t>Discount factor FY2033E (replica only)</t>
  </si>
  <si>
    <t>Discount factor FY2034E (replica only)</t>
  </si>
  <si>
    <t>Discount factor FY2035E (replica only)</t>
  </si>
  <si>
    <t>Sum of PV of FCFF (replica only)</t>
  </si>
  <si>
    <t>Terminal value - Gordon (replica only)</t>
  </si>
  <si>
    <t>PV of terminal value - Gordon (replica only)</t>
  </si>
  <si>
    <t>Terminal value - exit (replica only)</t>
  </si>
  <si>
    <t>PV of terminal value - exit (replica only)</t>
  </si>
  <si>
    <t>Net debt incl. leases (replica only)</t>
  </si>
  <si>
    <t>Shares (replica only)</t>
  </si>
  <si>
    <t>Roll-forward factor (replica only)</t>
  </si>
  <si>
    <t>PUBLISHED FCFF FY2035E (replica only)</t>
  </si>
  <si>
    <t>PUBLISHED lease liability FY2035E (replica only)</t>
  </si>
  <si>
    <t>PUBLISHED sum of PV of FCFF (replica only)</t>
  </si>
  <si>
    <t>PUBLISHED terminal value - Gordon (replica only)</t>
  </si>
  <si>
    <t>PUBLISHED EV - Gordon (replica only)</t>
  </si>
  <si>
    <t>PUBLISHED EV - exit (replica only)</t>
  </si>
  <si>
    <t>Debt-like items, NCI uplift live at ke (replica only)</t>
  </si>
  <si>
    <t>PUBLISHED value per share today - Gordon (replica only)</t>
  </si>
  <si>
    <t>PUBLISHED value per share today - exit (replica only)</t>
  </si>
  <si>
    <t>PUBLISHED RONIC implied by the terminal value (replica only)</t>
  </si>
  <si>
    <t>PUBLISHED growth implied by the exit multiple (replica only)</t>
  </si>
  <si>
    <t>PUBLISHED Gordon at RONIC = WACC (replica only)</t>
  </si>
  <si>
    <t>PUBLISHED terminal growth implied by the price (replica only)</t>
  </si>
  <si>
    <t>Rows checked against the engine summary</t>
  </si>
  <si>
    <t>Rows OK vs engine (must equal the count above)</t>
  </si>
  <si>
    <t>Rows checked against the Python replica</t>
  </si>
  <si>
    <t>Rows OK vs replica (must equal the count above)</t>
  </si>
  <si>
    <t>Inputs and sources</t>
  </si>
  <si>
    <t>Value</t>
  </si>
  <si>
    <t>Unit</t>
  </si>
  <si>
    <t>Tag</t>
  </si>
  <si>
    <t>Source</t>
  </si>
  <si>
    <t>As of</t>
  </si>
  <si>
    <t>Share price, BMV official close (PPP)</t>
  </si>
  <si>
    <t>MXN</t>
  </si>
  <si>
    <t>sourced</t>
  </si>
  <si>
    <t>BMV 'Estadisticas de operacion' BIMBO serie A (https://www.bmv.com.mx/es/emisoras/estadisticas/BIMBO-5163): PPP 58.60, last 58.62, prior 57.97; investing.com / Yahoo agree (wacc_inputs A1)</t>
  </si>
  <si>
    <t>2026-10-16</t>
  </si>
  <si>
    <t>52-week high / low</t>
  </si>
  <si>
    <t>68.67 / 53.03</t>
  </si>
  <si>
    <t>CIQ corporate_issuance.csv (wacc_inputs A4-A5)</t>
  </si>
  <si>
    <t>2026-10-06</t>
  </si>
  <si>
    <t>Shares outstanding</t>
  </si>
  <si>
    <t>m</t>
  </si>
  <si>
    <t>BMV notice (wacc_inputs A8)</t>
  </si>
  <si>
    <t>2026-07-29</t>
  </si>
  <si>
    <t>Market capitalisation</t>
  </si>
  <si>
    <t>MXN m</t>
  </si>
  <si>
    <t>calc</t>
  </si>
  <si>
    <t>price x shares (wacc_inputs A9)</t>
  </si>
  <si>
    <t>M-Bono 10y</t>
  </si>
  <si>
    <t>%</t>
  </si>
  <si>
    <t>S&amp;P Capital IQ rates</t>
  </si>
  <si>
    <t>UST 10y</t>
  </si>
  <si>
    <t>Mexico 5y CDS</t>
  </si>
  <si>
    <t>S&amp;P Capital IQ CDS</t>
  </si>
  <si>
    <t>Damodaran implied ERP</t>
  </si>
  <si>
    <t>Damodaran home page</t>
  </si>
  <si>
    <t>2026-10-01</t>
  </si>
  <si>
    <t>Damodaran Mexico default spread / CRP</t>
  </si>
  <si>
    <t>1.75% / 2.72%</t>
  </si>
  <si>
    <t>Damodaran ctrypremJuly26.xlsx (July 2026 update; Mexico Baa3)</t>
  </si>
  <si>
    <t>2026-07-01</t>
  </si>
  <si>
    <t>Damodaran Food Processing unlevered beta, Global / US</t>
  </si>
  <si>
    <t>0.53 / 0.46</t>
  </si>
  <si>
    <t>x</t>
  </si>
  <si>
    <t>Damodaran betas; betaGlobal.xls 'Date updated' 5-Jan-2026 (https://pages.stern.nyu.edu/~adamodar/pc/datasets/betaGlobal.xls, retrieved 2026-10-17); BetasGlobal.html header 'January 2026', footer 'January 2025' stale</t>
  </si>
  <si>
    <t>2026-01-05</t>
  </si>
  <si>
    <t>Mexico real GDP growth 2029-31 / CPI inflation 2029-31</t>
  </si>
  <si>
    <t>2.1% / 3.0%</t>
  </si>
  <si>
    <t>IMF WEO October 2026, DataMapper NGDP_RPCH and PCPIPCH (https://www.imf.org/external/datamapper/api/v1/NGDP_RPCH/MEX, last modified 2026-10-08)</t>
  </si>
  <si>
    <t>2026-10-08</t>
  </si>
  <si>
    <t>Mexico real GDP growth, average next 10 years (2027-36), mean / median</t>
  </si>
  <si>
    <t>1.88% / 1.80%</t>
  </si>
  <si>
    <t>Banxico, Encuesta sobre las Expectativas de los Especialistas en Economia del Sector Privado: septiembre 2026 (published 1-Oct-2026), Cuadro 6 p.8</t>
  </si>
  <si>
    <t>Provisions incl. uncertain tax positions (UTP 8,692; tax 1,318; labour 512; civil 506; other 1)</t>
  </si>
  <si>
    <t>BMV 2Q26 XBRL p.59 (pasivos contingentes)</t>
  </si>
  <si>
    <t>2026-06-30</t>
  </si>
  <si>
    <t>Other long-term provisions line (provisions + MEPP + deferred compensation + other)</t>
  </si>
  <si>
    <t>BMV 2Q26 XBRL [210000] p.13 (12,999.0 at Dec-25)</t>
  </si>
  <si>
    <t>Derivative liabilities 978 + 2,658 less assets 785 + 988 (net 1,864)</t>
  </si>
  <si>
    <t>BMV 2Q26 XBRL p.64-65 (financial instruments by category)</t>
  </si>
  <si>
    <t>Lease payments / interest accrued 1H26</t>
  </si>
  <si>
    <t>3,948 / 1,042</t>
  </si>
  <si>
    <t>BMV 2Q26 XBRL p.100 (lease roll-forward)</t>
  </si>
  <si>
    <t>Bimbo published beta</t>
  </si>
  <si>
    <t>unverified</t>
  </si>
  <si>
    <t>investing.com (window not stated)</t>
  </si>
  <si>
    <t>BIMBO 23L yield</t>
  </si>
  <si>
    <t>LSEG export (pricing ~10-Oct)</t>
  </si>
  <si>
    <t>2026-10-10</t>
  </si>
  <si>
    <t>Debt / leases / cash, 31-Dec-2025</t>
  </si>
  <si>
    <t>153,663 / 34,790 / 8,535</t>
  </si>
  <si>
    <t>EEFF25 p.12 via data/financials.csv</t>
  </si>
  <si>
    <t>2025-12-31</t>
  </si>
  <si>
    <t>Debt / leases / cash, 30-Jun-2026</t>
  </si>
  <si>
    <t>153,660 / 33,361 / 16,563</t>
  </si>
  <si>
    <t>BMV Jun-26; CIQ</t>
  </si>
  <si>
    <t>Employee benefits line: retirement 2,130 + US welfare 3,272 + plan-asset gross-up 362 + LT bonuses 743</t>
  </si>
  <si>
    <t>EEFF25 p.75 note 18</t>
  </si>
  <si>
    <t>Other LT liabilities: provisions 10,684 (UTP 8,537; tax 1,196; labour 439; civil 511; other 1) + MEPP 985 + deferred compensation 1,060 + other 270</t>
  </si>
  <si>
    <t>EEFF25 p.79-80 note 19</t>
  </si>
  <si>
    <t>Net derivative liabilities (3,902 - 717)</t>
  </si>
  <si>
    <t>EEFF25 p.12 (data/adjustments.md)</t>
  </si>
  <si>
    <t>US self-insurance claims liability (in other payables and accruals: operating)</t>
  </si>
  <si>
    <t>EEFF25 p.36</t>
  </si>
  <si>
    <t>Investments in associates</t>
  </si>
  <si>
    <t>EEFF25 p.12</t>
  </si>
  <si>
    <t>NCI income 1H26 (annualised 1,814)</t>
  </si>
  <si>
    <t>CIQ quarterly: 1Q26 436 + 2Q26 471</t>
  </si>
  <si>
    <t>NCI income FY23 / FY24 / FY25; extraction via structured entities; NCI dividends</t>
  </si>
  <si>
    <t>1,445 / 1,499 / 1,813; 1,851 / 3,120 / 2,240; 91 / 109 / 135</t>
  </si>
  <si>
    <t>EEFF25 p.13, p.15</t>
  </si>
  <si>
    <t>2026 dividend paid (13-May)</t>
  </si>
  <si>
    <t>MXN/share</t>
  </si>
  <si>
    <t>wacc_inputs C1-C4</t>
  </si>
  <si>
    <t>2026-05-13</t>
  </si>
  <si>
    <t>Consensus DPS FY2027E (next 12 months)</t>
  </si>
  <si>
    <t>CIQ consensus (data/capitaliq/consensus.csv)</t>
  </si>
  <si>
    <t>2026-09-20</t>
  </si>
  <si>
    <t>Drivers: model/drivers.yaml (tag, rationale and pillar per driver). History: data/financials.csv (document and page per figure) and data/adjustments.md.</t>
  </si>
  <si>
    <t>Integrity checks</t>
  </si>
  <si>
    <t>WACC - g at least 2 points</t>
  </si>
  <si>
    <t>g not above long-term nominal GDP growth</t>
  </si>
  <si>
    <t>Weights add up to 100%</t>
  </si>
  <si>
    <t>Engine reconciliation: every row OK (count of OK = rows checked)</t>
  </si>
  <si>
    <t>Python replica reconciliation: every row OK</t>
  </si>
  <si>
    <t>Gordon TV share of EV below 85% (published)</t>
  </si>
  <si>
    <t>Exit multiple implied by the published Gordon value within a factor of two of the exit multiple (0.5x to 2x)</t>
  </si>
  <si>
    <t>Lease growth cannot add value: published Gordon &lt;= engine-basis Gordon</t>
  </si>
  <si>
    <t>Lease test (a): FY2035 growth in the lease liability within 10% of g x lease liability FY2035</t>
  </si>
  <si>
    <t>Lower-return table reproduces the published Gordon value at the implied RONIC</t>
  </si>
  <si>
    <t>Published RONIC above WACC (terminal growth creates value)</t>
  </si>
  <si>
    <t>Dated cross-check within 5% of the FYE roll-forward (Gordon and exit, published)</t>
  </si>
  <si>
    <t>Scenarios: base row equals the published key outputs (Gordon and exit)</t>
  </si>
  <si>
    <t>Operating working capital FY2021 ties to data/adjustments.md (-14,860)</t>
  </si>
  <si>
    <t>Operating working capital FY2022 ties to data/adjustments.md (-15,353)</t>
  </si>
  <si>
    <t>Operating working capital FY2023 ties to data/adjustments.md (-8,599)</t>
  </si>
  <si>
    <t>Operating working capital FY2024 ties to data/adjustments.md (-6,279)</t>
  </si>
  <si>
    <t>Operating working capital FY2025 ties to data/adjustments.md (-6,232)</t>
  </si>
  <si>
    <t>Debt-like components (NCI uplift live at ke) add up to valuation.yaml debt_like_items</t>
  </si>
  <si>
    <t>Segments add up to revenue FY2021</t>
  </si>
  <si>
    <t>Segments add up to revenue FY2022</t>
  </si>
  <si>
    <t>Segments add up to revenue FY2023</t>
  </si>
  <si>
    <t>Segments add up to revenue FY2024</t>
  </si>
  <si>
    <t>Segments add up to revenue FY2025</t>
  </si>
  <si>
    <t>Formula errors are scanned after recalculation with valuation/build/scan_errors.py.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</si>
</sst>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quot;-&quot;"/>
    <numFmt numFmtId="165" formatCode="0.000"/>
    <numFmt numFmtId="166" formatCode="0.0%;\(0.0%\);&quot;-&quot;"/>
    <numFmt numFmtId="167" formatCode="0.00&quot;x&quot;"/>
    <numFmt numFmtId="168" formatCode="0.0"/>
    <numFmt numFmtId="169" formatCode="#,##0;\(#,##0\);&quot;-&quot;"/>
    <numFmt numFmtId="170" formatCode="0.0000"/>
    <numFmt numFmtId="171" formatCode="#,##0.0"/>
    <numFmt numFmtId="172" formatCode="#,##0.00;\(#,##0.00\)"/>
    <numFmt numFmtId="173" formatCode="#,##0.0000"/>
  </numFmts>
  <fonts count="10" x14ac:knownFonts="1">
    <font>
      <sz val="11"/>
      <color theme="1"/>
      <name val="Calibri"/>
      <family val="2"/>
      <scheme val="minor"/>
    </font>
    <font>
      <b/>
      <sz val="14"/>
      <color rgb="FF1F3864"/>
      <name val="Calibri"/>
    </font>
    <font>
      <i/>
      <sz val="10"/>
      <color rgb="FF595959"/>
      <name val="Calibri"/>
    </font>
    <font>
      <i/>
      <sz val="9"/>
      <color rgb="FF595959"/>
      <name val="Calibri"/>
    </font>
    <font>
      <b/>
      <sz val="10"/>
      <color rgb="FFFFFFFF"/>
      <name val="Calibri"/>
    </font>
    <font>
      <sz val="10"/>
      <name val="Calibri"/>
    </font>
    <font>
      <sz val="10"/>
      <color rgb="FF0000FF"/>
      <name val="Calibri"/>
    </font>
    <font>
      <b/>
      <sz val="10"/>
      <name val="Calibri"/>
    </font>
    <font>
      <b/>
      <sz val="10"/>
      <color rgb="FF0000FF"/>
      <name val="Calibri"/>
    </font>
    <font>
      <sz val="10"/>
      <color rgb="FF00803C"/>
      <name val="Calibri"/>
    </font>
  </fonts>
  <fills count="6">
    <fill>
      <patternFill patternType="none"/>
    </fill>
    <fill>
      <patternFill patternType="gray125"/>
    </fill>
    <fill>
      <patternFill patternType="solid">
        <fgColor rgb="FF1F3864"/>
      </patternFill>
    </fill>
    <fill>
      <patternFill patternType="solid">
        <fgColor rgb="FFFFF2CC"/>
      </patternFill>
    </fill>
    <fill>
      <patternFill patternType="solid">
        <fgColor rgb="FFD9E1F2"/>
      </patternFill>
    </fill>
    <fill>
      <patternFill patternType="solid">
        <fgColor rgb="FFE2EFDA"/>
      </patternFill>
    </fill>
  </fills>
  <borders count="1">
    <border>
      <left/>
      <right/>
      <top/>
      <bottom/>
      <diagonal/>
    </border>
  </borders>
  <cellStyleXfs count="1">
    <xf numFmtId="0" fontId="0" fillId="0" borderId="0"/>
  </cellStyleXfs>
  <cellXfs count="49">
    <xf numFmtId="0" fontId="0" fillId="0" borderId="0" xfId="0"/>
    <xf numFmtId="0" fontId="1" fillId="0" borderId="0" xfId="0" applyFont="1"/>
    <xf numFmtId="0" fontId="2" fillId="0" borderId="0" xfId="0" applyFont="1"/>
    <xf numFmtId="0" fontId="5" fillId="0" borderId="0" xfId="0" applyFont="1"/>
    <xf numFmtId="0" fontId="7" fillId="0" borderId="0" xfId="0" applyFont="1"/>
    <xf numFmtId="0" fontId="3" fillId="0" borderId="0" xfId="0" applyFont="1"/>
    <xf numFmtId="0" fontId="4" fillId="2" borderId="0" xfId="0" applyFont="1" applyFill="1"/>
    <xf numFmtId="0" fontId="0" fillId="2" borderId="0" xfId="0" applyFill="1"/>
    <xf numFmtId="172" fontId="7" fillId="5" borderId="0" xfId="0" applyNumberFormat="1" applyFont="1" applyFill="1"/>
    <xf numFmtId="172" fontId="5" fillId="5" borderId="0" xfId="0" applyNumberFormat="1" applyFont="1" applyFill="1"/>
    <xf numFmtId="166" fontId="5" fillId="0" borderId="0" xfId="0" applyNumberFormat="1" applyFont="1"/>
    <xf numFmtId="164" fontId="5" fillId="0" borderId="0" xfId="0" applyNumberFormat="1" applyFont="1"/>
    <xf numFmtId="167" fontId="5" fillId="0" borderId="0" xfId="0" applyNumberFormat="1" applyFont="1"/>
    <xf numFmtId="169" fontId="5" fillId="0" borderId="0" xfId="0" applyNumberFormat="1" applyFont="1"/>
    <xf numFmtId="172" fontId="5" fillId="0" borderId="0" xfId="0" applyNumberFormat="1" applyFont="1"/>
    <xf numFmtId="164" fontId="6" fillId="3" borderId="0" xfId="0" applyNumberFormat="1" applyFont="1" applyFill="1"/>
    <xf numFmtId="165" fontId="6" fillId="3" borderId="0" xfId="0" applyNumberFormat="1" applyFont="1" applyFill="1"/>
    <xf numFmtId="166" fontId="6" fillId="3" borderId="0" xfId="0" applyNumberFormat="1" applyFont="1" applyFill="1"/>
    <xf numFmtId="165" fontId="5" fillId="0" borderId="0" xfId="0" applyNumberFormat="1" applyFont="1"/>
    <xf numFmtId="164" fontId="7" fillId="0" borderId="0" xfId="0" applyNumberFormat="1" applyFont="1"/>
    <xf numFmtId="2" fontId="6" fillId="3" borderId="0" xfId="0" applyNumberFormat="1" applyFont="1" applyFill="1"/>
    <xf numFmtId="167" fontId="6" fillId="3" borderId="0" xfId="0" applyNumberFormat="1" applyFont="1" applyFill="1"/>
    <xf numFmtId="0" fontId="4" fillId="2" borderId="0" xfId="0" applyFont="1" applyFill="1" applyAlignment="1">
      <alignment horizontal="right"/>
    </xf>
    <xf numFmtId="168" fontId="6" fillId="3" borderId="0" xfId="0" applyNumberFormat="1" applyFont="1" applyFill="1"/>
    <xf numFmtId="169" fontId="6" fillId="3" borderId="0" xfId="0" applyNumberFormat="1" applyFont="1" applyFill="1"/>
    <xf numFmtId="169" fontId="8" fillId="3" borderId="0" xfId="0" applyNumberFormat="1" applyFont="1" applyFill="1"/>
    <xf numFmtId="169" fontId="7" fillId="0" borderId="0" xfId="0" applyNumberFormat="1" applyFont="1"/>
    <xf numFmtId="1" fontId="6" fillId="0" borderId="0" xfId="0" applyNumberFormat="1" applyFont="1"/>
    <xf numFmtId="2" fontId="5" fillId="0" borderId="0" xfId="0" applyNumberFormat="1" applyFont="1"/>
    <xf numFmtId="170" fontId="5" fillId="0" borderId="0" xfId="0" applyNumberFormat="1" applyFont="1"/>
    <xf numFmtId="0" fontId="7" fillId="4" borderId="0" xfId="0" applyFont="1" applyFill="1"/>
    <xf numFmtId="0" fontId="0" fillId="4" borderId="0" xfId="0" applyFill="1"/>
    <xf numFmtId="171" fontId="6" fillId="3" borderId="0" xfId="0" applyNumberFormat="1" applyFont="1" applyFill="1"/>
    <xf numFmtId="172" fontId="6" fillId="3" borderId="0" xfId="0" applyNumberFormat="1" applyFont="1" applyFill="1"/>
    <xf numFmtId="172" fontId="7" fillId="0" borderId="0" xfId="0" applyNumberFormat="1" applyFont="1"/>
    <xf numFmtId="169" fontId="9" fillId="0" borderId="0" xfId="0" applyNumberFormat="1" applyFont="1"/>
    <xf numFmtId="164" fontId="9" fillId="0" borderId="0" xfId="0" applyNumberFormat="1" applyFont="1"/>
    <xf numFmtId="166" fontId="9" fillId="0" borderId="0" xfId="0" applyNumberFormat="1" applyFont="1"/>
    <xf numFmtId="11" fontId="5" fillId="0" borderId="0" xfId="0" applyNumberFormat="1" applyFont="1"/>
    <xf numFmtId="49" fontId="5" fillId="0" borderId="0" xfId="0" applyNumberFormat="1" applyFont="1"/>
    <xf numFmtId="172" fontId="9" fillId="0" borderId="0" xfId="0" applyNumberFormat="1" applyFont="1"/>
    <xf numFmtId="167" fontId="9" fillId="0" borderId="0" xfId="0" applyNumberFormat="1" applyFont="1"/>
    <xf numFmtId="170" fontId="9" fillId="0" borderId="0" xfId="0" applyNumberFormat="1" applyFont="1"/>
    <xf numFmtId="170" fontId="6" fillId="3" borderId="0" xfId="0" applyNumberFormat="1" applyFont="1" applyFill="1"/>
    <xf numFmtId="171" fontId="9" fillId="0" borderId="0" xfId="0" applyNumberFormat="1" applyFont="1"/>
    <xf numFmtId="165" fontId="9" fillId="0" borderId="0" xfId="0" applyNumberFormat="1" applyFont="1"/>
    <xf numFmtId="1" fontId="5" fillId="0" borderId="0" xfId="0" applyNumberFormat="1" applyFont="1"/>
    <xf numFmtId="4" fontId="6" fillId="3" borderId="0" xfId="0" applyNumberFormat="1" applyFont="1" applyFill="1"/>
    <xf numFmtId="173" fontId="6" fillId="3"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1"/>
  <sheetViews>
    <sheetView showGridLines="0" tabSelected="1" workbookViewId="0"/>
  </sheetViews>
  <sheetFormatPr defaultRowHeight="15" x14ac:dyDescent="0.25"/>
  <cols>
    <col min="2" max="2" width="120" customWidth="1"/>
  </cols>
  <sheetData>
    <row r="2" spans="2:2" ht="18.75" x14ac:dyDescent="0.3">
      <c r="B2" s="1" t="s">
        <v>0</v>
      </c>
    </row>
    <row r="3" spans="2:2" x14ac:dyDescent="0.25">
      <c r="B3" s="2" t="s">
        <v>1</v>
      </c>
    </row>
    <row r="4" spans="2:2" x14ac:dyDescent="0.25">
      <c r="B4" s="3"/>
    </row>
    <row r="5" spans="2:2" x14ac:dyDescent="0.25">
      <c r="B5" s="4" t="s">
        <v>2</v>
      </c>
    </row>
    <row r="6" spans="2:2" x14ac:dyDescent="0.25">
      <c r="B6" s="3" t="s">
        <v>3</v>
      </c>
    </row>
    <row r="7" spans="2:2" x14ac:dyDescent="0.25">
      <c r="B7" s="3" t="s">
        <v>4</v>
      </c>
    </row>
    <row r="8" spans="2:2" x14ac:dyDescent="0.25">
      <c r="B8" s="3" t="s">
        <v>5</v>
      </c>
    </row>
    <row r="9" spans="2:2" x14ac:dyDescent="0.25">
      <c r="B9" s="3" t="s">
        <v>6</v>
      </c>
    </row>
    <row r="10" spans="2:2" x14ac:dyDescent="0.25">
      <c r="B10" s="3" t="s">
        <v>7</v>
      </c>
    </row>
    <row r="11" spans="2:2" x14ac:dyDescent="0.25">
      <c r="B11" s="3" t="s">
        <v>8</v>
      </c>
    </row>
    <row r="12" spans="2:2" x14ac:dyDescent="0.25">
      <c r="B12" s="3" t="s">
        <v>9</v>
      </c>
    </row>
    <row r="13" spans="2:2" x14ac:dyDescent="0.25">
      <c r="B13" s="3" t="s">
        <v>10</v>
      </c>
    </row>
    <row r="14" spans="2:2" x14ac:dyDescent="0.25">
      <c r="B14" s="3" t="s">
        <v>11</v>
      </c>
    </row>
    <row r="15" spans="2:2" x14ac:dyDescent="0.25">
      <c r="B15" s="3"/>
    </row>
    <row r="16" spans="2:2" x14ac:dyDescent="0.25">
      <c r="B16" s="4" t="s">
        <v>12</v>
      </c>
    </row>
    <row r="17" spans="2:2" x14ac:dyDescent="0.25">
      <c r="B17" s="3" t="s">
        <v>13</v>
      </c>
    </row>
    <row r="18" spans="2:2" x14ac:dyDescent="0.25">
      <c r="B18" s="3" t="s">
        <v>14</v>
      </c>
    </row>
    <row r="19" spans="2:2" x14ac:dyDescent="0.25">
      <c r="B19" s="3" t="s">
        <v>15</v>
      </c>
    </row>
    <row r="20" spans="2:2" x14ac:dyDescent="0.25">
      <c r="B20" s="3"/>
    </row>
    <row r="21" spans="2:2" x14ac:dyDescent="0.25">
      <c r="B21" s="5"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T264"/>
  <sheetViews>
    <sheetView showGridLines="0" workbookViewId="0">
      <pane xSplit="2" ySplit="2" topLeftCell="C3" activePane="bottomRight" state="frozen"/>
      <selection pane="topRight"/>
      <selection pane="bottomLeft"/>
      <selection pane="bottomRight"/>
    </sheetView>
  </sheetViews>
  <sheetFormatPr defaultRowHeight="15" x14ac:dyDescent="0.25"/>
  <cols>
    <col min="1" max="1" width="2" customWidth="1"/>
    <col min="2" max="2" width="58" customWidth="1"/>
    <col min="3" max="3" width="9" customWidth="1"/>
    <col min="4" max="18" width="11" customWidth="1"/>
    <col min="19" max="19" width="70" customWidth="1"/>
  </cols>
  <sheetData>
    <row r="2" spans="2:20" ht="18.75" x14ac:dyDescent="0.3">
      <c r="B2" s="1" t="s">
        <v>17</v>
      </c>
    </row>
    <row r="3" spans="2:20" x14ac:dyDescent="0.25">
      <c r="B3" s="2" t="s">
        <v>18</v>
      </c>
    </row>
    <row r="4" spans="2:20" x14ac:dyDescent="0.25">
      <c r="B4" s="5" t="s">
        <v>19</v>
      </c>
    </row>
    <row r="6" spans="2:20" x14ac:dyDescent="0.25">
      <c r="B6" s="6" t="s">
        <v>20</v>
      </c>
      <c r="C6" s="7"/>
      <c r="D6" s="7"/>
      <c r="E6" s="7"/>
      <c r="F6" s="7"/>
      <c r="G6" s="7"/>
      <c r="H6" s="7"/>
      <c r="I6" s="7"/>
      <c r="J6" s="7"/>
      <c r="K6" s="7"/>
      <c r="L6" s="7"/>
      <c r="M6" s="7"/>
      <c r="N6" s="7"/>
      <c r="O6" s="7"/>
      <c r="P6" s="7"/>
      <c r="Q6" s="7"/>
      <c r="R6" s="7"/>
      <c r="S6" s="7"/>
      <c r="T6" s="7"/>
    </row>
    <row r="7" spans="2:20" x14ac:dyDescent="0.25">
      <c r="B7" s="4" t="s">
        <v>21</v>
      </c>
      <c r="D7" s="8">
        <f>$D$192</f>
        <v>33.551593182470391</v>
      </c>
    </row>
    <row r="8" spans="2:20" x14ac:dyDescent="0.25">
      <c r="B8" s="4" t="s">
        <v>22</v>
      </c>
      <c r="D8" s="8">
        <f>$D$194</f>
        <v>45.715084692844592</v>
      </c>
    </row>
    <row r="9" spans="2:20" x14ac:dyDescent="0.25">
      <c r="B9" s="4" t="s">
        <v>23</v>
      </c>
      <c r="D9" s="8">
        <f>$D$198</f>
        <v>36.844394351408802</v>
      </c>
    </row>
    <row r="10" spans="2:20" x14ac:dyDescent="0.25">
      <c r="B10" s="3" t="s">
        <v>24</v>
      </c>
      <c r="D10" s="9">
        <f>$D$146</f>
        <v>58.6</v>
      </c>
    </row>
    <row r="11" spans="2:20" x14ac:dyDescent="0.25">
      <c r="B11" s="3" t="s">
        <v>25</v>
      </c>
      <c r="D11" s="10">
        <f>$D$195</f>
        <v>-0.42744721531620489</v>
      </c>
      <c r="E11" s="10">
        <f>$D$196</f>
        <v>-0.21987910080469986</v>
      </c>
    </row>
    <row r="12" spans="2:20" x14ac:dyDescent="0.25">
      <c r="B12" s="3" t="s">
        <v>26</v>
      </c>
      <c r="D12" s="11">
        <f>$D$34</f>
        <v>0.10323275673541572</v>
      </c>
      <c r="E12" s="11">
        <f>$D$30</f>
        <v>0.12943651126550315</v>
      </c>
    </row>
    <row r="13" spans="2:20" x14ac:dyDescent="0.25">
      <c r="B13" s="3" t="s">
        <v>27</v>
      </c>
      <c r="D13" s="11">
        <f>$D$39</f>
        <v>4.2500000000000003E-2</v>
      </c>
      <c r="E13" s="12">
        <f>$D$40</f>
        <v>6</v>
      </c>
    </row>
    <row r="14" spans="2:20" x14ac:dyDescent="0.25">
      <c r="B14" s="3" t="s">
        <v>28</v>
      </c>
      <c r="D14" s="13">
        <f>$D$187</f>
        <v>342034.1491078675</v>
      </c>
      <c r="E14" s="13">
        <f>$D$188</f>
        <v>370093.87040267693</v>
      </c>
    </row>
    <row r="15" spans="2:20" x14ac:dyDescent="0.25">
      <c r="B15" s="3" t="s">
        <v>29</v>
      </c>
      <c r="D15" s="10">
        <f>$D$189</f>
        <v>0.54336156999457463</v>
      </c>
      <c r="E15" s="10">
        <f>$D$190</f>
        <v>0.57798291366749288</v>
      </c>
    </row>
    <row r="16" spans="2:20" x14ac:dyDescent="0.25">
      <c r="B16" s="3" t="s">
        <v>30</v>
      </c>
      <c r="D16" s="10">
        <f>$D$200</f>
        <v>0.14618390760857691</v>
      </c>
      <c r="E16" s="10">
        <f>$D$169</f>
        <v>0.1789712676456372</v>
      </c>
    </row>
    <row r="17" spans="2:20" x14ac:dyDescent="0.25">
      <c r="B17" s="3" t="s">
        <v>31</v>
      </c>
      <c r="D17" s="14">
        <f>$E$219</f>
        <v>25.45469905743763</v>
      </c>
      <c r="E17" s="14">
        <f>$E$220</f>
        <v>30.253543141836783</v>
      </c>
    </row>
    <row r="18" spans="2:20" x14ac:dyDescent="0.25">
      <c r="B18" s="3" t="s">
        <v>32</v>
      </c>
      <c r="D18" s="14">
        <f>$D$152</f>
        <v>39.481482772914909</v>
      </c>
      <c r="E18" s="14">
        <f>$D$159</f>
        <v>43.084453886970117</v>
      </c>
    </row>
    <row r="19" spans="2:20" x14ac:dyDescent="0.25">
      <c r="B19" s="3" t="s">
        <v>33</v>
      </c>
      <c r="D19" s="5" t="s">
        <v>34</v>
      </c>
    </row>
    <row r="21" spans="2:20" x14ac:dyDescent="0.25">
      <c r="B21" s="6" t="s">
        <v>35</v>
      </c>
      <c r="C21" s="7"/>
      <c r="D21" s="7"/>
      <c r="E21" s="7"/>
      <c r="F21" s="7"/>
      <c r="G21" s="7"/>
      <c r="H21" s="7"/>
      <c r="I21" s="7"/>
      <c r="J21" s="7"/>
      <c r="K21" s="7"/>
      <c r="L21" s="7"/>
      <c r="M21" s="7"/>
      <c r="N21" s="7"/>
      <c r="O21" s="7"/>
      <c r="P21" s="7"/>
      <c r="Q21" s="7"/>
      <c r="R21" s="7"/>
      <c r="S21" s="7"/>
      <c r="T21" s="7"/>
    </row>
    <row r="22" spans="2:20" x14ac:dyDescent="0.25">
      <c r="B22" s="3" t="s">
        <v>36</v>
      </c>
      <c r="D22" s="15">
        <v>7.5101187761694166E-2</v>
      </c>
      <c r="E22" s="5" t="s">
        <v>37</v>
      </c>
    </row>
    <row r="23" spans="2:20" x14ac:dyDescent="0.25">
      <c r="B23" s="3" t="s">
        <v>38</v>
      </c>
      <c r="D23" s="15">
        <v>4.2000000000000003E-2</v>
      </c>
      <c r="E23" s="5" t="s">
        <v>39</v>
      </c>
    </row>
    <row r="24" spans="2:20" x14ac:dyDescent="0.25">
      <c r="B24" s="3" t="s">
        <v>40</v>
      </c>
      <c r="D24" s="15">
        <v>2.049633930380898E-2</v>
      </c>
      <c r="E24" s="5" t="s">
        <v>41</v>
      </c>
    </row>
    <row r="25" spans="2:20" x14ac:dyDescent="0.25">
      <c r="B25" s="3" t="s">
        <v>42</v>
      </c>
      <c r="D25" s="16">
        <v>0.53</v>
      </c>
      <c r="E25" s="5" t="s">
        <v>43</v>
      </c>
    </row>
    <row r="26" spans="2:20" x14ac:dyDescent="0.25">
      <c r="B26" s="3" t="s">
        <v>44</v>
      </c>
      <c r="D26" s="16">
        <v>0.74309999999999998</v>
      </c>
      <c r="E26" s="5" t="s">
        <v>45</v>
      </c>
    </row>
    <row r="27" spans="2:20" x14ac:dyDescent="0.25">
      <c r="B27" s="3" t="s">
        <v>46</v>
      </c>
      <c r="D27" s="15">
        <v>9.7100000000000006E-2</v>
      </c>
      <c r="E27" s="5" t="s">
        <v>47</v>
      </c>
    </row>
    <row r="28" spans="2:20" x14ac:dyDescent="0.25">
      <c r="B28" s="3" t="s">
        <v>48</v>
      </c>
      <c r="D28" s="17">
        <v>0.3</v>
      </c>
      <c r="E28" s="5" t="s">
        <v>49</v>
      </c>
    </row>
    <row r="29" spans="2:20" x14ac:dyDescent="0.25">
      <c r="B29" s="3" t="s">
        <v>50</v>
      </c>
      <c r="D29" s="18">
        <f>$D$25*(1+(1-$D$28)*$D$26)</f>
        <v>0.80569009999999996</v>
      </c>
    </row>
    <row r="30" spans="2:20" x14ac:dyDescent="0.25">
      <c r="B30" s="3" t="s">
        <v>51</v>
      </c>
      <c r="D30" s="11">
        <f>$D$22+$D$29*$D$23+$D$24</f>
        <v>0.12943651126550315</v>
      </c>
    </row>
    <row r="31" spans="2:20" x14ac:dyDescent="0.25">
      <c r="B31" s="3" t="s">
        <v>52</v>
      </c>
      <c r="D31" s="11">
        <f>$D$27*(1-$D$28)</f>
        <v>6.7970000000000003E-2</v>
      </c>
    </row>
    <row r="32" spans="2:20" x14ac:dyDescent="0.25">
      <c r="B32" s="3" t="s">
        <v>53</v>
      </c>
      <c r="D32" s="10">
        <f>1/(1+$D$26)</f>
        <v>0.57369055131661983</v>
      </c>
    </row>
    <row r="33" spans="2:20" x14ac:dyDescent="0.25">
      <c r="B33" s="3" t="s">
        <v>54</v>
      </c>
      <c r="D33" s="10">
        <f>$D$26/(1+$D$26)</f>
        <v>0.42630944868338017</v>
      </c>
    </row>
    <row r="34" spans="2:20" x14ac:dyDescent="0.25">
      <c r="B34" s="4" t="s">
        <v>55</v>
      </c>
      <c r="D34" s="19">
        <f>$D$32*$D$30+$D$33*$D$31</f>
        <v>0.10323275673541572</v>
      </c>
      <c r="E34" s="5" t="s">
        <v>56</v>
      </c>
    </row>
    <row r="36" spans="2:20" x14ac:dyDescent="0.25">
      <c r="B36" s="6" t="s">
        <v>57</v>
      </c>
      <c r="C36" s="7"/>
      <c r="D36" s="7"/>
      <c r="E36" s="7"/>
      <c r="F36" s="7"/>
      <c r="G36" s="7"/>
      <c r="H36" s="7"/>
      <c r="I36" s="7"/>
      <c r="J36" s="7"/>
      <c r="K36" s="7"/>
      <c r="L36" s="7"/>
      <c r="M36" s="7"/>
      <c r="N36" s="7"/>
      <c r="O36" s="7"/>
      <c r="P36" s="7"/>
      <c r="Q36" s="7"/>
      <c r="R36" s="7"/>
      <c r="S36" s="7"/>
      <c r="T36" s="7"/>
    </row>
    <row r="37" spans="2:20" x14ac:dyDescent="0.25">
      <c r="B37" s="3" t="s">
        <v>58</v>
      </c>
      <c r="D37" s="20">
        <v>0.5</v>
      </c>
      <c r="E37" s="5" t="s">
        <v>59</v>
      </c>
    </row>
    <row r="38" spans="2:20" x14ac:dyDescent="0.25">
      <c r="B38" s="3" t="s">
        <v>60</v>
      </c>
      <c r="D38" s="16">
        <v>0.79179999999999995</v>
      </c>
      <c r="E38" s="5" t="s">
        <v>61</v>
      </c>
    </row>
    <row r="39" spans="2:20" x14ac:dyDescent="0.25">
      <c r="B39" s="3" t="s">
        <v>62</v>
      </c>
      <c r="D39" s="15">
        <v>4.2500000000000003E-2</v>
      </c>
      <c r="E39" s="5" t="s">
        <v>63</v>
      </c>
    </row>
    <row r="40" spans="2:20" x14ac:dyDescent="0.25">
      <c r="B40" s="3" t="s">
        <v>64</v>
      </c>
      <c r="D40" s="21">
        <v>6</v>
      </c>
      <c r="E40" s="5" t="s">
        <v>65</v>
      </c>
    </row>
    <row r="41" spans="2:20" x14ac:dyDescent="0.25">
      <c r="B41" s="3" t="s">
        <v>66</v>
      </c>
      <c r="D41" s="15">
        <v>0.05</v>
      </c>
      <c r="E41" s="5" t="s">
        <v>67</v>
      </c>
    </row>
    <row r="42" spans="2:20" x14ac:dyDescent="0.25">
      <c r="B42" s="3" t="s">
        <v>68</v>
      </c>
      <c r="D42" s="15">
        <v>0</v>
      </c>
      <c r="E42" s="5" t="s">
        <v>69</v>
      </c>
    </row>
    <row r="43" spans="2:20" x14ac:dyDescent="0.25">
      <c r="B43" s="3" t="s">
        <v>70</v>
      </c>
      <c r="D43" s="15">
        <v>0</v>
      </c>
      <c r="E43" s="5" t="s">
        <v>71</v>
      </c>
    </row>
    <row r="44" spans="2:20" x14ac:dyDescent="0.25">
      <c r="B44" s="3" t="s">
        <v>72</v>
      </c>
      <c r="D44" s="15">
        <v>0</v>
      </c>
      <c r="E44" s="5" t="s">
        <v>73</v>
      </c>
    </row>
    <row r="46" spans="2:20" x14ac:dyDescent="0.25">
      <c r="B46" s="6" t="s">
        <v>74</v>
      </c>
      <c r="C46" s="7"/>
      <c r="D46" s="22" t="s">
        <v>75</v>
      </c>
      <c r="E46" s="22" t="s">
        <v>76</v>
      </c>
      <c r="F46" s="22" t="s">
        <v>77</v>
      </c>
      <c r="G46" s="22" t="s">
        <v>78</v>
      </c>
      <c r="H46" s="22" t="s">
        <v>79</v>
      </c>
      <c r="I46" s="22" t="s">
        <v>80</v>
      </c>
      <c r="J46" s="22" t="s">
        <v>81</v>
      </c>
      <c r="K46" s="22" t="s">
        <v>82</v>
      </c>
      <c r="L46" s="22" t="s">
        <v>83</v>
      </c>
      <c r="M46" s="22" t="s">
        <v>84</v>
      </c>
      <c r="N46" s="22" t="s">
        <v>85</v>
      </c>
      <c r="O46" s="22" t="s">
        <v>86</v>
      </c>
      <c r="P46" s="22" t="s">
        <v>87</v>
      </c>
      <c r="Q46" s="22" t="s">
        <v>88</v>
      </c>
      <c r="R46" s="22" t="s">
        <v>89</v>
      </c>
      <c r="S46" s="6" t="s">
        <v>90</v>
      </c>
      <c r="T46" s="7"/>
    </row>
    <row r="47" spans="2:20" x14ac:dyDescent="0.25">
      <c r="B47" s="3" t="s">
        <v>91</v>
      </c>
      <c r="I47" s="17">
        <v>-7.3999999999999996E-2</v>
      </c>
      <c r="J47" s="17">
        <v>0.03</v>
      </c>
      <c r="K47" s="17">
        <v>0.03</v>
      </c>
      <c r="L47" s="17">
        <v>0.03</v>
      </c>
      <c r="M47" s="17">
        <v>0.03</v>
      </c>
      <c r="N47" s="17">
        <v>0.03</v>
      </c>
      <c r="O47" s="17">
        <v>0.03</v>
      </c>
      <c r="P47" s="17">
        <v>0.03</v>
      </c>
      <c r="Q47" s="17">
        <v>0.03</v>
      </c>
      <c r="R47" s="17">
        <v>0.03</v>
      </c>
      <c r="S47" s="5" t="s">
        <v>92</v>
      </c>
    </row>
    <row r="48" spans="2:20" x14ac:dyDescent="0.25">
      <c r="B48" s="3" t="s">
        <v>93</v>
      </c>
      <c r="I48" s="17">
        <v>4.5999999999999999E-2</v>
      </c>
      <c r="J48" s="17">
        <v>5.5E-2</v>
      </c>
      <c r="K48" s="17">
        <v>5.2499999999999998E-2</v>
      </c>
      <c r="L48" s="17">
        <v>5.2499999999999998E-2</v>
      </c>
      <c r="M48" s="17">
        <v>5.2499999999999998E-2</v>
      </c>
      <c r="N48" s="17">
        <v>5.1499999999999997E-2</v>
      </c>
      <c r="O48" s="17">
        <v>5.0999999999999997E-2</v>
      </c>
      <c r="P48" s="17">
        <v>5.0500000000000003E-2</v>
      </c>
      <c r="Q48" s="17">
        <v>0.05</v>
      </c>
      <c r="R48" s="17">
        <v>0.05</v>
      </c>
      <c r="S48" s="5" t="s">
        <v>94</v>
      </c>
    </row>
    <row r="49" spans="2:20" x14ac:dyDescent="0.25">
      <c r="B49" s="3" t="s">
        <v>95</v>
      </c>
      <c r="I49" s="17">
        <v>6.0000000000000001E-3</v>
      </c>
      <c r="J49" s="17">
        <v>4.4999999999999998E-2</v>
      </c>
      <c r="K49" s="17">
        <v>4.4999999999999998E-2</v>
      </c>
      <c r="L49" s="17">
        <v>4.4999999999999998E-2</v>
      </c>
      <c r="M49" s="17">
        <v>4.4999999999999998E-2</v>
      </c>
      <c r="N49" s="17">
        <v>4.4499999999999998E-2</v>
      </c>
      <c r="O49" s="17">
        <v>4.3999999999999997E-2</v>
      </c>
      <c r="P49" s="17">
        <v>4.3499999999999997E-2</v>
      </c>
      <c r="Q49" s="17">
        <v>4.2999999999999997E-2</v>
      </c>
      <c r="R49" s="17">
        <v>4.2500000000000003E-2</v>
      </c>
      <c r="S49" s="5" t="s">
        <v>96</v>
      </c>
    </row>
    <row r="50" spans="2:20" x14ac:dyDescent="0.25">
      <c r="B50" s="3" t="s">
        <v>97</v>
      </c>
      <c r="I50" s="17">
        <v>8.5000000000000006E-2</v>
      </c>
      <c r="J50" s="17">
        <v>7.0000000000000007E-2</v>
      </c>
      <c r="K50" s="17">
        <v>6.5000000000000002E-2</v>
      </c>
      <c r="L50" s="17">
        <v>6.5000000000000002E-2</v>
      </c>
      <c r="M50" s="17">
        <v>6.5000000000000002E-2</v>
      </c>
      <c r="N50" s="17">
        <v>6.3E-2</v>
      </c>
      <c r="O50" s="17">
        <v>6.0999999999999999E-2</v>
      </c>
      <c r="P50" s="17">
        <v>5.8999999999999997E-2</v>
      </c>
      <c r="Q50" s="17">
        <v>5.7000000000000002E-2</v>
      </c>
      <c r="R50" s="17">
        <v>5.5E-2</v>
      </c>
      <c r="S50" s="5" t="s">
        <v>98</v>
      </c>
    </row>
    <row r="51" spans="2:20" x14ac:dyDescent="0.25">
      <c r="B51" s="3" t="s">
        <v>99</v>
      </c>
      <c r="I51" s="17">
        <v>3.5999999999999997E-2</v>
      </c>
      <c r="J51" s="17">
        <v>4.4999999999999998E-2</v>
      </c>
      <c r="K51" s="17">
        <v>4.4999999999999998E-2</v>
      </c>
      <c r="L51" s="17">
        <v>4.4999999999999998E-2</v>
      </c>
      <c r="M51" s="17">
        <v>4.4999999999999998E-2</v>
      </c>
      <c r="N51" s="17">
        <v>4.4999999999999998E-2</v>
      </c>
      <c r="O51" s="17">
        <v>4.4999999999999998E-2</v>
      </c>
      <c r="P51" s="17">
        <v>4.4999999999999998E-2</v>
      </c>
      <c r="Q51" s="17">
        <v>4.4999999999999998E-2</v>
      </c>
      <c r="R51" s="17">
        <v>4.4999999999999998E-2</v>
      </c>
      <c r="S51" s="5" t="s">
        <v>100</v>
      </c>
    </row>
    <row r="52" spans="2:20" x14ac:dyDescent="0.25">
      <c r="B52" s="3" t="s">
        <v>101</v>
      </c>
      <c r="I52" s="17">
        <v>0.52400000000000002</v>
      </c>
      <c r="J52" s="17">
        <v>0.52</v>
      </c>
      <c r="K52" s="17">
        <v>0.52300000000000002</v>
      </c>
      <c r="L52" s="17">
        <v>0.52500000000000002</v>
      </c>
      <c r="M52" s="17">
        <v>0.52500000000000002</v>
      </c>
      <c r="N52" s="17">
        <v>0.52500000000000002</v>
      </c>
      <c r="O52" s="17">
        <v>0.52500000000000002</v>
      </c>
      <c r="P52" s="17">
        <v>0.52500000000000002</v>
      </c>
      <c r="Q52" s="17">
        <v>0.52500000000000002</v>
      </c>
      <c r="R52" s="17">
        <v>0.52500000000000002</v>
      </c>
      <c r="S52" s="5" t="s">
        <v>102</v>
      </c>
    </row>
    <row r="53" spans="2:20" x14ac:dyDescent="0.25">
      <c r="B53" s="3" t="s">
        <v>103</v>
      </c>
      <c r="I53" s="17">
        <v>0.436</v>
      </c>
      <c r="J53" s="17">
        <v>0.434</v>
      </c>
      <c r="K53" s="17">
        <v>0.433</v>
      </c>
      <c r="L53" s="17">
        <v>0.4325</v>
      </c>
      <c r="M53" s="17">
        <v>0.43049999999999999</v>
      </c>
      <c r="N53" s="17">
        <v>0.43049999999999999</v>
      </c>
      <c r="O53" s="17">
        <v>0.43049999999999999</v>
      </c>
      <c r="P53" s="17">
        <v>0.43049999999999999</v>
      </c>
      <c r="Q53" s="17">
        <v>0.43049999999999999</v>
      </c>
      <c r="R53" s="17">
        <v>0.43049999999999999</v>
      </c>
      <c r="S53" s="5" t="s">
        <v>104</v>
      </c>
    </row>
    <row r="54" spans="2:20" x14ac:dyDescent="0.25">
      <c r="B54" s="3" t="s">
        <v>105</v>
      </c>
      <c r="I54" s="17">
        <v>5.8999999999999997E-2</v>
      </c>
      <c r="J54" s="17">
        <v>5.8999999999999997E-2</v>
      </c>
      <c r="K54" s="17">
        <v>5.8999999999999997E-2</v>
      </c>
      <c r="L54" s="17">
        <v>5.8500000000000003E-2</v>
      </c>
      <c r="M54" s="17">
        <v>5.8500000000000003E-2</v>
      </c>
      <c r="N54" s="17">
        <v>5.8500000000000003E-2</v>
      </c>
      <c r="O54" s="17">
        <v>5.8500000000000003E-2</v>
      </c>
      <c r="P54" s="17">
        <v>5.8500000000000003E-2</v>
      </c>
      <c r="Q54" s="17">
        <v>5.8500000000000003E-2</v>
      </c>
      <c r="R54" s="17">
        <v>5.8500000000000003E-2</v>
      </c>
      <c r="S54" s="5" t="s">
        <v>106</v>
      </c>
    </row>
    <row r="55" spans="2:20" x14ac:dyDescent="0.25">
      <c r="B55" s="3" t="s">
        <v>107</v>
      </c>
      <c r="I55" s="17">
        <v>4.5999999999999999E-2</v>
      </c>
      <c r="J55" s="17">
        <v>0.05</v>
      </c>
      <c r="K55" s="17">
        <v>5.1999999999999998E-2</v>
      </c>
      <c r="L55" s="17">
        <v>5.3999999999999999E-2</v>
      </c>
      <c r="M55" s="17">
        <v>5.5E-2</v>
      </c>
      <c r="N55" s="17">
        <v>5.6000000000000001E-2</v>
      </c>
      <c r="O55" s="17">
        <v>5.7000000000000002E-2</v>
      </c>
      <c r="P55" s="17">
        <v>5.8000000000000003E-2</v>
      </c>
      <c r="Q55" s="17">
        <v>5.8999999999999997E-2</v>
      </c>
      <c r="R55" s="17">
        <v>0.06</v>
      </c>
      <c r="S55" s="5" t="s">
        <v>108</v>
      </c>
    </row>
    <row r="56" spans="2:20" x14ac:dyDescent="0.25">
      <c r="B56" s="3" t="s">
        <v>109</v>
      </c>
      <c r="I56" s="17">
        <v>1.3899999999999999E-2</v>
      </c>
      <c r="J56" s="17">
        <v>1.3899999999999999E-2</v>
      </c>
      <c r="K56" s="17">
        <v>1.3899999999999999E-2</v>
      </c>
      <c r="L56" s="17">
        <v>1.3899999999999999E-2</v>
      </c>
      <c r="M56" s="17">
        <v>1.3899999999999999E-2</v>
      </c>
      <c r="N56" s="17">
        <v>1.3899999999999999E-2</v>
      </c>
      <c r="O56" s="17">
        <v>1.3899999999999999E-2</v>
      </c>
      <c r="P56" s="17">
        <v>1.3899999999999999E-2</v>
      </c>
      <c r="Q56" s="17">
        <v>1.3899999999999999E-2</v>
      </c>
      <c r="R56" s="17">
        <v>1.3899999999999999E-2</v>
      </c>
      <c r="S56" s="5" t="s">
        <v>110</v>
      </c>
    </row>
    <row r="57" spans="2:20" x14ac:dyDescent="0.25">
      <c r="B57" s="3" t="s">
        <v>111</v>
      </c>
      <c r="I57" s="23">
        <v>20.3</v>
      </c>
      <c r="J57" s="23">
        <v>20.3</v>
      </c>
      <c r="K57" s="23">
        <v>20.3</v>
      </c>
      <c r="L57" s="23">
        <v>20.3</v>
      </c>
      <c r="M57" s="23">
        <v>20.3</v>
      </c>
      <c r="N57" s="23">
        <v>20.3</v>
      </c>
      <c r="O57" s="23">
        <v>20.3</v>
      </c>
      <c r="P57" s="23">
        <v>20.3</v>
      </c>
      <c r="Q57" s="23">
        <v>20.3</v>
      </c>
      <c r="R57" s="23">
        <v>20.3</v>
      </c>
      <c r="S57" s="5" t="s">
        <v>112</v>
      </c>
    </row>
    <row r="58" spans="2:20" x14ac:dyDescent="0.25">
      <c r="B58" s="3" t="s">
        <v>113</v>
      </c>
      <c r="I58" s="23">
        <v>30.8</v>
      </c>
      <c r="J58" s="23">
        <v>30.8</v>
      </c>
      <c r="K58" s="23">
        <v>30.8</v>
      </c>
      <c r="L58" s="23">
        <v>30.8</v>
      </c>
      <c r="M58" s="23">
        <v>30.8</v>
      </c>
      <c r="N58" s="23">
        <v>30.8</v>
      </c>
      <c r="O58" s="23">
        <v>30.8</v>
      </c>
      <c r="P58" s="23">
        <v>30.8</v>
      </c>
      <c r="Q58" s="23">
        <v>30.8</v>
      </c>
      <c r="R58" s="23">
        <v>30.8</v>
      </c>
      <c r="S58" s="5" t="s">
        <v>114</v>
      </c>
    </row>
    <row r="59" spans="2:20" x14ac:dyDescent="0.25">
      <c r="B59" s="3" t="s">
        <v>115</v>
      </c>
      <c r="I59" s="23">
        <v>70.099999999999994</v>
      </c>
      <c r="J59" s="23">
        <v>70.099999999999994</v>
      </c>
      <c r="K59" s="23">
        <v>70.099999999999994</v>
      </c>
      <c r="L59" s="23">
        <v>70.099999999999994</v>
      </c>
      <c r="M59" s="23">
        <v>70.099999999999994</v>
      </c>
      <c r="N59" s="23">
        <v>70.099999999999994</v>
      </c>
      <c r="O59" s="23">
        <v>70.099999999999994</v>
      </c>
      <c r="P59" s="23">
        <v>70.099999999999994</v>
      </c>
      <c r="Q59" s="23">
        <v>70.099999999999994</v>
      </c>
      <c r="R59" s="23">
        <v>70.099999999999994</v>
      </c>
      <c r="S59" s="5" t="s">
        <v>116</v>
      </c>
    </row>
    <row r="60" spans="2:20" x14ac:dyDescent="0.25">
      <c r="B60" s="3" t="s">
        <v>117</v>
      </c>
      <c r="I60" s="17">
        <v>3.5630000000000002E-2</v>
      </c>
      <c r="J60" s="17">
        <v>3.5485999999999997E-2</v>
      </c>
      <c r="K60" s="17">
        <v>3.5352000000000001E-2</v>
      </c>
      <c r="L60" s="17">
        <v>3.5223999999999998E-2</v>
      </c>
      <c r="M60" s="17">
        <v>3.5099999999999999E-2</v>
      </c>
      <c r="N60" s="17">
        <v>3.4983E-2</v>
      </c>
      <c r="O60" s="17">
        <v>3.4872E-2</v>
      </c>
      <c r="P60" s="17">
        <v>3.4765999999999998E-2</v>
      </c>
      <c r="Q60" s="17">
        <v>3.4666000000000002E-2</v>
      </c>
      <c r="R60" s="17">
        <v>3.4569999999999997E-2</v>
      </c>
      <c r="S60" s="5" t="s">
        <v>118</v>
      </c>
    </row>
    <row r="61" spans="2:20" x14ac:dyDescent="0.25">
      <c r="B61" s="3" t="s">
        <v>119</v>
      </c>
      <c r="I61" s="17">
        <v>7.4643000000000001E-2</v>
      </c>
      <c r="J61" s="17">
        <v>7.3627999999999999E-2</v>
      </c>
      <c r="K61" s="17">
        <v>7.2683999999999999E-2</v>
      </c>
      <c r="L61" s="17">
        <v>7.1776999999999994E-2</v>
      </c>
      <c r="M61" s="17">
        <v>7.0905999999999997E-2</v>
      </c>
      <c r="N61" s="17">
        <v>7.0082000000000005E-2</v>
      </c>
      <c r="O61" s="17">
        <v>6.9298999999999999E-2</v>
      </c>
      <c r="P61" s="17">
        <v>6.8555000000000005E-2</v>
      </c>
      <c r="Q61" s="17">
        <v>6.7848000000000006E-2</v>
      </c>
      <c r="R61" s="17">
        <v>6.7172999999999997E-2</v>
      </c>
      <c r="S61" s="5" t="s">
        <v>120</v>
      </c>
    </row>
    <row r="62" spans="2:20" x14ac:dyDescent="0.25">
      <c r="B62" s="3" t="s">
        <v>121</v>
      </c>
      <c r="I62" s="17">
        <v>0.34</v>
      </c>
      <c r="J62" s="17">
        <v>0.34</v>
      </c>
      <c r="K62" s="17">
        <v>0.34</v>
      </c>
      <c r="L62" s="17">
        <v>0.34</v>
      </c>
      <c r="M62" s="17">
        <v>0.34</v>
      </c>
      <c r="N62" s="17">
        <v>0.34</v>
      </c>
      <c r="O62" s="17">
        <v>0.34</v>
      </c>
      <c r="P62" s="17">
        <v>0.34</v>
      </c>
      <c r="Q62" s="17">
        <v>0.34</v>
      </c>
      <c r="R62" s="17">
        <v>0.34</v>
      </c>
      <c r="S62" s="5" t="s">
        <v>122</v>
      </c>
    </row>
    <row r="64" spans="2:20" x14ac:dyDescent="0.25">
      <c r="B64" s="6" t="s">
        <v>123</v>
      </c>
      <c r="C64" s="7"/>
      <c r="D64" s="22" t="s">
        <v>75</v>
      </c>
      <c r="E64" s="22" t="s">
        <v>76</v>
      </c>
      <c r="F64" s="22" t="s">
        <v>77</v>
      </c>
      <c r="G64" s="22" t="s">
        <v>78</v>
      </c>
      <c r="H64" s="22" t="s">
        <v>79</v>
      </c>
      <c r="I64" s="22" t="s">
        <v>80</v>
      </c>
      <c r="J64" s="22" t="s">
        <v>81</v>
      </c>
      <c r="K64" s="22" t="s">
        <v>82</v>
      </c>
      <c r="L64" s="22" t="s">
        <v>83</v>
      </c>
      <c r="M64" s="22" t="s">
        <v>84</v>
      </c>
      <c r="N64" s="22" t="s">
        <v>85</v>
      </c>
      <c r="O64" s="22" t="s">
        <v>86</v>
      </c>
      <c r="P64" s="22" t="s">
        <v>87</v>
      </c>
      <c r="Q64" s="22" t="s">
        <v>88</v>
      </c>
      <c r="R64" s="22" t="s">
        <v>89</v>
      </c>
      <c r="S64" s="6" t="s">
        <v>90</v>
      </c>
      <c r="T64" s="7"/>
    </row>
    <row r="65" spans="2:19" x14ac:dyDescent="0.25">
      <c r="B65" s="3" t="s">
        <v>124</v>
      </c>
      <c r="D65" s="24">
        <v>175369</v>
      </c>
      <c r="E65" s="24">
        <v>205674</v>
      </c>
      <c r="F65" s="24">
        <v>192534</v>
      </c>
      <c r="G65" s="24">
        <v>189330</v>
      </c>
      <c r="H65" s="24">
        <v>190211</v>
      </c>
      <c r="I65" s="13">
        <f t="shared" ref="I65:R65" si="0">H65*(1+I47+$D$42)</f>
        <v>176135.386</v>
      </c>
      <c r="J65" s="13">
        <f t="shared" si="0"/>
        <v>181419.44758000001</v>
      </c>
      <c r="K65" s="13">
        <f t="shared" si="0"/>
        <v>186862.03100740002</v>
      </c>
      <c r="L65" s="13">
        <f t="shared" si="0"/>
        <v>192467.89193762201</v>
      </c>
      <c r="M65" s="13">
        <f t="shared" si="0"/>
        <v>198241.92869575068</v>
      </c>
      <c r="N65" s="13">
        <f t="shared" si="0"/>
        <v>204189.1865566232</v>
      </c>
      <c r="O65" s="13">
        <f t="shared" si="0"/>
        <v>210314.86215332191</v>
      </c>
      <c r="P65" s="13">
        <f t="shared" si="0"/>
        <v>216624.30801792158</v>
      </c>
      <c r="Q65" s="13">
        <f t="shared" si="0"/>
        <v>223123.03725845923</v>
      </c>
      <c r="R65" s="13">
        <f t="shared" si="0"/>
        <v>229816.728376213</v>
      </c>
      <c r="S65" s="5" t="s">
        <v>125</v>
      </c>
    </row>
    <row r="66" spans="2:19" x14ac:dyDescent="0.25">
      <c r="B66" s="3" t="s">
        <v>126</v>
      </c>
      <c r="D66" s="24">
        <v>109089</v>
      </c>
      <c r="E66" s="24">
        <v>130401</v>
      </c>
      <c r="F66" s="24">
        <v>145387</v>
      </c>
      <c r="G66" s="24">
        <v>151164</v>
      </c>
      <c r="H66" s="24">
        <v>154809</v>
      </c>
      <c r="I66" s="13">
        <f t="shared" ref="I66:R66" si="1">H66*(1+I48+$D$42)</f>
        <v>161930.21400000001</v>
      </c>
      <c r="J66" s="13">
        <f t="shared" si="1"/>
        <v>170836.37576999998</v>
      </c>
      <c r="K66" s="13">
        <f t="shared" si="1"/>
        <v>179805.28549792498</v>
      </c>
      <c r="L66" s="13">
        <f t="shared" si="1"/>
        <v>189245.06298656604</v>
      </c>
      <c r="M66" s="13">
        <f t="shared" si="1"/>
        <v>199180.42879336077</v>
      </c>
      <c r="N66" s="13">
        <f t="shared" si="1"/>
        <v>209438.22087621887</v>
      </c>
      <c r="O66" s="13">
        <f t="shared" si="1"/>
        <v>220119.57014090603</v>
      </c>
      <c r="P66" s="13">
        <f t="shared" si="1"/>
        <v>231235.60843302179</v>
      </c>
      <c r="Q66" s="13">
        <f t="shared" si="1"/>
        <v>242797.3888546729</v>
      </c>
      <c r="R66" s="13">
        <f t="shared" si="1"/>
        <v>254937.25829740654</v>
      </c>
      <c r="S66" s="5" t="s">
        <v>125</v>
      </c>
    </row>
    <row r="67" spans="2:19" x14ac:dyDescent="0.25">
      <c r="B67" s="3" t="s">
        <v>127</v>
      </c>
      <c r="D67" s="24">
        <v>34195</v>
      </c>
      <c r="E67" s="24">
        <v>37536</v>
      </c>
      <c r="F67" s="24">
        <v>40545</v>
      </c>
      <c r="G67" s="24">
        <v>45044</v>
      </c>
      <c r="H67" s="24">
        <v>54214</v>
      </c>
      <c r="I67" s="13">
        <f t="shared" ref="I67:R67" si="2">H67*(1+I49+$D$42)</f>
        <v>54539.284</v>
      </c>
      <c r="J67" s="13">
        <f t="shared" si="2"/>
        <v>56993.551779999994</v>
      </c>
      <c r="K67" s="13">
        <f t="shared" si="2"/>
        <v>59558.261610099988</v>
      </c>
      <c r="L67" s="13">
        <f t="shared" si="2"/>
        <v>62238.383382554486</v>
      </c>
      <c r="M67" s="13">
        <f t="shared" si="2"/>
        <v>65039.110634769437</v>
      </c>
      <c r="N67" s="13">
        <f t="shared" si="2"/>
        <v>67933.351058016677</v>
      </c>
      <c r="O67" s="13">
        <f t="shared" si="2"/>
        <v>70922.418504569418</v>
      </c>
      <c r="P67" s="13">
        <f t="shared" si="2"/>
        <v>74007.543709518199</v>
      </c>
      <c r="Q67" s="13">
        <f t="shared" si="2"/>
        <v>77189.86808902747</v>
      </c>
      <c r="R67" s="13">
        <f t="shared" si="2"/>
        <v>80470.437482811132</v>
      </c>
      <c r="S67" s="5" t="s">
        <v>125</v>
      </c>
    </row>
    <row r="68" spans="2:19" x14ac:dyDescent="0.25">
      <c r="B68" s="3" t="s">
        <v>128</v>
      </c>
      <c r="D68" s="24">
        <v>31109</v>
      </c>
      <c r="E68" s="24">
        <v>38411</v>
      </c>
      <c r="F68" s="24">
        <v>36647</v>
      </c>
      <c r="G68" s="24">
        <v>39879</v>
      </c>
      <c r="H68" s="24">
        <v>44120</v>
      </c>
      <c r="I68" s="13">
        <f t="shared" ref="I68:R68" si="3">H68*(1+I50+$D$42)</f>
        <v>47870.2</v>
      </c>
      <c r="J68" s="13">
        <f t="shared" si="3"/>
        <v>51221.114000000001</v>
      </c>
      <c r="K68" s="13">
        <f t="shared" si="3"/>
        <v>54550.486409999998</v>
      </c>
      <c r="L68" s="13">
        <f t="shared" si="3"/>
        <v>58096.268026649996</v>
      </c>
      <c r="M68" s="13">
        <f t="shared" si="3"/>
        <v>61872.525448382243</v>
      </c>
      <c r="N68" s="13">
        <f t="shared" si="3"/>
        <v>65770.494551630327</v>
      </c>
      <c r="O68" s="13">
        <f t="shared" si="3"/>
        <v>69782.49471927977</v>
      </c>
      <c r="P68" s="13">
        <f t="shared" si="3"/>
        <v>73899.661907717265</v>
      </c>
      <c r="Q68" s="13">
        <f t="shared" si="3"/>
        <v>78111.942636457141</v>
      </c>
      <c r="R68" s="13">
        <f t="shared" si="3"/>
        <v>82408.099481462283</v>
      </c>
      <c r="S68" s="5" t="s">
        <v>125</v>
      </c>
    </row>
    <row r="69" spans="2:19" x14ac:dyDescent="0.25">
      <c r="B69" s="3" t="s">
        <v>129</v>
      </c>
      <c r="D69" s="24">
        <v>-10970</v>
      </c>
      <c r="E69" s="24">
        <v>-13316</v>
      </c>
      <c r="F69" s="24">
        <v>-15234</v>
      </c>
      <c r="G69" s="24">
        <v>-17082</v>
      </c>
      <c r="H69" s="24">
        <v>-16402</v>
      </c>
      <c r="I69" s="13">
        <f t="shared" ref="I69:R69" si="4">H69*(1+I51+$D$42)</f>
        <v>-16992.472000000002</v>
      </c>
      <c r="J69" s="13">
        <f t="shared" si="4"/>
        <v>-17757.133239999999</v>
      </c>
      <c r="K69" s="13">
        <f t="shared" si="4"/>
        <v>-18556.204235799996</v>
      </c>
      <c r="L69" s="13">
        <f t="shared" si="4"/>
        <v>-19391.233426410996</v>
      </c>
      <c r="M69" s="13">
        <f t="shared" si="4"/>
        <v>-20263.83893059949</v>
      </c>
      <c r="N69" s="13">
        <f t="shared" si="4"/>
        <v>-21175.711682476463</v>
      </c>
      <c r="O69" s="13">
        <f t="shared" si="4"/>
        <v>-22128.618708187903</v>
      </c>
      <c r="P69" s="13">
        <f t="shared" si="4"/>
        <v>-23124.406550056359</v>
      </c>
      <c r="Q69" s="13">
        <f t="shared" si="4"/>
        <v>-24165.004844808893</v>
      </c>
      <c r="R69" s="13">
        <f t="shared" si="4"/>
        <v>-25252.430062825289</v>
      </c>
      <c r="S69" s="5" t="s">
        <v>125</v>
      </c>
    </row>
    <row r="70" spans="2:19" x14ac:dyDescent="0.25">
      <c r="B70" s="4" t="s">
        <v>130</v>
      </c>
      <c r="D70" s="25">
        <v>338792</v>
      </c>
      <c r="E70" s="25">
        <v>398706</v>
      </c>
      <c r="F70" s="25">
        <v>399879</v>
      </c>
      <c r="G70" s="25">
        <v>408335</v>
      </c>
      <c r="H70" s="25">
        <v>426952</v>
      </c>
      <c r="I70" s="26">
        <f t="shared" ref="I70:R70" si="5">SUM(I65:I69)</f>
        <v>423482.61199999996</v>
      </c>
      <c r="J70" s="26">
        <f t="shared" si="5"/>
        <v>442713.35588999995</v>
      </c>
      <c r="K70" s="26">
        <f t="shared" si="5"/>
        <v>462219.86028962501</v>
      </c>
      <c r="L70" s="26">
        <f t="shared" si="5"/>
        <v>482656.37290698162</v>
      </c>
      <c r="M70" s="26">
        <f t="shared" si="5"/>
        <v>504070.15464166366</v>
      </c>
      <c r="N70" s="26">
        <f t="shared" si="5"/>
        <v>526155.5413600126</v>
      </c>
      <c r="O70" s="26">
        <f t="shared" si="5"/>
        <v>549010.72680988919</v>
      </c>
      <c r="P70" s="26">
        <f t="shared" si="5"/>
        <v>572642.71551812254</v>
      </c>
      <c r="Q70" s="26">
        <f t="shared" si="5"/>
        <v>597057.23199380795</v>
      </c>
      <c r="R70" s="26">
        <f t="shared" si="5"/>
        <v>622380.09357506759</v>
      </c>
      <c r="S70" s="5" t="s">
        <v>131</v>
      </c>
    </row>
    <row r="71" spans="2:19" x14ac:dyDescent="0.25">
      <c r="B71" s="3" t="s">
        <v>132</v>
      </c>
      <c r="E71" s="10">
        <f t="shared" ref="E71:R71" si="6">E70/D70-1</f>
        <v>0.17684597038891114</v>
      </c>
      <c r="F71" s="10">
        <f t="shared" si="6"/>
        <v>2.9420174263743437E-3</v>
      </c>
      <c r="G71" s="10">
        <f t="shared" si="6"/>
        <v>2.1146396785027388E-2</v>
      </c>
      <c r="H71" s="10">
        <f t="shared" si="6"/>
        <v>4.5592466969522683E-2</v>
      </c>
      <c r="I71" s="10">
        <f t="shared" si="6"/>
        <v>-8.1259439000169742E-3</v>
      </c>
      <c r="J71" s="10">
        <f t="shared" si="6"/>
        <v>4.5410940957358648E-2</v>
      </c>
      <c r="K71" s="10">
        <f t="shared" si="6"/>
        <v>4.4061251236503951E-2</v>
      </c>
      <c r="L71" s="10">
        <f t="shared" si="6"/>
        <v>4.4213834958435561E-2</v>
      </c>
      <c r="M71" s="10">
        <f t="shared" si="6"/>
        <v>4.4366516090338592E-2</v>
      </c>
      <c r="N71" s="10">
        <f t="shared" si="6"/>
        <v>4.3814113005855582E-2</v>
      </c>
      <c r="O71" s="10">
        <f t="shared" si="6"/>
        <v>4.3438078007883796E-2</v>
      </c>
      <c r="P71" s="10">
        <f t="shared" si="6"/>
        <v>4.3044675730746773E-2</v>
      </c>
      <c r="Q71" s="10">
        <f t="shared" si="6"/>
        <v>4.2634815416442207E-2</v>
      </c>
      <c r="R71" s="10">
        <f t="shared" si="6"/>
        <v>4.2412787626232573E-2</v>
      </c>
    </row>
    <row r="72" spans="2:19" x14ac:dyDescent="0.25">
      <c r="B72" s="3" t="s">
        <v>133</v>
      </c>
      <c r="D72" s="24">
        <v>157703</v>
      </c>
      <c r="E72" s="24">
        <v>193325</v>
      </c>
      <c r="F72" s="24">
        <v>194369</v>
      </c>
      <c r="G72" s="24">
        <v>193407</v>
      </c>
      <c r="H72" s="24">
        <v>203465</v>
      </c>
      <c r="I72" s="13">
        <f t="shared" ref="I72:R72" si="7">I70*(1-(I52+$D$43))</f>
        <v>201577.72331199999</v>
      </c>
      <c r="J72" s="13">
        <f t="shared" si="7"/>
        <v>212502.41082719996</v>
      </c>
      <c r="K72" s="13">
        <f t="shared" si="7"/>
        <v>220478.87335815112</v>
      </c>
      <c r="L72" s="13">
        <f t="shared" si="7"/>
        <v>229261.77713081625</v>
      </c>
      <c r="M72" s="13">
        <f t="shared" si="7"/>
        <v>239433.32345479022</v>
      </c>
      <c r="N72" s="13">
        <f t="shared" si="7"/>
        <v>249923.88214600598</v>
      </c>
      <c r="O72" s="13">
        <f t="shared" si="7"/>
        <v>260780.09523469736</v>
      </c>
      <c r="P72" s="13">
        <f t="shared" si="7"/>
        <v>272005.28987110819</v>
      </c>
      <c r="Q72" s="13">
        <f t="shared" si="7"/>
        <v>283602.18519705877</v>
      </c>
      <c r="R72" s="13">
        <f t="shared" si="7"/>
        <v>295630.54444815707</v>
      </c>
      <c r="S72" s="5" t="s">
        <v>134</v>
      </c>
    </row>
    <row r="73" spans="2:19" x14ac:dyDescent="0.25">
      <c r="B73" s="4" t="s">
        <v>135</v>
      </c>
      <c r="D73" s="26">
        <f t="shared" ref="D73:R73" si="8">D70-D72</f>
        <v>181089</v>
      </c>
      <c r="E73" s="26">
        <f t="shared" si="8"/>
        <v>205381</v>
      </c>
      <c r="F73" s="26">
        <f t="shared" si="8"/>
        <v>205510</v>
      </c>
      <c r="G73" s="26">
        <f t="shared" si="8"/>
        <v>214928</v>
      </c>
      <c r="H73" s="26">
        <f t="shared" si="8"/>
        <v>223487</v>
      </c>
      <c r="I73" s="26">
        <f t="shared" si="8"/>
        <v>221904.88868799998</v>
      </c>
      <c r="J73" s="26">
        <f t="shared" si="8"/>
        <v>230210.94506279999</v>
      </c>
      <c r="K73" s="26">
        <f t="shared" si="8"/>
        <v>241740.98693147389</v>
      </c>
      <c r="L73" s="26">
        <f t="shared" si="8"/>
        <v>253394.59577616537</v>
      </c>
      <c r="M73" s="26">
        <f t="shared" si="8"/>
        <v>264636.83118687343</v>
      </c>
      <c r="N73" s="26">
        <f t="shared" si="8"/>
        <v>276231.65921400662</v>
      </c>
      <c r="O73" s="26">
        <f t="shared" si="8"/>
        <v>288230.63157519186</v>
      </c>
      <c r="P73" s="26">
        <f t="shared" si="8"/>
        <v>300637.42564701434</v>
      </c>
      <c r="Q73" s="26">
        <f t="shared" si="8"/>
        <v>313455.04679674917</v>
      </c>
      <c r="R73" s="26">
        <f t="shared" si="8"/>
        <v>326749.54912691051</v>
      </c>
    </row>
    <row r="74" spans="2:19" x14ac:dyDescent="0.25">
      <c r="B74" s="3" t="s">
        <v>136</v>
      </c>
      <c r="D74" s="10">
        <f t="shared" ref="D74:R74" si="9">D73/D70</f>
        <v>0.53451380197879528</v>
      </c>
      <c r="E74" s="10">
        <f t="shared" si="9"/>
        <v>0.5151189096727915</v>
      </c>
      <c r="F74" s="10">
        <f t="shared" si="9"/>
        <v>0.51393046396534947</v>
      </c>
      <c r="G74" s="10">
        <f t="shared" si="9"/>
        <v>0.52635213733821495</v>
      </c>
      <c r="H74" s="10">
        <f t="shared" si="9"/>
        <v>0.52344760066705387</v>
      </c>
      <c r="I74" s="10">
        <f t="shared" si="9"/>
        <v>0.52400000000000002</v>
      </c>
      <c r="J74" s="10">
        <f t="shared" si="9"/>
        <v>0.52</v>
      </c>
      <c r="K74" s="10">
        <f t="shared" si="9"/>
        <v>0.52300000000000002</v>
      </c>
      <c r="L74" s="10">
        <f t="shared" si="9"/>
        <v>0.52500000000000002</v>
      </c>
      <c r="M74" s="10">
        <f t="shared" si="9"/>
        <v>0.52500000000000002</v>
      </c>
      <c r="N74" s="10">
        <f t="shared" si="9"/>
        <v>0.52500000000000002</v>
      </c>
      <c r="O74" s="10">
        <f t="shared" si="9"/>
        <v>0.52500000000000002</v>
      </c>
      <c r="P74" s="10">
        <f t="shared" si="9"/>
        <v>0.52500000000000002</v>
      </c>
      <c r="Q74" s="10">
        <f t="shared" si="9"/>
        <v>0.52500000000000002</v>
      </c>
      <c r="R74" s="10">
        <f t="shared" si="9"/>
        <v>0.52500000000000002</v>
      </c>
    </row>
    <row r="75" spans="2:19" x14ac:dyDescent="0.25">
      <c r="B75" s="3" t="s">
        <v>137</v>
      </c>
      <c r="D75" s="24">
        <v>148509</v>
      </c>
      <c r="E75" s="24">
        <v>151685</v>
      </c>
      <c r="F75" s="24">
        <v>170055</v>
      </c>
      <c r="G75" s="24">
        <v>181779</v>
      </c>
      <c r="H75" s="24">
        <v>189341</v>
      </c>
      <c r="I75" s="13">
        <f t="shared" ref="I75:R75" si="10">I70*I53</f>
        <v>184638.418832</v>
      </c>
      <c r="J75" s="13">
        <f t="shared" si="10"/>
        <v>192137.59645625998</v>
      </c>
      <c r="K75" s="13">
        <f t="shared" si="10"/>
        <v>200141.19950540763</v>
      </c>
      <c r="L75" s="13">
        <f t="shared" si="10"/>
        <v>208748.88128226955</v>
      </c>
      <c r="M75" s="13">
        <f t="shared" si="10"/>
        <v>217002.20157323621</v>
      </c>
      <c r="N75" s="13">
        <f t="shared" si="10"/>
        <v>226509.96055548542</v>
      </c>
      <c r="O75" s="13">
        <f t="shared" si="10"/>
        <v>236349.11789165728</v>
      </c>
      <c r="P75" s="13">
        <f t="shared" si="10"/>
        <v>246522.68903055176</v>
      </c>
      <c r="Q75" s="13">
        <f t="shared" si="10"/>
        <v>257033.13837333431</v>
      </c>
      <c r="R75" s="13">
        <f t="shared" si="10"/>
        <v>267934.6302840666</v>
      </c>
    </row>
    <row r="76" spans="2:19" x14ac:dyDescent="0.25">
      <c r="B76" s="4" t="s">
        <v>138</v>
      </c>
      <c r="D76" s="26">
        <f t="shared" ref="D76:R76" si="11">D73-D75</f>
        <v>32580</v>
      </c>
      <c r="E76" s="26">
        <f t="shared" si="11"/>
        <v>53696</v>
      </c>
      <c r="F76" s="26">
        <f t="shared" si="11"/>
        <v>35455</v>
      </c>
      <c r="G76" s="26">
        <f t="shared" si="11"/>
        <v>33149</v>
      </c>
      <c r="H76" s="26">
        <f t="shared" si="11"/>
        <v>34146</v>
      </c>
      <c r="I76" s="26">
        <f t="shared" si="11"/>
        <v>37266.469855999982</v>
      </c>
      <c r="J76" s="26">
        <f t="shared" si="11"/>
        <v>38073.348606540007</v>
      </c>
      <c r="K76" s="26">
        <f t="shared" si="11"/>
        <v>41599.787426066265</v>
      </c>
      <c r="L76" s="26">
        <f t="shared" si="11"/>
        <v>44645.714493895823</v>
      </c>
      <c r="M76" s="26">
        <f t="shared" si="11"/>
        <v>47634.629613637226</v>
      </c>
      <c r="N76" s="26">
        <f t="shared" si="11"/>
        <v>49721.6986585212</v>
      </c>
      <c r="O76" s="26">
        <f t="shared" si="11"/>
        <v>51881.513683534577</v>
      </c>
      <c r="P76" s="26">
        <f t="shared" si="11"/>
        <v>54114.736616462586</v>
      </c>
      <c r="Q76" s="26">
        <f t="shared" si="11"/>
        <v>56421.908423414861</v>
      </c>
      <c r="R76" s="26">
        <f t="shared" si="11"/>
        <v>58814.918842843908</v>
      </c>
    </row>
    <row r="77" spans="2:19" x14ac:dyDescent="0.25">
      <c r="B77" s="3" t="s">
        <v>139</v>
      </c>
      <c r="D77" s="10">
        <f t="shared" ref="D77:R77" si="12">D76/D70</f>
        <v>9.616519870599069E-2</v>
      </c>
      <c r="E77" s="10">
        <f t="shared" si="12"/>
        <v>0.1346756758112494</v>
      </c>
      <c r="F77" s="10">
        <f t="shared" si="12"/>
        <v>8.8664320957089524E-2</v>
      </c>
      <c r="G77" s="10">
        <f t="shared" si="12"/>
        <v>8.1180893139211674E-2</v>
      </c>
      <c r="H77" s="10">
        <f t="shared" si="12"/>
        <v>7.9976203413966912E-2</v>
      </c>
      <c r="I77" s="10">
        <f t="shared" si="12"/>
        <v>8.7999999999999967E-2</v>
      </c>
      <c r="J77" s="10">
        <f t="shared" si="12"/>
        <v>8.6000000000000021E-2</v>
      </c>
      <c r="K77" s="10">
        <f t="shared" si="12"/>
        <v>9.0000000000000024E-2</v>
      </c>
      <c r="L77" s="10">
        <f t="shared" si="12"/>
        <v>9.2500000000000054E-2</v>
      </c>
      <c r="M77" s="10">
        <f t="shared" si="12"/>
        <v>9.4500000000000015E-2</v>
      </c>
      <c r="N77" s="10">
        <f t="shared" si="12"/>
        <v>9.4500000000000015E-2</v>
      </c>
      <c r="O77" s="10">
        <f t="shared" si="12"/>
        <v>9.4500000000000084E-2</v>
      </c>
      <c r="P77" s="10">
        <f t="shared" si="12"/>
        <v>9.4500000000000015E-2</v>
      </c>
      <c r="Q77" s="10">
        <f t="shared" si="12"/>
        <v>9.4500000000000015E-2</v>
      </c>
      <c r="R77" s="10">
        <f t="shared" si="12"/>
        <v>9.4500000000000028E-2</v>
      </c>
    </row>
    <row r="78" spans="2:19" x14ac:dyDescent="0.25">
      <c r="B78" s="3" t="s">
        <v>140</v>
      </c>
      <c r="D78" s="24">
        <v>16126</v>
      </c>
      <c r="E78" s="24">
        <v>18038</v>
      </c>
      <c r="F78" s="24">
        <v>18929</v>
      </c>
      <c r="G78" s="24">
        <v>23051</v>
      </c>
      <c r="H78" s="24">
        <v>24838</v>
      </c>
      <c r="I78" s="13">
        <f t="shared" ref="I78:R78" si="13">I70*I54</f>
        <v>24985.474107999995</v>
      </c>
      <c r="J78" s="13">
        <f t="shared" si="13"/>
        <v>26120.087997509996</v>
      </c>
      <c r="K78" s="13">
        <f t="shared" si="13"/>
        <v>27270.971757087875</v>
      </c>
      <c r="L78" s="13">
        <f t="shared" si="13"/>
        <v>28235.397815058426</v>
      </c>
      <c r="M78" s="13">
        <f t="shared" si="13"/>
        <v>29488.104046537326</v>
      </c>
      <c r="N78" s="13">
        <f t="shared" si="13"/>
        <v>30780.099169560741</v>
      </c>
      <c r="O78" s="13">
        <f t="shared" si="13"/>
        <v>32117.127518378518</v>
      </c>
      <c r="P78" s="13">
        <f t="shared" si="13"/>
        <v>33499.598857810168</v>
      </c>
      <c r="Q78" s="13">
        <f t="shared" si="13"/>
        <v>34927.848071637767</v>
      </c>
      <c r="R78" s="13">
        <f t="shared" si="13"/>
        <v>36409.235474141453</v>
      </c>
    </row>
    <row r="79" spans="2:19" x14ac:dyDescent="0.25">
      <c r="B79" s="4" t="s">
        <v>141</v>
      </c>
      <c r="D79" s="26">
        <f t="shared" ref="D79:R79" si="14">D76+D78</f>
        <v>48706</v>
      </c>
      <c r="E79" s="26">
        <f t="shared" si="14"/>
        <v>71734</v>
      </c>
      <c r="F79" s="26">
        <f t="shared" si="14"/>
        <v>54384</v>
      </c>
      <c r="G79" s="26">
        <f t="shared" si="14"/>
        <v>56200</v>
      </c>
      <c r="H79" s="26">
        <f t="shared" si="14"/>
        <v>58984</v>
      </c>
      <c r="I79" s="26">
        <f t="shared" si="14"/>
        <v>62251.943963999976</v>
      </c>
      <c r="J79" s="26">
        <f t="shared" si="14"/>
        <v>64193.436604050003</v>
      </c>
      <c r="K79" s="26">
        <f t="shared" si="14"/>
        <v>68870.759183154136</v>
      </c>
      <c r="L79" s="26">
        <f t="shared" si="14"/>
        <v>72881.112308954253</v>
      </c>
      <c r="M79" s="26">
        <f t="shared" si="14"/>
        <v>77122.733660174548</v>
      </c>
      <c r="N79" s="26">
        <f t="shared" si="14"/>
        <v>80501.797828081937</v>
      </c>
      <c r="O79" s="26">
        <f t="shared" si="14"/>
        <v>83998.641201913095</v>
      </c>
      <c r="P79" s="26">
        <f t="shared" si="14"/>
        <v>87614.335474272753</v>
      </c>
      <c r="Q79" s="26">
        <f t="shared" si="14"/>
        <v>91349.756495052628</v>
      </c>
      <c r="R79" s="26">
        <f t="shared" si="14"/>
        <v>95224.154316985368</v>
      </c>
      <c r="S79" s="5" t="s">
        <v>142</v>
      </c>
    </row>
    <row r="80" spans="2:19" x14ac:dyDescent="0.25">
      <c r="B80" s="3" t="s">
        <v>143</v>
      </c>
      <c r="D80" s="10">
        <f t="shared" ref="D80:R80" si="15">D79/D70</f>
        <v>0.14376372523554276</v>
      </c>
      <c r="E80" s="10">
        <f t="shared" si="15"/>
        <v>0.179917031597217</v>
      </c>
      <c r="F80" s="10">
        <f t="shared" si="15"/>
        <v>0.13600114034495434</v>
      </c>
      <c r="G80" s="10">
        <f t="shared" si="15"/>
        <v>0.13763209129758655</v>
      </c>
      <c r="H80" s="10">
        <f t="shared" si="15"/>
        <v>0.13815136127714592</v>
      </c>
      <c r="I80" s="10">
        <f t="shared" si="15"/>
        <v>0.14699999999999996</v>
      </c>
      <c r="J80" s="10">
        <f t="shared" si="15"/>
        <v>0.14500000000000002</v>
      </c>
      <c r="K80" s="10">
        <f t="shared" si="15"/>
        <v>0.14900000000000002</v>
      </c>
      <c r="L80" s="10">
        <f t="shared" si="15"/>
        <v>0.15100000000000005</v>
      </c>
      <c r="M80" s="10">
        <f t="shared" si="15"/>
        <v>0.15300000000000002</v>
      </c>
      <c r="N80" s="10">
        <f t="shared" si="15"/>
        <v>0.15300000000000002</v>
      </c>
      <c r="O80" s="10">
        <f t="shared" si="15"/>
        <v>0.15300000000000008</v>
      </c>
      <c r="P80" s="10">
        <f t="shared" si="15"/>
        <v>0.153</v>
      </c>
      <c r="Q80" s="10">
        <f t="shared" si="15"/>
        <v>0.15300000000000002</v>
      </c>
      <c r="R80" s="10">
        <f t="shared" si="15"/>
        <v>0.15300000000000005</v>
      </c>
    </row>
    <row r="81" spans="2:20" x14ac:dyDescent="0.25">
      <c r="B81" s="3" t="s">
        <v>144</v>
      </c>
      <c r="D81" s="17">
        <v>0.33422705684081511</v>
      </c>
      <c r="E81" s="17">
        <v>0.2287564025069195</v>
      </c>
      <c r="F81" s="17">
        <v>0.3313576734629366</v>
      </c>
      <c r="G81" s="17">
        <v>0.32615163147792708</v>
      </c>
      <c r="H81" s="17">
        <v>0.3572953383309338</v>
      </c>
      <c r="I81" s="10">
        <f t="shared" ref="I81:R81" si="16">I62</f>
        <v>0.34</v>
      </c>
      <c r="J81" s="10">
        <f t="shared" si="16"/>
        <v>0.34</v>
      </c>
      <c r="K81" s="10">
        <f t="shared" si="16"/>
        <v>0.34</v>
      </c>
      <c r="L81" s="10">
        <f t="shared" si="16"/>
        <v>0.34</v>
      </c>
      <c r="M81" s="10">
        <f t="shared" si="16"/>
        <v>0.34</v>
      </c>
      <c r="N81" s="10">
        <f t="shared" si="16"/>
        <v>0.34</v>
      </c>
      <c r="O81" s="10">
        <f t="shared" si="16"/>
        <v>0.34</v>
      </c>
      <c r="P81" s="10">
        <f t="shared" si="16"/>
        <v>0.34</v>
      </c>
      <c r="Q81" s="10">
        <f t="shared" si="16"/>
        <v>0.34</v>
      </c>
      <c r="R81" s="10">
        <f t="shared" si="16"/>
        <v>0.34</v>
      </c>
      <c r="S81" s="5" t="s">
        <v>145</v>
      </c>
    </row>
    <row r="82" spans="2:20" x14ac:dyDescent="0.25">
      <c r="B82" s="3" t="s">
        <v>146</v>
      </c>
      <c r="D82" s="13">
        <f t="shared" ref="D82:R82" si="17">-D76*D81</f>
        <v>-10889.117511873756</v>
      </c>
      <c r="E82" s="13">
        <f t="shared" si="17"/>
        <v>-12283.30378901155</v>
      </c>
      <c r="F82" s="13">
        <f t="shared" si="17"/>
        <v>-11748.286312628417</v>
      </c>
      <c r="G82" s="13">
        <f t="shared" si="17"/>
        <v>-10811.600431861805</v>
      </c>
      <c r="H82" s="13">
        <f t="shared" si="17"/>
        <v>-12200.206622648066</v>
      </c>
      <c r="I82" s="13">
        <f t="shared" si="17"/>
        <v>-12670.599751039994</v>
      </c>
      <c r="J82" s="13">
        <f t="shared" si="17"/>
        <v>-12944.938526223603</v>
      </c>
      <c r="K82" s="13">
        <f t="shared" si="17"/>
        <v>-14143.927724862531</v>
      </c>
      <c r="L82" s="13">
        <f t="shared" si="17"/>
        <v>-15179.54292792458</v>
      </c>
      <c r="M82" s="13">
        <f t="shared" si="17"/>
        <v>-16195.774068636658</v>
      </c>
      <c r="N82" s="13">
        <f t="shared" si="17"/>
        <v>-16905.377543897208</v>
      </c>
      <c r="O82" s="13">
        <f t="shared" si="17"/>
        <v>-17639.714652401759</v>
      </c>
      <c r="P82" s="13">
        <f t="shared" si="17"/>
        <v>-18399.010449597281</v>
      </c>
      <c r="Q82" s="13">
        <f t="shared" si="17"/>
        <v>-19183.448863961054</v>
      </c>
      <c r="R82" s="13">
        <f t="shared" si="17"/>
        <v>-19997.072406566931</v>
      </c>
    </row>
    <row r="83" spans="2:20" x14ac:dyDescent="0.25">
      <c r="B83" s="4" t="s">
        <v>147</v>
      </c>
      <c r="D83" s="26">
        <f t="shared" ref="D83:R83" si="18">D76+D82</f>
        <v>21690.882488126244</v>
      </c>
      <c r="E83" s="26">
        <f t="shared" si="18"/>
        <v>41412.696210988448</v>
      </c>
      <c r="F83" s="26">
        <f t="shared" si="18"/>
        <v>23706.713687371583</v>
      </c>
      <c r="G83" s="26">
        <f t="shared" si="18"/>
        <v>22337.399568138193</v>
      </c>
      <c r="H83" s="26">
        <f t="shared" si="18"/>
        <v>21945.793377351933</v>
      </c>
      <c r="I83" s="26">
        <f t="shared" si="18"/>
        <v>24595.870104959988</v>
      </c>
      <c r="J83" s="26">
        <f t="shared" si="18"/>
        <v>25128.410080316404</v>
      </c>
      <c r="K83" s="26">
        <f t="shared" si="18"/>
        <v>27455.859701203735</v>
      </c>
      <c r="L83" s="26">
        <f t="shared" si="18"/>
        <v>29466.171565971243</v>
      </c>
      <c r="M83" s="26">
        <f t="shared" si="18"/>
        <v>31438.855545000566</v>
      </c>
      <c r="N83" s="26">
        <f t="shared" si="18"/>
        <v>32816.321114623992</v>
      </c>
      <c r="O83" s="26">
        <f t="shared" si="18"/>
        <v>34241.799031132818</v>
      </c>
      <c r="P83" s="26">
        <f t="shared" si="18"/>
        <v>35715.726166865308</v>
      </c>
      <c r="Q83" s="26">
        <f t="shared" si="18"/>
        <v>37238.459559453811</v>
      </c>
      <c r="R83" s="26">
        <f t="shared" si="18"/>
        <v>38817.846436276974</v>
      </c>
    </row>
    <row r="84" spans="2:20" x14ac:dyDescent="0.25">
      <c r="B84" s="3" t="s">
        <v>148</v>
      </c>
      <c r="D84" s="13">
        <f t="shared" ref="D84:R84" si="19">D78</f>
        <v>16126</v>
      </c>
      <c r="E84" s="13">
        <f t="shared" si="19"/>
        <v>18038</v>
      </c>
      <c r="F84" s="13">
        <f t="shared" si="19"/>
        <v>18929</v>
      </c>
      <c r="G84" s="13">
        <f t="shared" si="19"/>
        <v>23051</v>
      </c>
      <c r="H84" s="13">
        <f t="shared" si="19"/>
        <v>24838</v>
      </c>
      <c r="I84" s="13">
        <f t="shared" si="19"/>
        <v>24985.474107999995</v>
      </c>
      <c r="J84" s="13">
        <f t="shared" si="19"/>
        <v>26120.087997509996</v>
      </c>
      <c r="K84" s="13">
        <f t="shared" si="19"/>
        <v>27270.971757087875</v>
      </c>
      <c r="L84" s="13">
        <f t="shared" si="19"/>
        <v>28235.397815058426</v>
      </c>
      <c r="M84" s="13">
        <f t="shared" si="19"/>
        <v>29488.104046537326</v>
      </c>
      <c r="N84" s="13">
        <f t="shared" si="19"/>
        <v>30780.099169560741</v>
      </c>
      <c r="O84" s="13">
        <f t="shared" si="19"/>
        <v>32117.127518378518</v>
      </c>
      <c r="P84" s="13">
        <f t="shared" si="19"/>
        <v>33499.598857810168</v>
      </c>
      <c r="Q84" s="13">
        <f t="shared" si="19"/>
        <v>34927.848071637767</v>
      </c>
      <c r="R84" s="13">
        <f t="shared" si="19"/>
        <v>36409.235474141453</v>
      </c>
    </row>
    <row r="85" spans="2:20" x14ac:dyDescent="0.25">
      <c r="B85" s="3" t="s">
        <v>149</v>
      </c>
      <c r="D85" s="24">
        <v>-21293</v>
      </c>
      <c r="E85" s="24">
        <v>-29467</v>
      </c>
      <c r="F85" s="24">
        <v>-35672</v>
      </c>
      <c r="G85" s="24">
        <v>-30174</v>
      </c>
      <c r="H85" s="24">
        <v>-22841</v>
      </c>
      <c r="I85" s="13">
        <f t="shared" ref="I85:R85" si="20">-I70*(I55+$D$44)</f>
        <v>-19480.200151999998</v>
      </c>
      <c r="J85" s="13">
        <f t="shared" si="20"/>
        <v>-22135.667794499997</v>
      </c>
      <c r="K85" s="13">
        <f t="shared" si="20"/>
        <v>-24035.432735060498</v>
      </c>
      <c r="L85" s="13">
        <f t="shared" si="20"/>
        <v>-26063.444136977007</v>
      </c>
      <c r="M85" s="13">
        <f t="shared" si="20"/>
        <v>-27723.8585052915</v>
      </c>
      <c r="N85" s="13">
        <f t="shared" si="20"/>
        <v>-29464.710316160705</v>
      </c>
      <c r="O85" s="13">
        <f t="shared" si="20"/>
        <v>-31293.611428163684</v>
      </c>
      <c r="P85" s="13">
        <f t="shared" si="20"/>
        <v>-33213.27750005111</v>
      </c>
      <c r="Q85" s="13">
        <f t="shared" si="20"/>
        <v>-35226.376687634664</v>
      </c>
      <c r="R85" s="13">
        <f t="shared" si="20"/>
        <v>-37342.805614504054</v>
      </c>
    </row>
    <row r="86" spans="2:20" x14ac:dyDescent="0.25">
      <c r="B86" s="3" t="s">
        <v>150</v>
      </c>
      <c r="D86" s="24">
        <v>-4117</v>
      </c>
      <c r="E86" s="24">
        <v>-5056</v>
      </c>
      <c r="F86" s="24">
        <v>-4802</v>
      </c>
      <c r="G86" s="24">
        <v>-5321</v>
      </c>
      <c r="H86" s="24">
        <v>-5923</v>
      </c>
      <c r="I86" s="13">
        <f t="shared" ref="I86:R86" si="21">-I70*I56</f>
        <v>-5886.4083067999991</v>
      </c>
      <c r="J86" s="13">
        <f t="shared" si="21"/>
        <v>-6153.7156468709991</v>
      </c>
      <c r="K86" s="13">
        <f t="shared" si="21"/>
        <v>-6424.8560580257872</v>
      </c>
      <c r="L86" s="13">
        <f t="shared" si="21"/>
        <v>-6708.9235834070441</v>
      </c>
      <c r="M86" s="13">
        <f t="shared" si="21"/>
        <v>-7006.5751495191244</v>
      </c>
      <c r="N86" s="13">
        <f t="shared" si="21"/>
        <v>-7313.5620249041749</v>
      </c>
      <c r="O86" s="13">
        <f t="shared" si="21"/>
        <v>-7631.2491026574589</v>
      </c>
      <c r="P86" s="13">
        <f t="shared" si="21"/>
        <v>-7959.733745701903</v>
      </c>
      <c r="Q86" s="13">
        <f t="shared" si="21"/>
        <v>-8299.09552471393</v>
      </c>
      <c r="R86" s="13">
        <f t="shared" si="21"/>
        <v>-8651.083300693439</v>
      </c>
      <c r="S86" s="5" t="s">
        <v>151</v>
      </c>
    </row>
    <row r="87" spans="2:20" x14ac:dyDescent="0.25">
      <c r="B87" s="3" t="s">
        <v>152</v>
      </c>
      <c r="E87" s="13">
        <f t="shared" ref="E87:R87" si="22">E102</f>
        <v>6533</v>
      </c>
      <c r="F87" s="13">
        <f t="shared" si="22"/>
        <v>-10264</v>
      </c>
      <c r="G87" s="13">
        <f t="shared" si="22"/>
        <v>-1918</v>
      </c>
      <c r="H87" s="13">
        <f t="shared" si="22"/>
        <v>696</v>
      </c>
      <c r="I87" s="13">
        <f t="shared" si="22"/>
        <v>-53.145453765657294</v>
      </c>
      <c r="J87" s="13">
        <f t="shared" si="22"/>
        <v>471.37476985343528</v>
      </c>
      <c r="K87" s="13">
        <f t="shared" si="22"/>
        <v>143.57225919230768</v>
      </c>
      <c r="L87" s="13">
        <f t="shared" si="22"/>
        <v>196.00660777881421</v>
      </c>
      <c r="M87" s="13">
        <f t="shared" si="22"/>
        <v>310.42221937607246</v>
      </c>
      <c r="N87" s="13">
        <f t="shared" si="22"/>
        <v>320.01822795127373</v>
      </c>
      <c r="O87" s="13">
        <f t="shared" si="22"/>
        <v>331.03678062892141</v>
      </c>
      <c r="P87" s="13">
        <f t="shared" si="22"/>
        <v>342.53592531617323</v>
      </c>
      <c r="Q87" s="13">
        <f t="shared" si="22"/>
        <v>353.33192409843468</v>
      </c>
      <c r="R87" s="13">
        <f t="shared" si="22"/>
        <v>366.64601872336061</v>
      </c>
      <c r="S87" s="5" t="s">
        <v>153</v>
      </c>
    </row>
    <row r="88" spans="2:20" x14ac:dyDescent="0.25">
      <c r="B88" s="4" t="s">
        <v>154</v>
      </c>
      <c r="E88" s="26">
        <f t="shared" ref="E88:R88" si="23">E83+E84+E85+E86+E87</f>
        <v>31460.696210988448</v>
      </c>
      <c r="F88" s="26">
        <f t="shared" si="23"/>
        <v>-8102.286312628421</v>
      </c>
      <c r="G88" s="26">
        <f t="shared" si="23"/>
        <v>7975.399568138193</v>
      </c>
      <c r="H88" s="26">
        <f t="shared" si="23"/>
        <v>18715.793377351933</v>
      </c>
      <c r="I88" s="26">
        <f t="shared" si="23"/>
        <v>24161.590300394331</v>
      </c>
      <c r="J88" s="26">
        <f t="shared" si="23"/>
        <v>23430.48940630884</v>
      </c>
      <c r="K88" s="26">
        <f t="shared" si="23"/>
        <v>24410.114924397629</v>
      </c>
      <c r="L88" s="26">
        <f t="shared" si="23"/>
        <v>25125.208268424431</v>
      </c>
      <c r="M88" s="26">
        <f t="shared" si="23"/>
        <v>26506.948156103335</v>
      </c>
      <c r="N88" s="26">
        <f t="shared" si="23"/>
        <v>27138.16617107112</v>
      </c>
      <c r="O88" s="26">
        <f t="shared" si="23"/>
        <v>27765.102799319116</v>
      </c>
      <c r="P88" s="26">
        <f t="shared" si="23"/>
        <v>28384.849704238637</v>
      </c>
      <c r="Q88" s="26">
        <f t="shared" si="23"/>
        <v>28994.167342841421</v>
      </c>
      <c r="R88" s="26">
        <f t="shared" si="23"/>
        <v>29599.8390139443</v>
      </c>
      <c r="S88" s="5" t="s">
        <v>155</v>
      </c>
    </row>
    <row r="89" spans="2:20" x14ac:dyDescent="0.25">
      <c r="B89" s="3" t="s">
        <v>132</v>
      </c>
      <c r="J89" s="10">
        <f t="shared" ref="J89:R89" si="24">IFERROR(J88/I88-1,0)</f>
        <v>-3.0258806849876918E-2</v>
      </c>
      <c r="K89" s="10">
        <f t="shared" si="24"/>
        <v>4.1809861548389948E-2</v>
      </c>
      <c r="L89" s="10">
        <f t="shared" si="24"/>
        <v>2.9294960152443705E-2</v>
      </c>
      <c r="M89" s="10">
        <f t="shared" si="24"/>
        <v>5.4994166532556843E-2</v>
      </c>
      <c r="N89" s="10">
        <f t="shared" si="24"/>
        <v>2.3813304015628312E-2</v>
      </c>
      <c r="O89" s="10">
        <f t="shared" si="24"/>
        <v>2.31016578016352E-2</v>
      </c>
      <c r="P89" s="10">
        <f t="shared" si="24"/>
        <v>2.2321073665706681E-2</v>
      </c>
      <c r="Q89" s="10">
        <f t="shared" si="24"/>
        <v>2.1466297864941586E-2</v>
      </c>
      <c r="R89" s="10">
        <f t="shared" si="24"/>
        <v>2.0889431448094964E-2</v>
      </c>
    </row>
    <row r="90" spans="2:20" x14ac:dyDescent="0.25">
      <c r="B90" s="3" t="s">
        <v>156</v>
      </c>
      <c r="I90" s="10">
        <f t="shared" ref="I90:R90" si="25">I88/I70</f>
        <v>5.7054503811349716E-2</v>
      </c>
      <c r="J90" s="10">
        <f t="shared" si="25"/>
        <v>5.2924740341763178E-2</v>
      </c>
      <c r="K90" s="10">
        <f t="shared" si="25"/>
        <v>5.2810614647978031E-2</v>
      </c>
      <c r="L90" s="10">
        <f t="shared" si="25"/>
        <v>5.2056099699043248E-2</v>
      </c>
      <c r="M90" s="10">
        <f t="shared" si="25"/>
        <v>5.2585831380845688E-2</v>
      </c>
      <c r="N90" s="10">
        <f t="shared" si="25"/>
        <v>5.1578219818656838E-2</v>
      </c>
      <c r="O90" s="10">
        <f t="shared" si="25"/>
        <v>5.0572969604168745E-2</v>
      </c>
      <c r="P90" s="10">
        <f t="shared" si="25"/>
        <v>4.9568166912865121E-2</v>
      </c>
      <c r="Q90" s="10">
        <f t="shared" si="25"/>
        <v>4.8561789036569478E-2</v>
      </c>
      <c r="R90" s="10">
        <f t="shared" si="25"/>
        <v>4.7559103061791855E-2</v>
      </c>
    </row>
    <row r="92" spans="2:20" x14ac:dyDescent="0.25">
      <c r="B92" s="6" t="s">
        <v>157</v>
      </c>
      <c r="C92" s="7"/>
      <c r="D92" s="22" t="s">
        <v>75</v>
      </c>
      <c r="E92" s="22" t="s">
        <v>76</v>
      </c>
      <c r="F92" s="22" t="s">
        <v>77</v>
      </c>
      <c r="G92" s="22" t="s">
        <v>78</v>
      </c>
      <c r="H92" s="22" t="s">
        <v>79</v>
      </c>
      <c r="I92" s="22" t="s">
        <v>80</v>
      </c>
      <c r="J92" s="22" t="s">
        <v>81</v>
      </c>
      <c r="K92" s="22" t="s">
        <v>82</v>
      </c>
      <c r="L92" s="22" t="s">
        <v>83</v>
      </c>
      <c r="M92" s="22" t="s">
        <v>84</v>
      </c>
      <c r="N92" s="22" t="s">
        <v>85</v>
      </c>
      <c r="O92" s="22" t="s">
        <v>86</v>
      </c>
      <c r="P92" s="22" t="s">
        <v>87</v>
      </c>
      <c r="Q92" s="22" t="s">
        <v>88</v>
      </c>
      <c r="R92" s="22" t="s">
        <v>89</v>
      </c>
      <c r="S92" s="6" t="s">
        <v>90</v>
      </c>
      <c r="T92" s="7"/>
    </row>
    <row r="93" spans="2:20" x14ac:dyDescent="0.25">
      <c r="B93" s="3" t="s">
        <v>158</v>
      </c>
      <c r="D93" s="24">
        <v>19184</v>
      </c>
      <c r="E93" s="24">
        <v>21600</v>
      </c>
      <c r="F93" s="24">
        <v>21268</v>
      </c>
      <c r="G93" s="24">
        <v>23555</v>
      </c>
      <c r="H93" s="24">
        <v>23784</v>
      </c>
      <c r="I93" s="13">
        <f t="shared" ref="I93:R93" si="26">I70*I57/365</f>
        <v>23552.594585205476</v>
      </c>
      <c r="J93" s="13">
        <f t="shared" si="26"/>
        <v>24622.140067306846</v>
      </c>
      <c r="K93" s="13">
        <f t="shared" si="26"/>
        <v>25707.02236679284</v>
      </c>
      <c r="L93" s="13">
        <f t="shared" si="26"/>
        <v>26843.62841099103</v>
      </c>
      <c r="M93" s="13">
        <f t="shared" si="26"/>
        <v>28034.586682810332</v>
      </c>
      <c r="N93" s="13">
        <f t="shared" si="26"/>
        <v>29262.897231803443</v>
      </c>
      <c r="O93" s="13">
        <f t="shared" si="26"/>
        <v>30534.021244495209</v>
      </c>
      <c r="P93" s="13">
        <f t="shared" si="26"/>
        <v>31848.348287720244</v>
      </c>
      <c r="Q93" s="13">
        <f t="shared" si="26"/>
        <v>33206.196738285762</v>
      </c>
      <c r="R93" s="13">
        <f t="shared" si="26"/>
        <v>34614.564108421568</v>
      </c>
    </row>
    <row r="94" spans="2:20" x14ac:dyDescent="0.25">
      <c r="B94" s="3" t="s">
        <v>159</v>
      </c>
      <c r="D94" s="24">
        <v>13710</v>
      </c>
      <c r="E94" s="24">
        <v>16989</v>
      </c>
      <c r="F94" s="24">
        <v>16120</v>
      </c>
      <c r="G94" s="24">
        <v>18832</v>
      </c>
      <c r="H94" s="24">
        <v>17151</v>
      </c>
      <c r="I94" s="13">
        <f t="shared" ref="I94:R94" si="27">I72*I58/365</f>
        <v>17009.846241122192</v>
      </c>
      <c r="J94" s="13">
        <f t="shared" si="27"/>
        <v>17931.71028350071</v>
      </c>
      <c r="K94" s="13">
        <f t="shared" si="27"/>
        <v>18604.792601180972</v>
      </c>
      <c r="L94" s="13">
        <f t="shared" si="27"/>
        <v>19345.925303093536</v>
      </c>
      <c r="M94" s="13">
        <f t="shared" si="27"/>
        <v>20204.236609335723</v>
      </c>
      <c r="N94" s="13">
        <f t="shared" si="27"/>
        <v>21089.467315334205</v>
      </c>
      <c r="O94" s="13">
        <f t="shared" si="27"/>
        <v>22005.553241722409</v>
      </c>
      <c r="P94" s="13">
        <f t="shared" si="27"/>
        <v>22952.775145288033</v>
      </c>
      <c r="Q94" s="13">
        <f t="shared" si="27"/>
        <v>23931.362476902497</v>
      </c>
      <c r="R94" s="13">
        <f t="shared" si="27"/>
        <v>24946.358271241748</v>
      </c>
    </row>
    <row r="95" spans="2:20" x14ac:dyDescent="0.25">
      <c r="B95" s="3" t="s">
        <v>160</v>
      </c>
      <c r="D95" s="24">
        <v>11769</v>
      </c>
      <c r="E95" s="24">
        <v>12568</v>
      </c>
      <c r="F95" s="24">
        <v>15173</v>
      </c>
      <c r="G95" s="24">
        <v>16736</v>
      </c>
      <c r="H95" s="24">
        <v>15201</v>
      </c>
      <c r="I95" s="13">
        <f t="shared" ref="I95:R95" si="28">I70*I60</f>
        <v>15088.68546556</v>
      </c>
      <c r="J95" s="13">
        <f t="shared" si="28"/>
        <v>15710.126147112536</v>
      </c>
      <c r="K95" s="13">
        <f t="shared" si="28"/>
        <v>16340.396500958825</v>
      </c>
      <c r="L95" s="13">
        <f t="shared" si="28"/>
        <v>17001.08807927552</v>
      </c>
      <c r="M95" s="13">
        <f t="shared" si="28"/>
        <v>17692.862427922395</v>
      </c>
      <c r="N95" s="13">
        <f t="shared" si="28"/>
        <v>18406.499303397322</v>
      </c>
      <c r="O95" s="13">
        <f t="shared" si="28"/>
        <v>19145.102065314455</v>
      </c>
      <c r="P95" s="13">
        <f t="shared" si="28"/>
        <v>19908.496647703047</v>
      </c>
      <c r="Q95" s="13">
        <f t="shared" si="28"/>
        <v>20697.586004297347</v>
      </c>
      <c r="R95" s="13">
        <f t="shared" si="28"/>
        <v>21515.679834890085</v>
      </c>
    </row>
    <row r="96" spans="2:20" x14ac:dyDescent="0.25">
      <c r="B96" s="3" t="s">
        <v>161</v>
      </c>
      <c r="D96" s="24">
        <v>1487</v>
      </c>
      <c r="E96" s="24">
        <v>1055</v>
      </c>
      <c r="F96" s="24">
        <v>1794</v>
      </c>
      <c r="G96" s="24">
        <v>2261</v>
      </c>
      <c r="H96" s="24">
        <v>1405</v>
      </c>
      <c r="I96" s="13">
        <f t="shared" ref="I96:R96" si="29">$H96</f>
        <v>1405</v>
      </c>
      <c r="J96" s="13">
        <f t="shared" si="29"/>
        <v>1405</v>
      </c>
      <c r="K96" s="13">
        <f t="shared" si="29"/>
        <v>1405</v>
      </c>
      <c r="L96" s="13">
        <f t="shared" si="29"/>
        <v>1405</v>
      </c>
      <c r="M96" s="13">
        <f t="shared" si="29"/>
        <v>1405</v>
      </c>
      <c r="N96" s="13">
        <f t="shared" si="29"/>
        <v>1405</v>
      </c>
      <c r="O96" s="13">
        <f t="shared" si="29"/>
        <v>1405</v>
      </c>
      <c r="P96" s="13">
        <f t="shared" si="29"/>
        <v>1405</v>
      </c>
      <c r="Q96" s="13">
        <f t="shared" si="29"/>
        <v>1405</v>
      </c>
      <c r="R96" s="13">
        <f t="shared" si="29"/>
        <v>1405</v>
      </c>
      <c r="S96" s="5" t="s">
        <v>162</v>
      </c>
    </row>
    <row r="97" spans="2:20" x14ac:dyDescent="0.25">
      <c r="B97" s="3" t="s">
        <v>163</v>
      </c>
      <c r="D97" s="24">
        <v>35752</v>
      </c>
      <c r="E97" s="24">
        <v>44058</v>
      </c>
      <c r="F97" s="24">
        <v>40409</v>
      </c>
      <c r="G97" s="24">
        <v>40815</v>
      </c>
      <c r="H97" s="24">
        <v>39074</v>
      </c>
      <c r="I97" s="13">
        <f t="shared" ref="I97:R97" si="30">I72*I59/365</f>
        <v>38713.96823060602</v>
      </c>
      <c r="J97" s="13">
        <f t="shared" si="30"/>
        <v>40812.106846538947</v>
      </c>
      <c r="K97" s="13">
        <f t="shared" si="30"/>
        <v>42344.024718921624</v>
      </c>
      <c r="L97" s="13">
        <f t="shared" si="30"/>
        <v>44030.823498274571</v>
      </c>
      <c r="M97" s="13">
        <f t="shared" si="30"/>
        <v>45984.31773748163</v>
      </c>
      <c r="N97" s="13">
        <f t="shared" si="30"/>
        <v>47999.079831328818</v>
      </c>
      <c r="O97" s="13">
        <f t="shared" si="30"/>
        <v>50084.067605348726</v>
      </c>
      <c r="P97" s="13">
        <f t="shared" si="30"/>
        <v>52239.920054697766</v>
      </c>
      <c r="Q97" s="13">
        <f t="shared" si="30"/>
        <v>54467.1594035995</v>
      </c>
      <c r="R97" s="13">
        <f t="shared" si="30"/>
        <v>56777.263467988516</v>
      </c>
    </row>
    <row r="98" spans="2:20" x14ac:dyDescent="0.25">
      <c r="B98" s="3" t="s">
        <v>164</v>
      </c>
      <c r="D98" s="24">
        <v>28590</v>
      </c>
      <c r="E98" s="24">
        <v>33311</v>
      </c>
      <c r="F98" s="24">
        <v>28100</v>
      </c>
      <c r="G98" s="24">
        <v>32338</v>
      </c>
      <c r="H98" s="24">
        <v>31788</v>
      </c>
      <c r="I98" s="13">
        <f t="shared" ref="I98:R98" si="31">I70*I61</f>
        <v>31610.012607515997</v>
      </c>
      <c r="J98" s="13">
        <f t="shared" si="31"/>
        <v>32596.098967468915</v>
      </c>
      <c r="K98" s="13">
        <f t="shared" si="31"/>
        <v>33595.988325291102</v>
      </c>
      <c r="L98" s="13">
        <f t="shared" si="31"/>
        <v>34643.626478144419</v>
      </c>
      <c r="M98" s="13">
        <f t="shared" si="31"/>
        <v>35741.598385021804</v>
      </c>
      <c r="N98" s="13">
        <f t="shared" si="31"/>
        <v>36874.032649592409</v>
      </c>
      <c r="O98" s="13">
        <f t="shared" si="31"/>
        <v>38045.894357198515</v>
      </c>
      <c r="P98" s="13">
        <f t="shared" si="31"/>
        <v>39257.521362344894</v>
      </c>
      <c r="Q98" s="13">
        <f t="shared" si="31"/>
        <v>40509.139076315885</v>
      </c>
      <c r="R98" s="13">
        <f t="shared" si="31"/>
        <v>41807.138025718014</v>
      </c>
    </row>
    <row r="99" spans="2:20" x14ac:dyDescent="0.25">
      <c r="B99" s="3" t="s">
        <v>165</v>
      </c>
      <c r="D99" s="24">
        <v>6306</v>
      </c>
      <c r="E99" s="24">
        <v>11914</v>
      </c>
      <c r="F99" s="24">
        <v>9143</v>
      </c>
      <c r="G99" s="24">
        <v>10012</v>
      </c>
      <c r="H99" s="24">
        <v>9899</v>
      </c>
      <c r="I99" s="13">
        <f t="shared" ref="I99:R99" si="32">$H99</f>
        <v>9899</v>
      </c>
      <c r="J99" s="13">
        <f t="shared" si="32"/>
        <v>9899</v>
      </c>
      <c r="K99" s="13">
        <f t="shared" si="32"/>
        <v>9899</v>
      </c>
      <c r="L99" s="13">
        <f t="shared" si="32"/>
        <v>9899</v>
      </c>
      <c r="M99" s="13">
        <f t="shared" si="32"/>
        <v>9899</v>
      </c>
      <c r="N99" s="13">
        <f t="shared" si="32"/>
        <v>9899</v>
      </c>
      <c r="O99" s="13">
        <f t="shared" si="32"/>
        <v>9899</v>
      </c>
      <c r="P99" s="13">
        <f t="shared" si="32"/>
        <v>9899</v>
      </c>
      <c r="Q99" s="13">
        <f t="shared" si="32"/>
        <v>9899</v>
      </c>
      <c r="R99" s="13">
        <f t="shared" si="32"/>
        <v>9899</v>
      </c>
      <c r="S99" s="5" t="s">
        <v>166</v>
      </c>
    </row>
    <row r="100" spans="2:20" x14ac:dyDescent="0.25">
      <c r="B100" s="3" t="s">
        <v>167</v>
      </c>
      <c r="D100" s="13">
        <f t="shared" ref="D100:R100" si="33">D93+D94+D95-D97-D98</f>
        <v>-19679</v>
      </c>
      <c r="E100" s="13">
        <f t="shared" si="33"/>
        <v>-26212</v>
      </c>
      <c r="F100" s="13">
        <f t="shared" si="33"/>
        <v>-15948</v>
      </c>
      <c r="G100" s="13">
        <f t="shared" si="33"/>
        <v>-14030</v>
      </c>
      <c r="H100" s="13">
        <f t="shared" si="33"/>
        <v>-14726</v>
      </c>
      <c r="I100" s="13">
        <f t="shared" si="33"/>
        <v>-14672.854546234343</v>
      </c>
      <c r="J100" s="13">
        <f t="shared" si="33"/>
        <v>-15144.229316087778</v>
      </c>
      <c r="K100" s="13">
        <f t="shared" si="33"/>
        <v>-15287.801575280086</v>
      </c>
      <c r="L100" s="13">
        <f t="shared" si="33"/>
        <v>-15483.8081830589</v>
      </c>
      <c r="M100" s="13">
        <f t="shared" si="33"/>
        <v>-15794.230402434972</v>
      </c>
      <c r="N100" s="13">
        <f t="shared" si="33"/>
        <v>-16114.248630386246</v>
      </c>
      <c r="O100" s="13">
        <f t="shared" si="33"/>
        <v>-16445.285411015167</v>
      </c>
      <c r="P100" s="13">
        <f t="shared" si="33"/>
        <v>-16787.821336331341</v>
      </c>
      <c r="Q100" s="13">
        <f t="shared" si="33"/>
        <v>-17141.153260429775</v>
      </c>
      <c r="R100" s="13">
        <f t="shared" si="33"/>
        <v>-17507.799279153136</v>
      </c>
    </row>
    <row r="101" spans="2:20" x14ac:dyDescent="0.25">
      <c r="B101" s="4" t="s">
        <v>168</v>
      </c>
      <c r="D101" s="26">
        <f t="shared" ref="D101:R101" si="34">D100-D96+D99</f>
        <v>-14860</v>
      </c>
      <c r="E101" s="26">
        <f t="shared" si="34"/>
        <v>-15353</v>
      </c>
      <c r="F101" s="26">
        <f t="shared" si="34"/>
        <v>-8599</v>
      </c>
      <c r="G101" s="26">
        <f t="shared" si="34"/>
        <v>-6279</v>
      </c>
      <c r="H101" s="26">
        <f t="shared" si="34"/>
        <v>-6232</v>
      </c>
      <c r="I101" s="26">
        <f t="shared" si="34"/>
        <v>-6178.8545462343427</v>
      </c>
      <c r="J101" s="26">
        <f t="shared" si="34"/>
        <v>-6650.229316087778</v>
      </c>
      <c r="K101" s="26">
        <f t="shared" si="34"/>
        <v>-6793.8015752800857</v>
      </c>
      <c r="L101" s="26">
        <f t="shared" si="34"/>
        <v>-6989.8081830588999</v>
      </c>
      <c r="M101" s="26">
        <f t="shared" si="34"/>
        <v>-7300.2304024349723</v>
      </c>
      <c r="N101" s="26">
        <f t="shared" si="34"/>
        <v>-7620.2486303862461</v>
      </c>
      <c r="O101" s="26">
        <f t="shared" si="34"/>
        <v>-7951.2854110151675</v>
      </c>
      <c r="P101" s="26">
        <f t="shared" si="34"/>
        <v>-8293.8213363313407</v>
      </c>
      <c r="Q101" s="26">
        <f t="shared" si="34"/>
        <v>-8647.1532604297754</v>
      </c>
      <c r="R101" s="26">
        <f t="shared" si="34"/>
        <v>-9013.799279153136</v>
      </c>
      <c r="S101" s="5" t="s">
        <v>169</v>
      </c>
    </row>
    <row r="102" spans="2:20" x14ac:dyDescent="0.25">
      <c r="B102" s="3" t="s">
        <v>170</v>
      </c>
      <c r="E102" s="13">
        <f t="shared" ref="E102:R102" si="35">-(E100-D100)</f>
        <v>6533</v>
      </c>
      <c r="F102" s="13">
        <f t="shared" si="35"/>
        <v>-10264</v>
      </c>
      <c r="G102" s="13">
        <f t="shared" si="35"/>
        <v>-1918</v>
      </c>
      <c r="H102" s="13">
        <f t="shared" si="35"/>
        <v>696</v>
      </c>
      <c r="I102" s="13">
        <f t="shared" si="35"/>
        <v>-53.145453765657294</v>
      </c>
      <c r="J102" s="13">
        <f t="shared" si="35"/>
        <v>471.37476985343528</v>
      </c>
      <c r="K102" s="13">
        <f t="shared" si="35"/>
        <v>143.57225919230768</v>
      </c>
      <c r="L102" s="13">
        <f t="shared" si="35"/>
        <v>196.00660777881421</v>
      </c>
      <c r="M102" s="13">
        <f t="shared" si="35"/>
        <v>310.42221937607246</v>
      </c>
      <c r="N102" s="13">
        <f t="shared" si="35"/>
        <v>320.01822795127373</v>
      </c>
      <c r="O102" s="13">
        <f t="shared" si="35"/>
        <v>331.03678062892141</v>
      </c>
      <c r="P102" s="13">
        <f t="shared" si="35"/>
        <v>342.53592531617323</v>
      </c>
      <c r="Q102" s="13">
        <f t="shared" si="35"/>
        <v>353.33192409843468</v>
      </c>
      <c r="R102" s="13">
        <f t="shared" si="35"/>
        <v>366.64601872336061</v>
      </c>
      <c r="S102" s="5" t="s">
        <v>171</v>
      </c>
    </row>
    <row r="103" spans="2:20" x14ac:dyDescent="0.25">
      <c r="B103" s="3" t="s">
        <v>172</v>
      </c>
      <c r="E103" s="13">
        <f t="shared" ref="E103:R103" si="36">-(E101-D101)</f>
        <v>493</v>
      </c>
      <c r="F103" s="13">
        <f t="shared" si="36"/>
        <v>-6754</v>
      </c>
      <c r="G103" s="13">
        <f t="shared" si="36"/>
        <v>-2320</v>
      </c>
      <c r="H103" s="13">
        <f t="shared" si="36"/>
        <v>-47</v>
      </c>
      <c r="I103" s="13">
        <f t="shared" si="36"/>
        <v>-53.145453765657294</v>
      </c>
      <c r="J103" s="13">
        <f t="shared" si="36"/>
        <v>471.37476985343528</v>
      </c>
      <c r="K103" s="13">
        <f t="shared" si="36"/>
        <v>143.57225919230768</v>
      </c>
      <c r="L103" s="13">
        <f t="shared" si="36"/>
        <v>196.00660777881421</v>
      </c>
      <c r="M103" s="13">
        <f t="shared" si="36"/>
        <v>310.42221937607246</v>
      </c>
      <c r="N103" s="13">
        <f t="shared" si="36"/>
        <v>320.01822795127373</v>
      </c>
      <c r="O103" s="13">
        <f t="shared" si="36"/>
        <v>331.03678062892141</v>
      </c>
      <c r="P103" s="13">
        <f t="shared" si="36"/>
        <v>342.53592531617323</v>
      </c>
      <c r="Q103" s="13">
        <f t="shared" si="36"/>
        <v>353.33192409843468</v>
      </c>
      <c r="R103" s="13">
        <f t="shared" si="36"/>
        <v>366.64601872336061</v>
      </c>
    </row>
    <row r="105" spans="2:20" x14ac:dyDescent="0.25">
      <c r="B105" s="6" t="s">
        <v>173</v>
      </c>
      <c r="C105" s="7"/>
      <c r="D105" s="22" t="s">
        <v>75</v>
      </c>
      <c r="E105" s="22" t="s">
        <v>76</v>
      </c>
      <c r="F105" s="22" t="s">
        <v>77</v>
      </c>
      <c r="G105" s="22" t="s">
        <v>78</v>
      </c>
      <c r="H105" s="22" t="s">
        <v>79</v>
      </c>
      <c r="I105" s="22" t="s">
        <v>80</v>
      </c>
      <c r="J105" s="22" t="s">
        <v>81</v>
      </c>
      <c r="K105" s="22" t="s">
        <v>82</v>
      </c>
      <c r="L105" s="22" t="s">
        <v>83</v>
      </c>
      <c r="M105" s="22" t="s">
        <v>84</v>
      </c>
      <c r="N105" s="22" t="s">
        <v>85</v>
      </c>
      <c r="O105" s="22" t="s">
        <v>86</v>
      </c>
      <c r="P105" s="22" t="s">
        <v>87</v>
      </c>
      <c r="Q105" s="22" t="s">
        <v>88</v>
      </c>
      <c r="R105" s="22" t="s">
        <v>89</v>
      </c>
      <c r="S105" s="6" t="s">
        <v>90</v>
      </c>
      <c r="T105" s="7"/>
    </row>
    <row r="106" spans="2:20" x14ac:dyDescent="0.25">
      <c r="B106" s="3" t="s">
        <v>174</v>
      </c>
      <c r="I106" s="27">
        <v>1</v>
      </c>
      <c r="J106" s="27">
        <v>2</v>
      </c>
      <c r="K106" s="27">
        <v>3</v>
      </c>
      <c r="L106" s="27">
        <v>4</v>
      </c>
      <c r="M106" s="27">
        <v>5</v>
      </c>
      <c r="N106" s="27">
        <v>6</v>
      </c>
      <c r="O106" s="27">
        <v>7</v>
      </c>
      <c r="P106" s="27">
        <v>8</v>
      </c>
      <c r="Q106" s="27">
        <v>9</v>
      </c>
      <c r="R106" s="27">
        <v>10</v>
      </c>
    </row>
    <row r="107" spans="2:20" x14ac:dyDescent="0.25">
      <c r="B107" s="3" t="s">
        <v>175</v>
      </c>
      <c r="I107" s="28">
        <f t="shared" ref="I107:R107" si="37">I106-$D$37</f>
        <v>0.5</v>
      </c>
      <c r="J107" s="28">
        <f t="shared" si="37"/>
        <v>1.5</v>
      </c>
      <c r="K107" s="28">
        <f t="shared" si="37"/>
        <v>2.5</v>
      </c>
      <c r="L107" s="28">
        <f t="shared" si="37"/>
        <v>3.5</v>
      </c>
      <c r="M107" s="28">
        <f t="shared" si="37"/>
        <v>4.5</v>
      </c>
      <c r="N107" s="28">
        <f t="shared" si="37"/>
        <v>5.5</v>
      </c>
      <c r="O107" s="28">
        <f t="shared" si="37"/>
        <v>6.5</v>
      </c>
      <c r="P107" s="28">
        <f t="shared" si="37"/>
        <v>7.5</v>
      </c>
      <c r="Q107" s="28">
        <f t="shared" si="37"/>
        <v>8.5</v>
      </c>
      <c r="R107" s="28">
        <f t="shared" si="37"/>
        <v>9.5</v>
      </c>
    </row>
    <row r="108" spans="2:20" x14ac:dyDescent="0.25">
      <c r="B108" s="3" t="s">
        <v>176</v>
      </c>
      <c r="I108" s="29">
        <f t="shared" ref="I108:R108" si="38">1/(1+$D$34)^I107</f>
        <v>0.95206461864703928</v>
      </c>
      <c r="J108" s="29">
        <f t="shared" si="38"/>
        <v>0.8629771123405553</v>
      </c>
      <c r="K108" s="29">
        <f t="shared" si="38"/>
        <v>0.78222578786927732</v>
      </c>
      <c r="L108" s="29">
        <f t="shared" si="38"/>
        <v>0.70903060400777762</v>
      </c>
      <c r="M108" s="29">
        <f t="shared" si="38"/>
        <v>0.64268451029851159</v>
      </c>
      <c r="N108" s="29">
        <f t="shared" si="38"/>
        <v>0.58254661708947453</v>
      </c>
      <c r="O108" s="29">
        <f t="shared" si="38"/>
        <v>0.52803600467166389</v>
      </c>
      <c r="P108" s="29">
        <f t="shared" si="38"/>
        <v>0.47862611171388636</v>
      </c>
      <c r="Q108" s="29">
        <f t="shared" si="38"/>
        <v>0.43383964878834136</v>
      </c>
      <c r="R108" s="29">
        <f t="shared" si="38"/>
        <v>0.39324398785268078</v>
      </c>
    </row>
    <row r="109" spans="2:20" x14ac:dyDescent="0.25">
      <c r="B109" s="4" t="s">
        <v>177</v>
      </c>
      <c r="I109" s="26">
        <f t="shared" ref="I109:R109" si="39">I88*I108</f>
        <v>23003.395255250933</v>
      </c>
      <c r="J109" s="26">
        <f t="shared" si="39"/>
        <v>20219.976088582374</v>
      </c>
      <c r="K109" s="26">
        <f t="shared" si="39"/>
        <v>19094.221378716538</v>
      </c>
      <c r="L109" s="26">
        <f t="shared" si="39"/>
        <v>17814.541594382183</v>
      </c>
      <c r="M109" s="26">
        <f t="shared" si="39"/>
        <v>17035.604995213307</v>
      </c>
      <c r="N109" s="26">
        <f t="shared" si="39"/>
        <v>15809.246896969498</v>
      </c>
      <c r="O109" s="26">
        <f t="shared" si="39"/>
        <v>14660.973951450498</v>
      </c>
      <c r="P109" s="26">
        <f t="shared" si="39"/>
        <v>13585.730245522796</v>
      </c>
      <c r="Q109" s="26">
        <f t="shared" si="39"/>
        <v>12578.819376928719</v>
      </c>
      <c r="R109" s="26">
        <f t="shared" si="39"/>
        <v>11639.958733640819</v>
      </c>
    </row>
    <row r="111" spans="2:20" x14ac:dyDescent="0.25">
      <c r="B111" s="6" t="s">
        <v>178</v>
      </c>
      <c r="C111" s="7"/>
      <c r="D111" s="7"/>
      <c r="E111" s="7"/>
      <c r="F111" s="7"/>
      <c r="G111" s="7"/>
      <c r="H111" s="7"/>
      <c r="I111" s="7"/>
      <c r="J111" s="7"/>
      <c r="K111" s="7"/>
      <c r="L111" s="7"/>
      <c r="M111" s="7"/>
      <c r="N111" s="7"/>
      <c r="O111" s="7"/>
      <c r="P111" s="7"/>
      <c r="Q111" s="7"/>
      <c r="R111" s="7"/>
      <c r="S111" s="7"/>
      <c r="T111" s="7"/>
    </row>
    <row r="112" spans="2:20" x14ac:dyDescent="0.25">
      <c r="B112" s="3" t="s">
        <v>179</v>
      </c>
      <c r="D112" s="13">
        <f>SUM(I109:R109)</f>
        <v>165442.46851665768</v>
      </c>
    </row>
    <row r="113" spans="2:20" x14ac:dyDescent="0.25">
      <c r="B113" s="3" t="s">
        <v>180</v>
      </c>
      <c r="D113" s="13">
        <f>R88*(1+$D$39)/($D$34-$D$39)</f>
        <v>508092.07140835229</v>
      </c>
    </row>
    <row r="114" spans="2:20" x14ac:dyDescent="0.25">
      <c r="B114" s="3" t="s">
        <v>181</v>
      </c>
      <c r="D114" s="13">
        <f>$D$113/(1+$D$34)^(10-$D$37)</f>
        <v>199804.15235694952</v>
      </c>
    </row>
    <row r="115" spans="2:20" x14ac:dyDescent="0.25">
      <c r="B115" s="4" t="s">
        <v>182</v>
      </c>
      <c r="D115" s="26">
        <f>$D$112+$D$114</f>
        <v>365246.62087360723</v>
      </c>
    </row>
    <row r="116" spans="2:20" x14ac:dyDescent="0.25">
      <c r="B116" s="3" t="s">
        <v>183</v>
      </c>
      <c r="D116" s="13">
        <f>R79*$D$40</f>
        <v>571344.92590191215</v>
      </c>
    </row>
    <row r="117" spans="2:20" x14ac:dyDescent="0.25">
      <c r="B117" s="3" t="s">
        <v>184</v>
      </c>
      <c r="D117" s="13">
        <f>$D$116/(1+$D$34)^10</f>
        <v>213907.93354581873</v>
      </c>
    </row>
    <row r="118" spans="2:20" x14ac:dyDescent="0.25">
      <c r="B118" s="4" t="s">
        <v>185</v>
      </c>
      <c r="D118" s="26">
        <f>$D$112+$D$117</f>
        <v>379350.40206247638</v>
      </c>
    </row>
    <row r="119" spans="2:20" x14ac:dyDescent="0.25">
      <c r="B119" s="3" t="s">
        <v>186</v>
      </c>
      <c r="D119" s="10">
        <f>$D$114/$D$115</f>
        <v>0.54703901675819011</v>
      </c>
    </row>
    <row r="120" spans="2:20" x14ac:dyDescent="0.25">
      <c r="B120" s="3" t="s">
        <v>187</v>
      </c>
      <c r="D120" s="10">
        <f>$D$117/$D$118</f>
        <v>0.56387954878347424</v>
      </c>
    </row>
    <row r="122" spans="2:20" x14ac:dyDescent="0.25">
      <c r="B122" s="6" t="s">
        <v>188</v>
      </c>
      <c r="C122" s="7"/>
      <c r="D122" s="7"/>
      <c r="E122" s="7"/>
      <c r="F122" s="7"/>
      <c r="G122" s="7"/>
      <c r="H122" s="7"/>
      <c r="I122" s="7"/>
      <c r="J122" s="7"/>
      <c r="K122" s="7"/>
      <c r="L122" s="7"/>
      <c r="M122" s="7"/>
      <c r="N122" s="7"/>
      <c r="O122" s="7"/>
      <c r="P122" s="7"/>
      <c r="Q122" s="7"/>
      <c r="R122" s="7"/>
      <c r="S122" s="7"/>
      <c r="T122" s="7"/>
    </row>
    <row r="123" spans="2:20" x14ac:dyDescent="0.25">
      <c r="B123" s="3" t="s">
        <v>189</v>
      </c>
      <c r="D123" s="24">
        <v>12635</v>
      </c>
      <c r="E123" s="5" t="s">
        <v>190</v>
      </c>
    </row>
    <row r="124" spans="2:20" x14ac:dyDescent="0.25">
      <c r="B124" s="3" t="s">
        <v>191</v>
      </c>
      <c r="D124" s="24">
        <v>141028</v>
      </c>
      <c r="E124" s="5" t="s">
        <v>190</v>
      </c>
    </row>
    <row r="125" spans="2:20" x14ac:dyDescent="0.25">
      <c r="B125" s="3" t="s">
        <v>192</v>
      </c>
      <c r="D125" s="24">
        <v>34790</v>
      </c>
      <c r="E125" s="5" t="s">
        <v>190</v>
      </c>
    </row>
    <row r="126" spans="2:20" x14ac:dyDescent="0.25">
      <c r="B126" s="3" t="s">
        <v>193</v>
      </c>
      <c r="D126" s="24">
        <v>8535</v>
      </c>
      <c r="E126" s="5" t="s">
        <v>190</v>
      </c>
    </row>
    <row r="127" spans="2:20" x14ac:dyDescent="0.25">
      <c r="B127" s="3" t="s">
        <v>194</v>
      </c>
      <c r="D127" s="13">
        <f>$D$123+$D$124+$D$125-$D$126</f>
        <v>179918</v>
      </c>
    </row>
    <row r="128" spans="2:20" x14ac:dyDescent="0.25">
      <c r="B128" s="3" t="s">
        <v>195</v>
      </c>
      <c r="D128" s="24">
        <v>743</v>
      </c>
      <c r="E128" s="5" t="s">
        <v>190</v>
      </c>
    </row>
    <row r="129" spans="2:20" x14ac:dyDescent="0.25">
      <c r="B129" s="30" t="s">
        <v>196</v>
      </c>
      <c r="C129" s="31"/>
      <c r="D129" s="31"/>
      <c r="E129" s="31"/>
      <c r="F129" s="31"/>
      <c r="G129" s="31"/>
      <c r="H129" s="31"/>
      <c r="I129" s="31"/>
      <c r="J129" s="31"/>
      <c r="K129" s="31"/>
      <c r="L129" s="31"/>
      <c r="M129" s="31"/>
      <c r="N129" s="31"/>
      <c r="O129" s="31"/>
      <c r="P129" s="31"/>
      <c r="Q129" s="31"/>
      <c r="R129" s="31"/>
      <c r="S129" s="31"/>
      <c r="T129" s="31"/>
    </row>
    <row r="130" spans="2:20" x14ac:dyDescent="0.25">
      <c r="B130" s="3" t="s">
        <v>197</v>
      </c>
      <c r="D130" s="24">
        <v>1814</v>
      </c>
      <c r="E130" s="5" t="s">
        <v>198</v>
      </c>
    </row>
    <row r="131" spans="2:20" x14ac:dyDescent="0.25">
      <c r="B131" s="3" t="s">
        <v>199</v>
      </c>
      <c r="D131" s="15">
        <v>0.03</v>
      </c>
      <c r="E131" s="5" t="s">
        <v>200</v>
      </c>
    </row>
    <row r="132" spans="2:20" x14ac:dyDescent="0.25">
      <c r="B132" s="3" t="s">
        <v>201</v>
      </c>
      <c r="D132" s="13">
        <f>$D$130/($D$30-$D$131)</f>
        <v>18242.79610088572</v>
      </c>
      <c r="E132" s="5" t="s">
        <v>202</v>
      </c>
    </row>
    <row r="133" spans="2:20" x14ac:dyDescent="0.25">
      <c r="B133" s="3" t="s">
        <v>203</v>
      </c>
      <c r="D133" s="13">
        <f>$D$130/$D$30</f>
        <v>14014.592808972435</v>
      </c>
    </row>
    <row r="134" spans="2:20" x14ac:dyDescent="0.25">
      <c r="B134" s="3" t="s">
        <v>204</v>
      </c>
      <c r="D134" s="24">
        <v>1515.25</v>
      </c>
      <c r="E134" s="5" t="s">
        <v>205</v>
      </c>
    </row>
    <row r="135" spans="2:20" x14ac:dyDescent="0.25">
      <c r="B135" s="3" t="s">
        <v>206</v>
      </c>
      <c r="D135" s="24">
        <v>2454</v>
      </c>
      <c r="E135" s="5" t="s">
        <v>207</v>
      </c>
    </row>
    <row r="136" spans="2:20" x14ac:dyDescent="0.25">
      <c r="B136" s="3" t="s">
        <v>208</v>
      </c>
      <c r="D136" s="24">
        <v>520.1</v>
      </c>
      <c r="E136" s="5" t="s">
        <v>209</v>
      </c>
    </row>
    <row r="137" spans="2:20" x14ac:dyDescent="0.25">
      <c r="B137" s="3" t="s">
        <v>210</v>
      </c>
      <c r="D137" s="24">
        <v>738.75</v>
      </c>
      <c r="E137" s="5" t="s">
        <v>211</v>
      </c>
    </row>
    <row r="138" spans="2:20" x14ac:dyDescent="0.25">
      <c r="B138" s="3" t="s">
        <v>212</v>
      </c>
      <c r="D138" s="24">
        <v>742</v>
      </c>
      <c r="E138" s="5" t="s">
        <v>213</v>
      </c>
    </row>
    <row r="139" spans="2:20" x14ac:dyDescent="0.25">
      <c r="B139" s="3" t="s">
        <v>214</v>
      </c>
      <c r="D139" s="24">
        <v>10399</v>
      </c>
      <c r="E139" s="5" t="s">
        <v>215</v>
      </c>
    </row>
    <row r="140" spans="2:20" x14ac:dyDescent="0.25">
      <c r="B140" s="3" t="s">
        <v>216</v>
      </c>
      <c r="D140" s="24">
        <v>3185</v>
      </c>
      <c r="E140" s="5" t="s">
        <v>217</v>
      </c>
    </row>
    <row r="141" spans="2:20" x14ac:dyDescent="0.25">
      <c r="B141" s="3" t="s">
        <v>218</v>
      </c>
      <c r="D141" s="13">
        <f>$D$132-$D$128</f>
        <v>17499.79610088572</v>
      </c>
      <c r="E141" s="5" t="s">
        <v>219</v>
      </c>
    </row>
    <row r="142" spans="2:20" x14ac:dyDescent="0.25">
      <c r="B142" s="3" t="s">
        <v>220</v>
      </c>
      <c r="D142" s="13">
        <f>$D$134+$D$135+$D$136+$D$137+$D$138+$D$139+$D$140+$D$141</f>
        <v>37053.896100885715</v>
      </c>
      <c r="E142" s="5" t="s">
        <v>221</v>
      </c>
    </row>
    <row r="143" spans="2:20" x14ac:dyDescent="0.25">
      <c r="B143" s="3" t="s">
        <v>222</v>
      </c>
      <c r="D143" s="24">
        <v>37053.896100999998</v>
      </c>
    </row>
    <row r="144" spans="2:20" x14ac:dyDescent="0.25">
      <c r="B144" s="3" t="s">
        <v>223</v>
      </c>
      <c r="D144" s="24">
        <v>7018</v>
      </c>
      <c r="E144" s="5" t="s">
        <v>224</v>
      </c>
    </row>
    <row r="145" spans="2:20" x14ac:dyDescent="0.25">
      <c r="B145" s="3" t="s">
        <v>225</v>
      </c>
      <c r="D145" s="32">
        <v>4310.5309999999999</v>
      </c>
      <c r="E145" s="5" t="s">
        <v>226</v>
      </c>
    </row>
    <row r="146" spans="2:20" x14ac:dyDescent="0.25">
      <c r="B146" s="3" t="s">
        <v>24</v>
      </c>
      <c r="D146" s="33">
        <v>58.6</v>
      </c>
      <c r="E146" s="5" t="s">
        <v>227</v>
      </c>
    </row>
    <row r="147" spans="2:20" x14ac:dyDescent="0.25">
      <c r="B147" s="3" t="s">
        <v>228</v>
      </c>
      <c r="D147" s="33">
        <v>1.1813389999999999</v>
      </c>
      <c r="E147" s="5" t="s">
        <v>229</v>
      </c>
    </row>
    <row r="148" spans="2:20" x14ac:dyDescent="0.25">
      <c r="B148" s="3" t="s">
        <v>230</v>
      </c>
      <c r="D148" s="18">
        <f>(1+$D$30)^$D$38</f>
        <v>1.1011741086494256</v>
      </c>
    </row>
    <row r="149" spans="2:20" x14ac:dyDescent="0.25">
      <c r="B149" s="30" t="s">
        <v>231</v>
      </c>
      <c r="C149" s="31"/>
      <c r="D149" s="31"/>
      <c r="E149" s="31"/>
      <c r="F149" s="31"/>
      <c r="G149" s="31"/>
      <c r="H149" s="31"/>
      <c r="I149" s="31"/>
      <c r="J149" s="31"/>
      <c r="K149" s="31"/>
      <c r="L149" s="31"/>
      <c r="M149" s="31"/>
      <c r="N149" s="31"/>
      <c r="O149" s="31"/>
      <c r="P149" s="31"/>
      <c r="Q149" s="31"/>
      <c r="R149" s="31"/>
      <c r="S149" s="31"/>
      <c r="T149" s="31"/>
    </row>
    <row r="150" spans="2:20" x14ac:dyDescent="0.25">
      <c r="B150" s="3" t="s">
        <v>232</v>
      </c>
      <c r="D150" s="13">
        <f>$D$115+$D$144-$D$127-$D$128-$D$142</f>
        <v>154549.72477272153</v>
      </c>
    </row>
    <row r="151" spans="2:20" x14ac:dyDescent="0.25">
      <c r="B151" s="3" t="s">
        <v>233</v>
      </c>
      <c r="D151" s="14">
        <f>$D$150/$D$145</f>
        <v>35.853987541841491</v>
      </c>
    </row>
    <row r="152" spans="2:20" x14ac:dyDescent="0.25">
      <c r="B152" s="4" t="s">
        <v>234</v>
      </c>
      <c r="D152" s="34">
        <f>$D$151*$D$148</f>
        <v>39.481482772914909</v>
      </c>
    </row>
    <row r="153" spans="2:20" x14ac:dyDescent="0.25">
      <c r="B153" s="3" t="s">
        <v>235</v>
      </c>
      <c r="D153" s="10">
        <f>$D$152/$D$146-1</f>
        <v>-0.32625456018916543</v>
      </c>
    </row>
    <row r="154" spans="2:20" x14ac:dyDescent="0.25">
      <c r="B154" s="4" t="s">
        <v>236</v>
      </c>
      <c r="D154" s="34">
        <f>$D$152*(1+$D$30)-$D$147</f>
        <v>43.410489162630078</v>
      </c>
    </row>
    <row r="155" spans="2:20" x14ac:dyDescent="0.25">
      <c r="B155" s="3" t="s">
        <v>237</v>
      </c>
      <c r="D155" s="10">
        <f>$D$154/$D$146-1</f>
        <v>-0.25920666957969152</v>
      </c>
    </row>
    <row r="156" spans="2:20" x14ac:dyDescent="0.25">
      <c r="B156" s="30" t="s">
        <v>238</v>
      </c>
      <c r="C156" s="31"/>
      <c r="D156" s="31"/>
      <c r="E156" s="31"/>
      <c r="F156" s="31"/>
      <c r="G156" s="31"/>
      <c r="H156" s="31"/>
      <c r="I156" s="31"/>
      <c r="J156" s="31"/>
      <c r="K156" s="31"/>
      <c r="L156" s="31"/>
      <c r="M156" s="31"/>
      <c r="N156" s="31"/>
      <c r="O156" s="31"/>
      <c r="P156" s="31"/>
      <c r="Q156" s="31"/>
      <c r="R156" s="31"/>
      <c r="S156" s="31"/>
      <c r="T156" s="31"/>
    </row>
    <row r="157" spans="2:20" x14ac:dyDescent="0.25">
      <c r="B157" s="3" t="s">
        <v>239</v>
      </c>
      <c r="D157" s="13">
        <f>$D$118+$D$144-$D$127-$D$128-$D$142</f>
        <v>168653.50596159068</v>
      </c>
    </row>
    <row r="158" spans="2:20" x14ac:dyDescent="0.25">
      <c r="B158" s="3" t="s">
        <v>233</v>
      </c>
      <c r="D158" s="14">
        <f>$D$157/$D$145</f>
        <v>39.125923456203118</v>
      </c>
    </row>
    <row r="159" spans="2:20" x14ac:dyDescent="0.25">
      <c r="B159" s="4" t="s">
        <v>234</v>
      </c>
      <c r="D159" s="34">
        <f>$D$158*$D$148</f>
        <v>43.084453886970117</v>
      </c>
    </row>
    <row r="160" spans="2:20" x14ac:dyDescent="0.25">
      <c r="B160" s="3" t="s">
        <v>235</v>
      </c>
      <c r="D160" s="10">
        <f>$D$159/$D$146-1</f>
        <v>-0.26477041148515157</v>
      </c>
    </row>
    <row r="161" spans="2:20" x14ac:dyDescent="0.25">
      <c r="B161" s="3" t="s">
        <v>240</v>
      </c>
      <c r="D161" s="13">
        <f>$D$134+$D$135+$D$136+$D$137+$D$138+$D$139+$D$140</f>
        <v>19554.099999999999</v>
      </c>
      <c r="E161" s="5" t="s">
        <v>241</v>
      </c>
    </row>
    <row r="162" spans="2:20" x14ac:dyDescent="0.25">
      <c r="B162" s="3" t="s">
        <v>242</v>
      </c>
      <c r="D162" s="14">
        <f>$D$159+$D$161/$D$145*$D$148</f>
        <v>48.079770853242195</v>
      </c>
    </row>
    <row r="164" spans="2:20" x14ac:dyDescent="0.25">
      <c r="B164" s="6" t="s">
        <v>243</v>
      </c>
      <c r="C164" s="7"/>
      <c r="D164" s="7"/>
      <c r="E164" s="7"/>
      <c r="F164" s="7"/>
      <c r="G164" s="7"/>
      <c r="H164" s="7"/>
      <c r="I164" s="7"/>
      <c r="J164" s="7"/>
      <c r="K164" s="7"/>
      <c r="L164" s="7"/>
      <c r="M164" s="7"/>
      <c r="N164" s="7"/>
      <c r="O164" s="7"/>
      <c r="P164" s="7"/>
      <c r="Q164" s="7"/>
      <c r="R164" s="7"/>
      <c r="S164" s="7"/>
      <c r="T164" s="7"/>
    </row>
    <row r="165" spans="2:20" x14ac:dyDescent="0.25">
      <c r="B165" s="3" t="s">
        <v>244</v>
      </c>
      <c r="D165" s="11">
        <f>$D$34-$D$39</f>
        <v>6.073275673541572E-2</v>
      </c>
      <c r="E165" s="5" t="s">
        <v>245</v>
      </c>
    </row>
    <row r="166" spans="2:20" x14ac:dyDescent="0.25">
      <c r="B166" s="3" t="s">
        <v>246</v>
      </c>
      <c r="D166" s="11">
        <f>$D$39-$D$41</f>
        <v>-7.4999999999999997E-3</v>
      </c>
    </row>
    <row r="167" spans="2:20" x14ac:dyDescent="0.25">
      <c r="B167" s="3" t="s">
        <v>247</v>
      </c>
      <c r="D167" s="12">
        <f>$D$113*(1+$D$34)^$D$37/R79</f>
        <v>5.6043966872547548</v>
      </c>
    </row>
    <row r="168" spans="2:20" x14ac:dyDescent="0.25">
      <c r="B168" s="3" t="s">
        <v>248</v>
      </c>
      <c r="D168" s="11">
        <f>($D$116/(1+$D$34)^$D$37*$D$34-R88)/($D$116/(1+$D$34)^$D$37+R88)</f>
        <v>4.6297692380702138E-2</v>
      </c>
    </row>
    <row r="169" spans="2:20" x14ac:dyDescent="0.25">
      <c r="B169" s="3" t="s">
        <v>249</v>
      </c>
      <c r="D169" s="10">
        <f>IF(AND(R83&gt;0,R88&lt;R83),$D$39/(1-R88/R83),"n.m.")</f>
        <v>0.1789712676456372</v>
      </c>
      <c r="E169" s="5" t="s">
        <v>250</v>
      </c>
    </row>
    <row r="170" spans="2:20" x14ac:dyDescent="0.25">
      <c r="B170" s="3" t="s">
        <v>251</v>
      </c>
      <c r="D170" s="10">
        <f>(-R85-R86-R84-R87)/R83</f>
        <v>0.2374682850442226</v>
      </c>
      <c r="E170" s="5" t="s">
        <v>252</v>
      </c>
    </row>
    <row r="171" spans="2:20" x14ac:dyDescent="0.25">
      <c r="B171" s="3" t="s">
        <v>253</v>
      </c>
      <c r="D171" s="10">
        <f>IF($D$170&gt;0,$D$39/$D$170,"n.m.")</f>
        <v>0.17897126764563709</v>
      </c>
      <c r="E171" s="5" t="s">
        <v>254</v>
      </c>
    </row>
    <row r="173" spans="2:20" x14ac:dyDescent="0.25">
      <c r="B173" s="6" t="s">
        <v>255</v>
      </c>
      <c r="C173" s="7"/>
      <c r="D173" s="22" t="s">
        <v>75</v>
      </c>
      <c r="E173" s="22" t="s">
        <v>76</v>
      </c>
      <c r="F173" s="22" t="s">
        <v>77</v>
      </c>
      <c r="G173" s="22" t="s">
        <v>78</v>
      </c>
      <c r="H173" s="22" t="s">
        <v>79</v>
      </c>
      <c r="I173" s="22" t="s">
        <v>80</v>
      </c>
      <c r="J173" s="22" t="s">
        <v>81</v>
      </c>
      <c r="K173" s="22" t="s">
        <v>82</v>
      </c>
      <c r="L173" s="22" t="s">
        <v>83</v>
      </c>
      <c r="M173" s="22" t="s">
        <v>84</v>
      </c>
      <c r="N173" s="22" t="s">
        <v>85</v>
      </c>
      <c r="O173" s="22" t="s">
        <v>86</v>
      </c>
      <c r="P173" s="22" t="s">
        <v>87</v>
      </c>
      <c r="Q173" s="22" t="s">
        <v>88</v>
      </c>
      <c r="R173" s="22" t="s">
        <v>89</v>
      </c>
      <c r="S173" s="6" t="s">
        <v>90</v>
      </c>
      <c r="T173" s="7"/>
    </row>
    <row r="174" spans="2:20" x14ac:dyDescent="0.25">
      <c r="B174" s="3" t="s">
        <v>256</v>
      </c>
      <c r="D174" s="24">
        <v>31149</v>
      </c>
      <c r="E174" s="24">
        <v>29185</v>
      </c>
      <c r="F174" s="24">
        <v>26815</v>
      </c>
      <c r="G174" s="24">
        <v>35801</v>
      </c>
      <c r="H174" s="24">
        <v>34790</v>
      </c>
      <c r="I174" s="13">
        <f t="shared" ref="I174:R174" si="40">H174*I70/H70</f>
        <v>34507.29841171841</v>
      </c>
      <c r="J174" s="13">
        <f t="shared" si="40"/>
        <v>36074.30730249091</v>
      </c>
      <c r="K174" s="13">
        <f t="shared" si="40"/>
        <v>37663.786419728807</v>
      </c>
      <c r="L174" s="13">
        <f t="shared" si="40"/>
        <v>39329.046856400455</v>
      </c>
      <c r="M174" s="13">
        <f t="shared" si="40"/>
        <v>41073.939646572624</v>
      </c>
      <c r="N174" s="13">
        <f t="shared" si="40"/>
        <v>42873.557879843247</v>
      </c>
      <c r="O174" s="13">
        <f t="shared" si="40"/>
        <v>44735.902831503401</v>
      </c>
      <c r="P174" s="13">
        <f t="shared" si="40"/>
        <v>46661.545262407664</v>
      </c>
      <c r="Q174" s="13">
        <f t="shared" si="40"/>
        <v>48650.95163171638</v>
      </c>
      <c r="R174" s="13">
        <f t="shared" si="40"/>
        <v>50714.374111086479</v>
      </c>
      <c r="S174" s="5" t="s">
        <v>257</v>
      </c>
    </row>
    <row r="175" spans="2:20" x14ac:dyDescent="0.25">
      <c r="B175" s="3" t="s">
        <v>258</v>
      </c>
      <c r="D175" s="11">
        <f t="shared" ref="D175:R175" si="41">D174/D70</f>
        <v>9.1941368155092212E-2</v>
      </c>
      <c r="E175" s="11">
        <f t="shared" si="41"/>
        <v>7.3199299734641565E-2</v>
      </c>
      <c r="F175" s="11">
        <f t="shared" si="41"/>
        <v>6.7057784979956431E-2</v>
      </c>
      <c r="G175" s="11">
        <f t="shared" si="41"/>
        <v>8.7675560507916292E-2</v>
      </c>
      <c r="H175" s="11">
        <f t="shared" si="41"/>
        <v>8.1484569694017128E-2</v>
      </c>
      <c r="I175" s="11">
        <f t="shared" si="41"/>
        <v>8.1484569694017128E-2</v>
      </c>
      <c r="J175" s="11">
        <f t="shared" si="41"/>
        <v>8.1484569694017128E-2</v>
      </c>
      <c r="K175" s="11">
        <f t="shared" si="41"/>
        <v>8.1484569694017128E-2</v>
      </c>
      <c r="L175" s="11">
        <f t="shared" si="41"/>
        <v>8.1484569694017114E-2</v>
      </c>
      <c r="M175" s="11">
        <f t="shared" si="41"/>
        <v>8.1484569694017114E-2</v>
      </c>
      <c r="N175" s="11">
        <f t="shared" si="41"/>
        <v>8.14845696940171E-2</v>
      </c>
      <c r="O175" s="11">
        <f t="shared" si="41"/>
        <v>8.14845696940171E-2</v>
      </c>
      <c r="P175" s="11">
        <f t="shared" si="41"/>
        <v>8.14845696940171E-2</v>
      </c>
      <c r="Q175" s="11">
        <f t="shared" si="41"/>
        <v>8.14845696940171E-2</v>
      </c>
      <c r="R175" s="11">
        <f t="shared" si="41"/>
        <v>8.14845696940171E-2</v>
      </c>
      <c r="S175" s="5" t="s">
        <v>259</v>
      </c>
    </row>
    <row r="176" spans="2:20" x14ac:dyDescent="0.25">
      <c r="B176" s="3" t="s">
        <v>260</v>
      </c>
      <c r="D176" s="24">
        <v>4117</v>
      </c>
      <c r="E176" s="24">
        <v>5056</v>
      </c>
      <c r="F176" s="24">
        <v>4802</v>
      </c>
      <c r="G176" s="24">
        <v>5321</v>
      </c>
      <c r="H176" s="24">
        <v>5923</v>
      </c>
      <c r="I176" s="13">
        <f t="shared" ref="I176:R176" si="42">I70*I56</f>
        <v>5886.4083067999991</v>
      </c>
      <c r="J176" s="13">
        <f t="shared" si="42"/>
        <v>6153.7156468709991</v>
      </c>
      <c r="K176" s="13">
        <f t="shared" si="42"/>
        <v>6424.8560580257872</v>
      </c>
      <c r="L176" s="13">
        <f t="shared" si="42"/>
        <v>6708.9235834070441</v>
      </c>
      <c r="M176" s="13">
        <f t="shared" si="42"/>
        <v>7006.5751495191244</v>
      </c>
      <c r="N176" s="13">
        <f t="shared" si="42"/>
        <v>7313.5620249041749</v>
      </c>
      <c r="O176" s="13">
        <f t="shared" si="42"/>
        <v>7631.2491026574589</v>
      </c>
      <c r="P176" s="13">
        <f t="shared" si="42"/>
        <v>7959.733745701903</v>
      </c>
      <c r="Q176" s="13">
        <f t="shared" si="42"/>
        <v>8299.09552471393</v>
      </c>
      <c r="R176" s="13">
        <f t="shared" si="42"/>
        <v>8651.083300693439</v>
      </c>
      <c r="S176" s="5" t="s">
        <v>261</v>
      </c>
    </row>
    <row r="177" spans="2:20" x14ac:dyDescent="0.25">
      <c r="B177" s="3" t="s">
        <v>262</v>
      </c>
      <c r="I177" s="13">
        <f t="shared" ref="I177:R177" si="43">I174-H174</f>
        <v>-282.70158828159038</v>
      </c>
      <c r="J177" s="13">
        <f t="shared" si="43"/>
        <v>1567.0088907725003</v>
      </c>
      <c r="K177" s="13">
        <f t="shared" si="43"/>
        <v>1589.4791172378973</v>
      </c>
      <c r="L177" s="13">
        <f t="shared" si="43"/>
        <v>1665.2604366716478</v>
      </c>
      <c r="M177" s="13">
        <f t="shared" si="43"/>
        <v>1744.892790172169</v>
      </c>
      <c r="N177" s="13">
        <f t="shared" si="43"/>
        <v>1799.618233270623</v>
      </c>
      <c r="O177" s="13">
        <f t="shared" si="43"/>
        <v>1862.344951660154</v>
      </c>
      <c r="P177" s="13">
        <f t="shared" si="43"/>
        <v>1925.6424309042632</v>
      </c>
      <c r="Q177" s="13">
        <f t="shared" si="43"/>
        <v>1989.4063693087155</v>
      </c>
      <c r="R177" s="13">
        <f t="shared" si="43"/>
        <v>2063.4224793700996</v>
      </c>
    </row>
    <row r="178" spans="2:20" x14ac:dyDescent="0.25">
      <c r="B178" s="3" t="s">
        <v>263</v>
      </c>
      <c r="I178" s="13">
        <f t="shared" ref="I178:R178" si="44">I176+I177</f>
        <v>5603.7067185184087</v>
      </c>
      <c r="J178" s="13">
        <f t="shared" si="44"/>
        <v>7720.7245376434994</v>
      </c>
      <c r="K178" s="13">
        <f t="shared" si="44"/>
        <v>8014.3351752636845</v>
      </c>
      <c r="L178" s="13">
        <f t="shared" si="44"/>
        <v>8374.1840200786919</v>
      </c>
      <c r="M178" s="13">
        <f t="shared" si="44"/>
        <v>8751.4679396912943</v>
      </c>
      <c r="N178" s="13">
        <f t="shared" si="44"/>
        <v>9113.1802581747979</v>
      </c>
      <c r="O178" s="13">
        <f t="shared" si="44"/>
        <v>9493.594054317613</v>
      </c>
      <c r="P178" s="13">
        <f t="shared" si="44"/>
        <v>9885.3761766061652</v>
      </c>
      <c r="Q178" s="13">
        <f t="shared" si="44"/>
        <v>10288.501894022646</v>
      </c>
      <c r="R178" s="13">
        <f t="shared" si="44"/>
        <v>10714.505780063539</v>
      </c>
      <c r="S178" s="5" t="s">
        <v>264</v>
      </c>
    </row>
    <row r="179" spans="2:20" x14ac:dyDescent="0.25">
      <c r="B179" s="4" t="s">
        <v>265</v>
      </c>
      <c r="I179" s="26">
        <f t="shared" ref="I179:R179" si="45">I88-I177</f>
        <v>24444.291888675922</v>
      </c>
      <c r="J179" s="26">
        <f t="shared" si="45"/>
        <v>21863.480515536339</v>
      </c>
      <c r="K179" s="26">
        <f t="shared" si="45"/>
        <v>22820.635807159731</v>
      </c>
      <c r="L179" s="26">
        <f t="shared" si="45"/>
        <v>23459.947831752783</v>
      </c>
      <c r="M179" s="26">
        <f t="shared" si="45"/>
        <v>24762.055365931166</v>
      </c>
      <c r="N179" s="26">
        <f t="shared" si="45"/>
        <v>25338.547937800497</v>
      </c>
      <c r="O179" s="26">
        <f t="shared" si="45"/>
        <v>25902.757847658962</v>
      </c>
      <c r="P179" s="26">
        <f t="shared" si="45"/>
        <v>26459.207273334374</v>
      </c>
      <c r="Q179" s="26">
        <f t="shared" si="45"/>
        <v>27004.760973532706</v>
      </c>
      <c r="R179" s="26">
        <f t="shared" si="45"/>
        <v>27536.4165345742</v>
      </c>
    </row>
    <row r="180" spans="2:20" x14ac:dyDescent="0.25">
      <c r="B180" s="3" t="s">
        <v>266</v>
      </c>
      <c r="I180" s="13">
        <f t="shared" ref="I180:R180" si="46">I179*I108</f>
        <v>23272.545435089156</v>
      </c>
      <c r="J180" s="13">
        <f t="shared" si="46"/>
        <v>18867.683281011545</v>
      </c>
      <c r="K180" s="13">
        <f t="shared" si="46"/>
        <v>17850.889823933361</v>
      </c>
      <c r="L180" s="13">
        <f t="shared" si="46"/>
        <v>16633.82098113863</v>
      </c>
      <c r="M180" s="13">
        <f t="shared" si="46"/>
        <v>15914.189426838102</v>
      </c>
      <c r="N180" s="13">
        <f t="shared" si="46"/>
        <v>14760.88538312516</v>
      </c>
      <c r="O180" s="13">
        <f t="shared" si="46"/>
        <v>13677.588763855427</v>
      </c>
      <c r="P180" s="13">
        <f t="shared" si="46"/>
        <v>12664.067496267813</v>
      </c>
      <c r="Q180" s="13">
        <f t="shared" si="46"/>
        <v>11715.736016370536</v>
      </c>
      <c r="R180" s="13">
        <f t="shared" si="46"/>
        <v>10828.530249228455</v>
      </c>
    </row>
    <row r="182" spans="2:20" x14ac:dyDescent="0.25">
      <c r="B182" s="30" t="s">
        <v>267</v>
      </c>
      <c r="C182" s="31"/>
      <c r="D182" s="31"/>
      <c r="E182" s="31"/>
      <c r="F182" s="31"/>
      <c r="G182" s="31"/>
      <c r="H182" s="31"/>
      <c r="I182" s="31"/>
      <c r="J182" s="31"/>
      <c r="K182" s="31"/>
      <c r="L182" s="31"/>
      <c r="M182" s="31"/>
      <c r="N182" s="31"/>
      <c r="O182" s="31"/>
      <c r="P182" s="31"/>
      <c r="Q182" s="31"/>
      <c r="R182" s="31"/>
      <c r="S182" s="31"/>
      <c r="T182" s="31"/>
    </row>
    <row r="183" spans="2:20" x14ac:dyDescent="0.25">
      <c r="B183" s="3" t="s">
        <v>268</v>
      </c>
      <c r="D183" s="13">
        <f>SUM(I180:R180)</f>
        <v>156185.9368568582</v>
      </c>
    </row>
    <row r="184" spans="2:20" x14ac:dyDescent="0.25">
      <c r="B184" s="3" t="s">
        <v>269</v>
      </c>
      <c r="D184" s="13">
        <f>R88*(1+$D$39)-$D$39*R174</f>
        <v>28702.471272315757</v>
      </c>
      <c r="E184" s="5" t="s">
        <v>270</v>
      </c>
    </row>
    <row r="185" spans="2:20" x14ac:dyDescent="0.25">
      <c r="B185" s="3" t="s">
        <v>271</v>
      </c>
      <c r="D185" s="13">
        <f>$D$184/($D$34-$D$39)</f>
        <v>472602.80637941451</v>
      </c>
    </row>
    <row r="186" spans="2:20" x14ac:dyDescent="0.25">
      <c r="B186" s="3" t="s">
        <v>272</v>
      </c>
      <c r="D186" s="13">
        <f>$D$185/(1+$D$34)^(10-$D$37)</f>
        <v>185848.21225100933</v>
      </c>
    </row>
    <row r="187" spans="2:20" x14ac:dyDescent="0.25">
      <c r="B187" s="3" t="s">
        <v>273</v>
      </c>
      <c r="D187" s="13">
        <f>$D$183+$D$186</f>
        <v>342034.1491078675</v>
      </c>
    </row>
    <row r="188" spans="2:20" x14ac:dyDescent="0.25">
      <c r="B188" s="3" t="s">
        <v>274</v>
      </c>
      <c r="D188" s="13">
        <f>$D$183+$D$117</f>
        <v>370093.87040267693</v>
      </c>
    </row>
    <row r="189" spans="2:20" x14ac:dyDescent="0.25">
      <c r="B189" s="3" t="s">
        <v>275</v>
      </c>
      <c r="D189" s="10">
        <f>$D$186/$D$187</f>
        <v>0.54336156999457463</v>
      </c>
    </row>
    <row r="190" spans="2:20" x14ac:dyDescent="0.25">
      <c r="B190" s="3" t="s">
        <v>276</v>
      </c>
      <c r="D190" s="10">
        <f>$D$117/$D$188</f>
        <v>0.57798291366749288</v>
      </c>
    </row>
    <row r="191" spans="2:20" x14ac:dyDescent="0.25">
      <c r="B191" s="3" t="s">
        <v>277</v>
      </c>
      <c r="D191" s="13">
        <f>$D$187+$D$144-$D$127-$D$128-$D$142</f>
        <v>131337.2530069818</v>
      </c>
    </row>
    <row r="192" spans="2:20" x14ac:dyDescent="0.25">
      <c r="B192" s="4" t="s">
        <v>278</v>
      </c>
      <c r="D192" s="34">
        <f>$D$191/$D$145*$D$148</f>
        <v>33.551593182470391</v>
      </c>
    </row>
    <row r="193" spans="2:20" x14ac:dyDescent="0.25">
      <c r="B193" s="3" t="s">
        <v>279</v>
      </c>
      <c r="D193" s="13">
        <f>$D$188+$D$144-$D$127-$D$128-$D$142+$D$161</f>
        <v>178951.07430179123</v>
      </c>
    </row>
    <row r="194" spans="2:20" x14ac:dyDescent="0.25">
      <c r="B194" s="4" t="s">
        <v>280</v>
      </c>
      <c r="D194" s="34">
        <f>$D$193/$D$145*$D$148</f>
        <v>45.715084692844592</v>
      </c>
    </row>
    <row r="195" spans="2:20" x14ac:dyDescent="0.25">
      <c r="B195" s="3" t="s">
        <v>281</v>
      </c>
      <c r="D195" s="10">
        <f>$D$192/$D$146-1</f>
        <v>-0.42744721531620489</v>
      </c>
    </row>
    <row r="196" spans="2:20" x14ac:dyDescent="0.25">
      <c r="B196" s="3" t="s">
        <v>282</v>
      </c>
      <c r="D196" s="10">
        <f>$D$194/$D$146-1</f>
        <v>-0.21987910080469986</v>
      </c>
    </row>
    <row r="197" spans="2:20" x14ac:dyDescent="0.25">
      <c r="B197" s="3" t="s">
        <v>283</v>
      </c>
      <c r="D197" s="33">
        <v>1.05</v>
      </c>
      <c r="E197" s="5" t="s">
        <v>284</v>
      </c>
    </row>
    <row r="198" spans="2:20" x14ac:dyDescent="0.25">
      <c r="B198" s="3" t="s">
        <v>285</v>
      </c>
      <c r="D198" s="14">
        <f>$D$192*(1+$D$30)-$D$197</f>
        <v>36.844394351408802</v>
      </c>
    </row>
    <row r="199" spans="2:20" x14ac:dyDescent="0.25">
      <c r="B199" s="3" t="s">
        <v>286</v>
      </c>
      <c r="D199" s="10">
        <f>$D$198/$D$146-1</f>
        <v>-0.37125606908858699</v>
      </c>
    </row>
    <row r="200" spans="2:20" x14ac:dyDescent="0.25">
      <c r="B200" s="3" t="s">
        <v>287</v>
      </c>
      <c r="D200" s="10">
        <f>IF($D$184&lt;R83*(1+$D$39),$D$39/(1-$D$184/(R83*(1+$D$39))),"n.m.")</f>
        <v>0.14618390760857691</v>
      </c>
    </row>
    <row r="201" spans="2:20" x14ac:dyDescent="0.25">
      <c r="B201" s="3" t="s">
        <v>288</v>
      </c>
      <c r="D201" s="12">
        <f>$D$185*(1+$D$34)^$D$37/R79</f>
        <v>5.2129402356514536</v>
      </c>
    </row>
    <row r="202" spans="2:20" x14ac:dyDescent="0.25">
      <c r="B202" s="3" t="s">
        <v>289</v>
      </c>
      <c r="D202" s="11">
        <f>($D$116/(1+$D$34)^$D$37*$D$34-R88)/($D$116/(1+$D$34)^$D$37+R88-R174)</f>
        <v>5.0788446961064659E-2</v>
      </c>
    </row>
    <row r="203" spans="2:20" x14ac:dyDescent="0.25">
      <c r="B203" s="3" t="s">
        <v>290</v>
      </c>
      <c r="D203" s="18">
        <f>R177/($D$39*R174)</f>
        <v>0.95734430351642308</v>
      </c>
    </row>
    <row r="205" spans="2:20" x14ac:dyDescent="0.25">
      <c r="B205" s="30" t="s">
        <v>291</v>
      </c>
      <c r="C205" s="31"/>
      <c r="D205" s="31"/>
      <c r="E205" s="31"/>
      <c r="F205" s="31"/>
      <c r="G205" s="31"/>
      <c r="H205" s="31"/>
      <c r="I205" s="31"/>
      <c r="J205" s="31"/>
      <c r="K205" s="31"/>
      <c r="L205" s="31"/>
      <c r="M205" s="31"/>
      <c r="N205" s="31"/>
      <c r="O205" s="31"/>
      <c r="P205" s="31"/>
      <c r="Q205" s="31"/>
      <c r="R205" s="31"/>
      <c r="S205" s="31"/>
      <c r="T205" s="31"/>
    </row>
    <row r="206" spans="2:20" x14ac:dyDescent="0.25">
      <c r="B206" s="3" t="s">
        <v>292</v>
      </c>
      <c r="D206" s="14">
        <f>$D$152</f>
        <v>39.481482772914909</v>
      </c>
    </row>
    <row r="207" spans="2:20" x14ac:dyDescent="0.25">
      <c r="B207" s="3" t="s">
        <v>293</v>
      </c>
      <c r="D207" s="14">
        <f>$D$192-$D$152</f>
        <v>-5.9298895904445175</v>
      </c>
    </row>
    <row r="208" spans="2:20" x14ac:dyDescent="0.25">
      <c r="B208" s="3" t="s">
        <v>294</v>
      </c>
      <c r="D208" s="14">
        <f>$D$159</f>
        <v>43.084453886970117</v>
      </c>
    </row>
    <row r="209" spans="2:20" x14ac:dyDescent="0.25">
      <c r="B209" s="3" t="s">
        <v>295</v>
      </c>
      <c r="D209" s="14">
        <f>$D$162-$D$159</f>
        <v>4.9953169662720782</v>
      </c>
    </row>
    <row r="210" spans="2:20" x14ac:dyDescent="0.25">
      <c r="B210" s="3" t="s">
        <v>296</v>
      </c>
      <c r="D210" s="14">
        <f>$D$194-$D$162</f>
        <v>-2.3646861603976035</v>
      </c>
    </row>
    <row r="212" spans="2:20" x14ac:dyDescent="0.25">
      <c r="B212" s="30" t="s">
        <v>297</v>
      </c>
      <c r="C212" s="31"/>
      <c r="D212" s="31"/>
      <c r="E212" s="31"/>
      <c r="F212" s="31"/>
      <c r="G212" s="31"/>
      <c r="H212" s="31"/>
      <c r="I212" s="31"/>
      <c r="J212" s="31"/>
      <c r="K212" s="31"/>
      <c r="L212" s="31"/>
      <c r="M212" s="31"/>
      <c r="N212" s="31"/>
      <c r="O212" s="31"/>
      <c r="P212" s="31"/>
      <c r="Q212" s="31"/>
      <c r="R212" s="31"/>
      <c r="S212" s="31"/>
      <c r="T212" s="31"/>
    </row>
    <row r="213" spans="2:20" x14ac:dyDescent="0.25">
      <c r="B213" s="3" t="s">
        <v>298</v>
      </c>
      <c r="D213" s="14">
        <f>$D$192+$D$141/$D$145*$D$148</f>
        <v>38.022114882219107</v>
      </c>
    </row>
    <row r="214" spans="2:20" x14ac:dyDescent="0.25">
      <c r="B214" s="3" t="s">
        <v>299</v>
      </c>
      <c r="D214" s="14">
        <f>$D$194+$D$141/$D$145*$D$148</f>
        <v>50.185606392593307</v>
      </c>
    </row>
    <row r="215" spans="2:20" x14ac:dyDescent="0.25">
      <c r="B215" s="3" t="s">
        <v>300</v>
      </c>
      <c r="D215" s="14">
        <f>$D$192+($D$132-$D$133)/$D$145*$D$148</f>
        <v>34.631735742902315</v>
      </c>
    </row>
    <row r="217" spans="2:20" x14ac:dyDescent="0.25">
      <c r="B217" s="30" t="s">
        <v>301</v>
      </c>
      <c r="C217" s="31"/>
      <c r="D217" s="31"/>
      <c r="E217" s="31"/>
      <c r="F217" s="31"/>
      <c r="G217" s="31"/>
      <c r="H217" s="31"/>
      <c r="I217" s="31"/>
      <c r="J217" s="31"/>
      <c r="K217" s="31"/>
      <c r="L217" s="31"/>
      <c r="M217" s="31"/>
      <c r="N217" s="31"/>
      <c r="O217" s="31"/>
      <c r="P217" s="31"/>
      <c r="Q217" s="31"/>
      <c r="R217" s="31"/>
      <c r="S217" s="31"/>
      <c r="T217" s="31"/>
    </row>
    <row r="218" spans="2:20" x14ac:dyDescent="0.25">
      <c r="C218" s="4" t="s">
        <v>302</v>
      </c>
      <c r="D218" s="4" t="s">
        <v>303</v>
      </c>
      <c r="E218" s="4" t="s">
        <v>304</v>
      </c>
      <c r="F218" s="4" t="s">
        <v>305</v>
      </c>
    </row>
    <row r="219" spans="2:20" x14ac:dyDescent="0.25">
      <c r="B219" s="3" t="s">
        <v>306</v>
      </c>
      <c r="C219" s="10">
        <f>$D$34</f>
        <v>0.10323275673541572</v>
      </c>
      <c r="D219" s="13">
        <f>R83*(1+$D$39)*(1-$D$39/C219)/($D$34-$D$39)</f>
        <v>392003.52862354252</v>
      </c>
      <c r="E219" s="14">
        <f>($D$183+D219/(1+$D$34)^(10-$D$37)+$D$144-$D$127-$D$128-$D$142)/$D$145*$D$148</f>
        <v>25.45469905743763</v>
      </c>
      <c r="F219" s="14">
        <f>E219-$D$192</f>
        <v>-8.0968941250327617</v>
      </c>
    </row>
    <row r="220" spans="2:20" x14ac:dyDescent="0.25">
      <c r="B220" s="3" t="s">
        <v>307</v>
      </c>
      <c r="C220" s="17">
        <v>0.125</v>
      </c>
      <c r="D220" s="13">
        <f>R83*(1+$D$39)*(1-$D$39/C220)/($D$34-$D$39)</f>
        <v>439772.87836343993</v>
      </c>
      <c r="E220" s="14">
        <f>($D$183+D220/(1+$D$34)^(10-$D$37)+$D$144-$D$127-$D$128-$D$142)/$D$145*$D$148</f>
        <v>30.253543141836783</v>
      </c>
      <c r="F220" s="14">
        <f>E220-$D$192</f>
        <v>-3.2980500406336084</v>
      </c>
    </row>
    <row r="221" spans="2:20" x14ac:dyDescent="0.25">
      <c r="B221" s="3" t="s">
        <v>308</v>
      </c>
      <c r="C221" s="17">
        <v>0.15</v>
      </c>
      <c r="D221" s="13">
        <f>R83*(1+$D$39)*(1-$D$39/C221)/($D$34-$D$39)</f>
        <v>477531.15579868481</v>
      </c>
      <c r="E221" s="14">
        <f>($D$183+D221/(1+$D$34)^(10-$D$37)+$D$144-$D$127-$D$128-$D$142)/$D$145*$D$148</f>
        <v>34.046688480716938</v>
      </c>
      <c r="F221" s="14">
        <f>E221-$D$192</f>
        <v>0.49509529824654663</v>
      </c>
    </row>
    <row r="222" spans="2:20" x14ac:dyDescent="0.25">
      <c r="B222" s="3" t="s">
        <v>309</v>
      </c>
      <c r="C222" s="10">
        <f>$D$200</f>
        <v>0.14618390760857691</v>
      </c>
      <c r="D222" s="13">
        <f>R83*(1+$D$39)*(1-$D$39/C222)/($D$34-$D$39)</f>
        <v>472602.80637941451</v>
      </c>
      <c r="E222" s="14">
        <f>($D$183+D222/(1+$D$34)^(10-$D$37)+$D$144-$D$127-$D$128-$D$142)/$D$145*$D$148</f>
        <v>33.551593182470391</v>
      </c>
      <c r="F222" s="14">
        <f>E222-$D$192</f>
        <v>0</v>
      </c>
    </row>
    <row r="223" spans="2:20" x14ac:dyDescent="0.25">
      <c r="B223" s="5" t="s">
        <v>310</v>
      </c>
    </row>
    <row r="225" spans="2:20" x14ac:dyDescent="0.25">
      <c r="B225" s="6" t="s">
        <v>311</v>
      </c>
      <c r="C225" s="7"/>
      <c r="D225" s="7"/>
      <c r="E225" s="7"/>
      <c r="F225" s="7"/>
      <c r="G225" s="7"/>
      <c r="H225" s="7"/>
      <c r="I225" s="7"/>
      <c r="J225" s="7"/>
      <c r="K225" s="7"/>
      <c r="L225" s="7"/>
      <c r="M225" s="7"/>
      <c r="N225" s="7"/>
      <c r="O225" s="7"/>
      <c r="P225" s="7"/>
      <c r="Q225" s="7"/>
      <c r="R225" s="7"/>
      <c r="S225" s="7"/>
      <c r="T225" s="7"/>
    </row>
    <row r="226" spans="2:20" x14ac:dyDescent="0.25">
      <c r="B226" s="30" t="s">
        <v>312</v>
      </c>
      <c r="C226" s="31"/>
      <c r="D226" s="31"/>
      <c r="E226" s="31"/>
      <c r="F226" s="31"/>
      <c r="G226" s="31"/>
      <c r="H226" s="31"/>
      <c r="I226" s="31"/>
      <c r="J226" s="31"/>
      <c r="K226" s="31"/>
      <c r="L226" s="31"/>
      <c r="M226" s="31"/>
      <c r="N226" s="31"/>
      <c r="O226" s="31"/>
      <c r="P226" s="31"/>
      <c r="Q226" s="31"/>
      <c r="R226" s="31"/>
      <c r="S226" s="31"/>
      <c r="T226" s="31"/>
    </row>
    <row r="227" spans="2:20" x14ac:dyDescent="0.25">
      <c r="B227" s="3" t="s">
        <v>313</v>
      </c>
      <c r="D227" s="11">
        <f>$D$39+(-0.01)</f>
        <v>3.2500000000000001E-2</v>
      </c>
      <c r="E227" s="11">
        <f>$D$39+(-0.005)</f>
        <v>3.7500000000000006E-2</v>
      </c>
      <c r="F227" s="11">
        <f>$D$39+(0)</f>
        <v>4.2500000000000003E-2</v>
      </c>
      <c r="G227" s="11">
        <f>$D$39+(0.005)</f>
        <v>4.7500000000000001E-2</v>
      </c>
      <c r="H227" s="11">
        <f>$D$39+(0.01)</f>
        <v>5.2500000000000005E-2</v>
      </c>
    </row>
    <row r="228" spans="2:20" x14ac:dyDescent="0.25">
      <c r="C228" s="11">
        <f>$D$34+(-0.02)</f>
        <v>8.3232756735415719E-2</v>
      </c>
      <c r="D228" s="14">
        <f>IF($C228-D$227&gt;=0.01,(NPV($C228,I179:R179)*(1+$C228)^$D$37+(R88*(1+D$227)-D$227*R174)/($C228-D$227)/(1+$C228)^(10-$D$37)+$D$144-$D$127-$D$128-$D$142)/$D$145*$D$148,"n.m.")</f>
        <v>57.572591595759789</v>
      </c>
      <c r="E228" s="14">
        <f>IF($C228-E$227&gt;=0.01,(NPV($C228,I179:R179)*(1+$C228)^$D$37+(R88*(1+E$227)-E$227*R174)/($C228-E$227)/(1+$C228)^(10-$D$37)+$D$144-$D$127-$D$128-$D$142)/$D$145*$D$148,"n.m.")</f>
        <v>64.744411535038722</v>
      </c>
      <c r="F228" s="14">
        <f>IF($C228-F$227&gt;=0.01,(NPV($C228,I179:R179)*(1+$C228)^$D$37+(R88*(1+F$227)-F$227*R174)/($C228-F$227)/(1+$C228)^(10-$D$37)+$D$144-$D$127-$D$128-$D$142)/$D$145*$D$148,"n.m.")</f>
        <v>73.676932323971471</v>
      </c>
      <c r="G228" s="14">
        <f>IF($C228-G$227&gt;=0.01,(NPV($C228,I179:R179)*(1+$C228)^$D$37+(R88*(1+G$227)-G$227*R174)/($C228-G$227)/(1+$C228)^(10-$D$37)+$D$144-$D$127-$D$128-$D$142)/$D$145*$D$148,"n.m.")</f>
        <v>85.109266059068375</v>
      </c>
      <c r="H228" s="14">
        <f>IF($C228-H$227&gt;=0.01,(NPV($C228,I179:R179)*(1+$C228)^$D$37+(R88*(1+H$227)-H$227*R174)/($C228-H$227)/(1+$C228)^(10-$D$37)+$D$144-$D$127-$D$128-$D$142)/$D$145*$D$148,"n.m.")</f>
        <v>100.26151787164861</v>
      </c>
    </row>
    <row r="229" spans="2:20" x14ac:dyDescent="0.25">
      <c r="C229" s="11">
        <f>$D$34+(-0.01)</f>
        <v>9.3232756735415728E-2</v>
      </c>
      <c r="D229" s="14">
        <f>IF($C229-D$227&gt;=0.01,(NPV($C229,I179:R179)*(1+$C229)^$D$37+(R88*(1+D$227)-D$227*R174)/($C229-D$227)/(1+$C229)^(10-$D$37)+$D$144-$D$127-$D$128-$D$142)/$D$145*$D$148,"n.m.")</f>
        <v>39.854397154601735</v>
      </c>
      <c r="E229" s="14">
        <f>IF($C229-E$227&gt;=0.01,(NPV($C229,I179:R179)*(1+$C229)^$D$37+(R88*(1+E$227)-E$227*R174)/($C229-E$227)/(1+$C229)^(10-$D$37)+$D$144-$D$127-$D$128-$D$142)/$D$145*$D$148,"n.m.")</f>
        <v>44.325272378783936</v>
      </c>
      <c r="F229" s="14">
        <f>IF($C229-F$227&gt;=0.01,(NPV($C229,I179:R179)*(1+$C229)^$D$37+(R88*(1+F$227)-F$227*R174)/($C229-F$227)/(1+$C229)^(10-$D$37)+$D$144-$D$127-$D$128-$D$142)/$D$145*$D$148,"n.m.")</f>
        <v>49.677407662911001</v>
      </c>
      <c r="G229" s="14">
        <f>IF($C229-G$227&gt;=0.01,(NPV($C229,I179:R179)*(1+$C229)^$D$37+(R88*(1+G$227)-G$227*R174)/($C229-G$227)/(1+$C229)^(10-$D$37)+$D$144-$D$127-$D$128-$D$142)/$D$145*$D$148,"n.m.")</f>
        <v>56.199849673809787</v>
      </c>
      <c r="H229" s="14">
        <f>IF($C229-H$227&gt;=0.01,(NPV($C229,I179:R179)*(1+$C229)^$D$37+(R88*(1+H$227)-H$227*R174)/($C229-H$227)/(1+$C229)^(10-$D$37)+$D$144-$D$127-$D$128-$D$142)/$D$145*$D$148,"n.m.")</f>
        <v>64.323568527635274</v>
      </c>
    </row>
    <row r="230" spans="2:20" x14ac:dyDescent="0.25">
      <c r="C230" s="11">
        <f>$D$34+(0)</f>
        <v>0.10323275673541572</v>
      </c>
      <c r="D230" s="14">
        <f>IF($C230-D$227&gt;=0.01,(NPV($C230,I179:R179)*(1+$C230)^$D$37+(R88*(1+D$227)-D$227*R174)/($C230-D$227)/(1+$C230)^(10-$D$37)+$D$144-$D$127-$D$128-$D$142)/$D$145*$D$148,"n.m.")</f>
        <v>27.139302545953893</v>
      </c>
      <c r="E230" s="14">
        <f>IF($C230-E$227&gt;=0.01,(NPV($C230,I179:R179)*(1+$C230)^$D$37+(R88*(1+E$227)-E$227*R174)/($C230-E$227)/(1+$C230)^(10-$D$37)+$D$144-$D$127-$D$128-$D$142)/$D$145*$D$148,"n.m.")</f>
        <v>30.101570573992628</v>
      </c>
      <c r="F230" s="14">
        <f>IF($C230-F$227&gt;=0.01,(NPV($C230,I179:R179)*(1+$C230)^$D$37+(R88*(1+F$227)-F$227*R174)/($C230-F$227)/(1+$C230)^(10-$D$37)+$D$144-$D$127-$D$128-$D$142)/$D$145*$D$148,"n.m.")</f>
        <v>33.551593182470391</v>
      </c>
      <c r="G230" s="14">
        <f>IF($C230-G$227&gt;=0.01,(NPV($C230,I179:R179)*(1+$C230)^$D$37+(R88*(1+G$227)-G$227*R174)/($C230-G$227)/(1+$C230)^(10-$D$37)+$D$144-$D$127-$D$128-$D$142)/$D$145*$D$148,"n.m.")</f>
        <v>37.620645390516721</v>
      </c>
      <c r="H230" s="14">
        <f>IF($C230-H$227&gt;=0.01,(NPV($C230,I179:R179)*(1+$C230)^$D$37+(R88*(1+H$227)-H$227*R174)/($C230-H$227)/(1+$C230)^(10-$D$37)+$D$144-$D$127-$D$128-$D$142)/$D$145*$D$148,"n.m.")</f>
        <v>42.491753798518346</v>
      </c>
    </row>
    <row r="231" spans="2:20" x14ac:dyDescent="0.25">
      <c r="C231" s="11">
        <f>$D$34+(0.01)</f>
        <v>0.11323275673541572</v>
      </c>
      <c r="D231" s="14">
        <f>IF($C231-D$227&gt;=0.01,(NPV($C231,I179:R179)*(1+$C231)^$D$37+(R88*(1+D$227)-D$227*R174)/($C231-D$227)/(1+$C231)^(10-$D$37)+$D$144-$D$127-$D$128-$D$142)/$D$145*$D$148,"n.m.")</f>
        <v>17.568440872677886</v>
      </c>
      <c r="E231" s="14">
        <f>IF($C231-E$227&gt;=0.01,(NPV($C231,I179:R179)*(1+$C231)^$D$37+(R88*(1+E$227)-E$227*R174)/($C231-E$227)/(1+$C231)^(10-$D$37)+$D$144-$D$127-$D$128-$D$142)/$D$145*$D$148,"n.m.")</f>
        <v>19.620109358341892</v>
      </c>
      <c r="F231" s="14">
        <f>IF($C231-F$227&gt;=0.01,(NPV($C231,I179:R179)*(1+$C231)^$D$37+(R88*(1+F$227)-F$227*R174)/($C231-F$227)/(1+$C231)^(10-$D$37)+$D$144-$D$127-$D$128-$D$142)/$D$145*$D$148,"n.m.")</f>
        <v>21.961837016072181</v>
      </c>
      <c r="G231" s="14">
        <f>IF($C231-G$227&gt;=0.01,(NPV($C231,I179:R179)*(1+$C231)^$D$37+(R88*(1+G$227)-G$227*R174)/($C231-G$227)/(1+$C231)^(10-$D$37)+$D$144-$D$127-$D$128-$D$142)/$D$145*$D$148,"n.m.")</f>
        <v>24.659814399819002</v>
      </c>
      <c r="H231" s="14">
        <f>IF($C231-H$227&gt;=0.01,(NPV($C231,I179:R179)*(1+$C231)^$D$37+(R88*(1+H$227)-H$227*R174)/($C231-H$227)/(1+$C231)^(10-$D$37)+$D$144-$D$127-$D$128-$D$142)/$D$145*$D$148,"n.m.")</f>
        <v>27.802029379349676</v>
      </c>
    </row>
    <row r="232" spans="2:20" x14ac:dyDescent="0.25">
      <c r="C232" s="11">
        <f>$D$34+(0.02)</f>
        <v>0.12323275673541573</v>
      </c>
      <c r="D232" s="14">
        <f>IF($C232-D$227&gt;=0.01,(NPV($C232,I179:R179)*(1+$C232)^$D$37+(R88*(1+D$227)-D$227*R174)/($C232-D$227)/(1+$C232)^(10-$D$37)+$D$144-$D$127-$D$128-$D$142)/$D$145*$D$148,"n.m.")</f>
        <v>10.102423874772821</v>
      </c>
      <c r="E232" s="14">
        <f>IF($C232-E$227&gt;=0.01,(NPV($C232,I179:R179)*(1+$C232)^$D$37+(R88*(1+E$227)-E$227*R174)/($C232-E$227)/(1+$C232)^(10-$D$37)+$D$144-$D$127-$D$128-$D$142)/$D$145*$D$148,"n.m.")</f>
        <v>11.57219790995507</v>
      </c>
      <c r="F232" s="14">
        <f>IF($C232-F$227&gt;=0.01,(NPV($C232,I179:R179)*(1+$C232)^$D$37+(R88*(1+F$227)-F$227*R174)/($C232-F$227)/(1+$C232)^(10-$D$37)+$D$144-$D$127-$D$128-$D$142)/$D$145*$D$148,"n.m.")</f>
        <v>13.224026181189116</v>
      </c>
      <c r="G232" s="14">
        <f>IF($C232-G$227&gt;=0.01,(NPV($C232,I179:R179)*(1+$C232)^$D$37+(R88*(1+G$227)-G$227*R174)/($C232-G$227)/(1+$C232)^(10-$D$37)+$D$144-$D$127-$D$128-$D$142)/$D$145*$D$148,"n.m.")</f>
        <v>15.093967240394813</v>
      </c>
      <c r="H232" s="14">
        <f>IF($C232-H$227&gt;=0.01,(NPV($C232,I179:R179)*(1+$C232)^$D$37+(R88*(1+H$227)-H$227*R174)/($C232-H$227)/(1+$C232)^(10-$D$37)+$D$144-$D$127-$D$128-$D$142)/$D$145*$D$148,"n.m.")</f>
        <v>17.228275354627144</v>
      </c>
    </row>
    <row r="234" spans="2:20" x14ac:dyDescent="0.25">
      <c r="B234" s="30" t="s">
        <v>314</v>
      </c>
      <c r="C234" s="31"/>
      <c r="D234" s="31"/>
      <c r="E234" s="31"/>
      <c r="F234" s="31"/>
      <c r="G234" s="31"/>
      <c r="H234" s="31"/>
      <c r="I234" s="31"/>
      <c r="J234" s="31"/>
      <c r="K234" s="31"/>
      <c r="L234" s="31"/>
      <c r="M234" s="31"/>
      <c r="N234" s="31"/>
      <c r="O234" s="31"/>
      <c r="P234" s="31"/>
      <c r="Q234" s="31"/>
      <c r="R234" s="31"/>
      <c r="S234" s="31"/>
      <c r="T234" s="31"/>
    </row>
    <row r="235" spans="2:20" x14ac:dyDescent="0.25">
      <c r="B235" s="3" t="s">
        <v>313</v>
      </c>
      <c r="D235" s="12">
        <f>$D$40+(-2)</f>
        <v>4</v>
      </c>
      <c r="E235" s="12">
        <f>$D$40+(-1)</f>
        <v>5</v>
      </c>
      <c r="F235" s="12">
        <f>$D$40+(0)</f>
        <v>6</v>
      </c>
      <c r="G235" s="12">
        <f>$D$40+(1)</f>
        <v>7</v>
      </c>
      <c r="H235" s="12">
        <f>$D$40+(2)</f>
        <v>8</v>
      </c>
    </row>
    <row r="236" spans="2:20" x14ac:dyDescent="0.25">
      <c r="C236" s="11">
        <f>$D$34+(-0.02)</f>
        <v>8.3232756735415719E-2</v>
      </c>
      <c r="D236" s="14">
        <f>(NPV($C236,I179:R179)*(1+$C236)^$D$37+R79*D$235/(1+$C236)^10+$D$144-$D$127-$D$128-$D$142+$D$161)/$D$145*$D$148</f>
        <v>38.190315888305591</v>
      </c>
      <c r="E236" s="14">
        <f>(NPV($C236,I179:R179)*(1+$C236)^$D$37+R79*E$235/(1+$C236)^10+$D$144-$D$127-$D$128-$D$142+$D$161)/$D$145*$D$148</f>
        <v>49.126215074429261</v>
      </c>
      <c r="F236" s="14">
        <f>(NPV($C236,I179:R179)*(1+$C236)^$D$37+R79*F$235/(1+$C236)^10+$D$144-$D$127-$D$128-$D$142+$D$161)/$D$145*$D$148</f>
        <v>60.062114260552931</v>
      </c>
      <c r="G236" s="14">
        <f>(NPV($C236,I179:R179)*(1+$C236)^$D$37+R79*G$235/(1+$C236)^10+$D$144-$D$127-$D$128-$D$142+$D$161)/$D$145*$D$148</f>
        <v>70.998013446676566</v>
      </c>
      <c r="H236" s="14">
        <f>(NPV($C236,I179:R179)*(1+$C236)^$D$37+R79*H$235/(1+$C236)^10+$D$144-$D$127-$D$128-$D$142+$D$161)/$D$145*$D$148</f>
        <v>81.933912632800258</v>
      </c>
    </row>
    <row r="237" spans="2:20" x14ac:dyDescent="0.25">
      <c r="C237" s="11">
        <f>$D$34+(-0.01)</f>
        <v>9.3232756735415728E-2</v>
      </c>
      <c r="D237" s="14">
        <f>(NPV($C237,I179:R179)*(1+$C237)^$D$37+R79*D$235/(1+$C237)^10+$D$144-$D$127-$D$128-$D$142+$D$161)/$D$145*$D$148</f>
        <v>32.605120322402001</v>
      </c>
      <c r="E237" s="14">
        <f>(NPV($C237,I179:R179)*(1+$C237)^$D$37+R79*E$235/(1+$C237)^10+$D$144-$D$127-$D$128-$D$142+$D$161)/$D$145*$D$148</f>
        <v>42.580880100041838</v>
      </c>
      <c r="F237" s="14">
        <f>(NPV($C237,I179:R179)*(1+$C237)^$D$37+R79*F$235/(1+$C237)^10+$D$144-$D$127-$D$128-$D$142+$D$161)/$D$145*$D$148</f>
        <v>52.556639877681647</v>
      </c>
      <c r="G237" s="14">
        <f>(NPV($C237,I179:R179)*(1+$C237)^$D$37+R79*G$235/(1+$C237)^10+$D$144-$D$127-$D$128-$D$142+$D$161)/$D$145*$D$148</f>
        <v>62.532399655321484</v>
      </c>
      <c r="H237" s="14">
        <f>(NPV($C237,I179:R179)*(1+$C237)^$D$37+R79*H$235/(1+$C237)^10+$D$144-$D$127-$D$128-$D$142+$D$161)/$D$145*$D$148</f>
        <v>72.508159432961307</v>
      </c>
    </row>
    <row r="238" spans="2:20" x14ac:dyDescent="0.25">
      <c r="C238" s="11">
        <f>$D$34+(0)</f>
        <v>0.10323275673541572</v>
      </c>
      <c r="D238" s="14">
        <f>(NPV($C238,I179:R179)*(1+$C238)^$D$37+R79*D$235/(1+$C238)^10+$D$144-$D$127-$D$128-$D$142+$D$161)/$D$145*$D$148</f>
        <v>27.500014201888245</v>
      </c>
      <c r="E238" s="14">
        <f>(NPV($C238,I179:R179)*(1+$C238)^$D$37+R79*E$235/(1+$C238)^10+$D$144-$D$127-$D$128-$D$142+$D$161)/$D$145*$D$148</f>
        <v>36.607549447366431</v>
      </c>
      <c r="F238" s="14">
        <f>(NPV($C238,I179:R179)*(1+$C238)^$D$37+R79*F$235/(1+$C238)^10+$D$144-$D$127-$D$128-$D$142+$D$161)/$D$145*$D$148</f>
        <v>45.715084692844577</v>
      </c>
      <c r="G238" s="14">
        <f>(NPV($C238,I179:R179)*(1+$C238)^$D$37+R79*G$235/(1+$C238)^10+$D$144-$D$127-$D$128-$D$142+$D$161)/$D$145*$D$148</f>
        <v>54.822619938322759</v>
      </c>
      <c r="H238" s="14">
        <f>(NPV($C238,I179:R179)*(1+$C238)^$D$37+R79*H$235/(1+$C238)^10+$D$144-$D$127-$D$128-$D$142+$D$161)/$D$145*$D$148</f>
        <v>63.93015518380092</v>
      </c>
    </row>
    <row r="239" spans="2:20" x14ac:dyDescent="0.25">
      <c r="C239" s="11">
        <f>$D$34+(0.01)</f>
        <v>0.11323275673541572</v>
      </c>
      <c r="D239" s="14">
        <f>(NPV($C239,I179:R179)*(1+$C239)^$D$37+R79*D$235/(1+$C239)^10+$D$144-$D$127-$D$128-$D$142+$D$161)/$D$145*$D$148</f>
        <v>22.828012045944195</v>
      </c>
      <c r="E239" s="14">
        <f>(NPV($C239,I179:R179)*(1+$C239)^$D$37+R79*E$235/(1+$C239)^10+$D$144-$D$127-$D$128-$D$142+$D$161)/$D$145*$D$148</f>
        <v>31.14972198581675</v>
      </c>
      <c r="F239" s="14">
        <f>(NPV($C239,I179:R179)*(1+$C239)^$D$37+R79*F$235/(1+$C239)^10+$D$144-$D$127-$D$128-$D$142+$D$161)/$D$145*$D$148</f>
        <v>39.471431925689316</v>
      </c>
      <c r="G239" s="14">
        <f>(NPV($C239,I179:R179)*(1+$C239)^$D$37+R79*G$235/(1+$C239)^10+$D$144-$D$127-$D$128-$D$142+$D$161)/$D$145*$D$148</f>
        <v>47.793141865561871</v>
      </c>
      <c r="H239" s="14">
        <f>(NPV($C239,I179:R179)*(1+$C239)^$D$37+R79*H$235/(1+$C239)^10+$D$144-$D$127-$D$128-$D$142+$D$161)/$D$145*$D$148</f>
        <v>56.114851805434427</v>
      </c>
    </row>
    <row r="240" spans="2:20" x14ac:dyDescent="0.25">
      <c r="C240" s="11">
        <f>$D$34+(0.02)</f>
        <v>0.12323275673541573</v>
      </c>
      <c r="D240" s="14">
        <f>(NPV($C240,I179:R179)*(1+$C240)^$D$37+R79*D$235/(1+$C240)^10+$D$144-$D$127-$D$128-$D$142+$D$161)/$D$145*$D$148</f>
        <v>18.547174847809551</v>
      </c>
      <c r="E240" s="14">
        <f>(NPV($C240,I179:R179)*(1+$C240)^$D$37+R79*E$235/(1+$C240)^10+$D$144-$D$127-$D$128-$D$142+$D$161)/$D$145*$D$148</f>
        <v>26.157001090666743</v>
      </c>
      <c r="F240" s="14">
        <f>(NPV($C240,I179:R179)*(1+$C240)^$D$37+R79*F$235/(1+$C240)^10+$D$144-$D$127-$D$128-$D$142+$D$161)/$D$145*$D$148</f>
        <v>33.766827333523914</v>
      </c>
      <c r="G240" s="14">
        <f>(NPV($C240,I179:R179)*(1+$C240)^$D$37+R79*G$235/(1+$C240)^10+$D$144-$D$127-$D$128-$D$142+$D$161)/$D$145*$D$148</f>
        <v>41.376653576381109</v>
      </c>
      <c r="H240" s="14">
        <f>(NPV($C240,I179:R179)*(1+$C240)^$D$37+R79*H$235/(1+$C240)^10+$D$144-$D$127-$D$128-$D$142+$D$161)/$D$145*$D$148</f>
        <v>48.986479819238305</v>
      </c>
    </row>
    <row r="242" spans="2:20" x14ac:dyDescent="0.25">
      <c r="B242" s="30" t="s">
        <v>315</v>
      </c>
      <c r="C242" s="31"/>
      <c r="D242" s="31"/>
      <c r="E242" s="31"/>
      <c r="F242" s="31"/>
      <c r="G242" s="31"/>
      <c r="H242" s="31"/>
      <c r="I242" s="31"/>
      <c r="J242" s="31"/>
      <c r="K242" s="31"/>
      <c r="L242" s="31"/>
      <c r="M242" s="31"/>
      <c r="N242" s="31"/>
      <c r="O242" s="31"/>
      <c r="P242" s="31"/>
      <c r="Q242" s="31"/>
      <c r="R242" s="31"/>
      <c r="S242" s="31"/>
      <c r="T242" s="31"/>
    </row>
    <row r="243" spans="2:20" x14ac:dyDescent="0.25">
      <c r="B243" s="3" t="s">
        <v>313</v>
      </c>
      <c r="D243" s="12">
        <f>$D$40+(-2)</f>
        <v>4</v>
      </c>
      <c r="E243" s="12">
        <f>$D$40+(-1)</f>
        <v>5</v>
      </c>
      <c r="F243" s="12">
        <f>$D$40+(0)</f>
        <v>6</v>
      </c>
      <c r="G243" s="12">
        <f>$D$40+(1)</f>
        <v>7</v>
      </c>
      <c r="H243" s="12">
        <f>$D$40+(2)</f>
        <v>8</v>
      </c>
    </row>
    <row r="244" spans="2:20" x14ac:dyDescent="0.25">
      <c r="C244" s="11">
        <f>$D$34+(-0.02)</f>
        <v>8.3232756735415719E-2</v>
      </c>
      <c r="D244" s="13">
        <f>NPV($C244,I179:R179)*(1+$C244)^$D$37+R79*D$243/(1+$C244)^10</f>
        <v>340638.26574849535</v>
      </c>
      <c r="E244" s="13">
        <f>NPV($C244,I179:R179)*(1+$C244)^$D$37+R79*E$243/(1+$C244)^10</f>
        <v>383446.69366592687</v>
      </c>
      <c r="F244" s="13">
        <f>NPV($C244,I179:R179)*(1+$C244)^$D$37+R79*F$243/(1+$C244)^10</f>
        <v>426255.12158335838</v>
      </c>
      <c r="G244" s="13">
        <f>NPV($C244,I179:R179)*(1+$C244)^$D$37+R79*G$243/(1+$C244)^10</f>
        <v>469063.54950078984</v>
      </c>
      <c r="H244" s="13">
        <f>NPV($C244,I179:R179)*(1+$C244)^$D$37+R79*H$243/(1+$C244)^10</f>
        <v>511871.97741822142</v>
      </c>
    </row>
    <row r="245" spans="2:20" x14ac:dyDescent="0.25">
      <c r="C245" s="11">
        <f>$D$34+(-0.01)</f>
        <v>9.3232756735415728E-2</v>
      </c>
      <c r="D245" s="13">
        <f>NPV($C245,I179:R179)*(1+$C245)^$D$37+R79*D$243/(1+$C245)^10</f>
        <v>318775.09403133811</v>
      </c>
      <c r="E245" s="13">
        <f>NPV($C245,I179:R179)*(1+$C245)^$D$37+R79*E$243/(1+$C245)^10</f>
        <v>357825.06935523078</v>
      </c>
      <c r="F245" s="13">
        <f>NPV($C245,I179:R179)*(1+$C245)^$D$37+R79*F$243/(1+$C245)^10</f>
        <v>396875.04467912338</v>
      </c>
      <c r="G245" s="13">
        <f>NPV($C245,I179:R179)*(1+$C245)^$D$37+R79*G$243/(1+$C245)^10</f>
        <v>435925.02000301611</v>
      </c>
      <c r="H245" s="13">
        <f>NPV($C245,I179:R179)*(1+$C245)^$D$37+R79*H$243/(1+$C245)^10</f>
        <v>474974.99532690877</v>
      </c>
    </row>
    <row r="246" spans="2:20" x14ac:dyDescent="0.25">
      <c r="C246" s="11">
        <f>$D$34+(0)</f>
        <v>0.10323275673541572</v>
      </c>
      <c r="D246" s="13">
        <f>NPV($C246,I179:R179)*(1+$C246)^$D$37+R79*D$243/(1+$C246)^10</f>
        <v>298791.225887404</v>
      </c>
      <c r="E246" s="13">
        <f>NPV($C246,I179:R179)*(1+$C246)^$D$37+R79*E$243/(1+$C246)^10</f>
        <v>334442.54814504052</v>
      </c>
      <c r="F246" s="13">
        <f>NPV($C246,I179:R179)*(1+$C246)^$D$37+R79*F$243/(1+$C246)^10</f>
        <v>370093.87040267687</v>
      </c>
      <c r="G246" s="13">
        <f>NPV($C246,I179:R179)*(1+$C246)^$D$37+R79*G$243/(1+$C246)^10</f>
        <v>405745.19266031339</v>
      </c>
      <c r="H246" s="13">
        <f>NPV($C246,I179:R179)*(1+$C246)^$D$37+R79*H$243/(1+$C246)^10</f>
        <v>441396.5149179498</v>
      </c>
    </row>
    <row r="247" spans="2:20" x14ac:dyDescent="0.25">
      <c r="C247" s="11">
        <f>$D$34+(0.01)</f>
        <v>0.11323275673541572</v>
      </c>
      <c r="D247" s="13">
        <f>NPV($C247,I179:R179)*(1+$C247)^$D$37+R79*D$243/(1+$C247)^10</f>
        <v>280502.73729411187</v>
      </c>
      <c r="E247" s="13">
        <f>NPV($C247,I179:R179)*(1+$C247)^$D$37+R79*E$243/(1+$C247)^10</f>
        <v>313077.95713180315</v>
      </c>
      <c r="F247" s="13">
        <f>NPV($C247,I179:R179)*(1+$C247)^$D$37+R79*F$243/(1+$C247)^10</f>
        <v>345653.17696949444</v>
      </c>
      <c r="G247" s="13">
        <f>NPV($C247,I179:R179)*(1+$C247)^$D$37+R79*G$243/(1+$C247)^10</f>
        <v>378228.39680718572</v>
      </c>
      <c r="H247" s="13">
        <f>NPV($C247,I179:R179)*(1+$C247)^$D$37+R79*H$243/(1+$C247)^10</f>
        <v>410803.61664487701</v>
      </c>
    </row>
    <row r="248" spans="2:20" x14ac:dyDescent="0.25">
      <c r="C248" s="11">
        <f>$D$34+(0.02)</f>
        <v>0.12323275673541573</v>
      </c>
      <c r="D248" s="13">
        <f>NPV($C248,I179:R179)*(1+$C248)^$D$37+R79*D$243/(1+$C248)^10</f>
        <v>263745.45858262409</v>
      </c>
      <c r="E248" s="13">
        <f>NPV($C248,I179:R179)*(1+$C248)^$D$37+R79*E$243/(1+$C248)^10</f>
        <v>293534.01941673335</v>
      </c>
      <c r="F248" s="13">
        <f>NPV($C248,I179:R179)*(1+$C248)^$D$37+R79*F$243/(1+$C248)^10</f>
        <v>323322.58025084255</v>
      </c>
      <c r="G248" s="13">
        <f>NPV($C248,I179:R179)*(1+$C248)^$D$37+R79*G$243/(1+$C248)^10</f>
        <v>353111.14108495181</v>
      </c>
      <c r="H248" s="13">
        <f>NPV($C248,I179:R179)*(1+$C248)^$D$37+R79*H$243/(1+$C248)^10</f>
        <v>382899.70191906107</v>
      </c>
    </row>
    <row r="250" spans="2:20" x14ac:dyDescent="0.25">
      <c r="B250" s="30" t="s">
        <v>316</v>
      </c>
      <c r="C250" s="31"/>
      <c r="D250" s="31"/>
      <c r="E250" s="31"/>
      <c r="F250" s="31"/>
      <c r="G250" s="31"/>
      <c r="H250" s="31"/>
      <c r="I250" s="31"/>
      <c r="J250" s="31"/>
      <c r="K250" s="31"/>
      <c r="L250" s="31"/>
      <c r="M250" s="31"/>
      <c r="N250" s="31"/>
      <c r="O250" s="31"/>
      <c r="P250" s="31"/>
      <c r="Q250" s="31"/>
      <c r="R250" s="31"/>
      <c r="S250" s="31"/>
      <c r="T250" s="31"/>
    </row>
    <row r="251" spans="2:20" x14ac:dyDescent="0.25">
      <c r="B251" s="3" t="s">
        <v>313</v>
      </c>
      <c r="D251" s="12">
        <f>$D$40+(-2)</f>
        <v>4</v>
      </c>
      <c r="E251" s="12">
        <f>$D$40+(-1)</f>
        <v>5</v>
      </c>
      <c r="F251" s="12">
        <f>$D$40+(0)</f>
        <v>6</v>
      </c>
      <c r="G251" s="12">
        <f>$D$40+(1)</f>
        <v>7</v>
      </c>
      <c r="H251" s="12">
        <f>$D$40+(2)</f>
        <v>8</v>
      </c>
    </row>
    <row r="252" spans="2:20" x14ac:dyDescent="0.25">
      <c r="C252" s="11">
        <f>$D$34+(-0.02)</f>
        <v>8.3232756735415719E-2</v>
      </c>
      <c r="D252" s="11">
        <f>(R79*D$251/(1+$C252)^$D$37*$C252-R88)/(R79*D$251/(1+$C252)^$D$37+R88-R174)</f>
        <v>2.4964172745130229E-3</v>
      </c>
      <c r="E252" s="11">
        <f>(R79*E$251/(1+$C252)^$D$37*$C252-R88)/(R79*E$251/(1+$C252)^$D$37+R88-R174)</f>
        <v>1.9425037378963436E-2</v>
      </c>
      <c r="F252" s="11">
        <f>(R79*F$251/(1+$C252)^$D$37*$C252-R88)/(R79*F$251/(1+$C252)^$D$37+R88-R174)</f>
        <v>3.0485059781306834E-2</v>
      </c>
      <c r="G252" s="11">
        <f>(R79*G$251/(1+$C252)^$D$37*$C252-R88)/(R79*G$251/(1+$C252)^$D$37+R88-R174)</f>
        <v>3.8277343831545699E-2</v>
      </c>
      <c r="H252" s="11">
        <f>(R79*H$251/(1+$C252)^$D$37*$C252-R88)/(R79*H$251/(1+$C252)^$D$37+R88-R174)</f>
        <v>4.40636909881061E-2</v>
      </c>
    </row>
    <row r="253" spans="2:20" x14ac:dyDescent="0.25">
      <c r="C253" s="11">
        <f>$D$34+(-0.01)</f>
        <v>9.3232756735415728E-2</v>
      </c>
      <c r="D253" s="11">
        <f>(R79*D$251/(1+$C253)^$D$37*$C253-R88)/(R79*D$251/(1+$C253)^$D$37+R88-R174)</f>
        <v>1.2716997582308818E-2</v>
      </c>
      <c r="E253" s="11">
        <f>(R79*E$251/(1+$C253)^$D$37*$C253-R88)/(R79*E$251/(1+$C253)^$D$37+R88-R174)</f>
        <v>2.9603129827877713E-2</v>
      </c>
      <c r="F253" s="11">
        <f>(R79*F$251/(1+$C253)^$D$37*$C253-R88)/(R79*F$251/(1+$C253)^$D$37+R88-R174)</f>
        <v>4.0634314944181335E-2</v>
      </c>
      <c r="G253" s="11">
        <f>(R79*G$251/(1+$C253)^$D$37*$C253-R88)/(R79*G$251/(1+$C253)^$D$37+R88-R174)</f>
        <v>4.8405770042244604E-2</v>
      </c>
      <c r="H253" s="11">
        <f>(R79*H$251/(1+$C253)^$D$37*$C253-R88)/(R79*H$251/(1+$C253)^$D$37+R88-R174)</f>
        <v>5.4176376457330581E-2</v>
      </c>
    </row>
    <row r="254" spans="2:20" x14ac:dyDescent="0.25">
      <c r="C254" s="11">
        <f>$D$34+(0)</f>
        <v>0.10323275673541572</v>
      </c>
      <c r="D254" s="11">
        <f>(R79*D$251/(1+$C254)^$D$37*$C254-R88)/(R79*D$251/(1+$C254)^$D$37+R88-R174)</f>
        <v>2.2945120019121718E-2</v>
      </c>
      <c r="E254" s="11">
        <f>(R79*E$251/(1+$C254)^$D$37*$C254-R88)/(R79*E$251/(1+$C254)^$D$37+R88-R174)</f>
        <v>3.9787146204922234E-2</v>
      </c>
      <c r="F254" s="11">
        <f>(R79*F$251/(1+$C254)^$D$37*$C254-R88)/(R79*F$251/(1+$C254)^$D$37+R88-R174)</f>
        <v>5.0788446961064659E-2</v>
      </c>
      <c r="G254" s="11">
        <f>(R79*G$251/(1+$C254)^$D$37*$C254-R88)/(R79*G$251/(1+$C254)^$D$37+R88-R174)</f>
        <v>5.8538340338837438E-2</v>
      </c>
      <c r="H254" s="11">
        <f>(R79*H$251/(1+$C254)^$D$37*$C254-R88)/(R79*H$251/(1+$C254)^$D$37+R88-R174)</f>
        <v>6.4292664568030899E-2</v>
      </c>
    </row>
    <row r="255" spans="2:20" x14ac:dyDescent="0.25">
      <c r="C255" s="11">
        <f>$D$34+(0.01)</f>
        <v>0.11323275673541572</v>
      </c>
      <c r="D255" s="11">
        <f>(R79*D$251/(1+$C255)^$D$37*$C255-R88)/(R79*D$251/(1+$C255)^$D$37+R88-R174)</f>
        <v>3.318072751679093E-2</v>
      </c>
      <c r="E255" s="11">
        <f>(R79*E$251/(1+$C255)^$D$37*$C255-R88)/(R79*E$251/(1+$C255)^$D$37+R88-R174)</f>
        <v>4.9977040704742778E-2</v>
      </c>
      <c r="F255" s="11">
        <f>(R79*F$251/(1+$C255)^$D$37*$C255-R88)/(R79*F$251/(1+$C255)^$D$37+R88-R174)</f>
        <v>6.0947417594819309E-2</v>
      </c>
      <c r="G255" s="11">
        <f>(R79*G$251/(1+$C255)^$D$37*$C255-R88)/(R79*G$251/(1+$C255)^$D$37+R88-R174)</f>
        <v>6.8675021913293E-2</v>
      </c>
      <c r="H255" s="11">
        <f>(R79*H$251/(1+$C255)^$D$37*$C255-R88)/(R79*H$251/(1+$C255)^$D$37+R88-R174)</f>
        <v>7.441252659455691E-2</v>
      </c>
    </row>
    <row r="256" spans="2:20" x14ac:dyDescent="0.25">
      <c r="C256" s="11">
        <f>$D$34+(0.02)</f>
        <v>0.12323275673541573</v>
      </c>
      <c r="D256" s="11">
        <f>(R79*D$251/(1+$C256)^$D$37*$C256-R88)/(R79*D$251/(1+$C256)^$D$37+R88-R174)</f>
        <v>4.342376413319194E-2</v>
      </c>
      <c r="E256" s="11">
        <f>(R79*E$251/(1+$C256)^$D$37*$C256-R88)/(R79*E$251/(1+$C256)^$D$37+R88-R174)</f>
        <v>6.0172768423705073E-2</v>
      </c>
      <c r="F256" s="11">
        <f>(R79*F$251/(1+$C256)^$D$37*$C256-R88)/(R79*F$251/(1+$C256)^$D$37+R88-R174)</f>
        <v>7.1111189360148458E-2</v>
      </c>
      <c r="G256" s="11">
        <f>(R79*G$251/(1+$C256)^$D$37*$C256-R88)/(R79*G$251/(1+$C256)^$D$37+R88-R174)</f>
        <v>7.8815782602226728E-2</v>
      </c>
      <c r="H256" s="11">
        <f>(R79*H$251/(1+$C256)^$D$37*$C256-R88)/(R79*H$251/(1+$C256)^$D$37+R88-R174)</f>
        <v>8.4535934375444682E-2</v>
      </c>
    </row>
    <row r="258" spans="2:20" x14ac:dyDescent="0.25">
      <c r="B258" s="30" t="s">
        <v>317</v>
      </c>
      <c r="C258" s="31"/>
      <c r="D258" s="31"/>
      <c r="E258" s="31"/>
      <c r="F258" s="31"/>
      <c r="G258" s="31"/>
      <c r="H258" s="31"/>
      <c r="I258" s="31"/>
      <c r="J258" s="31"/>
      <c r="K258" s="31"/>
      <c r="L258" s="31"/>
      <c r="M258" s="31"/>
      <c r="N258" s="31"/>
      <c r="O258" s="31"/>
      <c r="P258" s="31"/>
      <c r="Q258" s="31"/>
      <c r="R258" s="31"/>
      <c r="S258" s="31"/>
      <c r="T258" s="31"/>
    </row>
    <row r="259" spans="2:20" x14ac:dyDescent="0.25">
      <c r="B259" s="3" t="s">
        <v>313</v>
      </c>
      <c r="D259" s="12">
        <f>$D$40+(-2)</f>
        <v>4</v>
      </c>
      <c r="E259" s="12">
        <f>$D$40+(-1)</f>
        <v>5</v>
      </c>
      <c r="F259" s="12">
        <f>$D$40+(0)</f>
        <v>6</v>
      </c>
      <c r="G259" s="12">
        <f>$D$40+(1)</f>
        <v>7</v>
      </c>
      <c r="H259" s="12">
        <f>$D$40+(2)</f>
        <v>8</v>
      </c>
    </row>
    <row r="260" spans="2:20" x14ac:dyDescent="0.25">
      <c r="C260" s="11">
        <f>$D$34+(-0.02)</f>
        <v>8.3232756735415719E-2</v>
      </c>
      <c r="D260" s="10">
        <f>(NPV($C260,I179:R179)*(1+$C260)^$D$37+R79*D$259/(1+$C260)^10+$D$144-$D$127-$D$128-$D$142+$D$161)/$D$145*$D$148/$D$146-1</f>
        <v>-0.34828812477294213</v>
      </c>
      <c r="E260" s="10">
        <f>(NPV($C260,I179:R179)*(1+$C260)^$D$37+R79*E$259/(1+$C260)^10+$D$144-$D$127-$D$128-$D$142+$D$161)/$D$145*$D$148/$D$146-1</f>
        <v>-0.16166868473670204</v>
      </c>
      <c r="F260" s="10">
        <f>(NPV($C260,I179:R179)*(1+$C260)^$D$37+R79*F$259/(1+$C260)^10+$D$144-$D$127-$D$128-$D$142+$D$161)/$D$145*$D$148/$D$146-1</f>
        <v>2.4950755299538052E-2</v>
      </c>
      <c r="G260" s="10">
        <f>(NPV($C260,I179:R179)*(1+$C260)^$D$37+R79*G$259/(1+$C260)^10+$D$144-$D$127-$D$128-$D$142+$D$161)/$D$145*$D$148/$D$146-1</f>
        <v>0.21157019533577759</v>
      </c>
      <c r="H260" s="10">
        <f>(NPV($C260,I179:R179)*(1+$C260)^$D$37+R79*H$259/(1+$C260)^10+$D$144-$D$127-$D$128-$D$142+$D$161)/$D$145*$D$148/$D$146-1</f>
        <v>0.39818963537201801</v>
      </c>
    </row>
    <row r="261" spans="2:20" x14ac:dyDescent="0.25">
      <c r="C261" s="11">
        <f>$D$34+(-0.01)</f>
        <v>9.3232756735415728E-2</v>
      </c>
      <c r="D261" s="10">
        <f>(NPV($C261,I179:R179)*(1+$C261)^$D$37+R79*D$259/(1+$C261)^10+$D$144-$D$127-$D$128-$D$142+$D$161)/$D$145*$D$148/$D$146-1</f>
        <v>-0.44359862931054606</v>
      </c>
      <c r="E261" s="10">
        <f>(NPV($C261,I179:R179)*(1+$C261)^$D$37+R79*E$259/(1+$C261)^10+$D$144-$D$127-$D$128-$D$142+$D$161)/$D$145*$D$148/$D$146-1</f>
        <v>-0.27336382081839872</v>
      </c>
      <c r="F261" s="10">
        <f>(NPV($C261,I179:R179)*(1+$C261)^$D$37+R79*F$259/(1+$C261)^10+$D$144-$D$127-$D$128-$D$142+$D$161)/$D$145*$D$148/$D$146-1</f>
        <v>-0.10312901232625182</v>
      </c>
      <c r="G261" s="10">
        <f>(NPV($C261,I179:R179)*(1+$C261)^$D$37+R79*G$259/(1+$C261)^10+$D$144-$D$127-$D$128-$D$142+$D$161)/$D$145*$D$148/$D$146-1</f>
        <v>6.7105796165895626E-2</v>
      </c>
      <c r="H261" s="10">
        <f>(NPV($C261,I179:R179)*(1+$C261)^$D$37+R79*H$259/(1+$C261)^10+$D$144-$D$127-$D$128-$D$142+$D$161)/$D$145*$D$148/$D$146-1</f>
        <v>0.23734060465804285</v>
      </c>
    </row>
    <row r="262" spans="2:20" x14ac:dyDescent="0.25">
      <c r="C262" s="11">
        <f>$D$34+(0)</f>
        <v>0.10323275673541572</v>
      </c>
      <c r="D262" s="10">
        <f>(NPV($C262,I179:R179)*(1+$C262)^$D$37+R79*D$259/(1+$C262)^10+$D$144-$D$127-$D$128-$D$142+$D$161)/$D$145*$D$148/$D$146-1</f>
        <v>-0.53071648119644632</v>
      </c>
      <c r="E262" s="10">
        <f>(NPV($C262,I179:R179)*(1+$C262)^$D$37+R79*E$259/(1+$C262)^10+$D$144-$D$127-$D$128-$D$142+$D$161)/$D$145*$D$148/$D$146-1</f>
        <v>-0.37529779100057292</v>
      </c>
      <c r="F262" s="10">
        <f>(NPV($C262,I179:R179)*(1+$C262)^$D$37+R79*F$259/(1+$C262)^10+$D$144-$D$127-$D$128-$D$142+$D$161)/$D$145*$D$148/$D$146-1</f>
        <v>-0.21987910080470008</v>
      </c>
      <c r="G262" s="10">
        <f>(NPV($C262,I179:R179)*(1+$C262)^$D$37+R79*G$259/(1+$C262)^10+$D$144-$D$127-$D$128-$D$142+$D$161)/$D$145*$D$148/$D$146-1</f>
        <v>-6.4460410608826679E-2</v>
      </c>
      <c r="H262" s="10">
        <f>(NPV($C262,I179:R179)*(1+$C262)^$D$37+R79*H$259/(1+$C262)^10+$D$144-$D$127-$D$128-$D$142+$D$161)/$D$145*$D$148/$D$146-1</f>
        <v>9.0958279587046498E-2</v>
      </c>
    </row>
    <row r="263" spans="2:20" x14ac:dyDescent="0.25">
      <c r="C263" s="11">
        <f>$D$34+(0.01)</f>
        <v>0.11323275673541572</v>
      </c>
      <c r="D263" s="10">
        <f>(NPV($C263,I179:R179)*(1+$C263)^$D$37+R79*D$259/(1+$C263)^10+$D$144-$D$127-$D$128-$D$142+$D$161)/$D$145*$D$148/$D$146-1</f>
        <v>-0.61044348044463836</v>
      </c>
      <c r="E263" s="10">
        <f>(NPV($C263,I179:R179)*(1+$C263)^$D$37+R79*E$259/(1+$C263)^10+$D$144-$D$127-$D$128-$D$142+$D$161)/$D$145*$D$148/$D$146-1</f>
        <v>-0.46843477839903158</v>
      </c>
      <c r="F263" s="10">
        <f>(NPV($C263,I179:R179)*(1+$C263)^$D$37+R79*F$259/(1+$C263)^10+$D$144-$D$127-$D$128-$D$142+$D$161)/$D$145*$D$148/$D$146-1</f>
        <v>-0.32642607635342469</v>
      </c>
      <c r="G263" s="10">
        <f>(NPV($C263,I179:R179)*(1+$C263)^$D$37+R79*G$259/(1+$C263)^10+$D$144-$D$127-$D$128-$D$142+$D$161)/$D$145*$D$148/$D$146-1</f>
        <v>-0.18441737430781791</v>
      </c>
      <c r="H263" s="10">
        <f>(NPV($C263,I179:R179)*(1+$C263)^$D$37+R79*H$259/(1+$C263)^10+$D$144-$D$127-$D$128-$D$142+$D$161)/$D$145*$D$148/$D$146-1</f>
        <v>-4.2408672262211122E-2</v>
      </c>
    </row>
    <row r="264" spans="2:20" x14ac:dyDescent="0.25">
      <c r="C264" s="11">
        <f>$D$34+(0.02)</f>
        <v>0.12323275673541573</v>
      </c>
      <c r="D264" s="10">
        <f>(NPV($C264,I179:R179)*(1+$C264)^$D$37+R79*D$259/(1+$C264)^10+$D$144-$D$127-$D$128-$D$142+$D$161)/$D$145*$D$148/$D$146-1</f>
        <v>-0.68349530976434214</v>
      </c>
      <c r="E264" s="10">
        <f>(NPV($C264,I179:R179)*(1+$C264)^$D$37+R79*E$259/(1+$C264)^10+$D$144-$D$127-$D$128-$D$142+$D$161)/$D$145*$D$148/$D$146-1</f>
        <v>-0.55363479367462898</v>
      </c>
      <c r="F264" s="10">
        <f>(NPV($C264,I179:R179)*(1+$C264)^$D$37+R79*F$259/(1+$C264)^10+$D$144-$D$127-$D$128-$D$142+$D$161)/$D$145*$D$148/$D$146-1</f>
        <v>-0.42377427758491615</v>
      </c>
      <c r="G264" s="10">
        <f>(NPV($C264,I179:R179)*(1+$C264)^$D$37+R79*G$259/(1+$C264)^10+$D$144-$D$127-$D$128-$D$142+$D$161)/$D$145*$D$148/$D$146-1</f>
        <v>-0.29391376149520299</v>
      </c>
      <c r="H264" s="10">
        <f>(NPV($C264,I179:R179)*(1+$C264)^$D$37+R79*H$259/(1+$C264)^10+$D$144-$D$127-$D$128-$D$142+$D$161)/$D$145*$D$148/$D$146-1</f>
        <v>-0.16405324540548971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24"/>
  <sheetViews>
    <sheetView showGridLines="0" workbookViewId="0"/>
  </sheetViews>
  <sheetFormatPr defaultRowHeight="15" x14ac:dyDescent="0.25"/>
  <cols>
    <col min="2" max="2" width="70" customWidth="1"/>
    <col min="4" max="4" width="14" customWidth="1"/>
    <col min="5" max="5" width="80" customWidth="1"/>
  </cols>
  <sheetData>
    <row r="2" spans="2:5" ht="18.75" x14ac:dyDescent="0.3">
      <c r="B2" s="1" t="s">
        <v>318</v>
      </c>
    </row>
    <row r="3" spans="2:5" x14ac:dyDescent="0.25">
      <c r="B3" s="2" t="s">
        <v>319</v>
      </c>
    </row>
    <row r="5" spans="2:5" x14ac:dyDescent="0.25">
      <c r="B5" s="6" t="s">
        <v>320</v>
      </c>
      <c r="C5" s="7"/>
      <c r="D5" s="7"/>
      <c r="E5" s="7"/>
    </row>
    <row r="6" spans="2:5" x14ac:dyDescent="0.25">
      <c r="B6" s="3" t="s">
        <v>321</v>
      </c>
      <c r="D6" s="13">
        <f>DCF!$D$146/DCF!$D$148*DCF!$D$145+DCF!$D$127+DCF!$D$128+DCF!$D$142-DCF!$D$144</f>
        <v>440085.79529122973</v>
      </c>
    </row>
    <row r="7" spans="2:5" x14ac:dyDescent="0.25">
      <c r="B7" s="3" t="s">
        <v>322</v>
      </c>
      <c r="D7" s="13">
        <f>DCF!$D$183</f>
        <v>156185.9368568582</v>
      </c>
    </row>
    <row r="8" spans="2:5" x14ac:dyDescent="0.25">
      <c r="B8" s="3" t="s">
        <v>323</v>
      </c>
      <c r="D8" s="13">
        <f>($D$6-$D$7)*(1+DCF!$D$34)^(10-DCF!$D$37)</f>
        <v>721943.29018127965</v>
      </c>
    </row>
    <row r="9" spans="2:5" x14ac:dyDescent="0.25">
      <c r="B9" s="3" t="s">
        <v>324</v>
      </c>
      <c r="D9" s="11">
        <f>IF($D$6&gt;$D$7,($D$8*DCF!$D$34-DCF!R88)/($D$8+DCF!R88-DCF!R174),"n.m.")</f>
        <v>6.410746806858908E-2</v>
      </c>
    </row>
    <row r="10" spans="2:5" x14ac:dyDescent="0.25">
      <c r="B10" s="3" t="s">
        <v>325</v>
      </c>
      <c r="D10" s="11">
        <f>DCF!$D$39</f>
        <v>4.2500000000000003E-2</v>
      </c>
    </row>
    <row r="12" spans="2:5" x14ac:dyDescent="0.25">
      <c r="B12" s="6" t="s">
        <v>326</v>
      </c>
      <c r="C12" s="7"/>
      <c r="D12" s="7"/>
      <c r="E12" s="7"/>
    </row>
    <row r="13" spans="2:5" x14ac:dyDescent="0.25">
      <c r="B13" s="3" t="s">
        <v>327</v>
      </c>
      <c r="D13" s="35">
        <f>DCF!$D$146/DCF!$D$148*DCF!$D$145+DCF!$D$127+DCF!$D$128+DCF!$D$142-DCF!$D$144</f>
        <v>440085.79529122973</v>
      </c>
    </row>
    <row r="14" spans="2:5" x14ac:dyDescent="0.25">
      <c r="B14" s="3" t="s">
        <v>328</v>
      </c>
      <c r="D14" s="35">
        <f>DCF!$D$112</f>
        <v>165442.46851665768</v>
      </c>
    </row>
    <row r="15" spans="2:5" x14ac:dyDescent="0.25">
      <c r="B15" s="3" t="s">
        <v>323</v>
      </c>
      <c r="D15" s="13">
        <f>($D$13-$D$14)*(1+DCF!$D$34)^(10-DCF!$D$37)</f>
        <v>698404.38826355408</v>
      </c>
    </row>
    <row r="16" spans="2:5" x14ac:dyDescent="0.25">
      <c r="B16" s="3" t="s">
        <v>329</v>
      </c>
      <c r="D16" s="11">
        <f>IF($D$13&gt;$D$14,($D$15*DCF!$D$34-DCF!R88)/($D$15+DCF!R88),"n.m.")</f>
        <v>5.8376544682362974E-2</v>
      </c>
    </row>
    <row r="17" spans="2:5" x14ac:dyDescent="0.25">
      <c r="B17" s="3" t="s">
        <v>325</v>
      </c>
      <c r="D17" s="36">
        <f>DCF!$D$39</f>
        <v>4.2500000000000003E-2</v>
      </c>
    </row>
    <row r="18" spans="2:5" x14ac:dyDescent="0.25">
      <c r="B18" s="5" t="s">
        <v>330</v>
      </c>
    </row>
    <row r="20" spans="2:5" x14ac:dyDescent="0.25">
      <c r="B20" s="6" t="s">
        <v>331</v>
      </c>
      <c r="C20" s="7"/>
      <c r="D20" s="7"/>
      <c r="E20" s="7"/>
    </row>
    <row r="21" spans="2:5" x14ac:dyDescent="0.25">
      <c r="B21" s="3" t="s">
        <v>332</v>
      </c>
      <c r="E21" s="5" t="s">
        <v>333</v>
      </c>
    </row>
    <row r="22" spans="2:5" x14ac:dyDescent="0.25">
      <c r="B22" s="3" t="s">
        <v>334</v>
      </c>
      <c r="D22" s="15">
        <v>3.4226966276764872E-2</v>
      </c>
      <c r="E22" s="5" t="s">
        <v>335</v>
      </c>
    </row>
    <row r="23" spans="2:5" x14ac:dyDescent="0.25">
      <c r="B23" s="3" t="s">
        <v>336</v>
      </c>
      <c r="D23" s="15">
        <v>1.777277365326882E-2</v>
      </c>
      <c r="E23" s="5"/>
    </row>
    <row r="24" spans="2:5" x14ac:dyDescent="0.25">
      <c r="B24" s="3" t="s">
        <v>337</v>
      </c>
      <c r="D24" s="15">
        <v>2.3347786441445351E-2</v>
      </c>
      <c r="E24" s="5" t="s">
        <v>338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5"/>
  <sheetViews>
    <sheetView showGridLines="0" workbookViewId="0"/>
  </sheetViews>
  <sheetFormatPr defaultRowHeight="15" x14ac:dyDescent="0.25"/>
  <cols>
    <col min="2" max="2" width="44" customWidth="1"/>
    <col min="3" max="8" width="13" customWidth="1"/>
  </cols>
  <sheetData>
    <row r="2" spans="2:8" ht="18.75" x14ac:dyDescent="0.3">
      <c r="B2" s="1" t="s">
        <v>339</v>
      </c>
    </row>
    <row r="3" spans="2:8" x14ac:dyDescent="0.25">
      <c r="B3" s="2" t="s">
        <v>340</v>
      </c>
    </row>
    <row r="5" spans="2:8" x14ac:dyDescent="0.25">
      <c r="B5" s="6" t="s">
        <v>341</v>
      </c>
      <c r="C5" s="7"/>
      <c r="D5" s="7"/>
      <c r="E5" s="7"/>
      <c r="F5" s="7"/>
      <c r="G5" s="7"/>
      <c r="H5" s="7"/>
    </row>
    <row r="6" spans="2:8" x14ac:dyDescent="0.25">
      <c r="B6" s="3" t="s">
        <v>342</v>
      </c>
      <c r="C6" s="15">
        <v>-0.01</v>
      </c>
      <c r="D6" s="15">
        <v>-5.0000000000000001E-3</v>
      </c>
      <c r="E6" s="15">
        <v>0</v>
      </c>
      <c r="F6" s="15">
        <v>5.0000000000000001E-3</v>
      </c>
      <c r="G6" s="15">
        <v>0.01</v>
      </c>
    </row>
    <row r="7" spans="2:8" x14ac:dyDescent="0.25">
      <c r="B7" s="15">
        <v>-0.01</v>
      </c>
      <c r="C7" s="14">
        <v>40.159004872822209</v>
      </c>
      <c r="D7" s="14">
        <v>46.292565664363643</v>
      </c>
      <c r="E7" s="14">
        <v>52.426126455905163</v>
      </c>
      <c r="F7" s="14">
        <v>58.559687247446547</v>
      </c>
      <c r="G7" s="14">
        <v>64.693248038988045</v>
      </c>
    </row>
    <row r="8" spans="2:8" x14ac:dyDescent="0.25">
      <c r="B8" s="15">
        <v>-5.0000000000000001E-3</v>
      </c>
      <c r="C8" s="14">
        <v>30.721738236104802</v>
      </c>
      <c r="D8" s="14">
        <v>36.855299027646247</v>
      </c>
      <c r="E8" s="14">
        <v>42.988859819187752</v>
      </c>
      <c r="F8" s="14">
        <v>49.122420610729129</v>
      </c>
      <c r="G8" s="14">
        <v>55.255981402270649</v>
      </c>
    </row>
    <row r="9" spans="2:8" x14ac:dyDescent="0.25">
      <c r="B9" s="15">
        <v>0</v>
      </c>
      <c r="C9" s="14">
        <v>21.28447159938743</v>
      </c>
      <c r="D9" s="14">
        <v>27.418032390928872</v>
      </c>
      <c r="E9" s="14">
        <v>33.551593182470377</v>
      </c>
      <c r="F9" s="14">
        <v>39.685153974011769</v>
      </c>
      <c r="G9" s="14">
        <v>45.81871476555326</v>
      </c>
    </row>
    <row r="10" spans="2:8" x14ac:dyDescent="0.25">
      <c r="B10" s="15">
        <v>5.0000000000000001E-3</v>
      </c>
      <c r="C10" s="14">
        <v>11.84720496267003</v>
      </c>
      <c r="D10" s="14">
        <v>17.980765754211468</v>
      </c>
      <c r="E10" s="14">
        <v>24.11432654575297</v>
      </c>
      <c r="F10" s="14">
        <v>30.247887337294369</v>
      </c>
      <c r="G10" s="14">
        <v>36.381448128835878</v>
      </c>
    </row>
    <row r="11" spans="2:8" x14ac:dyDescent="0.25">
      <c r="B11" s="15">
        <v>0.01</v>
      </c>
      <c r="C11" s="14">
        <v>2.4099383259526328</v>
      </c>
      <c r="D11" s="14">
        <v>8.5434991174940809</v>
      </c>
      <c r="E11" s="14">
        <v>14.67705990903559</v>
      </c>
      <c r="F11" s="14">
        <v>20.81062070057698</v>
      </c>
      <c r="G11" s="14">
        <v>26.944181492118481</v>
      </c>
    </row>
    <row r="13" spans="2:8" x14ac:dyDescent="0.25">
      <c r="B13" s="6" t="s">
        <v>343</v>
      </c>
      <c r="C13" s="7"/>
      <c r="D13" s="7"/>
      <c r="E13" s="7"/>
      <c r="F13" s="7"/>
      <c r="G13" s="7"/>
      <c r="H13" s="7"/>
    </row>
    <row r="14" spans="2:8" x14ac:dyDescent="0.25">
      <c r="B14" s="3" t="s">
        <v>342</v>
      </c>
      <c r="C14" s="15">
        <v>-0.01</v>
      </c>
      <c r="D14" s="15">
        <v>-5.0000000000000001E-3</v>
      </c>
      <c r="E14" s="15">
        <v>0</v>
      </c>
      <c r="F14" s="15">
        <v>5.0000000000000001E-3</v>
      </c>
      <c r="G14" s="15">
        <v>0.01</v>
      </c>
    </row>
    <row r="15" spans="2:8" x14ac:dyDescent="0.25">
      <c r="B15" s="15">
        <v>-0.01</v>
      </c>
      <c r="C15" s="14">
        <v>45.054887692917283</v>
      </c>
      <c r="D15" s="14">
        <v>49.456062439874593</v>
      </c>
      <c r="E15" s="14">
        <v>53.857237186831867</v>
      </c>
      <c r="F15" s="14">
        <v>58.258411933789162</v>
      </c>
      <c r="G15" s="14">
        <v>62.659586680746457</v>
      </c>
    </row>
    <row r="16" spans="2:8" x14ac:dyDescent="0.25">
      <c r="B16" s="15">
        <v>-5.0000000000000001E-3</v>
      </c>
      <c r="C16" s="14">
        <v>40.983811445923628</v>
      </c>
      <c r="D16" s="14">
        <v>45.384986192880937</v>
      </c>
      <c r="E16" s="14">
        <v>49.786160939838233</v>
      </c>
      <c r="F16" s="14">
        <v>54.187335686795493</v>
      </c>
      <c r="G16" s="14">
        <v>58.588510433752823</v>
      </c>
    </row>
    <row r="17" spans="2:8" x14ac:dyDescent="0.25">
      <c r="B17" s="15">
        <v>0</v>
      </c>
      <c r="C17" s="14">
        <v>36.912735198929987</v>
      </c>
      <c r="D17" s="14">
        <v>41.313909945887303</v>
      </c>
      <c r="E17" s="14">
        <v>45.715084692844599</v>
      </c>
      <c r="F17" s="14">
        <v>50.116259439801851</v>
      </c>
      <c r="G17" s="14">
        <v>54.517434186759189</v>
      </c>
    </row>
    <row r="18" spans="2:8" x14ac:dyDescent="0.25">
      <c r="B18" s="15">
        <v>5.0000000000000001E-3</v>
      </c>
      <c r="C18" s="14">
        <v>32.841658951936353</v>
      </c>
      <c r="D18" s="14">
        <v>37.242833698893648</v>
      </c>
      <c r="E18" s="14">
        <v>41.644008445850957</v>
      </c>
      <c r="F18" s="14">
        <v>46.04518319280821</v>
      </c>
      <c r="G18" s="14">
        <v>50.446357939765541</v>
      </c>
    </row>
    <row r="19" spans="2:8" x14ac:dyDescent="0.25">
      <c r="B19" s="15">
        <v>0.01</v>
      </c>
      <c r="C19" s="14">
        <v>28.770582704942701</v>
      </c>
      <c r="D19" s="14">
        <v>33.171757451900007</v>
      </c>
      <c r="E19" s="14">
        <v>37.572932198857309</v>
      </c>
      <c r="F19" s="14">
        <v>41.974106945814583</v>
      </c>
      <c r="G19" s="14">
        <v>46.375281692771892</v>
      </c>
    </row>
    <row r="21" spans="2:8" x14ac:dyDescent="0.25">
      <c r="B21" s="6" t="s">
        <v>344</v>
      </c>
      <c r="C21" s="7"/>
      <c r="D21" s="7"/>
      <c r="E21" s="7"/>
      <c r="F21" s="7"/>
      <c r="G21" s="7"/>
      <c r="H21" s="7"/>
    </row>
    <row r="22" spans="2:8" x14ac:dyDescent="0.25">
      <c r="B22" s="4" t="s">
        <v>345</v>
      </c>
      <c r="C22" s="4" t="s">
        <v>346</v>
      </c>
      <c r="D22" s="4" t="s">
        <v>347</v>
      </c>
      <c r="E22" s="4" t="s">
        <v>348</v>
      </c>
      <c r="F22" s="4" t="s">
        <v>349</v>
      </c>
    </row>
    <row r="23" spans="2:8" x14ac:dyDescent="0.25">
      <c r="B23" s="15">
        <v>-0.01</v>
      </c>
      <c r="C23" s="14">
        <v>52.426126455905163</v>
      </c>
      <c r="D23" s="10">
        <v>0.32592978914240928</v>
      </c>
      <c r="E23" s="10">
        <v>0.13039618168019121</v>
      </c>
      <c r="F23" s="10">
        <v>5.4243729545397031E-2</v>
      </c>
    </row>
    <row r="24" spans="2:8" x14ac:dyDescent="0.25">
      <c r="B24" s="15">
        <v>-5.0000000000000001E-3</v>
      </c>
      <c r="C24" s="14">
        <v>42.988859819187752</v>
      </c>
      <c r="D24" s="10">
        <v>0.2018398979346169</v>
      </c>
      <c r="E24" s="10">
        <v>0.2105629285136047</v>
      </c>
      <c r="F24" s="10">
        <v>4.9243729545397033E-2</v>
      </c>
    </row>
    <row r="25" spans="2:8" x14ac:dyDescent="0.25">
      <c r="B25" s="15">
        <v>0</v>
      </c>
      <c r="C25" s="14">
        <v>33.551593182470377</v>
      </c>
      <c r="D25" s="10">
        <v>0.14618390760857669</v>
      </c>
      <c r="E25" s="10">
        <v>0.2907296753470181</v>
      </c>
      <c r="F25" s="10">
        <v>4.4243729545397043E-2</v>
      </c>
    </row>
    <row r="26" spans="2:8" x14ac:dyDescent="0.25">
      <c r="B26" s="15">
        <v>5.0000000000000001E-3</v>
      </c>
      <c r="C26" s="14">
        <v>24.11432654575297</v>
      </c>
      <c r="D26" s="10">
        <v>0.1145872471622949</v>
      </c>
      <c r="E26" s="10">
        <v>0.37089642218043162</v>
      </c>
      <c r="F26" s="10">
        <v>3.9243729545397031E-2</v>
      </c>
    </row>
    <row r="27" spans="2:8" x14ac:dyDescent="0.25">
      <c r="B27" s="15">
        <v>0.01</v>
      </c>
      <c r="C27" s="14">
        <v>14.67705990903559</v>
      </c>
      <c r="D27" s="10">
        <v>9.4221836140861034E-2</v>
      </c>
      <c r="E27" s="10">
        <v>0.45106316901384491</v>
      </c>
      <c r="F27" s="10">
        <v>3.4243729545397041E-2</v>
      </c>
    </row>
    <row r="29" spans="2:8" x14ac:dyDescent="0.25">
      <c r="B29" s="6" t="s">
        <v>350</v>
      </c>
      <c r="C29" s="7"/>
      <c r="D29" s="7"/>
      <c r="E29" s="7"/>
      <c r="F29" s="7"/>
      <c r="G29" s="7"/>
      <c r="H29" s="7"/>
    </row>
    <row r="30" spans="2:8" x14ac:dyDescent="0.25">
      <c r="B30" s="4" t="s">
        <v>351</v>
      </c>
      <c r="C30" s="4" t="s">
        <v>352</v>
      </c>
      <c r="D30" s="4" t="s">
        <v>353</v>
      </c>
    </row>
    <row r="31" spans="2:8" x14ac:dyDescent="0.25">
      <c r="B31" s="15">
        <v>-0.01</v>
      </c>
      <c r="C31" s="14">
        <v>27.447029049198751</v>
      </c>
      <c r="D31" s="14">
        <v>39.209541604996637</v>
      </c>
    </row>
    <row r="32" spans="2:8" x14ac:dyDescent="0.25">
      <c r="B32" s="15">
        <v>-5.0000000000000001E-3</v>
      </c>
      <c r="C32" s="14">
        <v>30.437368823424549</v>
      </c>
      <c r="D32" s="14">
        <v>42.398974775846519</v>
      </c>
    </row>
    <row r="33" spans="2:4" x14ac:dyDescent="0.25">
      <c r="B33" s="15">
        <v>0</v>
      </c>
      <c r="C33" s="14">
        <v>33.551593182470377</v>
      </c>
      <c r="D33" s="14">
        <v>45.715084692844599</v>
      </c>
    </row>
    <row r="34" spans="2:4" x14ac:dyDescent="0.25">
      <c r="B34" s="15">
        <v>5.0000000000000001E-3</v>
      </c>
      <c r="C34" s="14">
        <v>36.794546966438404</v>
      </c>
      <c r="D34" s="14">
        <v>49.16258850164089</v>
      </c>
    </row>
    <row r="35" spans="2:4" x14ac:dyDescent="0.25">
      <c r="B35" s="15">
        <v>0.01</v>
      </c>
      <c r="C35" s="14">
        <v>40.171244041781023</v>
      </c>
      <c r="D35" s="14">
        <v>52.746359889885582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41"/>
  <sheetViews>
    <sheetView showGridLines="0" workbookViewId="0"/>
  </sheetViews>
  <sheetFormatPr defaultRowHeight="15" x14ac:dyDescent="0.25"/>
  <cols>
    <col min="2" max="2" width="64" customWidth="1"/>
    <col min="3" max="10" width="11" customWidth="1"/>
    <col min="11" max="11" width="70" customWidth="1"/>
  </cols>
  <sheetData>
    <row r="2" spans="2:11" ht="18.75" x14ac:dyDescent="0.3">
      <c r="B2" s="1" t="s">
        <v>354</v>
      </c>
    </row>
    <row r="3" spans="2:11" x14ac:dyDescent="0.25">
      <c r="B3" s="2" t="s">
        <v>355</v>
      </c>
    </row>
    <row r="5" spans="2:11" x14ac:dyDescent="0.25">
      <c r="B5" s="6" t="s">
        <v>356</v>
      </c>
      <c r="C5" s="7"/>
      <c r="D5" s="7"/>
      <c r="E5" s="7"/>
      <c r="F5" s="7"/>
      <c r="G5" s="7"/>
      <c r="H5" s="7"/>
      <c r="I5" s="7"/>
      <c r="J5" s="7"/>
      <c r="K5" s="7"/>
    </row>
    <row r="6" spans="2:11" x14ac:dyDescent="0.25">
      <c r="B6" s="4" t="s">
        <v>357</v>
      </c>
      <c r="C6" s="4" t="s">
        <v>55</v>
      </c>
      <c r="D6" s="4" t="s">
        <v>358</v>
      </c>
      <c r="E6" s="4" t="s">
        <v>359</v>
      </c>
      <c r="F6" s="4" t="s">
        <v>352</v>
      </c>
      <c r="G6" s="4" t="s">
        <v>353</v>
      </c>
      <c r="H6" s="4" t="s">
        <v>360</v>
      </c>
      <c r="I6" s="4" t="s">
        <v>361</v>
      </c>
      <c r="J6" s="4" t="s">
        <v>362</v>
      </c>
      <c r="K6" s="4" t="s">
        <v>363</v>
      </c>
    </row>
    <row r="7" spans="2:11" x14ac:dyDescent="0.25">
      <c r="B7" s="3" t="s">
        <v>364</v>
      </c>
      <c r="C7" s="11">
        <v>0.1032327567354157</v>
      </c>
      <c r="D7" s="11">
        <v>0.12943651126550321</v>
      </c>
      <c r="E7" s="11">
        <v>4.2500000000000003E-2</v>
      </c>
      <c r="F7" s="14">
        <v>33.551593182470377</v>
      </c>
      <c r="G7" s="14">
        <v>45.715084692844599</v>
      </c>
      <c r="H7" s="10">
        <v>-0.42744721531620511</v>
      </c>
      <c r="I7" s="10">
        <v>-0.21987910080469969</v>
      </c>
      <c r="J7" s="10">
        <v>0.14618390760857669</v>
      </c>
      <c r="K7" s="5" t="s">
        <v>365</v>
      </c>
    </row>
    <row r="9" spans="2:11" x14ac:dyDescent="0.25">
      <c r="B9" s="6" t="s">
        <v>366</v>
      </c>
      <c r="C9" s="7"/>
      <c r="D9" s="7"/>
      <c r="E9" s="7"/>
      <c r="F9" s="7"/>
      <c r="G9" s="7"/>
      <c r="H9" s="7"/>
      <c r="I9" s="7"/>
      <c r="J9" s="7"/>
      <c r="K9" s="7"/>
    </row>
    <row r="10" spans="2:11" x14ac:dyDescent="0.25">
      <c r="B10" s="4" t="s">
        <v>357</v>
      </c>
      <c r="C10" s="4" t="s">
        <v>55</v>
      </c>
      <c r="D10" s="4" t="s">
        <v>358</v>
      </c>
      <c r="E10" s="4" t="s">
        <v>359</v>
      </c>
      <c r="F10" s="4" t="s">
        <v>352</v>
      </c>
      <c r="G10" s="4" t="s">
        <v>353</v>
      </c>
      <c r="H10" s="4" t="s">
        <v>360</v>
      </c>
      <c r="I10" s="4" t="s">
        <v>361</v>
      </c>
      <c r="J10" s="4" t="s">
        <v>362</v>
      </c>
      <c r="K10" s="4" t="s">
        <v>363</v>
      </c>
    </row>
    <row r="11" spans="2:11" x14ac:dyDescent="0.25">
      <c r="B11" s="3" t="s">
        <v>367</v>
      </c>
      <c r="C11" s="11">
        <v>0.1015131037806207</v>
      </c>
      <c r="D11" s="11">
        <v>0.12643898419999999</v>
      </c>
      <c r="E11" s="11">
        <v>4.2500000000000003E-2</v>
      </c>
      <c r="F11" s="14">
        <v>35.717553950334967</v>
      </c>
      <c r="G11" s="14">
        <v>46.604263638736242</v>
      </c>
      <c r="H11" s="10">
        <v>-0.39048542746868659</v>
      </c>
      <c r="I11" s="10">
        <v>-0.2047053986563783</v>
      </c>
      <c r="J11" s="10">
        <v>0.14618390760857669</v>
      </c>
      <c r="K11" s="5" t="s">
        <v>368</v>
      </c>
    </row>
    <row r="12" spans="2:11" x14ac:dyDescent="0.25">
      <c r="B12" s="3" t="s">
        <v>369</v>
      </c>
      <c r="C12" s="11">
        <v>0.1012542956373373</v>
      </c>
      <c r="D12" s="11">
        <v>0.12598785572544269</v>
      </c>
      <c r="E12" s="11">
        <v>4.2500000000000003E-2</v>
      </c>
      <c r="F12" s="14">
        <v>36.053920591977032</v>
      </c>
      <c r="G12" s="14">
        <v>46.738485106291073</v>
      </c>
      <c r="H12" s="10">
        <v>-0.38474538238947043</v>
      </c>
      <c r="I12" s="10">
        <v>-0.20241492992677371</v>
      </c>
      <c r="J12" s="10">
        <v>0.14618390760857669</v>
      </c>
      <c r="K12" s="5" t="s">
        <v>370</v>
      </c>
    </row>
    <row r="13" spans="2:11" x14ac:dyDescent="0.25">
      <c r="B13" s="3" t="s">
        <v>371</v>
      </c>
      <c r="C13" s="11">
        <v>0.1028907602448382</v>
      </c>
      <c r="D13" s="11">
        <v>0.12884037718277749</v>
      </c>
      <c r="E13" s="11">
        <v>4.2500000000000003E-2</v>
      </c>
      <c r="F13" s="14">
        <v>33.973047410280188</v>
      </c>
      <c r="G13" s="14">
        <v>45.891538297548188</v>
      </c>
      <c r="H13" s="10">
        <v>-0.42025516364709581</v>
      </c>
      <c r="I13" s="10">
        <v>-0.21686794714081589</v>
      </c>
      <c r="J13" s="10">
        <v>0.14618390760857669</v>
      </c>
      <c r="K13" s="5" t="s">
        <v>372</v>
      </c>
    </row>
    <row r="14" spans="2:11" x14ac:dyDescent="0.25">
      <c r="B14" s="3" t="s">
        <v>373</v>
      </c>
      <c r="C14" s="11">
        <v>0.1009496563426157</v>
      </c>
      <c r="D14" s="11">
        <v>0.12545683897081339</v>
      </c>
      <c r="E14" s="11">
        <v>4.2500000000000003E-2</v>
      </c>
      <c r="F14" s="14">
        <v>36.453470786310533</v>
      </c>
      <c r="G14" s="14">
        <v>46.896601720022197</v>
      </c>
      <c r="H14" s="10">
        <v>-0.37792711968753362</v>
      </c>
      <c r="I14" s="10">
        <v>-0.19971669419757329</v>
      </c>
      <c r="J14" s="10">
        <v>0.14618390760857669</v>
      </c>
      <c r="K14" s="5" t="s">
        <v>374</v>
      </c>
    </row>
    <row r="15" spans="2:11" x14ac:dyDescent="0.25">
      <c r="B15" s="3" t="s">
        <v>375</v>
      </c>
      <c r="C15" s="11">
        <v>0.10303474209837429</v>
      </c>
      <c r="D15" s="11">
        <v>0.1290913519516762</v>
      </c>
      <c r="E15" s="11">
        <v>4.2500000000000003E-2</v>
      </c>
      <c r="F15" s="14">
        <v>33.795064735367824</v>
      </c>
      <c r="G15" s="14">
        <v>45.817226753662368</v>
      </c>
      <c r="H15" s="10">
        <v>-0.42329241065925222</v>
      </c>
      <c r="I15" s="10">
        <v>-0.21813606222419171</v>
      </c>
      <c r="J15" s="10">
        <v>0.14618390760857669</v>
      </c>
      <c r="K15" s="5" t="s">
        <v>376</v>
      </c>
    </row>
    <row r="16" spans="2:11" x14ac:dyDescent="0.25">
      <c r="B16" s="3" t="s">
        <v>377</v>
      </c>
      <c r="C16" s="11">
        <v>0.10094795285698691</v>
      </c>
      <c r="D16" s="11">
        <v>0.12545386962501401</v>
      </c>
      <c r="E16" s="11">
        <v>4.2500000000000003E-2</v>
      </c>
      <c r="F16" s="14">
        <v>36.455716100911218</v>
      </c>
      <c r="G16" s="14">
        <v>46.897486256914867</v>
      </c>
      <c r="H16" s="10">
        <v>-0.37788880373871642</v>
      </c>
      <c r="I16" s="10">
        <v>-0.1997015997113504</v>
      </c>
      <c r="J16" s="10">
        <v>0.14618390760857669</v>
      </c>
      <c r="K16" s="5" t="s">
        <v>378</v>
      </c>
    </row>
    <row r="17" spans="2:11" x14ac:dyDescent="0.25">
      <c r="B17" s="3" t="s">
        <v>379</v>
      </c>
      <c r="C17" s="11">
        <v>0.1036579924109365</v>
      </c>
      <c r="D17" s="11">
        <v>0.13017773957150339</v>
      </c>
      <c r="E17" s="11">
        <v>4.2500000000000003E-2</v>
      </c>
      <c r="F17" s="14">
        <v>33.033776888832257</v>
      </c>
      <c r="G17" s="14">
        <v>45.495960496771922</v>
      </c>
      <c r="H17" s="10">
        <v>-0.43628367083903979</v>
      </c>
      <c r="I17" s="10">
        <v>-0.2236184215567931</v>
      </c>
      <c r="J17" s="10">
        <v>0.14618390760857669</v>
      </c>
      <c r="K17" s="5" t="s">
        <v>380</v>
      </c>
    </row>
    <row r="18" spans="2:11" x14ac:dyDescent="0.25">
      <c r="B18" s="3" t="s">
        <v>381</v>
      </c>
      <c r="C18" s="11">
        <v>0.1050626908637045</v>
      </c>
      <c r="D18" s="11">
        <v>0.13262626944452341</v>
      </c>
      <c r="E18" s="11">
        <v>4.2500000000000003E-2</v>
      </c>
      <c r="F18" s="14">
        <v>31.370540594900159</v>
      </c>
      <c r="G18" s="14">
        <v>44.774388822053837</v>
      </c>
      <c r="H18" s="10">
        <v>-0.4646665427491441</v>
      </c>
      <c r="I18" s="10">
        <v>-0.2359319313642689</v>
      </c>
      <c r="J18" s="10">
        <v>0.14618390760857669</v>
      </c>
      <c r="K18" s="5" t="s">
        <v>382</v>
      </c>
    </row>
    <row r="19" spans="2:11" x14ac:dyDescent="0.25">
      <c r="B19" s="3" t="s">
        <v>383</v>
      </c>
      <c r="C19" s="11">
        <v>0.11486236039765819</v>
      </c>
      <c r="D19" s="11">
        <v>0.14970807340915801</v>
      </c>
      <c r="E19" s="11">
        <v>4.2500000000000003E-2</v>
      </c>
      <c r="F19" s="14">
        <v>21.464030488157139</v>
      </c>
      <c r="G19" s="14">
        <v>39.853108629283213</v>
      </c>
      <c r="H19" s="10">
        <v>-0.63371961624305229</v>
      </c>
      <c r="I19" s="10">
        <v>-0.31991282202588389</v>
      </c>
      <c r="J19" s="10">
        <v>0.14618390760857669</v>
      </c>
      <c r="K19" s="5" t="s">
        <v>384</v>
      </c>
    </row>
    <row r="21" spans="2:11" x14ac:dyDescent="0.25">
      <c r="B21" s="6" t="s">
        <v>385</v>
      </c>
      <c r="C21" s="7"/>
      <c r="D21" s="7"/>
      <c r="E21" s="7"/>
      <c r="F21" s="7"/>
      <c r="G21" s="7"/>
      <c r="H21" s="7"/>
      <c r="I21" s="7"/>
      <c r="J21" s="7"/>
      <c r="K21" s="7"/>
    </row>
    <row r="22" spans="2:11" x14ac:dyDescent="0.25">
      <c r="B22" s="4" t="s">
        <v>357</v>
      </c>
      <c r="C22" s="4" t="s">
        <v>55</v>
      </c>
      <c r="D22" s="4" t="s">
        <v>358</v>
      </c>
      <c r="E22" s="4" t="s">
        <v>359</v>
      </c>
      <c r="F22" s="4" t="s">
        <v>352</v>
      </c>
      <c r="G22" s="4" t="s">
        <v>353</v>
      </c>
      <c r="H22" s="4" t="s">
        <v>360</v>
      </c>
      <c r="I22" s="4" t="s">
        <v>361</v>
      </c>
      <c r="J22" s="4" t="s">
        <v>362</v>
      </c>
      <c r="K22" s="4" t="s">
        <v>363</v>
      </c>
    </row>
    <row r="23" spans="2:11" x14ac:dyDescent="0.25">
      <c r="B23" s="3" t="s">
        <v>386</v>
      </c>
      <c r="C23" s="11">
        <v>0.1032327567354157</v>
      </c>
      <c r="D23" s="11">
        <v>0.12943651126550321</v>
      </c>
      <c r="E23" s="11">
        <v>4.0609346107888793E-2</v>
      </c>
      <c r="F23" s="14">
        <v>31.36549159195804</v>
      </c>
      <c r="G23" s="14">
        <v>44.802798912741878</v>
      </c>
      <c r="H23" s="10">
        <v>-0.46475270320890721</v>
      </c>
      <c r="I23" s="10">
        <v>-0.23544711753000211</v>
      </c>
      <c r="J23" s="10">
        <v>0.14042585925258161</v>
      </c>
      <c r="K23" s="5" t="s">
        <v>387</v>
      </c>
    </row>
    <row r="24" spans="2:11" x14ac:dyDescent="0.25">
      <c r="B24" s="3" t="s">
        <v>388</v>
      </c>
      <c r="C24" s="11">
        <v>0.1032327567354157</v>
      </c>
      <c r="D24" s="11">
        <v>0.12943651126550321</v>
      </c>
      <c r="E24" s="11">
        <v>4.313034705787587E-2</v>
      </c>
      <c r="F24" s="14">
        <v>34.303464291416667</v>
      </c>
      <c r="G24" s="14">
        <v>46.011426568275191</v>
      </c>
      <c r="H24" s="10">
        <v>-0.41461665031712158</v>
      </c>
      <c r="I24" s="10">
        <v>-0.21482207221373401</v>
      </c>
      <c r="J24" s="10">
        <v>0.1480905919209563</v>
      </c>
      <c r="K24" s="5" t="s">
        <v>389</v>
      </c>
    </row>
    <row r="26" spans="2:11" x14ac:dyDescent="0.25">
      <c r="B26" s="6" t="s">
        <v>390</v>
      </c>
      <c r="C26" s="7"/>
      <c r="D26" s="7"/>
      <c r="E26" s="7"/>
      <c r="F26" s="7"/>
      <c r="G26" s="7"/>
      <c r="H26" s="7"/>
      <c r="I26" s="7"/>
      <c r="J26" s="7"/>
      <c r="K26" s="7"/>
    </row>
    <row r="27" spans="2:11" x14ac:dyDescent="0.25">
      <c r="B27" s="4" t="s">
        <v>357</v>
      </c>
      <c r="C27" s="4" t="s">
        <v>55</v>
      </c>
      <c r="D27" s="4" t="s">
        <v>358</v>
      </c>
      <c r="E27" s="4" t="s">
        <v>359</v>
      </c>
      <c r="F27" s="4" t="s">
        <v>352</v>
      </c>
      <c r="G27" s="4" t="s">
        <v>353</v>
      </c>
      <c r="H27" s="4" t="s">
        <v>360</v>
      </c>
      <c r="I27" s="4" t="s">
        <v>361</v>
      </c>
      <c r="J27" s="4" t="s">
        <v>362</v>
      </c>
      <c r="K27" s="4" t="s">
        <v>363</v>
      </c>
    </row>
    <row r="28" spans="2:11" x14ac:dyDescent="0.25">
      <c r="B28" s="3" t="s">
        <v>391</v>
      </c>
      <c r="C28" s="11">
        <v>0.1032327567354157</v>
      </c>
      <c r="D28" s="11">
        <v>0.12943651126550321</v>
      </c>
      <c r="E28" s="11">
        <v>4.2500000000000003E-2</v>
      </c>
      <c r="F28" s="14">
        <v>39.931555104727693</v>
      </c>
      <c r="G28" s="14">
        <v>46.728856225378173</v>
      </c>
      <c r="H28" s="10">
        <v>-0.31857414497051728</v>
      </c>
      <c r="I28" s="10">
        <v>-0.20257924530071389</v>
      </c>
      <c r="J28" s="10">
        <v>0.2018398979346169</v>
      </c>
      <c r="K28" s="5" t="s">
        <v>392</v>
      </c>
    </row>
    <row r="29" spans="2:11" x14ac:dyDescent="0.25">
      <c r="B29" s="3" t="s">
        <v>393</v>
      </c>
      <c r="C29" s="11">
        <v>0.1032327567354157</v>
      </c>
      <c r="D29" s="11">
        <v>0.12943651126550321</v>
      </c>
      <c r="E29" s="11">
        <v>4.2500000000000003E-2</v>
      </c>
      <c r="F29" s="14">
        <v>47.053101791734747</v>
      </c>
      <c r="G29" s="14">
        <v>48.48421252266148</v>
      </c>
      <c r="H29" s="10">
        <v>-0.1970460445096458</v>
      </c>
      <c r="I29" s="10">
        <v>-0.1726243596815448</v>
      </c>
      <c r="J29" s="10">
        <v>0.32592978914240928</v>
      </c>
      <c r="K29" s="5" t="s">
        <v>394</v>
      </c>
    </row>
    <row r="30" spans="2:11" x14ac:dyDescent="0.25">
      <c r="B30" s="3" t="s">
        <v>395</v>
      </c>
      <c r="C30" s="11">
        <v>0.1032327567354157</v>
      </c>
      <c r="D30" s="11">
        <v>0.12943651126550321</v>
      </c>
      <c r="E30" s="11">
        <v>4.2500000000000003E-2</v>
      </c>
      <c r="F30" s="14">
        <v>54.174648478741801</v>
      </c>
      <c r="G30" s="14">
        <v>50.239568819944793</v>
      </c>
      <c r="H30" s="10">
        <v>-7.5517944048774766E-2</v>
      </c>
      <c r="I30" s="10">
        <v>-0.14266947406237551</v>
      </c>
      <c r="J30" s="10">
        <v>0.84611742357134001</v>
      </c>
      <c r="K30" s="5" t="s">
        <v>396</v>
      </c>
    </row>
    <row r="31" spans="2:11" x14ac:dyDescent="0.25">
      <c r="B31" s="3" t="s">
        <v>397</v>
      </c>
      <c r="C31" s="11">
        <v>0.1032327567354157</v>
      </c>
      <c r="D31" s="11">
        <v>0.12943651126550321</v>
      </c>
      <c r="E31" s="11">
        <v>4.2500000000000003E-2</v>
      </c>
      <c r="F31" s="14">
        <v>64.355929962601536</v>
      </c>
      <c r="G31" s="14">
        <v>52.749104648687357</v>
      </c>
      <c r="H31" s="10">
        <v>9.8224060795248036E-2</v>
      </c>
      <c r="I31" s="10">
        <v>-9.9844630568475146E-2</v>
      </c>
      <c r="J31" s="10" t="s">
        <v>398</v>
      </c>
      <c r="K31" s="5" t="s">
        <v>399</v>
      </c>
    </row>
    <row r="33" spans="2:11" x14ac:dyDescent="0.25">
      <c r="B33" s="6" t="s">
        <v>400</v>
      </c>
      <c r="C33" s="7"/>
      <c r="D33" s="7"/>
      <c r="E33" s="7"/>
      <c r="F33" s="7"/>
      <c r="G33" s="7"/>
      <c r="H33" s="7"/>
      <c r="I33" s="7"/>
      <c r="J33" s="7"/>
      <c r="K33" s="7"/>
    </row>
    <row r="34" spans="2:11" x14ac:dyDescent="0.25">
      <c r="B34" s="4" t="s">
        <v>357</v>
      </c>
      <c r="C34" s="4" t="s">
        <v>55</v>
      </c>
      <c r="D34" s="4" t="s">
        <v>358</v>
      </c>
      <c r="E34" s="4" t="s">
        <v>359</v>
      </c>
      <c r="F34" s="4" t="s">
        <v>352</v>
      </c>
      <c r="G34" s="4" t="s">
        <v>353</v>
      </c>
      <c r="H34" s="4" t="s">
        <v>360</v>
      </c>
      <c r="I34" s="4" t="s">
        <v>361</v>
      </c>
      <c r="J34" s="4" t="s">
        <v>362</v>
      </c>
      <c r="K34" s="4" t="s">
        <v>363</v>
      </c>
    </row>
    <row r="35" spans="2:11" x14ac:dyDescent="0.25">
      <c r="B35" s="3" t="s">
        <v>401</v>
      </c>
      <c r="C35" s="11">
        <v>0.1032327567354157</v>
      </c>
      <c r="D35" s="11">
        <v>0.12943651126550321</v>
      </c>
      <c r="E35" s="11">
        <v>4.2500000000000003E-2</v>
      </c>
      <c r="F35" s="14">
        <v>33.551593182470377</v>
      </c>
      <c r="G35" s="14">
        <v>41.394318205900149</v>
      </c>
      <c r="H35" s="10">
        <v>-0.42744721531620511</v>
      </c>
      <c r="I35" s="10">
        <v>-0.29361231730545823</v>
      </c>
      <c r="J35" s="10">
        <v>0.14618390760857669</v>
      </c>
      <c r="K35" s="5" t="s">
        <v>402</v>
      </c>
    </row>
    <row r="36" spans="2:11" x14ac:dyDescent="0.25">
      <c r="B36" s="3" t="s">
        <v>403</v>
      </c>
      <c r="C36" s="11">
        <v>0.1032327567354157</v>
      </c>
      <c r="D36" s="11">
        <v>0.12943651126550321</v>
      </c>
      <c r="E36" s="11">
        <v>4.2500000000000003E-2</v>
      </c>
      <c r="F36" s="14">
        <v>33.551593182470377</v>
      </c>
      <c r="G36" s="14">
        <v>66.383025957360147</v>
      </c>
      <c r="H36" s="10">
        <v>-0.42744721531620511</v>
      </c>
      <c r="I36" s="10">
        <v>0.13281614261706731</v>
      </c>
      <c r="J36" s="10">
        <v>0.14618390760857669</v>
      </c>
      <c r="K36" s="5" t="s">
        <v>402</v>
      </c>
    </row>
    <row r="37" spans="2:11" x14ac:dyDescent="0.25">
      <c r="B37" s="3" t="s">
        <v>404</v>
      </c>
      <c r="C37" s="11">
        <v>0.1032327567354157</v>
      </c>
      <c r="D37" s="11">
        <v>0.12943651126550321</v>
      </c>
      <c r="E37" s="11">
        <v>4.2500000000000003E-2</v>
      </c>
      <c r="F37" s="14">
        <v>33.551593182470377</v>
      </c>
      <c r="G37" s="14">
        <v>55.93701032034113</v>
      </c>
      <c r="H37" s="10">
        <v>-0.42744721531620511</v>
      </c>
      <c r="I37" s="10">
        <v>-4.544350989178958E-2</v>
      </c>
      <c r="J37" s="10">
        <v>0.14618390760857669</v>
      </c>
      <c r="K37" s="5" t="s">
        <v>405</v>
      </c>
    </row>
    <row r="39" spans="2:11" x14ac:dyDescent="0.25">
      <c r="B39" s="5" t="s">
        <v>406</v>
      </c>
    </row>
    <row r="40" spans="2:11" x14ac:dyDescent="0.25">
      <c r="B40" s="5" t="s">
        <v>407</v>
      </c>
    </row>
    <row r="41" spans="2:11" x14ac:dyDescent="0.25">
      <c r="B41" s="5" t="s">
        <v>408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65"/>
  <sheetViews>
    <sheetView showGridLines="0" workbookViewId="0"/>
  </sheetViews>
  <sheetFormatPr defaultRowHeight="15" x14ac:dyDescent="0.25"/>
  <cols>
    <col min="2" max="2" width="72" customWidth="1"/>
    <col min="4" max="4" width="14" customWidth="1"/>
    <col min="5" max="5" width="90" customWidth="1"/>
  </cols>
  <sheetData>
    <row r="2" spans="2:5" ht="18.75" x14ac:dyDescent="0.3">
      <c r="B2" s="1" t="s">
        <v>409</v>
      </c>
    </row>
    <row r="3" spans="2:5" x14ac:dyDescent="0.25">
      <c r="B3" s="2" t="s">
        <v>410</v>
      </c>
    </row>
    <row r="5" spans="2:5" x14ac:dyDescent="0.25">
      <c r="B5" s="6" t="s">
        <v>411</v>
      </c>
      <c r="C5" s="7"/>
      <c r="D5" s="7"/>
      <c r="E5" s="7"/>
    </row>
    <row r="6" spans="2:5" x14ac:dyDescent="0.25">
      <c r="B6" s="3" t="s">
        <v>412</v>
      </c>
      <c r="D6" s="24">
        <v>18858.3</v>
      </c>
      <c r="E6" s="5" t="s">
        <v>413</v>
      </c>
    </row>
    <row r="7" spans="2:5" x14ac:dyDescent="0.25">
      <c r="B7" s="3" t="s">
        <v>414</v>
      </c>
      <c r="D7" s="24">
        <v>501.6</v>
      </c>
      <c r="E7" s="5" t="s">
        <v>415</v>
      </c>
    </row>
    <row r="8" spans="2:5" x14ac:dyDescent="0.25">
      <c r="B8" s="3" t="s">
        <v>416</v>
      </c>
      <c r="D8" s="37">
        <f>DCF!I62</f>
        <v>0.34</v>
      </c>
    </row>
    <row r="9" spans="2:5" x14ac:dyDescent="0.25">
      <c r="B9" s="3" t="s">
        <v>417</v>
      </c>
      <c r="D9" s="24">
        <v>12125.1</v>
      </c>
      <c r="E9" s="5" t="s">
        <v>418</v>
      </c>
    </row>
    <row r="10" spans="2:5" x14ac:dyDescent="0.25">
      <c r="B10" s="3" t="s">
        <v>419</v>
      </c>
      <c r="D10" s="24">
        <v>6942</v>
      </c>
      <c r="E10" s="5" t="s">
        <v>420</v>
      </c>
    </row>
    <row r="11" spans="2:5" x14ac:dyDescent="0.25">
      <c r="B11" s="3" t="s">
        <v>421</v>
      </c>
      <c r="D11" s="24">
        <v>2906.39</v>
      </c>
      <c r="E11" s="5" t="s">
        <v>422</v>
      </c>
    </row>
    <row r="12" spans="2:5" x14ac:dyDescent="0.25">
      <c r="B12" s="3" t="s">
        <v>423</v>
      </c>
      <c r="D12" s="24">
        <v>-2009</v>
      </c>
      <c r="E12" s="5" t="s">
        <v>424</v>
      </c>
    </row>
    <row r="13" spans="2:5" x14ac:dyDescent="0.25">
      <c r="B13" s="4" t="s">
        <v>425</v>
      </c>
      <c r="D13" s="26">
        <f>($D$6-$D$7)*(1-$D$8)+$D$9-$D$10-$D$11+$D$12</f>
        <v>12383.131999999998</v>
      </c>
    </row>
    <row r="14" spans="2:5" x14ac:dyDescent="0.25">
      <c r="B14" s="3" t="s">
        <v>426</v>
      </c>
      <c r="D14" s="35">
        <f>DCF!I179</f>
        <v>24444.291888675922</v>
      </c>
    </row>
    <row r="15" spans="2:5" x14ac:dyDescent="0.25">
      <c r="B15" s="3" t="s">
        <v>427</v>
      </c>
      <c r="D15" s="20">
        <v>1</v>
      </c>
      <c r="E15" s="5" t="s">
        <v>428</v>
      </c>
    </row>
    <row r="16" spans="2:5" x14ac:dyDescent="0.25">
      <c r="B16" s="3" t="s">
        <v>429</v>
      </c>
      <c r="D16" s="13">
        <f>$D$14-$D$15*$D$7*(1-$D$8)</f>
        <v>24113.235888675921</v>
      </c>
    </row>
    <row r="17" spans="2:5" x14ac:dyDescent="0.25">
      <c r="B17" s="4" t="s">
        <v>430</v>
      </c>
      <c r="D17" s="26">
        <f>$D$16-$D$13</f>
        <v>11730.103888675923</v>
      </c>
      <c r="E17" s="5" t="s">
        <v>431</v>
      </c>
    </row>
    <row r="19" spans="2:5" x14ac:dyDescent="0.25">
      <c r="B19" s="6" t="s">
        <v>432</v>
      </c>
      <c r="C19" s="7"/>
      <c r="D19" s="7"/>
      <c r="E19" s="7"/>
    </row>
    <row r="20" spans="2:5" x14ac:dyDescent="0.25">
      <c r="B20" s="3" t="s">
        <v>433</v>
      </c>
      <c r="D20" s="18">
        <f>0.5*(1-DCF!$D$37)</f>
        <v>0.25</v>
      </c>
    </row>
    <row r="21" spans="2:5" x14ac:dyDescent="0.25">
      <c r="B21" s="3" t="s">
        <v>434</v>
      </c>
      <c r="D21" s="13">
        <f>$D$17/(1+DCF!$D$34)^$D$20</f>
        <v>11445.507951864047</v>
      </c>
    </row>
    <row r="22" spans="2:5" x14ac:dyDescent="0.25">
      <c r="B22" s="3" t="s">
        <v>435</v>
      </c>
      <c r="D22" s="13">
        <f>DCF!J179/(1+DCF!$D$34)^(1+0.5-DCF!$D$37)</f>
        <v>19817.649885807168</v>
      </c>
    </row>
    <row r="23" spans="2:5" x14ac:dyDescent="0.25">
      <c r="B23" s="3" t="s">
        <v>436</v>
      </c>
      <c r="D23" s="13">
        <f>DCF!K179/(1+DCF!$D$34)^(2+0.5-DCF!$D$37)</f>
        <v>18749.662023257326</v>
      </c>
    </row>
    <row r="24" spans="2:5" x14ac:dyDescent="0.25">
      <c r="B24" s="3" t="s">
        <v>437</v>
      </c>
      <c r="D24" s="13">
        <f>DCF!L179/(1+DCF!$D$34)^(3+0.5-DCF!$D$37)</f>
        <v>17471.315134866192</v>
      </c>
    </row>
    <row r="25" spans="2:5" x14ac:dyDescent="0.25">
      <c r="B25" s="3" t="s">
        <v>438</v>
      </c>
      <c r="D25" s="13">
        <f>DCF!M179/(1+DCF!$D$34)^(4+0.5-DCF!$D$37)</f>
        <v>16715.450942241136</v>
      </c>
    </row>
    <row r="26" spans="2:5" x14ac:dyDescent="0.25">
      <c r="B26" s="3" t="s">
        <v>439</v>
      </c>
      <c r="D26" s="13">
        <f>DCF!N179/(1+DCF!$D$34)^(5+0.5-DCF!$D$37)</f>
        <v>15504.079338754938</v>
      </c>
    </row>
    <row r="27" spans="2:5" x14ac:dyDescent="0.25">
      <c r="B27" s="3" t="s">
        <v>440</v>
      </c>
      <c r="D27" s="13">
        <f>DCF!O179/(1+DCF!$D$34)^(6+0.5-DCF!$D$37)</f>
        <v>14366.239954691713</v>
      </c>
    </row>
    <row r="28" spans="2:5" x14ac:dyDescent="0.25">
      <c r="B28" s="3" t="s">
        <v>441</v>
      </c>
      <c r="D28" s="13">
        <f>DCF!P179/(1+DCF!$D$34)^(7+0.5-DCF!$D$37)</f>
        <v>13301.689032688217</v>
      </c>
    </row>
    <row r="29" spans="2:5" x14ac:dyDescent="0.25">
      <c r="B29" s="3" t="s">
        <v>442</v>
      </c>
      <c r="D29" s="13">
        <f>DCF!Q179/(1+DCF!$D$34)^(8+0.5-DCF!$D$37)</f>
        <v>12305.610130769843</v>
      </c>
    </row>
    <row r="30" spans="2:5" x14ac:dyDescent="0.25">
      <c r="B30" s="3" t="s">
        <v>443</v>
      </c>
      <c r="D30" s="13">
        <f>DCF!R179/(1+DCF!$D$34)^(9+0.5-DCF!$D$37)</f>
        <v>11373.734552405349</v>
      </c>
    </row>
    <row r="31" spans="2:5" x14ac:dyDescent="0.25">
      <c r="B31" s="3" t="s">
        <v>444</v>
      </c>
      <c r="D31" s="13">
        <f>DCF!$D$185/(1+DCF!$D$34)^(9+0.5-DCF!$D$37)</f>
        <v>195205.46043934982</v>
      </c>
    </row>
    <row r="32" spans="2:5" x14ac:dyDescent="0.25">
      <c r="B32" s="3" t="s">
        <v>445</v>
      </c>
      <c r="D32" s="13">
        <f>DCF!$D$116/(1+DCF!$D$34)^(9+0.5)</f>
        <v>224677.95710106235</v>
      </c>
    </row>
    <row r="33" spans="2:5" x14ac:dyDescent="0.25">
      <c r="B33" s="4" t="s">
        <v>446</v>
      </c>
      <c r="D33" s="26">
        <f>$D$21+$D$22+$D$23+$D$24+$D$25+$D$26+$D$27+$D$28+$D$29+$D$30+$D$31</f>
        <v>346256.3993866957</v>
      </c>
    </row>
    <row r="34" spans="2:5" x14ac:dyDescent="0.25">
      <c r="B34" s="4" t="s">
        <v>447</v>
      </c>
      <c r="D34" s="26">
        <f>$D$21+$D$22+$D$23+$D$24+$D$25+$D$26+$D$27+$D$28+$D$29+$D$30+$D$32</f>
        <v>375728.89604840823</v>
      </c>
    </row>
    <row r="36" spans="2:5" x14ac:dyDescent="0.25">
      <c r="B36" s="6" t="s">
        <v>448</v>
      </c>
      <c r="C36" s="7"/>
      <c r="D36" s="7"/>
      <c r="E36" s="7"/>
    </row>
    <row r="37" spans="2:5" x14ac:dyDescent="0.25">
      <c r="B37" s="3" t="s">
        <v>449</v>
      </c>
      <c r="D37" s="24">
        <v>153660</v>
      </c>
      <c r="E37" s="5" t="s">
        <v>450</v>
      </c>
    </row>
    <row r="38" spans="2:5" x14ac:dyDescent="0.25">
      <c r="B38" s="3" t="s">
        <v>451</v>
      </c>
      <c r="D38" s="24">
        <v>33361</v>
      </c>
      <c r="E38" s="5" t="s">
        <v>452</v>
      </c>
    </row>
    <row r="39" spans="2:5" x14ac:dyDescent="0.25">
      <c r="B39" s="3" t="s">
        <v>453</v>
      </c>
      <c r="D39" s="24">
        <v>16563</v>
      </c>
      <c r="E39" s="5" t="s">
        <v>454</v>
      </c>
    </row>
    <row r="40" spans="2:5" x14ac:dyDescent="0.25">
      <c r="B40" s="3" t="s">
        <v>455</v>
      </c>
      <c r="D40" s="24">
        <v>721.7</v>
      </c>
      <c r="E40" s="5" t="s">
        <v>456</v>
      </c>
    </row>
    <row r="41" spans="2:5" x14ac:dyDescent="0.25">
      <c r="B41" s="3" t="s">
        <v>457</v>
      </c>
      <c r="D41" s="13">
        <f>DCF!$D$132-$D$40</f>
        <v>17521.096100885719</v>
      </c>
    </row>
    <row r="42" spans="2:5" x14ac:dyDescent="0.25">
      <c r="B42" s="3" t="s">
        <v>458</v>
      </c>
      <c r="D42" s="24">
        <v>18135</v>
      </c>
      <c r="E42" s="5" t="s">
        <v>459</v>
      </c>
    </row>
    <row r="43" spans="2:5" x14ac:dyDescent="0.25">
      <c r="B43" s="3" t="s">
        <v>460</v>
      </c>
      <c r="D43" s="24">
        <v>4538.05</v>
      </c>
      <c r="E43" s="5" t="s">
        <v>461</v>
      </c>
    </row>
    <row r="44" spans="2:5" x14ac:dyDescent="0.25">
      <c r="B44" s="3" t="s">
        <v>462</v>
      </c>
      <c r="D44" s="24">
        <v>6497.5</v>
      </c>
      <c r="E44" s="5" t="s">
        <v>463</v>
      </c>
    </row>
    <row r="45" spans="2:5" x14ac:dyDescent="0.25">
      <c r="B45" s="3" t="s">
        <v>464</v>
      </c>
      <c r="D45" s="13">
        <f>$D$33-($D$37+$D$38-$D$39)-$D$43-$D$40-$D$41+$D$44-$D$42</f>
        <v>141380.05328580999</v>
      </c>
    </row>
    <row r="46" spans="2:5" x14ac:dyDescent="0.25">
      <c r="B46" s="3" t="s">
        <v>465</v>
      </c>
      <c r="D46" s="13">
        <f>$D$34-($D$37+$D$38-$D$39)-$D$43-$D$40-$D$41+$D$44</f>
        <v>188987.54994752252</v>
      </c>
    </row>
    <row r="47" spans="2:5" x14ac:dyDescent="0.25">
      <c r="B47" s="3" t="s">
        <v>466</v>
      </c>
      <c r="D47" s="20">
        <v>108</v>
      </c>
      <c r="E47" s="5" t="s">
        <v>467</v>
      </c>
    </row>
    <row r="48" spans="2:5" x14ac:dyDescent="0.25">
      <c r="B48" s="3" t="s">
        <v>468</v>
      </c>
      <c r="D48" s="18">
        <f>(1+DCF!$D$30)^($D$47/365)</f>
        <v>1.0366718518463174</v>
      </c>
    </row>
    <row r="49" spans="2:5" x14ac:dyDescent="0.25">
      <c r="B49" s="3" t="s">
        <v>469</v>
      </c>
      <c r="D49" s="24">
        <v>76</v>
      </c>
      <c r="E49" s="5" t="s">
        <v>470</v>
      </c>
    </row>
    <row r="50" spans="2:5" x14ac:dyDescent="0.25">
      <c r="B50" s="3" t="s">
        <v>471</v>
      </c>
      <c r="D50" s="32">
        <v>4294.9437150000003</v>
      </c>
      <c r="E50" s="5" t="s">
        <v>472</v>
      </c>
    </row>
    <row r="51" spans="2:5" x14ac:dyDescent="0.25">
      <c r="B51" s="4" t="s">
        <v>473</v>
      </c>
      <c r="D51" s="34">
        <f>($D$45*$D$48-$D$49)/$D$50</f>
        <v>34.107250612463879</v>
      </c>
    </row>
    <row r="52" spans="2:5" x14ac:dyDescent="0.25">
      <c r="B52" s="4" t="s">
        <v>474</v>
      </c>
      <c r="D52" s="34">
        <f>($D$46*$D$48-$D$49)/$D$50</f>
        <v>45.59828635146539</v>
      </c>
    </row>
    <row r="54" spans="2:5" x14ac:dyDescent="0.25">
      <c r="B54" s="6" t="s">
        <v>475</v>
      </c>
      <c r="C54" s="7"/>
      <c r="D54" s="7"/>
      <c r="E54" s="7"/>
    </row>
    <row r="55" spans="2:5" x14ac:dyDescent="0.25">
      <c r="B55" s="3" t="s">
        <v>476</v>
      </c>
      <c r="D55" s="14">
        <f>DCF!$D$192</f>
        <v>33.551593182470391</v>
      </c>
    </row>
    <row r="56" spans="2:5" x14ac:dyDescent="0.25">
      <c r="B56" s="3" t="s">
        <v>477</v>
      </c>
      <c r="D56" s="14">
        <f>$D$51</f>
        <v>34.107250612463879</v>
      </c>
    </row>
    <row r="57" spans="2:5" x14ac:dyDescent="0.25">
      <c r="B57" s="3" t="s">
        <v>478</v>
      </c>
      <c r="D57" s="14">
        <f>$D$51-DCF!$D$192</f>
        <v>0.55565742999348799</v>
      </c>
    </row>
    <row r="58" spans="2:5" x14ac:dyDescent="0.25">
      <c r="B58" s="3" t="s">
        <v>479</v>
      </c>
      <c r="D58" s="10">
        <f>$D$51/DCF!$D$192-1</f>
        <v>1.6561283005893213E-2</v>
      </c>
    </row>
    <row r="59" spans="2:5" x14ac:dyDescent="0.25">
      <c r="B59" s="3" t="s">
        <v>480</v>
      </c>
      <c r="D59" s="14">
        <f>DCF!$D$194</f>
        <v>45.715084692844592</v>
      </c>
    </row>
    <row r="60" spans="2:5" x14ac:dyDescent="0.25">
      <c r="B60" s="3" t="s">
        <v>481</v>
      </c>
      <c r="D60" s="14">
        <f>$D$52</f>
        <v>45.59828635146539</v>
      </c>
    </row>
    <row r="61" spans="2:5" x14ac:dyDescent="0.25">
      <c r="B61" s="3" t="s">
        <v>482</v>
      </c>
      <c r="D61" s="10">
        <f>$D$52/DCF!$D$194-1</f>
        <v>-2.5549190636735553E-3</v>
      </c>
    </row>
    <row r="62" spans="2:5" x14ac:dyDescent="0.25">
      <c r="B62" s="30" t="s">
        <v>483</v>
      </c>
      <c r="C62" s="31"/>
      <c r="D62" s="31"/>
      <c r="E62" s="31"/>
    </row>
    <row r="63" spans="2:5" x14ac:dyDescent="0.25">
      <c r="B63" s="5" t="s">
        <v>484</v>
      </c>
    </row>
    <row r="64" spans="2:5" x14ac:dyDescent="0.25">
      <c r="B64" s="5" t="s">
        <v>485</v>
      </c>
    </row>
    <row r="65" spans="2:2" x14ac:dyDescent="0.25">
      <c r="B65" s="5" t="s">
        <v>486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71"/>
  <sheetViews>
    <sheetView showGridLines="0" workbookViewId="0"/>
  </sheetViews>
  <sheetFormatPr defaultRowHeight="15" x14ac:dyDescent="0.25"/>
  <cols>
    <col min="2" max="2" width="52" customWidth="1"/>
    <col min="3" max="6" width="16" customWidth="1"/>
    <col min="7" max="7" width="10" customWidth="1"/>
  </cols>
  <sheetData>
    <row r="2" spans="2:11" ht="18.75" x14ac:dyDescent="0.3">
      <c r="B2" s="1" t="s">
        <v>487</v>
      </c>
    </row>
    <row r="3" spans="2:11" x14ac:dyDescent="0.25">
      <c r="B3" s="2" t="s">
        <v>488</v>
      </c>
    </row>
    <row r="5" spans="2:11" x14ac:dyDescent="0.25">
      <c r="B5" s="6" t="s">
        <v>489</v>
      </c>
      <c r="C5" s="6"/>
      <c r="D5" s="6" t="s">
        <v>490</v>
      </c>
      <c r="E5" s="6" t="s">
        <v>491</v>
      </c>
      <c r="F5" s="6" t="s">
        <v>492</v>
      </c>
      <c r="G5" s="6" t="s">
        <v>493</v>
      </c>
      <c r="H5" s="6" t="s">
        <v>494</v>
      </c>
      <c r="I5" s="6" t="s">
        <v>495</v>
      </c>
      <c r="J5" s="6" t="s">
        <v>496</v>
      </c>
      <c r="K5" s="6" t="s">
        <v>497</v>
      </c>
    </row>
    <row r="6" spans="2:11" x14ac:dyDescent="0.25">
      <c r="B6" s="3" t="s">
        <v>55</v>
      </c>
      <c r="D6" s="15">
        <v>0.10323300000000001</v>
      </c>
      <c r="E6" s="36">
        <f>DCF!$D$34</f>
        <v>0.10323275673541572</v>
      </c>
      <c r="F6" s="11">
        <f t="shared" ref="F6:F35" si="0">IFERROR(E6-D6,"n.a.")</f>
        <v>-2.4326458428203246E-7</v>
      </c>
      <c r="G6" s="38">
        <f t="shared" ref="G6:G35" si="1">IFERROR(IF(D6=0,E6-D6,E6/D6-1),"n.a.")</f>
        <v>-2.3564614443083443E-6</v>
      </c>
      <c r="H6" s="39" t="str">
        <f t="shared" ref="H6:H35" si="2">IFERROR(IF(OR(ABS(G6)&lt;0.000001,ABS(F6)&lt;=0.0000005),"OK","CHECK"),"CHECK")</f>
        <v>OK</v>
      </c>
      <c r="I6" s="15">
        <v>0.1032327567354157</v>
      </c>
      <c r="J6" s="38">
        <f t="shared" ref="J6:J37" si="3">IFERROR(IF(I6=0,E6-I6,E6/I6-1),"n.a.")</f>
        <v>2.2204460492503131E-16</v>
      </c>
      <c r="K6" s="39" t="str">
        <f t="shared" ref="K6:K37" si="4">IFERROR(IF(ABS(J6)&lt;0.000001,"OK","CHECK"),"CHECK")</f>
        <v>OK</v>
      </c>
    </row>
    <row r="7" spans="2:11" x14ac:dyDescent="0.25">
      <c r="B7" s="3" t="s">
        <v>498</v>
      </c>
      <c r="D7" s="24">
        <v>365246.62087400001</v>
      </c>
      <c r="E7" s="35">
        <f>DCF!$D$115</f>
        <v>365246.62087360723</v>
      </c>
      <c r="F7" s="13">
        <f t="shared" si="0"/>
        <v>-3.9278529584407806E-7</v>
      </c>
      <c r="G7" s="38">
        <f t="shared" si="1"/>
        <v>-1.0753620216519266E-12</v>
      </c>
      <c r="H7" s="39" t="str">
        <f t="shared" si="2"/>
        <v>OK</v>
      </c>
      <c r="I7" s="24">
        <v>365246.62087360711</v>
      </c>
      <c r="J7" s="38">
        <f t="shared" si="3"/>
        <v>2.2204460492503131E-16</v>
      </c>
      <c r="K7" s="39" t="str">
        <f t="shared" si="4"/>
        <v>OK</v>
      </c>
    </row>
    <row r="8" spans="2:11" x14ac:dyDescent="0.25">
      <c r="B8" s="3" t="s">
        <v>499</v>
      </c>
      <c r="D8" s="24">
        <v>379350.40206200001</v>
      </c>
      <c r="E8" s="35">
        <f>DCF!$D$118</f>
        <v>379350.40206247638</v>
      </c>
      <c r="F8" s="13">
        <f t="shared" si="0"/>
        <v>4.7637149691581726E-7</v>
      </c>
      <c r="G8" s="38">
        <f t="shared" si="1"/>
        <v>1.255662240851052E-12</v>
      </c>
      <c r="H8" s="39" t="str">
        <f t="shared" si="2"/>
        <v>OK</v>
      </c>
      <c r="I8" s="24">
        <v>379350.40206247638</v>
      </c>
      <c r="J8" s="38">
        <f t="shared" si="3"/>
        <v>0</v>
      </c>
      <c r="K8" s="39" t="str">
        <f t="shared" si="4"/>
        <v>OK</v>
      </c>
    </row>
    <row r="9" spans="2:11" x14ac:dyDescent="0.25">
      <c r="B9" s="3" t="s">
        <v>500</v>
      </c>
      <c r="D9" s="33">
        <v>39.481482999999997</v>
      </c>
      <c r="E9" s="40">
        <f>DCF!$D$152</f>
        <v>39.481482772914909</v>
      </c>
      <c r="F9" s="14">
        <f t="shared" si="0"/>
        <v>-2.2708508851110309E-7</v>
      </c>
      <c r="G9" s="38">
        <f t="shared" si="1"/>
        <v>-5.7516859053308167E-9</v>
      </c>
      <c r="H9" s="39" t="str">
        <f t="shared" si="2"/>
        <v>OK</v>
      </c>
      <c r="I9" s="33">
        <v>39.481482772885677</v>
      </c>
      <c r="J9" s="38">
        <f t="shared" si="3"/>
        <v>7.4029671282005438E-13</v>
      </c>
      <c r="K9" s="39" t="str">
        <f t="shared" si="4"/>
        <v>OK</v>
      </c>
    </row>
    <row r="10" spans="2:11" x14ac:dyDescent="0.25">
      <c r="B10" s="3" t="s">
        <v>501</v>
      </c>
      <c r="D10" s="33">
        <v>43.084454000000001</v>
      </c>
      <c r="E10" s="40">
        <f>DCF!$D$159</f>
        <v>43.084453886970117</v>
      </c>
      <c r="F10" s="14">
        <f t="shared" si="0"/>
        <v>-1.1302988411898696E-7</v>
      </c>
      <c r="G10" s="38">
        <f t="shared" si="1"/>
        <v>-2.623449346650375E-9</v>
      </c>
      <c r="H10" s="39" t="str">
        <f t="shared" si="2"/>
        <v>OK</v>
      </c>
      <c r="I10" s="33">
        <v>43.084453886940928</v>
      </c>
      <c r="J10" s="38">
        <f t="shared" si="3"/>
        <v>6.7745808962627052E-13</v>
      </c>
      <c r="K10" s="39" t="str">
        <f t="shared" si="4"/>
        <v>OK</v>
      </c>
    </row>
    <row r="11" spans="2:11" x14ac:dyDescent="0.25">
      <c r="B11" s="3" t="s">
        <v>502</v>
      </c>
      <c r="D11" s="33">
        <v>43.410488999999998</v>
      </c>
      <c r="E11" s="40">
        <f>DCF!$D$154</f>
        <v>43.410489162630078</v>
      </c>
      <c r="F11" s="14">
        <f t="shared" si="0"/>
        <v>1.6263008006944801E-7</v>
      </c>
      <c r="G11" s="38">
        <f t="shared" si="1"/>
        <v>3.746331467269215E-9</v>
      </c>
      <c r="H11" s="39" t="str">
        <f t="shared" si="2"/>
        <v>OK</v>
      </c>
      <c r="I11" s="33">
        <v>43.410489162597059</v>
      </c>
      <c r="J11" s="38">
        <f t="shared" si="3"/>
        <v>7.6072481647315726E-13</v>
      </c>
      <c r="K11" s="39" t="str">
        <f t="shared" si="4"/>
        <v>OK</v>
      </c>
    </row>
    <row r="12" spans="2:11" x14ac:dyDescent="0.25">
      <c r="B12" s="3" t="s">
        <v>503</v>
      </c>
      <c r="D12" s="21">
        <v>5.6043969999999996</v>
      </c>
      <c r="E12" s="41">
        <f>DCF!$D$167</f>
        <v>5.6043966872547548</v>
      </c>
      <c r="F12" s="12">
        <f t="shared" si="0"/>
        <v>-3.1274524481261778E-7</v>
      </c>
      <c r="G12" s="38">
        <f t="shared" si="1"/>
        <v>-5.5803549448008027E-8</v>
      </c>
      <c r="H12" s="39" t="str">
        <f t="shared" si="2"/>
        <v>OK</v>
      </c>
      <c r="I12" s="21">
        <v>5.6043966872547522</v>
      </c>
      <c r="J12" s="38">
        <f t="shared" si="3"/>
        <v>4.4408920985006262E-16</v>
      </c>
      <c r="K12" s="39" t="str">
        <f t="shared" si="4"/>
        <v>OK</v>
      </c>
    </row>
    <row r="13" spans="2:11" x14ac:dyDescent="0.25">
      <c r="B13" s="3" t="s">
        <v>504</v>
      </c>
      <c r="D13" s="15">
        <v>4.6297999999999999E-2</v>
      </c>
      <c r="E13" s="36">
        <f>DCF!$D$168</f>
        <v>4.6297692380702138E-2</v>
      </c>
      <c r="F13" s="11">
        <f t="shared" si="0"/>
        <v>-3.0761929786099484E-7</v>
      </c>
      <c r="G13" s="38">
        <f t="shared" si="1"/>
        <v>-6.6443323223364104E-6</v>
      </c>
      <c r="H13" s="39" t="str">
        <f t="shared" si="2"/>
        <v>OK</v>
      </c>
      <c r="I13" s="15">
        <v>4.6297692380702159E-2</v>
      </c>
      <c r="J13" s="38">
        <f t="shared" si="3"/>
        <v>-4.4408920985006262E-16</v>
      </c>
      <c r="K13" s="39" t="str">
        <f t="shared" si="4"/>
        <v>OK</v>
      </c>
    </row>
    <row r="14" spans="2:11" x14ac:dyDescent="0.25">
      <c r="B14" s="3" t="s">
        <v>505</v>
      </c>
      <c r="D14" s="15">
        <v>5.8376999999999998E-2</v>
      </c>
      <c r="E14" s="36">
        <f>Reverse_DCF!$D$16</f>
        <v>5.8376544682362974E-2</v>
      </c>
      <c r="F14" s="11">
        <f t="shared" si="0"/>
        <v>-4.5531763702422179E-7</v>
      </c>
      <c r="G14" s="38">
        <f t="shared" si="1"/>
        <v>-7.7996066434327105E-6</v>
      </c>
      <c r="H14" s="39" t="str">
        <f t="shared" si="2"/>
        <v>OK</v>
      </c>
      <c r="I14" s="15">
        <v>5.8376544682380897E-2</v>
      </c>
      <c r="J14" s="38">
        <f t="shared" si="3"/>
        <v>-3.0697666630885578E-13</v>
      </c>
      <c r="K14" s="39" t="str">
        <f t="shared" si="4"/>
        <v>OK</v>
      </c>
    </row>
    <row r="15" spans="2:11" x14ac:dyDescent="0.25">
      <c r="B15" s="3" t="s">
        <v>506</v>
      </c>
      <c r="D15" s="17">
        <v>0.54703900000000005</v>
      </c>
      <c r="E15" s="37">
        <f>DCF!$D$119</f>
        <v>0.54703901675819011</v>
      </c>
      <c r="F15" s="10">
        <f t="shared" si="0"/>
        <v>1.6758190057863942E-8</v>
      </c>
      <c r="G15" s="38">
        <f t="shared" si="1"/>
        <v>3.0634360825843032E-8</v>
      </c>
      <c r="H15" s="39" t="str">
        <f t="shared" si="2"/>
        <v>OK</v>
      </c>
      <c r="I15" s="17">
        <v>0.54703901675819011</v>
      </c>
      <c r="J15" s="38">
        <f t="shared" si="3"/>
        <v>0</v>
      </c>
      <c r="K15" s="39" t="str">
        <f t="shared" si="4"/>
        <v>OK</v>
      </c>
    </row>
    <row r="16" spans="2:11" x14ac:dyDescent="0.25">
      <c r="B16" s="3" t="s">
        <v>507</v>
      </c>
      <c r="D16" s="24">
        <v>24161.5903</v>
      </c>
      <c r="E16" s="35">
        <f>DCF!I88</f>
        <v>24161.590300394331</v>
      </c>
      <c r="F16" s="13">
        <f t="shared" si="0"/>
        <v>3.9433143683709204E-7</v>
      </c>
      <c r="G16" s="38">
        <f t="shared" si="1"/>
        <v>1.6320500506594726E-11</v>
      </c>
      <c r="H16" s="39" t="str">
        <f t="shared" si="2"/>
        <v>OK</v>
      </c>
      <c r="I16" s="24">
        <v>24161.590300394339</v>
      </c>
      <c r="J16" s="38">
        <f t="shared" si="3"/>
        <v>-3.3306690738754696E-16</v>
      </c>
      <c r="K16" s="39" t="str">
        <f t="shared" si="4"/>
        <v>OK</v>
      </c>
    </row>
    <row r="17" spans="2:11" x14ac:dyDescent="0.25">
      <c r="B17" s="3" t="s">
        <v>508</v>
      </c>
      <c r="D17" s="24">
        <v>23430.489406000001</v>
      </c>
      <c r="E17" s="35">
        <f>DCF!J88</f>
        <v>23430.48940630884</v>
      </c>
      <c r="F17" s="13">
        <f t="shared" si="0"/>
        <v>3.0883893487043679E-7</v>
      </c>
      <c r="G17" s="38">
        <f t="shared" si="1"/>
        <v>1.3181011837559709E-11</v>
      </c>
      <c r="H17" s="39" t="str">
        <f t="shared" si="2"/>
        <v>OK</v>
      </c>
      <c r="I17" s="24">
        <v>23430.489406308821</v>
      </c>
      <c r="J17" s="38">
        <f t="shared" si="3"/>
        <v>6.6613381477509392E-16</v>
      </c>
      <c r="K17" s="39" t="str">
        <f t="shared" si="4"/>
        <v>OK</v>
      </c>
    </row>
    <row r="18" spans="2:11" x14ac:dyDescent="0.25">
      <c r="B18" s="3" t="s">
        <v>509</v>
      </c>
      <c r="D18" s="24">
        <v>24410.114924000001</v>
      </c>
      <c r="E18" s="35">
        <f>DCF!K88</f>
        <v>24410.114924397629</v>
      </c>
      <c r="F18" s="13">
        <f t="shared" si="0"/>
        <v>3.9762744563631713E-7</v>
      </c>
      <c r="G18" s="38">
        <f t="shared" si="1"/>
        <v>1.6289414261905222E-11</v>
      </c>
      <c r="H18" s="39" t="str">
        <f t="shared" si="2"/>
        <v>OK</v>
      </c>
      <c r="I18" s="24">
        <v>24410.11492439764</v>
      </c>
      <c r="J18" s="38">
        <f t="shared" si="3"/>
        <v>-4.4408920985006262E-16</v>
      </c>
      <c r="K18" s="39" t="str">
        <f t="shared" si="4"/>
        <v>OK</v>
      </c>
    </row>
    <row r="19" spans="2:11" x14ac:dyDescent="0.25">
      <c r="B19" s="3" t="s">
        <v>510</v>
      </c>
      <c r="D19" s="24">
        <v>25125.208267999998</v>
      </c>
      <c r="E19" s="35">
        <f>DCF!L88</f>
        <v>25125.208268424431</v>
      </c>
      <c r="F19" s="13">
        <f t="shared" si="0"/>
        <v>4.2443207348696887E-7</v>
      </c>
      <c r="G19" s="38">
        <f t="shared" si="1"/>
        <v>1.6892709453486532E-11</v>
      </c>
      <c r="H19" s="39" t="str">
        <f t="shared" si="2"/>
        <v>OK</v>
      </c>
      <c r="I19" s="24">
        <v>25125.208268424431</v>
      </c>
      <c r="J19" s="38">
        <f t="shared" si="3"/>
        <v>0</v>
      </c>
      <c r="K19" s="39" t="str">
        <f t="shared" si="4"/>
        <v>OK</v>
      </c>
    </row>
    <row r="20" spans="2:11" x14ac:dyDescent="0.25">
      <c r="B20" s="3" t="s">
        <v>511</v>
      </c>
      <c r="D20" s="24">
        <v>26506.948155999999</v>
      </c>
      <c r="E20" s="35">
        <f>DCF!M88</f>
        <v>26506.948156103335</v>
      </c>
      <c r="F20" s="13">
        <f t="shared" si="0"/>
        <v>1.0333678801544011E-7</v>
      </c>
      <c r="G20" s="38">
        <f t="shared" si="1"/>
        <v>3.8984371286687747E-12</v>
      </c>
      <c r="H20" s="39" t="str">
        <f t="shared" si="2"/>
        <v>OK</v>
      </c>
      <c r="I20" s="24">
        <v>26506.948156103339</v>
      </c>
      <c r="J20" s="38">
        <f t="shared" si="3"/>
        <v>-1.1102230246251565E-16</v>
      </c>
      <c r="K20" s="39" t="str">
        <f t="shared" si="4"/>
        <v>OK</v>
      </c>
    </row>
    <row r="21" spans="2:11" x14ac:dyDescent="0.25">
      <c r="B21" s="3" t="s">
        <v>512</v>
      </c>
      <c r="D21" s="24">
        <v>27138.166171000001</v>
      </c>
      <c r="E21" s="35">
        <f>DCF!N88</f>
        <v>27138.16617107112</v>
      </c>
      <c r="F21" s="13">
        <f t="shared" si="0"/>
        <v>7.1118847699835896E-8</v>
      </c>
      <c r="G21" s="38">
        <f t="shared" si="1"/>
        <v>2.6205704273252195E-12</v>
      </c>
      <c r="H21" s="39" t="str">
        <f t="shared" si="2"/>
        <v>OK</v>
      </c>
      <c r="I21" s="24">
        <v>27138.16617107112</v>
      </c>
      <c r="J21" s="38">
        <f t="shared" si="3"/>
        <v>0</v>
      </c>
      <c r="K21" s="39" t="str">
        <f t="shared" si="4"/>
        <v>OK</v>
      </c>
    </row>
    <row r="22" spans="2:11" x14ac:dyDescent="0.25">
      <c r="B22" s="3" t="s">
        <v>513</v>
      </c>
      <c r="D22" s="24">
        <v>27765.102799</v>
      </c>
      <c r="E22" s="35">
        <f>DCF!O88</f>
        <v>27765.102799319116</v>
      </c>
      <c r="F22" s="13">
        <f t="shared" si="0"/>
        <v>3.1911622500047088E-7</v>
      </c>
      <c r="G22" s="38">
        <f t="shared" si="1"/>
        <v>1.1493472840129471E-11</v>
      </c>
      <c r="H22" s="39" t="str">
        <f t="shared" si="2"/>
        <v>OK</v>
      </c>
      <c r="I22" s="24">
        <v>27765.102799319109</v>
      </c>
      <c r="J22" s="38">
        <f t="shared" si="3"/>
        <v>2.2204460492503131E-16</v>
      </c>
      <c r="K22" s="39" t="str">
        <f t="shared" si="4"/>
        <v>OK</v>
      </c>
    </row>
    <row r="23" spans="2:11" x14ac:dyDescent="0.25">
      <c r="B23" s="3" t="s">
        <v>514</v>
      </c>
      <c r="D23" s="24">
        <v>28384.849704</v>
      </c>
      <c r="E23" s="35">
        <f>DCF!P88</f>
        <v>28384.849704238637</v>
      </c>
      <c r="F23" s="13">
        <f t="shared" si="0"/>
        <v>2.38636857829988E-7</v>
      </c>
      <c r="G23" s="38">
        <f t="shared" si="1"/>
        <v>8.4072748762764604E-12</v>
      </c>
      <c r="H23" s="39" t="str">
        <f t="shared" si="2"/>
        <v>OK</v>
      </c>
      <c r="I23" s="24">
        <v>28384.84970423863</v>
      </c>
      <c r="J23" s="38">
        <f t="shared" si="3"/>
        <v>2.2204460492503131E-16</v>
      </c>
      <c r="K23" s="39" t="str">
        <f t="shared" si="4"/>
        <v>OK</v>
      </c>
    </row>
    <row r="24" spans="2:11" x14ac:dyDescent="0.25">
      <c r="B24" s="3" t="s">
        <v>515</v>
      </c>
      <c r="D24" s="24">
        <v>28994.167343000001</v>
      </c>
      <c r="E24" s="35">
        <f>DCF!Q88</f>
        <v>28994.167342841421</v>
      </c>
      <c r="F24" s="13">
        <f t="shared" si="0"/>
        <v>-1.5857949620112777E-7</v>
      </c>
      <c r="G24" s="38">
        <f t="shared" si="1"/>
        <v>-5.4694027085133712E-12</v>
      </c>
      <c r="H24" s="39" t="str">
        <f t="shared" si="2"/>
        <v>OK</v>
      </c>
      <c r="I24" s="24">
        <v>28994.167342841429</v>
      </c>
      <c r="J24" s="38">
        <f t="shared" si="3"/>
        <v>-2.2204460492503131E-16</v>
      </c>
      <c r="K24" s="39" t="str">
        <f t="shared" si="4"/>
        <v>OK</v>
      </c>
    </row>
    <row r="25" spans="2:11" x14ac:dyDescent="0.25">
      <c r="B25" s="3" t="s">
        <v>516</v>
      </c>
      <c r="D25" s="24">
        <v>29599.839014000001</v>
      </c>
      <c r="E25" s="35">
        <f>DCF!R88</f>
        <v>29599.8390139443</v>
      </c>
      <c r="F25" s="13">
        <f t="shared" si="0"/>
        <v>-5.5701093515381217E-8</v>
      </c>
      <c r="G25" s="38">
        <f t="shared" si="1"/>
        <v>-1.8818280267396403E-12</v>
      </c>
      <c r="H25" s="39" t="str">
        <f t="shared" si="2"/>
        <v>OK</v>
      </c>
      <c r="I25" s="24">
        <v>29599.839013944289</v>
      </c>
      <c r="J25" s="38">
        <f t="shared" si="3"/>
        <v>4.4408920985006262E-16</v>
      </c>
      <c r="K25" s="39" t="str">
        <f t="shared" si="4"/>
        <v>OK</v>
      </c>
    </row>
    <row r="26" spans="2:11" x14ac:dyDescent="0.25">
      <c r="B26" s="3" t="s">
        <v>517</v>
      </c>
      <c r="D26" s="24">
        <v>62251.943963999998</v>
      </c>
      <c r="E26" s="35">
        <f>DCF!I79</f>
        <v>62251.943963999976</v>
      </c>
      <c r="F26" s="13">
        <f t="shared" si="0"/>
        <v>-2.1827872842550278E-11</v>
      </c>
      <c r="G26" s="38">
        <f t="shared" si="1"/>
        <v>-3.3306690738754696E-16</v>
      </c>
      <c r="H26" s="39" t="str">
        <f t="shared" si="2"/>
        <v>OK</v>
      </c>
      <c r="I26" s="24">
        <v>62251.943963999976</v>
      </c>
      <c r="J26" s="38">
        <f t="shared" si="3"/>
        <v>0</v>
      </c>
      <c r="K26" s="39" t="str">
        <f t="shared" si="4"/>
        <v>OK</v>
      </c>
    </row>
    <row r="27" spans="2:11" x14ac:dyDescent="0.25">
      <c r="B27" s="3" t="s">
        <v>518</v>
      </c>
      <c r="D27" s="24">
        <v>64193.436604000002</v>
      </c>
      <c r="E27" s="35">
        <f>DCF!J79</f>
        <v>64193.436604050003</v>
      </c>
      <c r="F27" s="13">
        <f t="shared" si="0"/>
        <v>5.0000380724668503E-8</v>
      </c>
      <c r="G27" s="38">
        <f t="shared" si="1"/>
        <v>7.7893247407700983E-13</v>
      </c>
      <c r="H27" s="39" t="str">
        <f t="shared" si="2"/>
        <v>OK</v>
      </c>
      <c r="I27" s="24">
        <v>64193.436604050003</v>
      </c>
      <c r="J27" s="38">
        <f t="shared" si="3"/>
        <v>0</v>
      </c>
      <c r="K27" s="39" t="str">
        <f t="shared" si="4"/>
        <v>OK</v>
      </c>
    </row>
    <row r="28" spans="2:11" x14ac:dyDescent="0.25">
      <c r="B28" s="3" t="s">
        <v>519</v>
      </c>
      <c r="D28" s="24">
        <v>68870.759183000002</v>
      </c>
      <c r="E28" s="35">
        <f>DCF!K79</f>
        <v>68870.759183154136</v>
      </c>
      <c r="F28" s="13">
        <f t="shared" si="0"/>
        <v>1.5413388609886169E-7</v>
      </c>
      <c r="G28" s="38">
        <f t="shared" si="1"/>
        <v>2.2379875730393906E-12</v>
      </c>
      <c r="H28" s="39" t="str">
        <f t="shared" si="2"/>
        <v>OK</v>
      </c>
      <c r="I28" s="24">
        <v>68870.759183154136</v>
      </c>
      <c r="J28" s="38">
        <f t="shared" si="3"/>
        <v>0</v>
      </c>
      <c r="K28" s="39" t="str">
        <f t="shared" si="4"/>
        <v>OK</v>
      </c>
    </row>
    <row r="29" spans="2:11" x14ac:dyDescent="0.25">
      <c r="B29" s="3" t="s">
        <v>520</v>
      </c>
      <c r="D29" s="24">
        <v>72881.112309000004</v>
      </c>
      <c r="E29" s="35">
        <f>DCF!L79</f>
        <v>72881.112308954253</v>
      </c>
      <c r="F29" s="13">
        <f t="shared" si="0"/>
        <v>-4.5751221477985382E-8</v>
      </c>
      <c r="G29" s="38">
        <f t="shared" si="1"/>
        <v>-6.2772009812306351E-13</v>
      </c>
      <c r="H29" s="39" t="str">
        <f t="shared" si="2"/>
        <v>OK</v>
      </c>
      <c r="I29" s="24">
        <v>72881.112308954253</v>
      </c>
      <c r="J29" s="38">
        <f t="shared" si="3"/>
        <v>0</v>
      </c>
      <c r="K29" s="39" t="str">
        <f t="shared" si="4"/>
        <v>OK</v>
      </c>
    </row>
    <row r="30" spans="2:11" x14ac:dyDescent="0.25">
      <c r="B30" s="3" t="s">
        <v>521</v>
      </c>
      <c r="D30" s="24">
        <v>77122.733659999998</v>
      </c>
      <c r="E30" s="35">
        <f>DCF!M79</f>
        <v>77122.733660174548</v>
      </c>
      <c r="F30" s="13">
        <f t="shared" si="0"/>
        <v>1.7455022316426039E-7</v>
      </c>
      <c r="G30" s="38">
        <f t="shared" si="1"/>
        <v>2.2633006580008441E-12</v>
      </c>
      <c r="H30" s="39" t="str">
        <f t="shared" si="2"/>
        <v>OK</v>
      </c>
      <c r="I30" s="24">
        <v>77122.733660174548</v>
      </c>
      <c r="J30" s="38">
        <f t="shared" si="3"/>
        <v>0</v>
      </c>
      <c r="K30" s="39" t="str">
        <f t="shared" si="4"/>
        <v>OK</v>
      </c>
    </row>
    <row r="31" spans="2:11" x14ac:dyDescent="0.25">
      <c r="B31" s="3" t="s">
        <v>522</v>
      </c>
      <c r="D31" s="24">
        <v>80501.797827999995</v>
      </c>
      <c r="E31" s="35">
        <f>DCF!N79</f>
        <v>80501.797828081937</v>
      </c>
      <c r="F31" s="13">
        <f t="shared" si="0"/>
        <v>8.1941834650933743E-8</v>
      </c>
      <c r="G31" s="38">
        <f t="shared" si="1"/>
        <v>1.0178524689763435E-12</v>
      </c>
      <c r="H31" s="39" t="str">
        <f t="shared" si="2"/>
        <v>OK</v>
      </c>
      <c r="I31" s="24">
        <v>80501.797828081937</v>
      </c>
      <c r="J31" s="38">
        <f t="shared" si="3"/>
        <v>0</v>
      </c>
      <c r="K31" s="39" t="str">
        <f t="shared" si="4"/>
        <v>OK</v>
      </c>
    </row>
    <row r="32" spans="2:11" x14ac:dyDescent="0.25">
      <c r="B32" s="3" t="s">
        <v>523</v>
      </c>
      <c r="D32" s="24">
        <v>83998.641201999999</v>
      </c>
      <c r="E32" s="35">
        <f>DCF!O79</f>
        <v>83998.641201913095</v>
      </c>
      <c r="F32" s="13">
        <f t="shared" si="0"/>
        <v>-8.6904037743806839E-8</v>
      </c>
      <c r="G32" s="38">
        <f t="shared" si="1"/>
        <v>-1.0346168366481834E-12</v>
      </c>
      <c r="H32" s="39" t="str">
        <f t="shared" si="2"/>
        <v>OK</v>
      </c>
      <c r="I32" s="24">
        <v>83998.641201913095</v>
      </c>
      <c r="J32" s="38">
        <f t="shared" si="3"/>
        <v>0</v>
      </c>
      <c r="K32" s="39" t="str">
        <f t="shared" si="4"/>
        <v>OK</v>
      </c>
    </row>
    <row r="33" spans="2:11" x14ac:dyDescent="0.25">
      <c r="B33" s="3" t="s">
        <v>524</v>
      </c>
      <c r="D33" s="24">
        <v>87614.335474000007</v>
      </c>
      <c r="E33" s="35">
        <f>DCF!P79</f>
        <v>87614.335474272753</v>
      </c>
      <c r="F33" s="13">
        <f t="shared" si="0"/>
        <v>2.727465471252799E-7</v>
      </c>
      <c r="G33" s="38">
        <f t="shared" si="1"/>
        <v>3.1130653610489389E-12</v>
      </c>
      <c r="H33" s="39" t="str">
        <f t="shared" si="2"/>
        <v>OK</v>
      </c>
      <c r="I33" s="24">
        <v>87614.335474272753</v>
      </c>
      <c r="J33" s="38">
        <f t="shared" si="3"/>
        <v>0</v>
      </c>
      <c r="K33" s="39" t="str">
        <f t="shared" si="4"/>
        <v>OK</v>
      </c>
    </row>
    <row r="34" spans="2:11" x14ac:dyDescent="0.25">
      <c r="B34" s="3" t="s">
        <v>525</v>
      </c>
      <c r="D34" s="24">
        <v>91349.756494999994</v>
      </c>
      <c r="E34" s="35">
        <f>DCF!Q79</f>
        <v>91349.756495052628</v>
      </c>
      <c r="F34" s="13">
        <f t="shared" si="0"/>
        <v>5.2634277381002903E-8</v>
      </c>
      <c r="G34" s="38">
        <f t="shared" si="1"/>
        <v>5.7620574978045624E-13</v>
      </c>
      <c r="H34" s="39" t="str">
        <f t="shared" si="2"/>
        <v>OK</v>
      </c>
      <c r="I34" s="24">
        <v>91349.756495052628</v>
      </c>
      <c r="J34" s="38">
        <f t="shared" si="3"/>
        <v>0</v>
      </c>
      <c r="K34" s="39" t="str">
        <f t="shared" si="4"/>
        <v>OK</v>
      </c>
    </row>
    <row r="35" spans="2:11" x14ac:dyDescent="0.25">
      <c r="B35" s="3" t="s">
        <v>526</v>
      </c>
      <c r="D35" s="24">
        <v>95224.154316999993</v>
      </c>
      <c r="E35" s="35">
        <f>DCF!R79</f>
        <v>95224.154316985368</v>
      </c>
      <c r="F35" s="13">
        <f t="shared" si="0"/>
        <v>-1.4624674804508686E-8</v>
      </c>
      <c r="G35" s="38">
        <f t="shared" si="1"/>
        <v>-1.5354384430565915E-13</v>
      </c>
      <c r="H35" s="39" t="str">
        <f t="shared" si="2"/>
        <v>OK</v>
      </c>
      <c r="I35" s="24">
        <v>95224.154316985368</v>
      </c>
      <c r="J35" s="38">
        <f t="shared" si="3"/>
        <v>0</v>
      </c>
      <c r="K35" s="39" t="str">
        <f t="shared" si="4"/>
        <v>OK</v>
      </c>
    </row>
    <row r="36" spans="2:11" x14ac:dyDescent="0.25">
      <c r="B36" s="3" t="s">
        <v>527</v>
      </c>
      <c r="D36" s="3" t="s">
        <v>528</v>
      </c>
      <c r="E36" s="42">
        <f>DCF!I108</f>
        <v>0.95206461864703928</v>
      </c>
      <c r="H36" s="3" t="s">
        <v>529</v>
      </c>
      <c r="I36" s="43">
        <v>0.95206461864703928</v>
      </c>
      <c r="J36" s="38">
        <f t="shared" si="3"/>
        <v>0</v>
      </c>
      <c r="K36" s="39" t="str">
        <f t="shared" si="4"/>
        <v>OK</v>
      </c>
    </row>
    <row r="37" spans="2:11" x14ac:dyDescent="0.25">
      <c r="B37" s="3" t="s">
        <v>530</v>
      </c>
      <c r="D37" s="3" t="s">
        <v>528</v>
      </c>
      <c r="E37" s="42">
        <f>DCF!J108</f>
        <v>0.8629771123405553</v>
      </c>
      <c r="H37" s="3" t="s">
        <v>529</v>
      </c>
      <c r="I37" s="43">
        <v>0.8629771123405553</v>
      </c>
      <c r="J37" s="38">
        <f t="shared" si="3"/>
        <v>0</v>
      </c>
      <c r="K37" s="39" t="str">
        <f t="shared" si="4"/>
        <v>OK</v>
      </c>
    </row>
    <row r="38" spans="2:11" x14ac:dyDescent="0.25">
      <c r="B38" s="3" t="s">
        <v>531</v>
      </c>
      <c r="D38" s="3" t="s">
        <v>528</v>
      </c>
      <c r="E38" s="42">
        <f>DCF!K108</f>
        <v>0.78222578786927732</v>
      </c>
      <c r="H38" s="3" t="s">
        <v>529</v>
      </c>
      <c r="I38" s="43">
        <v>0.78222578786927732</v>
      </c>
      <c r="J38" s="38">
        <f t="shared" ref="J38:J69" si="5">IFERROR(IF(I38=0,E38-I38,E38/I38-1),"n.a.")</f>
        <v>0</v>
      </c>
      <c r="K38" s="39" t="str">
        <f t="shared" ref="K38:K69" si="6">IFERROR(IF(ABS(J38)&lt;0.000001,"OK","CHECK"),"CHECK")</f>
        <v>OK</v>
      </c>
    </row>
    <row r="39" spans="2:11" x14ac:dyDescent="0.25">
      <c r="B39" s="3" t="s">
        <v>532</v>
      </c>
      <c r="D39" s="3" t="s">
        <v>528</v>
      </c>
      <c r="E39" s="42">
        <f>DCF!L108</f>
        <v>0.70903060400777762</v>
      </c>
      <c r="H39" s="3" t="s">
        <v>529</v>
      </c>
      <c r="I39" s="43">
        <v>0.70903060400777762</v>
      </c>
      <c r="J39" s="38">
        <f t="shared" si="5"/>
        <v>0</v>
      </c>
      <c r="K39" s="39" t="str">
        <f t="shared" si="6"/>
        <v>OK</v>
      </c>
    </row>
    <row r="40" spans="2:11" x14ac:dyDescent="0.25">
      <c r="B40" s="3" t="s">
        <v>533</v>
      </c>
      <c r="D40" s="3" t="s">
        <v>528</v>
      </c>
      <c r="E40" s="42">
        <f>DCF!M108</f>
        <v>0.64268451029851159</v>
      </c>
      <c r="H40" s="3" t="s">
        <v>529</v>
      </c>
      <c r="I40" s="43">
        <v>0.64268451029851159</v>
      </c>
      <c r="J40" s="38">
        <f t="shared" si="5"/>
        <v>0</v>
      </c>
      <c r="K40" s="39" t="str">
        <f t="shared" si="6"/>
        <v>OK</v>
      </c>
    </row>
    <row r="41" spans="2:11" x14ac:dyDescent="0.25">
      <c r="B41" s="3" t="s">
        <v>534</v>
      </c>
      <c r="D41" s="3" t="s">
        <v>528</v>
      </c>
      <c r="E41" s="42">
        <f>DCF!N108</f>
        <v>0.58254661708947453</v>
      </c>
      <c r="H41" s="3" t="s">
        <v>529</v>
      </c>
      <c r="I41" s="43">
        <v>0.58254661708947453</v>
      </c>
      <c r="J41" s="38">
        <f t="shared" si="5"/>
        <v>0</v>
      </c>
      <c r="K41" s="39" t="str">
        <f t="shared" si="6"/>
        <v>OK</v>
      </c>
    </row>
    <row r="42" spans="2:11" x14ac:dyDescent="0.25">
      <c r="B42" s="3" t="s">
        <v>535</v>
      </c>
      <c r="D42" s="3" t="s">
        <v>528</v>
      </c>
      <c r="E42" s="42">
        <f>DCF!O108</f>
        <v>0.52803600467166389</v>
      </c>
      <c r="H42" s="3" t="s">
        <v>529</v>
      </c>
      <c r="I42" s="43">
        <v>0.52803600467166389</v>
      </c>
      <c r="J42" s="38">
        <f t="shared" si="5"/>
        <v>0</v>
      </c>
      <c r="K42" s="39" t="str">
        <f t="shared" si="6"/>
        <v>OK</v>
      </c>
    </row>
    <row r="43" spans="2:11" x14ac:dyDescent="0.25">
      <c r="B43" s="3" t="s">
        <v>536</v>
      </c>
      <c r="D43" s="3" t="s">
        <v>528</v>
      </c>
      <c r="E43" s="42">
        <f>DCF!P108</f>
        <v>0.47862611171388636</v>
      </c>
      <c r="H43" s="3" t="s">
        <v>529</v>
      </c>
      <c r="I43" s="43">
        <v>0.47862611171388642</v>
      </c>
      <c r="J43" s="38">
        <f t="shared" si="5"/>
        <v>-1.1102230246251565E-16</v>
      </c>
      <c r="K43" s="39" t="str">
        <f t="shared" si="6"/>
        <v>OK</v>
      </c>
    </row>
    <row r="44" spans="2:11" x14ac:dyDescent="0.25">
      <c r="B44" s="3" t="s">
        <v>537</v>
      </c>
      <c r="D44" s="3" t="s">
        <v>528</v>
      </c>
      <c r="E44" s="42">
        <f>DCF!Q108</f>
        <v>0.43383964878834136</v>
      </c>
      <c r="H44" s="3" t="s">
        <v>529</v>
      </c>
      <c r="I44" s="43">
        <v>0.43383964878834141</v>
      </c>
      <c r="J44" s="38">
        <f t="shared" si="5"/>
        <v>-1.1102230246251565E-16</v>
      </c>
      <c r="K44" s="39" t="str">
        <f t="shared" si="6"/>
        <v>OK</v>
      </c>
    </row>
    <row r="45" spans="2:11" x14ac:dyDescent="0.25">
      <c r="B45" s="3" t="s">
        <v>538</v>
      </c>
      <c r="D45" s="3" t="s">
        <v>528</v>
      </c>
      <c r="E45" s="42">
        <f>DCF!R108</f>
        <v>0.39324398785268078</v>
      </c>
      <c r="H45" s="3" t="s">
        <v>529</v>
      </c>
      <c r="I45" s="43">
        <v>0.39324398785268078</v>
      </c>
      <c r="J45" s="38">
        <f t="shared" si="5"/>
        <v>0</v>
      </c>
      <c r="K45" s="39" t="str">
        <f t="shared" si="6"/>
        <v>OK</v>
      </c>
    </row>
    <row r="46" spans="2:11" x14ac:dyDescent="0.25">
      <c r="B46" s="3" t="s">
        <v>539</v>
      </c>
      <c r="D46" s="3" t="s">
        <v>528</v>
      </c>
      <c r="E46" s="35">
        <f>DCF!$D$112</f>
        <v>165442.46851665768</v>
      </c>
      <c r="H46" s="3" t="s">
        <v>529</v>
      </c>
      <c r="I46" s="24">
        <v>165442.46851665771</v>
      </c>
      <c r="J46" s="38">
        <f t="shared" si="5"/>
        <v>-2.2204460492503131E-16</v>
      </c>
      <c r="K46" s="39" t="str">
        <f t="shared" si="6"/>
        <v>OK</v>
      </c>
    </row>
    <row r="47" spans="2:11" x14ac:dyDescent="0.25">
      <c r="B47" s="3" t="s">
        <v>540</v>
      </c>
      <c r="D47" s="3" t="s">
        <v>528</v>
      </c>
      <c r="E47" s="35">
        <f>DCF!$D$113</f>
        <v>508092.07140835229</v>
      </c>
      <c r="H47" s="3" t="s">
        <v>529</v>
      </c>
      <c r="I47" s="24">
        <v>508092.07140835212</v>
      </c>
      <c r="J47" s="38">
        <f t="shared" si="5"/>
        <v>4.4408920985006262E-16</v>
      </c>
      <c r="K47" s="39" t="str">
        <f t="shared" si="6"/>
        <v>OK</v>
      </c>
    </row>
    <row r="48" spans="2:11" x14ac:dyDescent="0.25">
      <c r="B48" s="3" t="s">
        <v>541</v>
      </c>
      <c r="D48" s="3" t="s">
        <v>528</v>
      </c>
      <c r="E48" s="35">
        <f>DCF!$D$114</f>
        <v>199804.15235694952</v>
      </c>
      <c r="H48" s="3" t="s">
        <v>529</v>
      </c>
      <c r="I48" s="24">
        <v>199804.15235694949</v>
      </c>
      <c r="J48" s="38">
        <f t="shared" si="5"/>
        <v>2.2204460492503131E-16</v>
      </c>
      <c r="K48" s="39" t="str">
        <f t="shared" si="6"/>
        <v>OK</v>
      </c>
    </row>
    <row r="49" spans="2:11" x14ac:dyDescent="0.25">
      <c r="B49" s="3" t="s">
        <v>542</v>
      </c>
      <c r="D49" s="3" t="s">
        <v>528</v>
      </c>
      <c r="E49" s="35">
        <f>DCF!$D$116</f>
        <v>571344.92590191215</v>
      </c>
      <c r="H49" s="3" t="s">
        <v>529</v>
      </c>
      <c r="I49" s="24">
        <v>571344.92590191215</v>
      </c>
      <c r="J49" s="38">
        <f t="shared" si="5"/>
        <v>0</v>
      </c>
      <c r="K49" s="39" t="str">
        <f t="shared" si="6"/>
        <v>OK</v>
      </c>
    </row>
    <row r="50" spans="2:11" x14ac:dyDescent="0.25">
      <c r="B50" s="3" t="s">
        <v>543</v>
      </c>
      <c r="D50" s="3" t="s">
        <v>528</v>
      </c>
      <c r="E50" s="35">
        <f>DCF!$D$117</f>
        <v>213907.93354581873</v>
      </c>
      <c r="H50" s="3" t="s">
        <v>529</v>
      </c>
      <c r="I50" s="24">
        <v>213907.93354581881</v>
      </c>
      <c r="J50" s="38">
        <f t="shared" si="5"/>
        <v>-4.4408920985006262E-16</v>
      </c>
      <c r="K50" s="39" t="str">
        <f t="shared" si="6"/>
        <v>OK</v>
      </c>
    </row>
    <row r="51" spans="2:11" x14ac:dyDescent="0.25">
      <c r="B51" s="3" t="s">
        <v>544</v>
      </c>
      <c r="D51" s="3" t="s">
        <v>528</v>
      </c>
      <c r="E51" s="35">
        <f>DCF!$D$127</f>
        <v>179918</v>
      </c>
      <c r="H51" s="3" t="s">
        <v>529</v>
      </c>
      <c r="I51" s="24">
        <v>179918</v>
      </c>
      <c r="J51" s="38">
        <f t="shared" si="5"/>
        <v>0</v>
      </c>
      <c r="K51" s="39" t="str">
        <f t="shared" si="6"/>
        <v>OK</v>
      </c>
    </row>
    <row r="52" spans="2:11" x14ac:dyDescent="0.25">
      <c r="B52" s="3" t="s">
        <v>545</v>
      </c>
      <c r="D52" s="3" t="s">
        <v>528</v>
      </c>
      <c r="E52" s="44">
        <f>DCF!$D$145</f>
        <v>4310.5309999999999</v>
      </c>
      <c r="H52" s="3" t="s">
        <v>529</v>
      </c>
      <c r="I52" s="32">
        <v>4310.5309999999999</v>
      </c>
      <c r="J52" s="38">
        <f t="shared" si="5"/>
        <v>0</v>
      </c>
      <c r="K52" s="39" t="str">
        <f t="shared" si="6"/>
        <v>OK</v>
      </c>
    </row>
    <row r="53" spans="2:11" x14ac:dyDescent="0.25">
      <c r="B53" s="3" t="s">
        <v>546</v>
      </c>
      <c r="D53" s="3" t="s">
        <v>528</v>
      </c>
      <c r="E53" s="45">
        <f>DCF!$D$148</f>
        <v>1.1011741086494256</v>
      </c>
      <c r="H53" s="3" t="s">
        <v>529</v>
      </c>
      <c r="I53" s="16">
        <v>1.101174108649426</v>
      </c>
      <c r="J53" s="38">
        <f t="shared" si="5"/>
        <v>-4.4408920985006262E-16</v>
      </c>
      <c r="K53" s="39" t="str">
        <f t="shared" si="6"/>
        <v>OK</v>
      </c>
    </row>
    <row r="54" spans="2:11" x14ac:dyDescent="0.25">
      <c r="B54" s="3" t="s">
        <v>547</v>
      </c>
      <c r="D54" s="3" t="s">
        <v>528</v>
      </c>
      <c r="E54" s="35">
        <f>DCF!R179</f>
        <v>27536.4165345742</v>
      </c>
      <c r="H54" s="3" t="s">
        <v>529</v>
      </c>
      <c r="I54" s="24">
        <v>27536.416534574189</v>
      </c>
      <c r="J54" s="38">
        <f t="shared" si="5"/>
        <v>4.4408920985006262E-16</v>
      </c>
      <c r="K54" s="39" t="str">
        <f t="shared" si="6"/>
        <v>OK</v>
      </c>
    </row>
    <row r="55" spans="2:11" x14ac:dyDescent="0.25">
      <c r="B55" s="3" t="s">
        <v>548</v>
      </c>
      <c r="D55" s="3" t="s">
        <v>528</v>
      </c>
      <c r="E55" s="35">
        <f>DCF!R174</f>
        <v>50714.374111086479</v>
      </c>
      <c r="H55" s="3" t="s">
        <v>529</v>
      </c>
      <c r="I55" s="24">
        <v>50714.374111086479</v>
      </c>
      <c r="J55" s="38">
        <f t="shared" si="5"/>
        <v>0</v>
      </c>
      <c r="K55" s="39" t="str">
        <f t="shared" si="6"/>
        <v>OK</v>
      </c>
    </row>
    <row r="56" spans="2:11" x14ac:dyDescent="0.25">
      <c r="B56" s="3" t="s">
        <v>549</v>
      </c>
      <c r="D56" s="3" t="s">
        <v>528</v>
      </c>
      <c r="E56" s="35">
        <f>DCF!$D$183</f>
        <v>156185.9368568582</v>
      </c>
      <c r="H56" s="3" t="s">
        <v>529</v>
      </c>
      <c r="I56" s="24">
        <v>156185.9368568582</v>
      </c>
      <c r="J56" s="38">
        <f t="shared" si="5"/>
        <v>0</v>
      </c>
      <c r="K56" s="39" t="str">
        <f t="shared" si="6"/>
        <v>OK</v>
      </c>
    </row>
    <row r="57" spans="2:11" x14ac:dyDescent="0.25">
      <c r="B57" s="3" t="s">
        <v>550</v>
      </c>
      <c r="D57" s="3" t="s">
        <v>528</v>
      </c>
      <c r="E57" s="35">
        <f>DCF!$D$185</f>
        <v>472602.80637941451</v>
      </c>
      <c r="H57" s="3" t="s">
        <v>529</v>
      </c>
      <c r="I57" s="24">
        <v>472602.80637941428</v>
      </c>
      <c r="J57" s="38">
        <f t="shared" si="5"/>
        <v>4.4408920985006262E-16</v>
      </c>
      <c r="K57" s="39" t="str">
        <f t="shared" si="6"/>
        <v>OK</v>
      </c>
    </row>
    <row r="58" spans="2:11" x14ac:dyDescent="0.25">
      <c r="B58" s="3" t="s">
        <v>551</v>
      </c>
      <c r="D58" s="3" t="s">
        <v>528</v>
      </c>
      <c r="E58" s="35">
        <f>DCF!$D$187</f>
        <v>342034.1491078675</v>
      </c>
      <c r="H58" s="3" t="s">
        <v>529</v>
      </c>
      <c r="I58" s="24">
        <v>342034.1491078675</v>
      </c>
      <c r="J58" s="38">
        <f t="shared" si="5"/>
        <v>0</v>
      </c>
      <c r="K58" s="39" t="str">
        <f t="shared" si="6"/>
        <v>OK</v>
      </c>
    </row>
    <row r="59" spans="2:11" x14ac:dyDescent="0.25">
      <c r="B59" s="3" t="s">
        <v>552</v>
      </c>
      <c r="D59" s="3" t="s">
        <v>528</v>
      </c>
      <c r="E59" s="35">
        <f>DCF!$D$188</f>
        <v>370093.87040267693</v>
      </c>
      <c r="H59" s="3" t="s">
        <v>529</v>
      </c>
      <c r="I59" s="24">
        <v>370093.87040267698</v>
      </c>
      <c r="J59" s="38">
        <f t="shared" si="5"/>
        <v>-1.1102230246251565E-16</v>
      </c>
      <c r="K59" s="39" t="str">
        <f t="shared" si="6"/>
        <v>OK</v>
      </c>
    </row>
    <row r="60" spans="2:11" x14ac:dyDescent="0.25">
      <c r="B60" s="3" t="s">
        <v>553</v>
      </c>
      <c r="D60" s="3" t="s">
        <v>528</v>
      </c>
      <c r="E60" s="35">
        <f>DCF!$D$142</f>
        <v>37053.896100885715</v>
      </c>
      <c r="H60" s="3" t="s">
        <v>529</v>
      </c>
      <c r="I60" s="24">
        <v>37053.896100885722</v>
      </c>
      <c r="J60" s="38">
        <f t="shared" si="5"/>
        <v>-2.2204460492503131E-16</v>
      </c>
      <c r="K60" s="39" t="str">
        <f t="shared" si="6"/>
        <v>OK</v>
      </c>
    </row>
    <row r="61" spans="2:11" x14ac:dyDescent="0.25">
      <c r="B61" s="3" t="s">
        <v>554</v>
      </c>
      <c r="D61" s="3" t="s">
        <v>528</v>
      </c>
      <c r="E61" s="40">
        <f>DCF!$D$192</f>
        <v>33.551593182470391</v>
      </c>
      <c r="H61" s="3" t="s">
        <v>529</v>
      </c>
      <c r="I61" s="33">
        <v>33.551593182470377</v>
      </c>
      <c r="J61" s="38">
        <f t="shared" si="5"/>
        <v>4.4408920985006262E-16</v>
      </c>
      <c r="K61" s="39" t="str">
        <f t="shared" si="6"/>
        <v>OK</v>
      </c>
    </row>
    <row r="62" spans="2:11" x14ac:dyDescent="0.25">
      <c r="B62" s="3" t="s">
        <v>555</v>
      </c>
      <c r="D62" s="3" t="s">
        <v>528</v>
      </c>
      <c r="E62" s="40">
        <f>DCF!$D$194</f>
        <v>45.715084692844592</v>
      </c>
      <c r="H62" s="3" t="s">
        <v>529</v>
      </c>
      <c r="I62" s="33">
        <v>45.715084692844599</v>
      </c>
      <c r="J62" s="38">
        <f t="shared" si="5"/>
        <v>-1.1102230246251565E-16</v>
      </c>
      <c r="K62" s="39" t="str">
        <f t="shared" si="6"/>
        <v>OK</v>
      </c>
    </row>
    <row r="63" spans="2:11" x14ac:dyDescent="0.25">
      <c r="B63" s="3" t="s">
        <v>556</v>
      </c>
      <c r="D63" s="3" t="s">
        <v>528</v>
      </c>
      <c r="E63" s="37">
        <f>DCF!$D$200</f>
        <v>0.14618390760857691</v>
      </c>
      <c r="H63" s="3" t="s">
        <v>529</v>
      </c>
      <c r="I63" s="17">
        <v>0.14618390760857669</v>
      </c>
      <c r="J63" s="38">
        <f t="shared" si="5"/>
        <v>1.5543122344752192E-15</v>
      </c>
      <c r="K63" s="39" t="str">
        <f t="shared" si="6"/>
        <v>OK</v>
      </c>
    </row>
    <row r="64" spans="2:11" x14ac:dyDescent="0.25">
      <c r="B64" s="3" t="s">
        <v>557</v>
      </c>
      <c r="D64" s="3" t="s">
        <v>528</v>
      </c>
      <c r="E64" s="36">
        <f>DCF!$D$202</f>
        <v>5.0788446961064659E-2</v>
      </c>
      <c r="H64" s="3" t="s">
        <v>529</v>
      </c>
      <c r="I64" s="15">
        <v>5.078844696106468E-2</v>
      </c>
      <c r="J64" s="38">
        <f t="shared" si="5"/>
        <v>-4.4408920985006262E-16</v>
      </c>
      <c r="K64" s="39" t="str">
        <f t="shared" si="6"/>
        <v>OK</v>
      </c>
    </row>
    <row r="65" spans="2:11" x14ac:dyDescent="0.25">
      <c r="B65" s="3" t="s">
        <v>558</v>
      </c>
      <c r="D65" s="3" t="s">
        <v>528</v>
      </c>
      <c r="E65" s="40">
        <f>DCF!$E$219</f>
        <v>25.45469905743763</v>
      </c>
      <c r="H65" s="3" t="s">
        <v>529</v>
      </c>
      <c r="I65" s="33">
        <v>25.45469905743763</v>
      </c>
      <c r="J65" s="38">
        <f t="shared" si="5"/>
        <v>0</v>
      </c>
      <c r="K65" s="39" t="str">
        <f t="shared" si="6"/>
        <v>OK</v>
      </c>
    </row>
    <row r="66" spans="2:11" x14ac:dyDescent="0.25">
      <c r="B66" s="3" t="s">
        <v>559</v>
      </c>
      <c r="D66" s="3" t="s">
        <v>528</v>
      </c>
      <c r="E66" s="36">
        <f>Reverse_DCF!$D$9</f>
        <v>6.410746806858908E-2</v>
      </c>
      <c r="H66" s="3" t="s">
        <v>529</v>
      </c>
      <c r="I66" s="15">
        <v>6.4107468068589094E-2</v>
      </c>
      <c r="J66" s="38">
        <f t="shared" si="5"/>
        <v>-2.2204460492503131E-16</v>
      </c>
      <c r="K66" s="39" t="str">
        <f t="shared" si="6"/>
        <v>OK</v>
      </c>
    </row>
    <row r="68" spans="2:11" x14ac:dyDescent="0.25">
      <c r="B68" s="3" t="s">
        <v>560</v>
      </c>
      <c r="D68" s="46">
        <v>30</v>
      </c>
    </row>
    <row r="69" spans="2:11" x14ac:dyDescent="0.25">
      <c r="B69" s="3" t="s">
        <v>561</v>
      </c>
      <c r="D69" s="46">
        <f>COUNTIF(H6:H35,"OK")</f>
        <v>30</v>
      </c>
    </row>
    <row r="70" spans="2:11" x14ac:dyDescent="0.25">
      <c r="B70" s="3" t="s">
        <v>562</v>
      </c>
      <c r="D70" s="46">
        <v>61</v>
      </c>
    </row>
    <row r="71" spans="2:11" x14ac:dyDescent="0.25">
      <c r="B71" s="3" t="s">
        <v>563</v>
      </c>
      <c r="D71" s="46">
        <f>COUNTIF(K6:K66,"OK")</f>
        <v>61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36"/>
  <sheetViews>
    <sheetView workbookViewId="0"/>
  </sheetViews>
  <sheetFormatPr defaultRowHeight="15" x14ac:dyDescent="0.25"/>
  <cols>
    <col min="2" max="2" width="46" customWidth="1"/>
    <col min="3" max="3" width="14" customWidth="1"/>
    <col min="4" max="5" width="12" customWidth="1"/>
    <col min="6" max="6" width="80" customWidth="1"/>
    <col min="7" max="7" width="12" customWidth="1"/>
  </cols>
  <sheetData>
    <row r="2" spans="2:7" ht="18.75" x14ac:dyDescent="0.3">
      <c r="B2" s="1" t="s">
        <v>564</v>
      </c>
    </row>
    <row r="3" spans="2:7" x14ac:dyDescent="0.25">
      <c r="B3" s="5" t="s">
        <v>16</v>
      </c>
    </row>
    <row r="5" spans="2:7" x14ac:dyDescent="0.25">
      <c r="B5" s="6" t="s">
        <v>489</v>
      </c>
      <c r="C5" s="6" t="s">
        <v>565</v>
      </c>
      <c r="D5" s="6" t="s">
        <v>566</v>
      </c>
      <c r="E5" s="6" t="s">
        <v>567</v>
      </c>
      <c r="F5" s="6" t="s">
        <v>568</v>
      </c>
      <c r="G5" s="6" t="s">
        <v>569</v>
      </c>
    </row>
    <row r="6" spans="2:7" x14ac:dyDescent="0.25">
      <c r="B6" s="3" t="s">
        <v>570</v>
      </c>
      <c r="C6" s="47">
        <v>58.6</v>
      </c>
      <c r="D6" s="3" t="s">
        <v>571</v>
      </c>
      <c r="E6" s="3" t="s">
        <v>572</v>
      </c>
      <c r="F6" s="3" t="s">
        <v>573</v>
      </c>
      <c r="G6" s="3" t="s">
        <v>574</v>
      </c>
    </row>
    <row r="7" spans="2:7" x14ac:dyDescent="0.25">
      <c r="B7" s="3" t="s">
        <v>575</v>
      </c>
      <c r="C7" s="3" t="s">
        <v>576</v>
      </c>
      <c r="D7" s="3" t="s">
        <v>571</v>
      </c>
      <c r="E7" s="3" t="s">
        <v>572</v>
      </c>
      <c r="F7" s="3" t="s">
        <v>577</v>
      </c>
      <c r="G7" s="3" t="s">
        <v>578</v>
      </c>
    </row>
    <row r="8" spans="2:7" x14ac:dyDescent="0.25">
      <c r="B8" s="3" t="s">
        <v>579</v>
      </c>
      <c r="C8" s="47">
        <v>4294.9437150000003</v>
      </c>
      <c r="D8" s="3" t="s">
        <v>580</v>
      </c>
      <c r="E8" s="3" t="s">
        <v>572</v>
      </c>
      <c r="F8" s="3" t="s">
        <v>581</v>
      </c>
      <c r="G8" s="3" t="s">
        <v>582</v>
      </c>
    </row>
    <row r="9" spans="2:7" x14ac:dyDescent="0.25">
      <c r="B9" s="3" t="s">
        <v>583</v>
      </c>
      <c r="C9" s="47">
        <v>251683.7</v>
      </c>
      <c r="D9" s="3" t="s">
        <v>584</v>
      </c>
      <c r="E9" s="3" t="s">
        <v>585</v>
      </c>
      <c r="F9" s="3" t="s">
        <v>586</v>
      </c>
      <c r="G9" s="3" t="s">
        <v>574</v>
      </c>
    </row>
    <row r="10" spans="2:7" x14ac:dyDescent="0.25">
      <c r="B10" s="3" t="s">
        <v>587</v>
      </c>
      <c r="C10" s="48">
        <v>9.2600000000000002E-2</v>
      </c>
      <c r="D10" s="3" t="s">
        <v>588</v>
      </c>
      <c r="E10" s="3" t="s">
        <v>572</v>
      </c>
      <c r="F10" s="3" t="s">
        <v>589</v>
      </c>
      <c r="G10" s="3" t="s">
        <v>574</v>
      </c>
    </row>
    <row r="11" spans="2:7" x14ac:dyDescent="0.25">
      <c r="B11" s="3" t="s">
        <v>590</v>
      </c>
      <c r="C11" s="48">
        <v>5.0900000000000001E-2</v>
      </c>
      <c r="D11" s="3" t="s">
        <v>588</v>
      </c>
      <c r="E11" s="3" t="s">
        <v>572</v>
      </c>
      <c r="F11" s="3" t="s">
        <v>589</v>
      </c>
      <c r="G11" s="3" t="s">
        <v>574</v>
      </c>
    </row>
    <row r="12" spans="2:7" x14ac:dyDescent="0.25">
      <c r="B12" s="3" t="s">
        <v>591</v>
      </c>
      <c r="C12" s="48">
        <v>9.5300000000000003E-3</v>
      </c>
      <c r="D12" s="3" t="s">
        <v>588</v>
      </c>
      <c r="E12" s="3" t="s">
        <v>572</v>
      </c>
      <c r="F12" s="3" t="s">
        <v>592</v>
      </c>
      <c r="G12" s="3" t="s">
        <v>574</v>
      </c>
    </row>
    <row r="13" spans="2:7" x14ac:dyDescent="0.25">
      <c r="B13" s="3" t="s">
        <v>593</v>
      </c>
      <c r="C13" s="48">
        <v>4.2000000000000003E-2</v>
      </c>
      <c r="D13" s="3" t="s">
        <v>588</v>
      </c>
      <c r="E13" s="3" t="s">
        <v>572</v>
      </c>
      <c r="F13" s="3" t="s">
        <v>594</v>
      </c>
      <c r="G13" s="3" t="s">
        <v>595</v>
      </c>
    </row>
    <row r="14" spans="2:7" x14ac:dyDescent="0.25">
      <c r="B14" s="3" t="s">
        <v>596</v>
      </c>
      <c r="C14" s="3" t="s">
        <v>597</v>
      </c>
      <c r="D14" s="3" t="s">
        <v>588</v>
      </c>
      <c r="E14" s="3" t="s">
        <v>572</v>
      </c>
      <c r="F14" s="3" t="s">
        <v>598</v>
      </c>
      <c r="G14" s="3" t="s">
        <v>599</v>
      </c>
    </row>
    <row r="15" spans="2:7" x14ac:dyDescent="0.25">
      <c r="B15" s="3" t="s">
        <v>600</v>
      </c>
      <c r="C15" s="3" t="s">
        <v>601</v>
      </c>
      <c r="D15" s="3" t="s">
        <v>602</v>
      </c>
      <c r="E15" s="3" t="s">
        <v>572</v>
      </c>
      <c r="F15" s="3" t="s">
        <v>603</v>
      </c>
      <c r="G15" s="3" t="s">
        <v>604</v>
      </c>
    </row>
    <row r="16" spans="2:7" x14ac:dyDescent="0.25">
      <c r="B16" s="3" t="s">
        <v>605</v>
      </c>
      <c r="C16" s="3" t="s">
        <v>606</v>
      </c>
      <c r="D16" s="3" t="s">
        <v>588</v>
      </c>
      <c r="E16" s="3" t="s">
        <v>572</v>
      </c>
      <c r="F16" s="3" t="s">
        <v>607</v>
      </c>
      <c r="G16" s="3" t="s">
        <v>608</v>
      </c>
    </row>
    <row r="17" spans="2:7" x14ac:dyDescent="0.25">
      <c r="B17" s="3" t="s">
        <v>609</v>
      </c>
      <c r="C17" s="3" t="s">
        <v>610</v>
      </c>
      <c r="D17" s="3" t="s">
        <v>588</v>
      </c>
      <c r="E17" s="3" t="s">
        <v>572</v>
      </c>
      <c r="F17" s="3" t="s">
        <v>611</v>
      </c>
      <c r="G17" s="3" t="s">
        <v>595</v>
      </c>
    </row>
    <row r="18" spans="2:7" x14ac:dyDescent="0.25">
      <c r="B18" s="3" t="s">
        <v>612</v>
      </c>
      <c r="C18" s="47">
        <v>11029.4</v>
      </c>
      <c r="D18" s="3" t="s">
        <v>584</v>
      </c>
      <c r="E18" s="3" t="s">
        <v>572</v>
      </c>
      <c r="F18" s="3" t="s">
        <v>613</v>
      </c>
      <c r="G18" s="3" t="s">
        <v>614</v>
      </c>
    </row>
    <row r="19" spans="2:7" x14ac:dyDescent="0.25">
      <c r="B19" s="3" t="s">
        <v>615</v>
      </c>
      <c r="C19" s="47">
        <v>13011.5</v>
      </c>
      <c r="D19" s="3" t="s">
        <v>584</v>
      </c>
      <c r="E19" s="3" t="s">
        <v>572</v>
      </c>
      <c r="F19" s="3" t="s">
        <v>616</v>
      </c>
      <c r="G19" s="3" t="s">
        <v>614</v>
      </c>
    </row>
    <row r="20" spans="2:7" x14ac:dyDescent="0.25">
      <c r="B20" s="3" t="s">
        <v>617</v>
      </c>
      <c r="C20" s="47">
        <v>1864.2</v>
      </c>
      <c r="D20" s="3" t="s">
        <v>584</v>
      </c>
      <c r="E20" s="3" t="s">
        <v>585</v>
      </c>
      <c r="F20" s="3" t="s">
        <v>618</v>
      </c>
      <c r="G20" s="3" t="s">
        <v>614</v>
      </c>
    </row>
    <row r="21" spans="2:7" x14ac:dyDescent="0.25">
      <c r="B21" s="3" t="s">
        <v>619</v>
      </c>
      <c r="C21" s="3" t="s">
        <v>620</v>
      </c>
      <c r="D21" s="3" t="s">
        <v>584</v>
      </c>
      <c r="E21" s="3" t="s">
        <v>572</v>
      </c>
      <c r="F21" s="3" t="s">
        <v>621</v>
      </c>
      <c r="G21" s="3" t="s">
        <v>614</v>
      </c>
    </row>
    <row r="22" spans="2:7" x14ac:dyDescent="0.25">
      <c r="B22" s="3" t="s">
        <v>622</v>
      </c>
      <c r="C22" s="48">
        <v>0.32</v>
      </c>
      <c r="D22" s="3" t="s">
        <v>602</v>
      </c>
      <c r="E22" s="3" t="s">
        <v>623</v>
      </c>
      <c r="F22" s="3" t="s">
        <v>624</v>
      </c>
      <c r="G22" s="3" t="s">
        <v>574</v>
      </c>
    </row>
    <row r="23" spans="2:7" x14ac:dyDescent="0.25">
      <c r="B23" s="3" t="s">
        <v>625</v>
      </c>
      <c r="C23" s="48">
        <v>9.2600000000000002E-2</v>
      </c>
      <c r="D23" s="3" t="s">
        <v>588</v>
      </c>
      <c r="E23" s="3" t="s">
        <v>572</v>
      </c>
      <c r="F23" s="3" t="s">
        <v>626</v>
      </c>
      <c r="G23" s="3" t="s">
        <v>627</v>
      </c>
    </row>
    <row r="24" spans="2:7" x14ac:dyDescent="0.25">
      <c r="B24" s="3" t="s">
        <v>628</v>
      </c>
      <c r="C24" s="3" t="s">
        <v>629</v>
      </c>
      <c r="D24" s="3" t="s">
        <v>584</v>
      </c>
      <c r="E24" s="3" t="s">
        <v>572</v>
      </c>
      <c r="F24" s="3" t="s">
        <v>630</v>
      </c>
      <c r="G24" s="3" t="s">
        <v>631</v>
      </c>
    </row>
    <row r="25" spans="2:7" x14ac:dyDescent="0.25">
      <c r="B25" s="3" t="s">
        <v>632</v>
      </c>
      <c r="C25" s="3" t="s">
        <v>633</v>
      </c>
      <c r="D25" s="3" t="s">
        <v>584</v>
      </c>
      <c r="E25" s="3" t="s">
        <v>572</v>
      </c>
      <c r="F25" s="3" t="s">
        <v>634</v>
      </c>
      <c r="G25" s="3" t="s">
        <v>614</v>
      </c>
    </row>
    <row r="26" spans="2:7" x14ac:dyDescent="0.25">
      <c r="B26" s="3" t="s">
        <v>635</v>
      </c>
      <c r="C26" s="47">
        <v>6507</v>
      </c>
      <c r="D26" s="3" t="s">
        <v>584</v>
      </c>
      <c r="E26" s="3" t="s">
        <v>572</v>
      </c>
      <c r="F26" s="3" t="s">
        <v>636</v>
      </c>
      <c r="G26" s="3" t="s">
        <v>631</v>
      </c>
    </row>
    <row r="27" spans="2:7" x14ac:dyDescent="0.25">
      <c r="B27" s="3" t="s">
        <v>637</v>
      </c>
      <c r="C27" s="47">
        <v>12999</v>
      </c>
      <c r="D27" s="3" t="s">
        <v>584</v>
      </c>
      <c r="E27" s="3" t="s">
        <v>572</v>
      </c>
      <c r="F27" s="3" t="s">
        <v>638</v>
      </c>
      <c r="G27" s="3" t="s">
        <v>631</v>
      </c>
    </row>
    <row r="28" spans="2:7" x14ac:dyDescent="0.25">
      <c r="B28" s="3" t="s">
        <v>639</v>
      </c>
      <c r="C28" s="47">
        <v>3185</v>
      </c>
      <c r="D28" s="3" t="s">
        <v>584</v>
      </c>
      <c r="E28" s="3" t="s">
        <v>572</v>
      </c>
      <c r="F28" s="3" t="s">
        <v>640</v>
      </c>
      <c r="G28" s="3" t="s">
        <v>631</v>
      </c>
    </row>
    <row r="29" spans="2:7" x14ac:dyDescent="0.25">
      <c r="B29" s="3" t="s">
        <v>641</v>
      </c>
      <c r="C29" s="47">
        <v>4216</v>
      </c>
      <c r="D29" s="3" t="s">
        <v>584</v>
      </c>
      <c r="E29" s="3" t="s">
        <v>572</v>
      </c>
      <c r="F29" s="3" t="s">
        <v>642</v>
      </c>
      <c r="G29" s="3" t="s">
        <v>631</v>
      </c>
    </row>
    <row r="30" spans="2:7" x14ac:dyDescent="0.25">
      <c r="B30" s="3" t="s">
        <v>643</v>
      </c>
      <c r="C30" s="47">
        <v>7018</v>
      </c>
      <c r="D30" s="3" t="s">
        <v>584</v>
      </c>
      <c r="E30" s="3" t="s">
        <v>572</v>
      </c>
      <c r="F30" s="3" t="s">
        <v>644</v>
      </c>
      <c r="G30" s="3" t="s">
        <v>631</v>
      </c>
    </row>
    <row r="31" spans="2:7" x14ac:dyDescent="0.25">
      <c r="B31" s="3" t="s">
        <v>645</v>
      </c>
      <c r="C31" s="47">
        <v>907</v>
      </c>
      <c r="D31" s="3" t="s">
        <v>584</v>
      </c>
      <c r="E31" s="3" t="s">
        <v>572</v>
      </c>
      <c r="F31" s="3" t="s">
        <v>646</v>
      </c>
      <c r="G31" s="3" t="s">
        <v>614</v>
      </c>
    </row>
    <row r="32" spans="2:7" x14ac:dyDescent="0.25">
      <c r="B32" s="3" t="s">
        <v>647</v>
      </c>
      <c r="C32" s="3" t="s">
        <v>648</v>
      </c>
      <c r="D32" s="3" t="s">
        <v>584</v>
      </c>
      <c r="E32" s="3" t="s">
        <v>572</v>
      </c>
      <c r="F32" s="3" t="s">
        <v>649</v>
      </c>
      <c r="G32" s="3" t="s">
        <v>631</v>
      </c>
    </row>
    <row r="33" spans="2:7" x14ac:dyDescent="0.25">
      <c r="B33" s="3" t="s">
        <v>650</v>
      </c>
      <c r="C33" s="48">
        <v>1.075</v>
      </c>
      <c r="D33" s="3" t="s">
        <v>651</v>
      </c>
      <c r="E33" s="3" t="s">
        <v>572</v>
      </c>
      <c r="F33" s="3" t="s">
        <v>652</v>
      </c>
      <c r="G33" s="3" t="s">
        <v>653</v>
      </c>
    </row>
    <row r="34" spans="2:7" x14ac:dyDescent="0.25">
      <c r="B34" s="3" t="s">
        <v>654</v>
      </c>
      <c r="C34" s="48">
        <v>1.05</v>
      </c>
      <c r="D34" s="3" t="s">
        <v>651</v>
      </c>
      <c r="E34" s="3" t="s">
        <v>572</v>
      </c>
      <c r="F34" s="3" t="s">
        <v>655</v>
      </c>
      <c r="G34" s="3" t="s">
        <v>656</v>
      </c>
    </row>
    <row r="36" spans="2:7" x14ac:dyDescent="0.25">
      <c r="B36" s="5" t="s">
        <v>657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C29"/>
  <sheetViews>
    <sheetView workbookViewId="0"/>
  </sheetViews>
  <sheetFormatPr defaultRowHeight="15" x14ac:dyDescent="0.25"/>
  <cols>
    <col min="2" max="2" width="80" customWidth="1"/>
    <col min="3" max="3" width="16" customWidth="1"/>
    <col min="4" max="4" width="12" customWidth="1"/>
  </cols>
  <sheetData>
    <row r="2" spans="2:3" ht="18.75" x14ac:dyDescent="0.3">
      <c r="B2" s="1" t="s">
        <v>658</v>
      </c>
    </row>
    <row r="4" spans="2:3" x14ac:dyDescent="0.25">
      <c r="B4" s="3" t="s">
        <v>659</v>
      </c>
      <c r="C4" s="39" t="str">
        <f>IF(DCF!$D$165&gt;=0.02,"OK","WARN")</f>
        <v>OK</v>
      </c>
    </row>
    <row r="5" spans="2:3" x14ac:dyDescent="0.25">
      <c r="B5" s="3" t="s">
        <v>660</v>
      </c>
      <c r="C5" s="39" t="str">
        <f>IF(DCF!$D$166&lt;=0,"OK","FAIL")</f>
        <v>OK</v>
      </c>
    </row>
    <row r="6" spans="2:3" x14ac:dyDescent="0.25">
      <c r="B6" s="3" t="s">
        <v>661</v>
      </c>
      <c r="C6" s="39" t="str">
        <f>IF(ABS(DCF!$D$32+DCF!$D$33-1)&lt;0.000001,"OK","FAIL")</f>
        <v>OK</v>
      </c>
    </row>
    <row r="7" spans="2:3" x14ac:dyDescent="0.25">
      <c r="B7" s="3" t="s">
        <v>662</v>
      </c>
      <c r="C7" s="39" t="str">
        <f>IF(Engine_Recon!$D$69=Engine_Recon!$D$68,"OK","CHECK")</f>
        <v>OK</v>
      </c>
    </row>
    <row r="8" spans="2:3" x14ac:dyDescent="0.25">
      <c r="B8" s="3" t="s">
        <v>663</v>
      </c>
      <c r="C8" s="39" t="str">
        <f>IF(Engine_Recon!$D$71=Engine_Recon!$D$70,"OK","CHECK")</f>
        <v>OK</v>
      </c>
    </row>
    <row r="9" spans="2:3" x14ac:dyDescent="0.25">
      <c r="B9" s="3" t="s">
        <v>664</v>
      </c>
      <c r="C9" s="39" t="str">
        <f>IF(DCF!$D$189&lt;0.85,"OK","WARN")</f>
        <v>OK</v>
      </c>
    </row>
    <row r="10" spans="2:3" x14ac:dyDescent="0.25">
      <c r="B10" s="3" t="s">
        <v>665</v>
      </c>
      <c r="C10" s="39" t="str">
        <f>IF(AND(DCF!$D$201&gt;=0.5*DCF!$D$40,DCF!$D$201&lt;=2*DCF!$D$40),"OK","WARN")</f>
        <v>OK</v>
      </c>
    </row>
    <row r="11" spans="2:3" x14ac:dyDescent="0.25">
      <c r="B11" s="3" t="s">
        <v>666</v>
      </c>
      <c r="C11" s="39" t="str">
        <f>IF(DCF!$D$192&lt;=DCF!$D$152+0.000001,"OK","CHECK")</f>
        <v>OK</v>
      </c>
    </row>
    <row r="12" spans="2:3" x14ac:dyDescent="0.25">
      <c r="B12" s="3" t="s">
        <v>667</v>
      </c>
      <c r="C12" s="39" t="str">
        <f>IF(ABS(DCF!$D$203-1)&lt;=0.1,"OK","WARN")</f>
        <v>OK</v>
      </c>
    </row>
    <row r="13" spans="2:3" x14ac:dyDescent="0.25">
      <c r="B13" s="3" t="s">
        <v>668</v>
      </c>
      <c r="C13" s="39" t="str">
        <f>IF(ABS(DCF!$E$222-DCF!$D$192)&lt;0.000001,"OK","FAIL")</f>
        <v>OK</v>
      </c>
    </row>
    <row r="14" spans="2:3" x14ac:dyDescent="0.25">
      <c r="B14" s="3" t="s">
        <v>669</v>
      </c>
      <c r="C14" s="39" t="str">
        <f>IF(DCF!$D$200&gt;DCF!$D$34,"OK","WARN")</f>
        <v>OK</v>
      </c>
    </row>
    <row r="15" spans="2:3" x14ac:dyDescent="0.25">
      <c r="B15" s="3" t="s">
        <v>670</v>
      </c>
      <c r="C15" s="39" t="str">
        <f>IF(AND(ABS(Dated_Check!$D$58)&lt;0.05,ABS(Dated_Check!$D$61)&lt;0.05),"OK","WARN")</f>
        <v>OK</v>
      </c>
    </row>
    <row r="16" spans="2:3" x14ac:dyDescent="0.25">
      <c r="B16" s="3" t="s">
        <v>671</v>
      </c>
      <c r="C16" s="39" t="str">
        <f>IF(AND(ABS(Scenarios!$F$7-DCF!$D$192)&lt;0.000001,ABS(Scenarios!$G$7-DCF!$D$194)&lt;0.000001),"OK","FAIL")</f>
        <v>OK</v>
      </c>
    </row>
    <row r="17" spans="2:3" x14ac:dyDescent="0.25">
      <c r="B17" s="3" t="s">
        <v>672</v>
      </c>
      <c r="C17" s="39" t="str">
        <f>IF(ABS(DCF!D101-(-14860))&lt;0.5,"OK","FAIL")</f>
        <v>OK</v>
      </c>
    </row>
    <row r="18" spans="2:3" x14ac:dyDescent="0.25">
      <c r="B18" s="3" t="s">
        <v>673</v>
      </c>
      <c r="C18" s="39" t="str">
        <f>IF(ABS(DCF!E101-(-15353))&lt;0.5,"OK","FAIL")</f>
        <v>OK</v>
      </c>
    </row>
    <row r="19" spans="2:3" x14ac:dyDescent="0.25">
      <c r="B19" s="3" t="s">
        <v>674</v>
      </c>
      <c r="C19" s="39" t="str">
        <f>IF(ABS(DCF!F101-(-8599))&lt;0.5,"OK","FAIL")</f>
        <v>OK</v>
      </c>
    </row>
    <row r="20" spans="2:3" x14ac:dyDescent="0.25">
      <c r="B20" s="3" t="s">
        <v>675</v>
      </c>
      <c r="C20" s="39" t="str">
        <f>IF(ABS(DCF!G101-(-6279))&lt;0.5,"OK","FAIL")</f>
        <v>OK</v>
      </c>
    </row>
    <row r="21" spans="2:3" x14ac:dyDescent="0.25">
      <c r="B21" s="3" t="s">
        <v>676</v>
      </c>
      <c r="C21" s="39" t="str">
        <f>IF(ABS(DCF!H101-(-6232))&lt;0.5,"OK","FAIL")</f>
        <v>OK</v>
      </c>
    </row>
    <row r="22" spans="2:3" x14ac:dyDescent="0.25">
      <c r="B22" s="3" t="s">
        <v>677</v>
      </c>
      <c r="C22" s="39" t="str">
        <f>IF(ABS(DCF!$D$142-DCF!$D$143)&lt;0.5,"OK","FAIL")</f>
        <v>OK</v>
      </c>
    </row>
    <row r="23" spans="2:3" x14ac:dyDescent="0.25">
      <c r="B23" s="3" t="s">
        <v>678</v>
      </c>
      <c r="C23" s="39" t="str">
        <f>IF(ABS(SUM(DCF!D65:D69)-DCF!D70)&lt;0.5,"OK","FAIL")</f>
        <v>OK</v>
      </c>
    </row>
    <row r="24" spans="2:3" x14ac:dyDescent="0.25">
      <c r="B24" s="3" t="s">
        <v>679</v>
      </c>
      <c r="C24" s="39" t="str">
        <f>IF(ABS(SUM(DCF!E65:E69)-DCF!E70)&lt;0.5,"OK","FAIL")</f>
        <v>OK</v>
      </c>
    </row>
    <row r="25" spans="2:3" x14ac:dyDescent="0.25">
      <c r="B25" s="3" t="s">
        <v>680</v>
      </c>
      <c r="C25" s="39" t="str">
        <f>IF(ABS(SUM(DCF!F65:F69)-DCF!F70)&lt;0.5,"OK","FAIL")</f>
        <v>OK</v>
      </c>
    </row>
    <row r="26" spans="2:3" x14ac:dyDescent="0.25">
      <c r="B26" s="3" t="s">
        <v>681</v>
      </c>
      <c r="C26" s="39" t="str">
        <f>IF(ABS(SUM(DCF!G65:G69)-DCF!G70)&lt;0.5,"OK","FAIL")</f>
        <v>OK</v>
      </c>
    </row>
    <row r="27" spans="2:3" x14ac:dyDescent="0.25">
      <c r="B27" s="3" t="s">
        <v>682</v>
      </c>
      <c r="C27" s="39" t="str">
        <f>IF(ABS(SUM(DCF!H65:H69)-DCF!H70)&lt;0.5,"OK","FAIL")</f>
        <v>OK</v>
      </c>
    </row>
    <row r="29" spans="2:3" x14ac:dyDescent="0.25">
      <c r="B29" s="5" t="s">
        <v>683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DCF</vt:lpstr>
      <vt:lpstr>Reverse_DCF</vt:lpstr>
      <vt:lpstr>Levers</vt:lpstr>
      <vt:lpstr>Scenarios</vt:lpstr>
      <vt:lpstr>Dated_Check</vt:lpstr>
      <vt:lpstr>Engine_Recon</vt:lpstr>
      <vt:lpstr>Inputs_Sources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Arturo Romo Alba</cp:lastModifiedBy>
  <dcterms:created xsi:type="dcterms:W3CDTF">2026-10-17T17:06:23Z</dcterms:created>
  <dcterms:modified xsi:type="dcterms:W3CDTF">2026-10-17T17:06:41Z</dcterms:modified>
</cp:coreProperties>
</file>