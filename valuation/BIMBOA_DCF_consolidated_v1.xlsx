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823F59F8-C957-443D-8167-7DA1D739EA4A}" xr6:coauthVersionLast="47" xr6:coauthVersionMax="47" xr10:uidLastSave="{00000000-0000-0000-0000-000000000000}"/>
  <bookViews>
    <workbookView xWindow="27870" yWindow="1440" windowWidth="21600" windowHeight="11295" xr2:uid="{00000000-000D-0000-FFFF-FFFF00000000}"/>
  </bookViews>
  <sheets>
    <sheet name="README" sheetId="1" r:id="rId1"/>
    <sheet name="Inputs" sheetId="2" r:id="rId2"/>
    <sheet name="IS" sheetId="3" r:id="rId3"/>
    <sheet name="BS" sheetId="4" r:id="rId4"/>
    <sheet name="CF" sheetId="5" r:id="rId5"/>
    <sheet name="History" sheetId="6" r:id="rId6"/>
    <sheet name="WACC" sheetId="7" r:id="rId7"/>
    <sheet name="DCF" sheetId="8" r:id="rId8"/>
    <sheet name="Sensitivity" sheetId="9" r:id="rId9"/>
    <sheet name="Compare" sheetId="10" r:id="rId10"/>
    <sheet name="Walks" sheetId="11" r:id="rId11"/>
    <sheet name="Risk_ESG" sheetId="12" r:id="rId12"/>
    <sheet name="Football" sheetId="13" r:id="rId13"/>
    <sheet name="Check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4" l="1"/>
  <c r="C32" i="14"/>
  <c r="D16" i="14"/>
  <c r="E16" i="14" s="1"/>
  <c r="D15" i="14"/>
  <c r="E15" i="14" s="1"/>
  <c r="D14" i="14"/>
  <c r="E14" i="14" s="1"/>
  <c r="D13" i="14"/>
  <c r="E13" i="14" s="1"/>
  <c r="D12" i="14"/>
  <c r="E12" i="14" s="1"/>
  <c r="D11" i="14"/>
  <c r="E11" i="14" s="1"/>
  <c r="D10" i="14"/>
  <c r="E10" i="14" s="1"/>
  <c r="D9" i="14"/>
  <c r="E9" i="14" s="1"/>
  <c r="D8" i="14"/>
  <c r="E8" i="14" s="1"/>
  <c r="D7" i="14"/>
  <c r="E7" i="14" s="1"/>
  <c r="D6" i="14"/>
  <c r="E6" i="14" s="1"/>
  <c r="D5" i="14"/>
  <c r="E5" i="14" s="1"/>
  <c r="C22" i="11"/>
  <c r="B54" i="8"/>
  <c r="B39" i="8"/>
  <c r="B37" i="8"/>
  <c r="B27" i="8"/>
  <c r="E21" i="8"/>
  <c r="F21" i="8" s="1"/>
  <c r="G21" i="8" s="1"/>
  <c r="D21" i="8"/>
  <c r="C21" i="8"/>
  <c r="C20" i="8"/>
  <c r="B5" i="8"/>
  <c r="B32" i="14" s="1"/>
  <c r="D32" i="14" s="1"/>
  <c r="E32" i="14" s="1"/>
  <c r="B23" i="7"/>
  <c r="B22" i="7"/>
  <c r="B12" i="7"/>
  <c r="B10" i="7"/>
  <c r="B9" i="7"/>
  <c r="B8" i="7"/>
  <c r="B6" i="7"/>
  <c r="F69" i="6"/>
  <c r="E69" i="6"/>
  <c r="D69" i="6"/>
  <c r="C69" i="6"/>
  <c r="B69" i="6"/>
  <c r="F68" i="6"/>
  <c r="E68" i="6"/>
  <c r="D68" i="6"/>
  <c r="C68" i="6"/>
  <c r="B68" i="6"/>
  <c r="F67" i="6"/>
  <c r="E67" i="6"/>
  <c r="D67" i="6"/>
  <c r="C67" i="6"/>
  <c r="B67" i="6"/>
  <c r="F66" i="6"/>
  <c r="E66" i="6"/>
  <c r="D66" i="6"/>
  <c r="C66" i="6"/>
  <c r="B66" i="6"/>
  <c r="F63" i="6"/>
  <c r="E63" i="6"/>
  <c r="D63" i="6"/>
  <c r="C63" i="6"/>
  <c r="B63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4" i="6"/>
  <c r="F45" i="6" s="1"/>
  <c r="E44" i="6"/>
  <c r="E45" i="6" s="1"/>
  <c r="D44" i="6"/>
  <c r="D45" i="6" s="1"/>
  <c r="C44" i="6"/>
  <c r="C45" i="6" s="1"/>
  <c r="B44" i="6"/>
  <c r="B45" i="6" s="1"/>
  <c r="B30" i="14" s="1"/>
  <c r="D30" i="14" s="1"/>
  <c r="E30" i="14" s="1"/>
  <c r="F27" i="6"/>
  <c r="E27" i="6"/>
  <c r="D27" i="6"/>
  <c r="C27" i="6"/>
  <c r="B27" i="6"/>
  <c r="F24" i="6"/>
  <c r="E24" i="6"/>
  <c r="D24" i="6"/>
  <c r="C24" i="6"/>
  <c r="B24" i="6"/>
  <c r="B17" i="6"/>
  <c r="B16" i="6"/>
  <c r="B15" i="6"/>
  <c r="B14" i="6"/>
  <c r="F7" i="6"/>
  <c r="E7" i="6"/>
  <c r="D7" i="6"/>
  <c r="C7" i="6"/>
  <c r="F6" i="6"/>
  <c r="E6" i="6"/>
  <c r="D6" i="6"/>
  <c r="C6" i="6"/>
  <c r="B18" i="6" s="1"/>
  <c r="F12" i="5"/>
  <c r="F28" i="6" s="1"/>
  <c r="E12" i="5"/>
  <c r="E28" i="6" s="1"/>
  <c r="D12" i="5"/>
  <c r="D28" i="6" s="1"/>
  <c r="C12" i="5"/>
  <c r="C28" i="6" s="1"/>
  <c r="B12" i="5"/>
  <c r="B28" i="6" s="1"/>
  <c r="F8" i="5"/>
  <c r="F10" i="5" s="1"/>
  <c r="F26" i="6" s="1"/>
  <c r="E8" i="5"/>
  <c r="E10" i="5" s="1"/>
  <c r="E26" i="6" s="1"/>
  <c r="D8" i="5"/>
  <c r="D10" i="5" s="1"/>
  <c r="D26" i="6" s="1"/>
  <c r="C8" i="5"/>
  <c r="C10" i="5" s="1"/>
  <c r="C26" i="6" s="1"/>
  <c r="B8" i="5"/>
  <c r="B10" i="5" s="1"/>
  <c r="B26" i="6" s="1"/>
  <c r="F32" i="4"/>
  <c r="E32" i="4"/>
  <c r="F13" i="5" s="1"/>
  <c r="D81" i="2" s="1"/>
  <c r="B18" i="8" s="1"/>
  <c r="B17" i="8" s="1"/>
  <c r="D32" i="4"/>
  <c r="E13" i="5" s="1"/>
  <c r="C32" i="4"/>
  <c r="D13" i="5" s="1"/>
  <c r="B32" i="4"/>
  <c r="C13" i="5" s="1"/>
  <c r="F29" i="4"/>
  <c r="F30" i="4" s="1"/>
  <c r="F31" i="4" s="1"/>
  <c r="F34" i="6" s="1"/>
  <c r="E29" i="4"/>
  <c r="E30" i="4" s="1"/>
  <c r="E31" i="4" s="1"/>
  <c r="E34" i="6" s="1"/>
  <c r="D29" i="4"/>
  <c r="D30" i="4" s="1"/>
  <c r="D31" i="4" s="1"/>
  <c r="D34" i="6" s="1"/>
  <c r="C29" i="4"/>
  <c r="C30" i="4" s="1"/>
  <c r="C31" i="4" s="1"/>
  <c r="C34" i="6" s="1"/>
  <c r="B29" i="4"/>
  <c r="B30" i="4" s="1"/>
  <c r="B31" i="4" s="1"/>
  <c r="B34" i="6" s="1"/>
  <c r="F26" i="4"/>
  <c r="E26" i="4"/>
  <c r="D26" i="4"/>
  <c r="C26" i="4"/>
  <c r="B26" i="4"/>
  <c r="F19" i="4"/>
  <c r="F23" i="4" s="1"/>
  <c r="F27" i="4" s="1"/>
  <c r="E19" i="4"/>
  <c r="E23" i="4" s="1"/>
  <c r="E27" i="4" s="1"/>
  <c r="D19" i="4"/>
  <c r="D23" i="4" s="1"/>
  <c r="D27" i="4" s="1"/>
  <c r="C19" i="4"/>
  <c r="C23" i="4" s="1"/>
  <c r="C27" i="4" s="1"/>
  <c r="B19" i="4"/>
  <c r="B23" i="4" s="1"/>
  <c r="B27" i="4" s="1"/>
  <c r="F9" i="4"/>
  <c r="E9" i="4"/>
  <c r="D9" i="4"/>
  <c r="C9" i="4"/>
  <c r="B9" i="4"/>
  <c r="F7" i="3"/>
  <c r="E7" i="3"/>
  <c r="D7" i="3"/>
  <c r="C7" i="3"/>
  <c r="B7" i="3"/>
  <c r="D80" i="2"/>
  <c r="B16" i="8" s="1"/>
  <c r="D79" i="2"/>
  <c r="B15" i="8" s="1"/>
  <c r="B14" i="8" s="1"/>
  <c r="D78" i="2"/>
  <c r="B10" i="8" s="1"/>
  <c r="B9" i="8" s="1"/>
  <c r="D77" i="2"/>
  <c r="B8" i="8" s="1"/>
  <c r="D76" i="2"/>
  <c r="F70" i="2"/>
  <c r="G17" i="8" s="1"/>
  <c r="E70" i="2"/>
  <c r="F17" i="8" s="1"/>
  <c r="D70" i="2"/>
  <c r="E17" i="8" s="1"/>
  <c r="C70" i="2"/>
  <c r="D17" i="8" s="1"/>
  <c r="B70" i="2"/>
  <c r="C17" i="8" s="1"/>
  <c r="F67" i="2"/>
  <c r="G14" i="8" s="1"/>
  <c r="E67" i="2"/>
  <c r="F14" i="8" s="1"/>
  <c r="D67" i="2"/>
  <c r="E14" i="8" s="1"/>
  <c r="C67" i="2"/>
  <c r="D14" i="8" s="1"/>
  <c r="B67" i="2"/>
  <c r="C14" i="8" s="1"/>
  <c r="F64" i="2"/>
  <c r="G9" i="8" s="1"/>
  <c r="E64" i="2"/>
  <c r="F9" i="8" s="1"/>
  <c r="D64" i="2"/>
  <c r="E9" i="8" s="1"/>
  <c r="C64" i="2"/>
  <c r="D9" i="8" s="1"/>
  <c r="B64" i="2"/>
  <c r="C9" i="8" s="1"/>
  <c r="F61" i="2"/>
  <c r="G7" i="8" s="1"/>
  <c r="E61" i="2"/>
  <c r="F7" i="8" s="1"/>
  <c r="D61" i="2"/>
  <c r="E7" i="8" s="1"/>
  <c r="C61" i="2"/>
  <c r="D7" i="8" s="1"/>
  <c r="B61" i="2"/>
  <c r="C7" i="8" s="1"/>
  <c r="F58" i="2"/>
  <c r="G6" i="8" s="1"/>
  <c r="E58" i="2"/>
  <c r="F6" i="8" s="1"/>
  <c r="D58" i="2"/>
  <c r="E6" i="8" s="1"/>
  <c r="C58" i="2"/>
  <c r="D6" i="8" s="1"/>
  <c r="B58" i="2"/>
  <c r="C6" i="8" s="1"/>
  <c r="C52" i="2"/>
  <c r="D52" i="2" s="1"/>
  <c r="B52" i="2"/>
  <c r="C41" i="2" s="1"/>
  <c r="D40" i="2" s="1"/>
  <c r="B13" i="1" s="1"/>
  <c r="D51" i="2"/>
  <c r="D50" i="2"/>
  <c r="D49" i="2"/>
  <c r="D48" i="2"/>
  <c r="D44" i="2"/>
  <c r="B47" i="8" s="1"/>
  <c r="D43" i="2"/>
  <c r="D42" i="2"/>
  <c r="D37" i="2"/>
  <c r="B4" i="7" s="1"/>
  <c r="D15" i="2"/>
  <c r="B14" i="1"/>
  <c r="B13" i="7" l="1"/>
  <c r="B6" i="8"/>
  <c r="C5" i="8"/>
  <c r="F73" i="6"/>
  <c r="F71" i="6"/>
  <c r="F64" i="6"/>
  <c r="F72" i="6"/>
  <c r="F74" i="6"/>
  <c r="E71" i="6"/>
  <c r="E73" i="6"/>
  <c r="E74" i="6"/>
  <c r="E72" i="6"/>
  <c r="E64" i="6"/>
  <c r="D71" i="6"/>
  <c r="D72" i="6"/>
  <c r="D74" i="6"/>
  <c r="D64" i="6"/>
  <c r="D73" i="6"/>
  <c r="C73" i="6"/>
  <c r="C74" i="6"/>
  <c r="C71" i="6"/>
  <c r="C64" i="6"/>
  <c r="C72" i="6"/>
  <c r="B72" i="6"/>
  <c r="B64" i="6"/>
  <c r="B73" i="6"/>
  <c r="B71" i="6"/>
  <c r="B74" i="6"/>
  <c r="F13" i="4"/>
  <c r="F36" i="6"/>
  <c r="E13" i="4"/>
  <c r="E36" i="6"/>
  <c r="D13" i="4"/>
  <c r="D36" i="6"/>
  <c r="C13" i="4"/>
  <c r="C36" i="6"/>
  <c r="B36" i="6"/>
  <c r="B13" i="4"/>
  <c r="F21" i="6"/>
  <c r="F9" i="3"/>
  <c r="E21" i="6"/>
  <c r="E9" i="3"/>
  <c r="D21" i="6"/>
  <c r="D9" i="3"/>
  <c r="C21" i="6"/>
  <c r="C9" i="3"/>
  <c r="B21" i="6"/>
  <c r="B9" i="3"/>
  <c r="B11" i="8"/>
  <c r="B33" i="14"/>
  <c r="D33" i="14" s="1"/>
  <c r="E33" i="14" s="1"/>
  <c r="B7" i="8"/>
  <c r="B14" i="9"/>
  <c r="B46" i="8"/>
  <c r="C14" i="9"/>
  <c r="E14" i="9"/>
  <c r="D14" i="9"/>
  <c r="F14" i="9"/>
  <c r="B29" i="8"/>
  <c r="D5" i="9"/>
  <c r="B36" i="8"/>
  <c r="D36" i="2"/>
  <c r="B5" i="7" s="1"/>
  <c r="D5" i="8" l="1"/>
  <c r="C8" i="8"/>
  <c r="C10" i="8"/>
  <c r="C15" i="8"/>
  <c r="C16" i="8"/>
  <c r="C18" i="8"/>
  <c r="F15" i="4"/>
  <c r="F28" i="4"/>
  <c r="E15" i="4"/>
  <c r="E28" i="4"/>
  <c r="D15" i="4"/>
  <c r="D28" i="4"/>
  <c r="C15" i="4"/>
  <c r="C28" i="4"/>
  <c r="B15" i="4"/>
  <c r="B28" i="14" s="1"/>
  <c r="D28" i="14" s="1"/>
  <c r="E28" i="14" s="1"/>
  <c r="B28" i="4"/>
  <c r="F13" i="3"/>
  <c r="F32" i="6" s="1"/>
  <c r="F8" i="6"/>
  <c r="F22" i="6"/>
  <c r="F23" i="3"/>
  <c r="F23" i="6" s="1"/>
  <c r="F35" i="6"/>
  <c r="E13" i="3"/>
  <c r="E8" i="6"/>
  <c r="E22" i="6"/>
  <c r="E32" i="6"/>
  <c r="E23" i="3"/>
  <c r="E23" i="6" s="1"/>
  <c r="E35" i="6"/>
  <c r="D13" i="3"/>
  <c r="D32" i="6" s="1"/>
  <c r="D8" i="6"/>
  <c r="D22" i="6"/>
  <c r="D23" i="3"/>
  <c r="D23" i="6" s="1"/>
  <c r="D35" i="6"/>
  <c r="C13" i="3"/>
  <c r="C8" i="6"/>
  <c r="C22" i="6"/>
  <c r="C32" i="6"/>
  <c r="C23" i="3"/>
  <c r="C23" i="6" s="1"/>
  <c r="C35" i="6"/>
  <c r="B13" i="3"/>
  <c r="B22" i="6"/>
  <c r="B23" i="3"/>
  <c r="B23" i="6" s="1"/>
  <c r="B35" i="6"/>
  <c r="B12" i="8"/>
  <c r="B13" i="8"/>
  <c r="B19" i="8" s="1"/>
  <c r="B49" i="8"/>
  <c r="B7" i="7"/>
  <c r="B11" i="7" s="1"/>
  <c r="B14" i="7"/>
  <c r="B15" i="7" s="1"/>
  <c r="B16" i="7" s="1"/>
  <c r="B31" i="14"/>
  <c r="D31" i="14" s="1"/>
  <c r="E31" i="14" s="1"/>
  <c r="E5" i="8" l="1"/>
  <c r="D8" i="8"/>
  <c r="D10" i="8"/>
  <c r="D15" i="8"/>
  <c r="D16" i="8"/>
  <c r="D18" i="8"/>
  <c r="F15" i="3"/>
  <c r="F33" i="6"/>
  <c r="E15" i="3"/>
  <c r="E33" i="6"/>
  <c r="D15" i="3"/>
  <c r="D33" i="6"/>
  <c r="C15" i="3"/>
  <c r="C33" i="6"/>
  <c r="B15" i="3"/>
  <c r="B33" i="6"/>
  <c r="B12" i="1"/>
  <c r="D73" i="8"/>
  <c r="D72" i="8"/>
  <c r="B20" i="1" s="1"/>
  <c r="B42" i="8"/>
  <c r="C16" i="12" s="1"/>
  <c r="B38" i="8"/>
  <c r="B24" i="7"/>
  <c r="E22" i="8"/>
  <c r="A6" i="9"/>
  <c r="A9" i="9"/>
  <c r="D22" i="8"/>
  <c r="G22" i="8"/>
  <c r="A7" i="9"/>
  <c r="A8" i="9"/>
  <c r="A15" i="9"/>
  <c r="A18" i="9"/>
  <c r="A19" i="9"/>
  <c r="C22" i="8"/>
  <c r="F22" i="8"/>
  <c r="A10" i="9"/>
  <c r="A16" i="9"/>
  <c r="A17" i="9"/>
  <c r="B18" i="14"/>
  <c r="D18" i="14" s="1"/>
  <c r="E18" i="14" s="1"/>
  <c r="B11" i="1"/>
  <c r="B29" i="14"/>
  <c r="D29" i="14" s="1"/>
  <c r="E29" i="14" s="1"/>
  <c r="C11" i="8"/>
  <c r="F5" i="8" l="1"/>
  <c r="E8" i="8"/>
  <c r="E10" i="8"/>
  <c r="E15" i="8"/>
  <c r="E16" i="8"/>
  <c r="E18" i="8"/>
  <c r="F17" i="3"/>
  <c r="F19" i="3"/>
  <c r="E17" i="3"/>
  <c r="E19" i="3"/>
  <c r="D17" i="3"/>
  <c r="D19" i="3"/>
  <c r="C17" i="3"/>
  <c r="C19" i="3"/>
  <c r="B17" i="3"/>
  <c r="B27" i="14" s="1"/>
  <c r="D27" i="14" s="1"/>
  <c r="E27" i="14" s="1"/>
  <c r="B19" i="3"/>
  <c r="C12" i="8"/>
  <c r="C13" i="8" s="1"/>
  <c r="C19" i="8" s="1"/>
  <c r="D11" i="8"/>
  <c r="G5" i="8" l="1"/>
  <c r="F8" i="8"/>
  <c r="F10" i="8"/>
  <c r="F15" i="8"/>
  <c r="F16" i="8"/>
  <c r="F18" i="8"/>
  <c r="F21" i="3"/>
  <c r="F9" i="6"/>
  <c r="F25" i="6"/>
  <c r="F31" i="6"/>
  <c r="E21" i="3"/>
  <c r="E9" i="6"/>
  <c r="E25" i="6"/>
  <c r="E31" i="6"/>
  <c r="D21" i="3"/>
  <c r="D9" i="6"/>
  <c r="D25" i="6"/>
  <c r="D31" i="6"/>
  <c r="C21" i="3"/>
  <c r="C9" i="6"/>
  <c r="C25" i="6"/>
  <c r="C31" i="6"/>
  <c r="B25" i="6"/>
  <c r="B21" i="3"/>
  <c r="C23" i="8"/>
  <c r="D12" i="8"/>
  <c r="D13" i="8" s="1"/>
  <c r="D19" i="8" s="1"/>
  <c r="E11" i="8"/>
  <c r="E10" i="6" l="1"/>
  <c r="G8" i="8"/>
  <c r="G10" i="8"/>
  <c r="G15" i="8"/>
  <c r="G16" i="8"/>
  <c r="G18" i="8"/>
  <c r="B25" i="14"/>
  <c r="D25" i="14" s="1"/>
  <c r="E25" i="14" s="1"/>
  <c r="E12" i="8"/>
  <c r="E13" i="8" s="1"/>
  <c r="E19" i="8" s="1"/>
  <c r="F11" i="8"/>
  <c r="F10" i="6"/>
  <c r="D10" i="6"/>
  <c r="C10" i="6"/>
  <c r="D23" i="8"/>
  <c r="G11" i="8" l="1"/>
  <c r="B30" i="8"/>
  <c r="F12" i="8"/>
  <c r="F13" i="8" s="1"/>
  <c r="F19" i="8" s="1"/>
  <c r="E23" i="8"/>
  <c r="G12" i="8" l="1"/>
  <c r="G13" i="8"/>
  <c r="B31" i="8"/>
  <c r="F23" i="8"/>
  <c r="B61" i="8" l="1"/>
  <c r="G19" i="8"/>
  <c r="B48" i="8"/>
  <c r="B50" i="8" s="1"/>
  <c r="B51" i="8" s="1"/>
  <c r="C17" i="9" l="1"/>
  <c r="F19" i="9"/>
  <c r="C16" i="9"/>
  <c r="F10" i="9"/>
  <c r="C6" i="9"/>
  <c r="F6" i="9"/>
  <c r="B19" i="9"/>
  <c r="F15" i="9"/>
  <c r="E18" i="9"/>
  <c r="C15" i="9"/>
  <c r="E9" i="9"/>
  <c r="F17" i="9"/>
  <c r="F9" i="9"/>
  <c r="B9" i="9"/>
  <c r="B8" i="9"/>
  <c r="E10" i="9"/>
  <c r="D9" i="9"/>
  <c r="B17" i="9"/>
  <c r="D16" i="9"/>
  <c r="D10" i="9"/>
  <c r="D7" i="9"/>
  <c r="C18" i="9"/>
  <c r="F18" i="9"/>
  <c r="B18" i="9"/>
  <c r="C7" i="9"/>
  <c r="F8" i="9"/>
  <c r="C19" i="9"/>
  <c r="B15" i="9"/>
  <c r="E15" i="9"/>
  <c r="C10" i="9"/>
  <c r="E7" i="9"/>
  <c r="F16" i="9"/>
  <c r="D19" i="9"/>
  <c r="E19" i="9"/>
  <c r="D17" i="9"/>
  <c r="B24" i="14" s="1"/>
  <c r="D18" i="9"/>
  <c r="B7" i="9"/>
  <c r="D6" i="9"/>
  <c r="E16" i="9"/>
  <c r="B34" i="8"/>
  <c r="E17" i="9"/>
  <c r="E8" i="9"/>
  <c r="F7" i="9"/>
  <c r="B26" i="14"/>
  <c r="D26" i="14" s="1"/>
  <c r="E26" i="14" s="1"/>
  <c r="B16" i="9"/>
  <c r="D15" i="9"/>
  <c r="C9" i="9"/>
  <c r="D8" i="9"/>
  <c r="B23" i="14" s="1"/>
  <c r="B10" i="9"/>
  <c r="E6" i="9"/>
  <c r="B6" i="9"/>
  <c r="C8" i="9"/>
  <c r="B59" i="8"/>
  <c r="G23" i="8"/>
  <c r="B26" i="8" s="1"/>
  <c r="B52" i="8"/>
  <c r="B57" i="8"/>
  <c r="B32" i="8" l="1"/>
  <c r="B53" i="8"/>
  <c r="B55" i="8" s="1"/>
  <c r="B56" i="8" s="1"/>
  <c r="B60" i="8"/>
  <c r="B62" i="8"/>
  <c r="B33" i="8" l="1"/>
  <c r="B40" i="8"/>
  <c r="B41" i="8" s="1"/>
  <c r="B43" i="8" s="1"/>
  <c r="B67" i="8"/>
  <c r="C67" i="8" s="1"/>
  <c r="D67" i="8" s="1"/>
  <c r="B20" i="14"/>
  <c r="D20" i="14" s="1"/>
  <c r="E20" i="14" s="1"/>
  <c r="B16" i="1"/>
  <c r="C24" i="14"/>
  <c r="D24" i="14" s="1"/>
  <c r="E24" i="14" s="1"/>
  <c r="B68" i="8"/>
  <c r="C68" i="8" s="1"/>
  <c r="D68" i="8" s="1"/>
  <c r="B21" i="14"/>
  <c r="D21" i="14" s="1"/>
  <c r="E21" i="14" s="1"/>
  <c r="B17" i="1"/>
  <c r="B22" i="14"/>
  <c r="D22" i="14" s="1"/>
  <c r="E22" i="14" s="1"/>
  <c r="B69" i="8"/>
  <c r="C69" i="8" s="1"/>
  <c r="D69" i="8" s="1"/>
  <c r="B44" i="8" l="1"/>
  <c r="B66" i="8"/>
  <c r="C66" i="8" s="1"/>
  <c r="B19" i="14"/>
  <c r="D19" i="14" s="1"/>
  <c r="E19" i="14" s="1"/>
  <c r="E35" i="14" s="1"/>
  <c r="B21" i="1" s="1"/>
  <c r="B15" i="1"/>
  <c r="C23" i="14"/>
  <c r="D23" i="14" s="1"/>
  <c r="E23" i="14" s="1"/>
  <c r="D66" i="8" l="1"/>
  <c r="B19" i="1" s="1"/>
  <c r="B18" i="1"/>
</calcChain>
</file>

<file path=xl/sharedStrings.xml><?xml version="1.0" encoding="utf-8"?>
<sst xmlns="http://schemas.openxmlformats.org/spreadsheetml/2006/main" count="959" uniqueCount="620">
  <si>
    <t>Grupo Bimbo (BIMBO A) - consolidated DCF v1 (assistant proposal, 2026-10-19)</t>
  </si>
  <si>
    <t>Built from the team's three models: v3 (valuation/), Alejandro and Diego (valuation/team-models/). Target price and rating stay with the team.</t>
  </si>
  <si>
    <t>What this is</t>
  </si>
  <si>
    <t>One DCF on averaged judgments. Facts (debt, cash, shares) take one sourced value and mechanics (valuation date, lease reinvestment, bridge) take one convention, because averaging a data error with a correct figure only halves the error.</t>
  </si>
  <si>
    <t>Why 50/50</t>
  </si>
  <si>
    <t>Alejandro's model carries the v3 inputs (his FCFF and WACC equal v3), so there are two input sets, not three. Set Inputs!D6 to 0.6667 to give each model one third.</t>
  </si>
  <si>
    <t>Sheets</t>
  </si>
  <si>
    <t>Inputs (decision cells in yellow) -&gt; IS, BS, CF and History (audited FY2021-FY2025, from data/financials.csv) -&gt; WACC -&gt; DCF -&gt; Sensitivity. Compare, Walks, Risk_ESG and Football explain the numbers; Checks ties everything to the Python replica and the statements to their reported totals.</t>
  </si>
  <si>
    <t>Colour code</t>
  </si>
  <si>
    <t>Blue = typed value; black = formula; yellow = decision cell; green = key result.</t>
  </si>
  <si>
    <t>Rebuild</t>
  </si>
  <si>
    <t>python -I valuation/build/consolidate_models.py --project . ; python -I valuation/build/build_consolidated_workbook.py --project . ; recalc_excel.ps1 ; scan_errors.py</t>
  </si>
  <si>
    <t>Key results (live)</t>
  </si>
  <si>
    <t>WACC</t>
  </si>
  <si>
    <t>Cost of equity</t>
  </si>
  <si>
    <t>Exit EV/EBITDA</t>
  </si>
  <si>
    <t>Terminal growth</t>
  </si>
  <si>
    <t>Value per share today - exit multiple</t>
  </si>
  <si>
    <t>Value per share today - Gordon, RONIC-consistent</t>
  </si>
  <si>
    <t>Value per share today - Gordon, template style (reference)</t>
  </si>
  <si>
    <t>12-month value, exit (guide convention)</t>
  </si>
  <si>
    <t>Expected return, exit (guide convention)</t>
  </si>
  <si>
    <t>Value today needed for the HOLD floor</t>
  </si>
  <si>
    <t>All checks</t>
  </si>
  <si>
    <t>Consolidated DCF inputs - Grupo Bimbo (BIMBO A)</t>
  </si>
  <si>
    <t>MXN millions unless stated. Valuation date 16-Oct-2026; balance sheet and cash-flow anchor 30-Jun-2026. Blue = typed value; black = formula; yellow = decision cell the team can change.</t>
  </si>
  <si>
    <t>Rule: facts take one sourced value; mechanics take one convention (the technically correct one); only judgments are averaged, with weight w on the v3 set. Alejandro's model carries the v3 inputs, so it is not a third independent set.</t>
  </si>
  <si>
    <t>Input</t>
  </si>
  <si>
    <t>v3 / Alejandro</t>
  </si>
  <si>
    <t>Diego</t>
  </si>
  <si>
    <t>Consolidated (used)</t>
  </si>
  <si>
    <t>Tag</t>
  </si>
  <si>
    <t>Bucket</t>
  </si>
  <si>
    <t>Rule and source</t>
  </si>
  <si>
    <t>Weight on the v3 input set (w)</t>
  </si>
  <si>
    <t>[assumption]</t>
  </si>
  <si>
    <t>Method</t>
  </si>
  <si>
    <t>0.5 = two independent input sets (recommended). 0.6667 = one third per model, which gives v3 two thirds because Alejandro's model carries the v3 inputs.</t>
  </si>
  <si>
    <t>Diego exit-multiple basis (clean / raw)</t>
  </si>
  <si>
    <t>clean</t>
  </si>
  <si>
    <t>clean = Diego's own rule (median of his four core peers) on the lease-consistent peer table (v3); raw = his 6.4x, built on US GAAP multiples with operating-lease cost inside EBITDA and Gruma's CIQ EBITDA.</t>
  </si>
  <si>
    <t>NCI treatment (market / book)</t>
  </si>
  <si>
    <t>market</t>
  </si>
  <si>
    <t>Mechanic (provisional)</t>
  </si>
  <si>
    <t>market = NCI income / (ke - NCI growth): BBU independent operators withdraw more than their book equity every year (valuation.md section 5). book = 721.7 at 30-Jun-2026. Open team decision.</t>
  </si>
  <si>
    <t>A. Facts (one sourced value; not averaged)</t>
  </si>
  <si>
    <t>Share price, 16-Oct-2026 (MXN)</t>
  </si>
  <si>
    <t>[sourced]</t>
  </si>
  <si>
    <t>Fact</t>
  </si>
  <si>
    <t>BMV official close (PPP) 16-Oct-2026</t>
  </si>
  <si>
    <t>Shares outstanding (millions)</t>
  </si>
  <si>
    <t>BMV notice 29-Jul-2026 (4,294.9m, after the April-2026 cancellation). Diego: Capital IQ 30-Jun-2026</t>
  </si>
  <si>
    <t>Financial debt, 30-Jun-2026</t>
  </si>
  <si>
    <t>2Q26 release p.6; ties to Capital IQ debt ex leases and derivatives (wiki ciq-debt-stack-and-maturity-ladder)</t>
  </si>
  <si>
    <t>Lease liabilities (IFRS 16), 30-Jun-2026</t>
  </si>
  <si>
    <t>Capital IQ balance sheet 2026 FQ2 (7,113 + 26,248)</t>
  </si>
  <si>
    <t>Debt incl. leases</t>
  </si>
  <si>
    <t>[calc]</t>
  </si>
  <si>
    <t>[calc] reconciliation, for Diego to confirm: CIQ total debt is MXN 189,679 = 153,660 + 33,361 + 2,658 derivative adjustments (wiki ciq-debt-stack-and-maturity-ladder). CIQ's peso and dollar figures imply 17.47 MXN/US$; Diego reconverted US$10,855m at 17.96 (+5,239), the rate that wiki bimbo-wacc-market-inputs-capiq-2026-10 says CIQ used. Evidence for 17.47: US$948m cash x 17.47 = 16,565 vs company 16,563</t>
  </si>
  <si>
    <t>Cash and equivalents, 30-Jun-2026</t>
  </si>
  <si>
    <t>Company 16,563 (net debt 137,097, 2Q26 release p.6). Diego's 17,023 = US$948m at 17.96 (+460)</t>
  </si>
  <si>
    <t>NCI annual income</t>
  </si>
  <si>
    <t>1H26 x 2 (Alejandro Datos_Bimbo D18; valuation.md section 5)</t>
  </si>
  <si>
    <t>NCI income growth (for the market value)</t>
  </si>
  <si>
    <t>Judgment (v3)</t>
  </si>
  <si>
    <t>Tied to North America (about 3% in pesos); valuation/inputs/spg_inputs.yaml nci_claim</t>
  </si>
  <si>
    <t>NCI at book</t>
  </si>
  <si>
    <t>30-Jun-2026 (Diego: Dec-2025 book 743)</t>
  </si>
  <si>
    <t>Investments in associates</t>
  </si>
  <si>
    <t>Mechanic</t>
  </si>
  <si>
    <t>Non-operating asset; its results sit below EBIT, so the DCF does not capture it. Diego omits it</t>
  </si>
  <si>
    <t>Seasonal income tax payable (1H26, paid in 2H26)</t>
  </si>
  <si>
    <t>The 2H26 flow is counted in full, so the tax accrued in 1H26 that inflates June cash is deducted</t>
  </si>
  <si>
    <t>Other debt-like claims (Gordon only)</t>
  </si>
  <si>
    <t>Pensions, provisions incl. uncertain tax positions, derivatives (Alejandro Datos_Bimbo D21). Peer EVs exclude them, so the exit method does not deduct them (v3 rule)</t>
  </si>
  <si>
    <t>FY2025 revenue</t>
  </si>
  <si>
    <t>EEFF25; data/financials.csv</t>
  </si>
  <si>
    <t>Lease principal paid / revenue</t>
  </si>
  <si>
    <t>FY2025 5,923 / 426,952 (model/drivers.yaml rounds to 1.39%)</t>
  </si>
  <si>
    <t>Lease liability / revenue (held)</t>
  </si>
  <si>
    <t>FY2025 34,790 / 426,952. New leases = principal + growth in the liability (v3 published basis). Diego's principal-only basis keeps the liability flat while revenue grows, so it understates reinvestment</t>
  </si>
  <si>
    <t>Stub days (30-Jun to 31-Dec-2026)</t>
  </si>
  <si>
    <t>Cash flows and the balance sheet on the same date (30-Jun). Diego discounts from 16-Oct with a 76-day stub but keeps the 30-Jun balance sheet, which drops about 3.5 months of cash flow</t>
  </si>
  <si>
    <t>Days from 30-Jun to 16-Oct-2026 (roll-forward at ke)</t>
  </si>
  <si>
    <t>No dividend was paid between the two dates (the 2026 dividend was paid 13-May-2026)</t>
  </si>
  <si>
    <t>Next unpaid dividend per share</t>
  </si>
  <si>
    <t>Consensus DPS FY2027E (CIQ 20-Sep-2026); valuation-outputs.yaml</t>
  </si>
  <si>
    <t>B. Cost of capital (same sources in all three models; only the beta and the debt figure differ)</t>
  </si>
  <si>
    <t>Risk-free: M-Bono 10y 9.26% - Mexico default spread 1.75%</t>
  </si>
  <si>
    <t>[sourced]/[calc]</t>
  </si>
  <si>
    <t>Capital IQ 16-Oct-2026; Damodaran July 2026 (Baa3)</t>
  </si>
  <si>
    <t>Equity risk premium (mature market)</t>
  </si>
  <si>
    <t>Damodaran implied ERP</t>
  </si>
  <si>
    <t>Country risk premium, weighted by FY2025 Adj. EBITDA</t>
  </si>
  <si>
    <t>Same method and weights in all three models (NA 28.8%, Mexico 55.4%, EAA 9.8%, LatAm 6.0%); added once to ke</t>
  </si>
  <si>
    <t>Pre-tax cost of debt: M-Bono + 45 bp (BIMBO 26)</t>
  </si>
  <si>
    <t>Issue spread of the Feb-2026 bond</t>
  </si>
  <si>
    <t>Marginal tax rate (tax shield, relevering)</t>
  </si>
  <si>
    <t>Mexican statutory rate</t>
  </si>
  <si>
    <t>D/E, market value, debt incl. leases</t>
  </si>
  <si>
    <t>Both chose the current market structure; Diego's differs only through his debt figure (row 15)</t>
  </si>
  <si>
    <t>Unlevered beta</t>
  </si>
  <si>
    <t>Judgment</t>
  </si>
  <si>
    <t>Damodaran Food Processing (Global): v3 0.53 (Jan-2026 file); Diego 0.56 (cash-corrected)</t>
  </si>
  <si>
    <t>C. Terminal value and tax on operating profit (judgments, averaged)</t>
  </si>
  <si>
    <t>Exit EV/EBITDA on FY2030 EBITDA</t>
  </si>
  <si>
    <t>v3: judgment above the core bakery median (5.53x) for the Mexico mix. Diego: median of his core four (Flowers, Gruma, Yamazaki, Aryzta) = 6.37x on his table</t>
  </si>
  <si>
    <t>Diego's rule on the lease-consistent peer table (row 52)</t>
  </si>
  <si>
    <t>Data basis</t>
  </si>
  <si>
    <t>Same four peers, EV/EBITDA LTM on one claim basis (valuation/inputs/peers.yaml)</t>
  </si>
  <si>
    <t>Terminal growth g (nominal MXN)</t>
  </si>
  <si>
    <t>v3 4.25% (regional mix, below 5% nominal GDP). Diego 4.0% (2% real + ~3% inflation, USD-linked mix)</t>
  </si>
  <si>
    <t>Tax on EBIT (cash flows)</t>
  </si>
  <si>
    <t>Judgment (flagged)</t>
  </si>
  <si>
    <t>v3 34% (effective rate 33-36% ex-2022: non-deductibles, foreign rates). Diego 30% (statutory). The effective rate is the better estimate of cash taxes; the average is shown because the user asked for averages</t>
  </si>
  <si>
    <t>Return on new capital after 2030 (Gordon)</t>
  </si>
  <si>
    <t>Judgment (v3 only)</t>
  </si>
  <si>
    <t>RONIC implied by the published v3 terminal value (valuation-outputs.yaml tv_ronic). Diego has no Gordon or reinvestment judgment, so nothing to average</t>
  </si>
  <si>
    <t>D. Peer EV/EBITDA LTM used for Diego's rule</t>
  </si>
  <si>
    <t>Peer</t>
  </si>
  <si>
    <t>Lease-consistent (v3 table)</t>
  </si>
  <si>
    <t>Diego's table</t>
  </si>
  <si>
    <t>Gap</t>
  </si>
  <si>
    <t>Why they differ</t>
  </si>
  <si>
    <t>Flowers Foods</t>
  </si>
  <si>
    <t>US GAAP: v3 adds operating-lease cost to EBITDA because CIQ debt includes leases; Diego does not</t>
  </si>
  <si>
    <t>Gruma</t>
  </si>
  <si>
    <t>Company EBITDA 1,108.9 (v3) vs Capital IQ 995.0 (Diego flagged it as open)</t>
  </si>
  <si>
    <t>Yamazaki Baking</t>
  </si>
  <si>
    <t>Same figure; J-GAAP lease basis not normalisable (excluded from the v3 medians)</t>
  </si>
  <si>
    <t>Aryzta</t>
  </si>
  <si>
    <t>Same figure; NCI not verified (excluded from the v3 medians)</t>
  </si>
  <si>
    <t>Median of the four</t>
  </si>
  <si>
    <t>B52 feeds row 41 (clean). C52 reproduces Diego's 6.37x</t>
  </si>
  <si>
    <t>E. Forecast drivers (judgments, averaged year by year)</t>
  </si>
  <si>
    <t>Driver</t>
  </si>
  <si>
    <t>FY2026E</t>
  </si>
  <si>
    <t>FY2027E</t>
  </si>
  <si>
    <t>FY2028E</t>
  </si>
  <si>
    <t>FY2029E</t>
  </si>
  <si>
    <t>FY2030E</t>
  </si>
  <si>
    <t>Tag and source</t>
  </si>
  <si>
    <t>Revenue growth - v3 / Alejandro</t>
  </si>
  <si>
    <t>[sourced]/[assumption] v3: sum of regional builds (model/drivers.yaml). Diego: Capital IQ consensus FY26-28 (426,275 / 445,288 / 468,431), fade 4.7% / 4.3%</t>
  </si>
  <si>
    <t>Revenue growth - Diego</t>
  </si>
  <si>
    <t>Revenue growth - consolidated</t>
  </si>
  <si>
    <t>[calc] w x v3 + (1 - w) x Diego</t>
  </si>
  <si>
    <t>EBITDA margin (IFRS 16) - v3 / Alejandro</t>
  </si>
  <si>
    <t>[sourced]/[assumption] v3: gross margin minus opex (pillars 1-2), to 15.3%. Diego: consensus EBITDA / revenue, held at 14.73% after 2028</t>
  </si>
  <si>
    <t>EBITDA margin (IFRS 16) - Diego</t>
  </si>
  <si>
    <t>EBITDA margin (IFRS 16) - consolidated</t>
  </si>
  <si>
    <t>D&amp;A / revenue - v3 / Alejandro</t>
  </si>
  <si>
    <t>[sourced]/[assumption] v3: 5.85-5.9%. Diego: template mechanics, D&amp;A rises to 100% of capex + leases by 2030 (no net investment while revenue grows). Mechanic, so the v3 path is used</t>
  </si>
  <si>
    <t>D&amp;A / revenue - Diego</t>
  </si>
  <si>
    <t>D&amp;A / revenue - consolidated</t>
  </si>
  <si>
    <t>[calc] mechanic: v3 path for every w</t>
  </si>
  <si>
    <t>Capex excluding leases / revenue - v3 / Alejandro</t>
  </si>
  <si>
    <t>[sourced]/[assumption] v3: 4.6% (2026 guide) to 5.5%. Diego: consensus 5.16% / 5.02% / 4.90%, then 4.85% / 4.80%</t>
  </si>
  <si>
    <t>Capex excluding leases / revenue - Diego</t>
  </si>
  <si>
    <t>Capex excluding leases / revenue - consolidated</t>
  </si>
  <si>
    <t>Change in working capital / revenue (+ releases cash) - v3 / Alejandro</t>
  </si>
  <si>
    <t>[sourced]/[assumption] Both hold FY2025 days; schedules differ</t>
  </si>
  <si>
    <t>Change in working capital / revenue (+ releases cash) - Diego</t>
  </si>
  <si>
    <t>Change in working capital / revenue (+ releases cash) - consolidated</t>
  </si>
  <si>
    <t>Reference, not used: new leases / revenue - v3 / Alejandro</t>
  </si>
  <si>
    <t>The consolidated DCF recomputes new leases from rows 24-25 on its own revenue path (DCF row 16)</t>
  </si>
  <si>
    <t>Reference, not used: new leases / revenue - Diego (principal only)</t>
  </si>
  <si>
    <t>F. FY2025 actuals (base year: linked to the IS, BS and CF sheets; shown in DCF column B for reference, not part of the valuation)</t>
  </si>
  <si>
    <t>Item</t>
  </si>
  <si>
    <t>FY2025A</t>
  </si>
  <si>
    <t>Source</t>
  </si>
  <si>
    <t>FY2024 revenue (base for FY2025 growth)</t>
  </si>
  <si>
    <t>Link</t>
  </si>
  <si>
    <t>IS sheet (IA25-EEFF p.13)</t>
  </si>
  <si>
    <t>FY2025 Adjusted EBITDA</t>
  </si>
  <si>
    <t>IS sheet (IA25-EEFF p.85-86 segment note: operating income + D&amp;A + impairment + non-cash items)</t>
  </si>
  <si>
    <t>FY2025 D&amp;A</t>
  </si>
  <si>
    <t>IS sheet (IA25-EEFF p.85-86, continuing operations)</t>
  </si>
  <si>
    <t>FY2025 capex (PP&amp;E acquired)</t>
  </si>
  <si>
    <t>CF sheet (IA25-EEFF p.85-86); capex on the cash-flow statement is 22,841 (CF sheet row 6)</t>
  </si>
  <si>
    <t>FY2025 lease principal paid</t>
  </si>
  <si>
    <t>CF sheet; numerator of row 24</t>
  </si>
  <si>
    <t>FY2025 change in working capital (+ releases cash)</t>
  </si>
  <si>
    <t>CF sheet: decrease in operating working capital on the balance sheet (same definition as the forecast driver), not a reported cash-flow line</t>
  </si>
  <si>
    <t>Income statement, FY2021A-FY2025A (audited, MXN millions)</t>
  </si>
  <si>
    <t>Continuing operations. Blue = typed from the filings (data/financials.csv); black = formula. FY2021 is restated for Ricolino (sold 1-Nov-2022), which sits in 'other financial result' as discontinued operations after tax.</t>
  </si>
  <si>
    <t>MXN m</t>
  </si>
  <si>
    <t>FY2021A</t>
  </si>
  <si>
    <t>FY2022A</t>
  </si>
  <si>
    <t>FY2023A</t>
  </si>
  <si>
    <t>FY2024A</t>
  </si>
  <si>
    <t>Source / note</t>
  </si>
  <si>
    <t>Net sales</t>
  </si>
  <si>
    <t>RA23 XBRL p.257 (FY21-22); IA25-EEFF p.13 (FY23-25)</t>
  </si>
  <si>
    <t>Cost of sales</t>
  </si>
  <si>
    <t>Gross profit</t>
  </si>
  <si>
    <t>Operating expenses, net</t>
  </si>
  <si>
    <t>RA23 XBRL p.257 (FY21-22); IA25-EEFF p.13 (FY23-25). Distribution and selling + administration + integration + other (income) expenses, net</t>
  </si>
  <si>
    <t>EBIT (operating income)</t>
  </si>
  <si>
    <t>FY2022 includes a non-cash gain on multi-employer pension plans of about 19,010 (RA23 EEFF notes 21-22)</t>
  </si>
  <si>
    <t>Interest expense</t>
  </si>
  <si>
    <t>Interest income</t>
  </si>
  <si>
    <t>Other financial result, net</t>
  </si>
  <si>
    <t>RA23 XBRL p.257 (FY21-22); IA25-EEFF p.13 (FY23-25). Associates + FX + monetary position + discontinued operations after tax (Ricolino: 1,254 in FY2021; 16,988 in FY2022)</t>
  </si>
  <si>
    <t>Pre-tax income (incl. discontinued operations after tax)</t>
  </si>
  <si>
    <t>Income tax</t>
  </si>
  <si>
    <t>RA23 XBRL p.257 (FY21-22); IA25-EEFF p.13 (FY23-25). Continuing operations</t>
  </si>
  <si>
    <t>Net income</t>
  </si>
  <si>
    <t>Net income as reported</t>
  </si>
  <si>
    <t>RA23 XBRL p.257 (FY21-22); IA25-EEFF p.13 (FY23-25). Consolidated, before the NCI split</t>
  </si>
  <si>
    <t>Check: computed - reported</t>
  </si>
  <si>
    <t>Attributable to non-controlling interests</t>
  </si>
  <si>
    <t>RA23 XBRL p.257 (FY21-22); IA25-EEFF p.13 (FY23-25). FY2021-22 include the NCI share of discontinued operations</t>
  </si>
  <si>
    <t>Net income to shareholders</t>
  </si>
  <si>
    <t>Diluted shares (millions)</t>
  </si>
  <si>
    <t>Diluted EPS (MXN)</t>
  </si>
  <si>
    <t>D&amp;A (continuing)</t>
  </si>
  <si>
    <t>RA23 XBRL p.359 (FY21); RA23 XBRL p.358 (FY22); IA25-EEFF p.86 (FY23-24); IA25-EEFF p.85 (FY25). Segment note, consistent with EBIT</t>
  </si>
  <si>
    <t>EBITDA (EBIT + D&amp;A, IFRS 16)</t>
  </si>
  <si>
    <t>Adjusted EBITDA (company definition)</t>
  </si>
  <si>
    <t>RA22 p.313 (FY21 restated); RA23 p.358 (FY22); IA25-EEFF p.85-86 (FY23-25). Operating income + D&amp;A + impairment + non-cash items (mainly multi-employer pension plans)</t>
  </si>
  <si>
    <t>Balance sheet, FY2021A-FY2025A (audited, MXN millions, year-end)</t>
  </si>
  <si>
    <t>Blue = typed from the filings (data/financials.csv); black = formula. Lines are grouped as in the model; net debt includes lease liabilities.</t>
  </si>
  <si>
    <t>Cash and equivalents</t>
  </si>
  <si>
    <t>RA23 XBRL p.256 (FY21-22); IA25-EEFF p.12 (FY23-25)</t>
  </si>
  <si>
    <t>Accounts receivable</t>
  </si>
  <si>
    <t>RA23 XBRL p.292 (FY21-22); IA25-EEFF p.36 (FY23-25)</t>
  </si>
  <si>
    <t>Inventories</t>
  </si>
  <si>
    <t>Other current assets</t>
  </si>
  <si>
    <t>Total current assets</t>
  </si>
  <si>
    <t>PP&amp;E and right-of-use assets, net</t>
  </si>
  <si>
    <t>Intangibles and goodwill</t>
  </si>
  <si>
    <t>Other non-current assets</t>
  </si>
  <si>
    <t>Total assets</t>
  </si>
  <si>
    <t>Total assets as reported</t>
  </si>
  <si>
    <t>Check: lines - reported</t>
  </si>
  <si>
    <t>Accounts payable</t>
  </si>
  <si>
    <t>Other current liabilities</t>
  </si>
  <si>
    <t>Short-term debt (current portion)</t>
  </si>
  <si>
    <t>Total current liabilities</t>
  </si>
  <si>
    <t>Long-term debt</t>
  </si>
  <si>
    <t>Lease liabilities (IFRS 16, current + non-current)</t>
  </si>
  <si>
    <t>Other non-current liabilities</t>
  </si>
  <si>
    <t>Total liabilities</t>
  </si>
  <si>
    <t>Shareholders' equity (parent)</t>
  </si>
  <si>
    <t>RA23 XBRL p.256 (FY21-22); IA25-EEFF p.12 (FY23-25). FY2021-22 include perpetual notes classed as equity (8,867; 8,098)</t>
  </si>
  <si>
    <t>Non-controlling interests</t>
  </si>
  <si>
    <t>Total equity</t>
  </si>
  <si>
    <t>Total liabilities and equity</t>
  </si>
  <si>
    <t>Check: assets - (liabilities + equity)</t>
  </si>
  <si>
    <t>Financial debt incl. leases</t>
  </si>
  <si>
    <t>Net debt incl. leases</t>
  </si>
  <si>
    <t>Net debt / Adjusted EBITDA (x)</t>
  </si>
  <si>
    <t>Operating working capital (receivables + inventories + other current assets - payables - other current liabilities)</t>
  </si>
  <si>
    <t>Balance-sheet basis, same definition as the forecast driver; data/adjustments.md uses a narrower one (excludes financing and tax items)</t>
  </si>
  <si>
    <t>Cash flow, FY2021A-FY2025A (audited, MXN millions; abridged)</t>
  </si>
  <si>
    <t>Only the lines the valuation uses. Blue = typed from the filings; black = formula. FY2021-22 CFO includes Ricolino until its sale.</t>
  </si>
  <si>
    <t>Cash flow from operations</t>
  </si>
  <si>
    <t>RA23 XBRL p.260 (FY21-22); IA25-EEFF p.16 (FY23-25)</t>
  </si>
  <si>
    <t>Capex, cash basis (PP&amp;E + intangibles)</t>
  </si>
  <si>
    <t>Lease principal paid (IFRS 16)</t>
  </si>
  <si>
    <t>RA23 XBRL p.260 (FY21-22); IA25-EEFF p.16 (FY23-25). Financing line 'lease payments' less lease interest accrued</t>
  </si>
  <si>
    <t>Free cash flow (CFO - capex - lease principal)</t>
  </si>
  <si>
    <t>Dividends paid (to the parent)</t>
  </si>
  <si>
    <t>RA23 XBRL p.259 (FY21-22); IA25-EEFF p.15 (FY23-25)</t>
  </si>
  <si>
    <t>FCF margin (% of net sales)</t>
  </si>
  <si>
    <t>Capex, PP&amp;E acquired (segment note; the basis of the capex guidance)</t>
  </si>
  <si>
    <t>RA22 p.313 (FY21 restated); RA23 p.358 (FY22); IA25-EEFF p.85-86 (FY23-25)</t>
  </si>
  <si>
    <t>Capex, PP&amp;E acquired / net sales</t>
  </si>
  <si>
    <t>Change in operating working capital (+ releases cash)</t>
  </si>
  <si>
    <t>Decrease in operating working capital on the balance sheet (BS row 32)</t>
  </si>
  <si>
    <t>Historical growth, margins, returns and segments, FY2021A-FY2025A</t>
  </si>
  <si>
    <t>Formulas on the IS, BS and CF sheets; blue = typed from the filings or releases. FY2021 is restated for Ricolino, so FY2021 growth rates are not available on the same basis.</t>
  </si>
  <si>
    <t>A. Growth, % y/y</t>
  </si>
  <si>
    <t>Net sales (MXN)</t>
  </si>
  <si>
    <t>Adjusted EBITDA (MXN)</t>
  </si>
  <si>
    <t>EBIT</t>
  </si>
  <si>
    <t>FY2022 EBIT and net income include the pension and Ricolino one-offs</t>
  </si>
  <si>
    <t>Diluted EPS</t>
  </si>
  <si>
    <t>Net sales ex-FX (company)</t>
  </si>
  <si>
    <t>4T21 p.2 (FY21, as originally reported, incl. Ricolino); 4T22 p.4; 4T23 p.1; 4T24 p.2; 4T25 p.3</t>
  </si>
  <si>
    <t>B. Compound annual growth (CAGR) and simple average</t>
  </si>
  <si>
    <t>Net sales CAGR FY2021-FY2025 (4 years)</t>
  </si>
  <si>
    <t>Net sales CAGR FY2022-FY2025 (3 years)</t>
  </si>
  <si>
    <t>Adjusted EBITDA CAGR FY2021-FY2025 (4 years)</t>
  </si>
  <si>
    <t>Adjusted EBITDA CAGR FY2022-FY2025 (3 years)</t>
  </si>
  <si>
    <t>Net sales: simple average of the annual rates FY2022-FY2025</t>
  </si>
  <si>
    <t>FY2022 (+17.7%) lifts the average; see the CAGR from FY2022</t>
  </si>
  <si>
    <t>C. Margins, % of net sales</t>
  </si>
  <si>
    <t>Gross margin</t>
  </si>
  <si>
    <t>EBIT margin</t>
  </si>
  <si>
    <t>EBITDA margin (EBIT + D&amp;A)</t>
  </si>
  <si>
    <t>Adjusted EBITDA margin</t>
  </si>
  <si>
    <t>Net margin (to shareholders)</t>
  </si>
  <si>
    <t>FY2022 includes the Ricolino gain</t>
  </si>
  <si>
    <t>FCF margin</t>
  </si>
  <si>
    <t>D&amp;A / net sales</t>
  </si>
  <si>
    <t>Capex (PP&amp;E acquired) / net sales</t>
  </si>
  <si>
    <t>D. Returns, leverage and liquidity</t>
  </si>
  <si>
    <t>Return on average equity (parent)</t>
  </si>
  <si>
    <t>FY2022 includes the one-offs</t>
  </si>
  <si>
    <t>ROIC = EBIT x (1 - effective tax rate) / opening (equity + net debt)</t>
  </si>
  <si>
    <t>Effective tax rate</t>
  </si>
  <si>
    <t>Net debt incl. leases / Adjusted EBITDA (x)</t>
  </si>
  <si>
    <t>Interest cover: EBIT / interest expense (x)</t>
  </si>
  <si>
    <t>Current ratio (x)</t>
  </si>
  <si>
    <t>E. Net sales by region before eliminations, MXN m</t>
  </si>
  <si>
    <t>North America</t>
  </si>
  <si>
    <t>RA23 XBRL p.359 (FY21); RA23 XBRL p.358 (FY22); IA25-EEFF p.86 (FY23-24); IA25-EEFF p.85 (FY25)</t>
  </si>
  <si>
    <t>Mexico</t>
  </si>
  <si>
    <t>Europe, Asia and Africa</t>
  </si>
  <si>
    <t>Latin America</t>
  </si>
  <si>
    <t>Eliminations</t>
  </si>
  <si>
    <t>Consolidated net sales</t>
  </si>
  <si>
    <t>Check: segments - income statement</t>
  </si>
  <si>
    <t>Growth y/y by region, MXN</t>
  </si>
  <si>
    <t>Ex-FX growth by region (company; not available for FY2021-FY2022 by region)</t>
  </si>
  <si>
    <t>4T23 p.2; 4T24 p.2; RA25 p.132</t>
  </si>
  <si>
    <t>F. Adjusted EBITDA by region, MXN m</t>
  </si>
  <si>
    <t>RA22 p.313 (FY21 restated); RA23 p.358 (FY22); IA25-EEFF p.85-86 (FY23-25). Regional results exclude intercompany royalties</t>
  </si>
  <si>
    <t>Eliminations and other</t>
  </si>
  <si>
    <t>Consolidated Adjusted EBITDA</t>
  </si>
  <si>
    <t>Adjusted EBITDA margin by region (EBITDA / region net sales)</t>
  </si>
  <si>
    <t>Share of Adjusted EBITDA (Mexico includes eliminations and other, as in the company's presentation)</t>
  </si>
  <si>
    <t>Mexico (incl. eliminations and other)</t>
  </si>
  <si>
    <t>Consolidated cost of capital</t>
  </si>
  <si>
    <t>ke = rf + beta_levered x ERP + CRP; beta_levered = beta_unlevered x (1 + (1 - t) x D/E)</t>
  </si>
  <si>
    <t>Value</t>
  </si>
  <si>
    <t>Formula or source</t>
  </si>
  <si>
    <t>Inputs row 37 (w-weighted)</t>
  </si>
  <si>
    <t>D/E (market, debt incl. leases)</t>
  </si>
  <si>
    <t>Inputs row 36</t>
  </si>
  <si>
    <t>Marginal tax rate</t>
  </si>
  <si>
    <t>Inputs row 35</t>
  </si>
  <si>
    <t>Levered beta</t>
  </si>
  <si>
    <t>Hamada</t>
  </si>
  <si>
    <t>Risk-free</t>
  </si>
  <si>
    <t>Equity risk premium</t>
  </si>
  <si>
    <t>Country risk premium</t>
  </si>
  <si>
    <t>Added once, not multiplied by beta</t>
  </si>
  <si>
    <t>Cost of equity (ke)</t>
  </si>
  <si>
    <t>Pre-tax cost of debt</t>
  </si>
  <si>
    <t>After-tax cost of debt</t>
  </si>
  <si>
    <t>Weight of debt D/(D+E)</t>
  </si>
  <si>
    <t>Weight of equity</t>
  </si>
  <si>
    <t>How the three WACCs compare</t>
  </si>
  <si>
    <t>v3 published (valuation-outputs.yaml)</t>
  </si>
  <si>
    <t>Same inputs as Alejandro</t>
  </si>
  <si>
    <t>Alejandro (WACC!C87 of his workbook)</t>
  </si>
  <si>
    <t>beta 0.53, D/E 0.743</t>
  </si>
  <si>
    <t>Diego (WACC!C87 of his workbook)</t>
  </si>
  <si>
    <t>beta 0.56, D/E 0.774 (CIQ debt at the LTM FX rate)</t>
  </si>
  <si>
    <t>Simple average of the two input sets</t>
  </si>
  <si>
    <t>Simple average of the three models</t>
  </si>
  <si>
    <t>Consolidated (this sheet)</t>
  </si>
  <si>
    <t>beta averaged, D/E reconciled to the company debt</t>
  </si>
  <si>
    <t>All three use the same risk-free, ERP, EBITDA-weighted country risk premium and cost of debt, so the WACCs differ by less than 10 bp: there is little to average.</t>
  </si>
  <si>
    <t>Consolidated DCF - FCFF, exit multiple and Gordon</t>
  </si>
  <si>
    <t>S&amp;P template mechanics: FY2026 stub from 30-Jun (184 days), mid-period discounting, terminal value at end-2030; value rolled to 16-Oct-2026 at ke. MXN millions.</t>
  </si>
  <si>
    <t>FY2025A = base year: reported revenue, Adjusted EBITDA, D&amp;A, capex, lease principal paid (new leases) and working capital (Inputs rows 76-81). Tax on EBIT, NOPAT and FCFF in grey are pro forma at the DCF's tax rate, for comparison only. The valuation counts cash flows from 30-Jun-2026.</t>
  </si>
  <si>
    <t>Revenue</t>
  </si>
  <si>
    <t xml:space="preserve">  growth</t>
  </si>
  <si>
    <t xml:space="preserve">  EBITDA margin</t>
  </si>
  <si>
    <t>EBITDA (IFRS 16)</t>
  </si>
  <si>
    <t xml:space="preserve">  D&amp;A / revenue</t>
  </si>
  <si>
    <t>D&amp;A</t>
  </si>
  <si>
    <t>Tax on EBIT</t>
  </si>
  <si>
    <t>NOPAT</t>
  </si>
  <si>
    <t xml:space="preserve">  capex ex leases / revenue</t>
  </si>
  <si>
    <t>Capex ex leases</t>
  </si>
  <si>
    <t>New leases (principal + growth in the liability)</t>
  </si>
  <si>
    <t xml:space="preserve">  change in WC / revenue</t>
  </si>
  <si>
    <t>Change in working capital (+ releases cash)</t>
  </si>
  <si>
    <t>Free cash flow to the firm (FCFF)</t>
  </si>
  <si>
    <t>Share of the year counted</t>
  </si>
  <si>
    <t>Discount exponent (years from 30-Jun-2026)</t>
  </si>
  <si>
    <t>Discount factor</t>
  </si>
  <si>
    <t>PV of FCFF</t>
  </si>
  <si>
    <t>Valuation at 30-Jun-2026, rolled to 16-Oct-2026</t>
  </si>
  <si>
    <t>PV of FCFF, 2H26-FY2030</t>
  </si>
  <si>
    <t>Years from 30-Jun-2026 to end-2030 (terminal value)</t>
  </si>
  <si>
    <t>Exit multiple method</t>
  </si>
  <si>
    <t>Terminal value (FY2030 EBITDA x multiple)</t>
  </si>
  <si>
    <t>PV of terminal value</t>
  </si>
  <si>
    <t>Enterprise value (exit)</t>
  </si>
  <si>
    <t>Terminal value / EV</t>
  </si>
  <si>
    <t>Perpetual FCFF growth implied by the multiple (template formula)</t>
  </si>
  <si>
    <t>Equity bridge at 30-Jun-2026 (each claim once)</t>
  </si>
  <si>
    <t>(-) Debt incl. leases</t>
  </si>
  <si>
    <t>(+) Cash</t>
  </si>
  <si>
    <t>(-) Non-controlling interests</t>
  </si>
  <si>
    <t>(+) Associates - seasonal tax payable</t>
  </si>
  <si>
    <t>Equity value, exit, 30-Jun-2026</t>
  </si>
  <si>
    <t>Per share, 30-Jun-2026</t>
  </si>
  <si>
    <t>Roll-forward factor to 16-Oct-2026 = (1 + ke)^(days / 365)</t>
  </si>
  <si>
    <t>VALUE PER SHARE TODAY - EXIT MULTIPLE</t>
  </si>
  <si>
    <t>Premium / (discount) to the MXN 58.60 price</t>
  </si>
  <si>
    <t>Gordon method, RONIC-consistent: terminal reinvestment = g / RONIC</t>
  </si>
  <si>
    <t>Terminal growth g</t>
  </si>
  <si>
    <t>Return on new capital after 2030 (RONIC)</t>
  </si>
  <si>
    <t>NOPAT FY2031 = NOPAT FY2030 x (1 + g)</t>
  </si>
  <si>
    <t>Reinvestment rate = g / RONIC</t>
  </si>
  <si>
    <t>FCFF FY2031 = NOPAT x (1 - reinvestment rate)</t>
  </si>
  <si>
    <t>Terminal value = FCFF FY2031 / (WACC - g)</t>
  </si>
  <si>
    <t>Enterprise value (Gordon)</t>
  </si>
  <si>
    <t>(-) Other debt-like claims (pensions, provisions, derivatives)</t>
  </si>
  <si>
    <t>Equity value, Gordon, 30-Jun-2026</t>
  </si>
  <si>
    <t>VALUE PER SHARE TODAY - GORDON (RONIC-consistent)</t>
  </si>
  <si>
    <t>Terminal value / FY2030 EBITDA</t>
  </si>
  <si>
    <t>Gordon, template style (as in Alejandro's sheet): shown for reference; its implied RONIC is too high</t>
  </si>
  <si>
    <t>FCFF FY2031 = FCFF FY2030 x (1 + g)</t>
  </si>
  <si>
    <t>Value per share today - Gordon, template style</t>
  </si>
  <si>
    <t>RONIC that this template-style Gordon implies</t>
  </si>
  <si>
    <t>Value per share today - Gordon with RONIC = WACC (growth creates no value)</t>
  </si>
  <si>
    <t>12-month view (recommendation-guide convention; the team sets target and rating)</t>
  </si>
  <si>
    <t>Value today</t>
  </si>
  <si>
    <t>12-month value = value x (1 + ke) - next dividend</t>
  </si>
  <si>
    <t>Expected return = 12m value / price - 1 + dividend / price</t>
  </si>
  <si>
    <t>Exit multiple</t>
  </si>
  <si>
    <t>Gordon, RONIC-consistent</t>
  </si>
  <si>
    <t>Gordon, template style</t>
  </si>
  <si>
    <t>Gordon, RONIC = WACC</t>
  </si>
  <si>
    <t>Convention in references/recommendation-guide.md: BUY at 15% or more, SELL at -10% or less, HOLD in between. HOLD needs a value today of at least price x 0.9 / (1 + ke) = D72.</t>
  </si>
  <si>
    <t>Value today needed for the HOLD floor (-10%)</t>
  </si>
  <si>
    <t>Value today needed for the BUY floor (+15%)</t>
  </si>
  <si>
    <t>Sensitivity of the consolidated value per share today (MXN)</t>
  </si>
  <si>
    <t>Live formulas. NCI claim and the roll-forward factor held at the base ke, as in the S&amp;P template grids.</t>
  </si>
  <si>
    <t>Exit method: WACC (rows) x exit EV/EBITDA (columns)</t>
  </si>
  <si>
    <t>WACC \ multiple</t>
  </si>
  <si>
    <t>Gordon (RONIC-consistent): WACC (rows) x terminal growth g (columns)</t>
  </si>
  <si>
    <t>WACC \ g</t>
  </si>
  <si>
    <t>Centre cells (green) equal DCF!B43 and DCF!B56 (see Checks).</t>
  </si>
  <si>
    <t>The three models side by side</t>
  </si>
  <si>
    <t>Values read from each workbook (cached results); consolidated = this workbook at the base settings. Per-share values are for 16-Oct-2026.</t>
  </si>
  <si>
    <t>v3 (valuation/)</t>
  </si>
  <si>
    <t>Alejandro</t>
  </si>
  <si>
    <t>Consolidated</t>
  </si>
  <si>
    <t>What differs and the rule used</t>
  </si>
  <si>
    <t>Provenance</t>
  </si>
  <si>
    <t>Workbook</t>
  </si>
  <si>
    <t>BIMBOA_DCF_v3.xlsx</t>
  </si>
  <si>
    <t>Bimbo_DCF_Alejandro.xlsm</t>
  </si>
  <si>
    <t>SPG_DCF_independent_Diego.xlsm</t>
  </si>
  <si>
    <t>BIMBOA_DCF_consolidated_v1.xlsx</t>
  </si>
  <si>
    <t>valuation/ and valuation/team-models/</t>
  </si>
  <si>
    <t>Forecast source</t>
  </si>
  <si>
    <t>v3 drivers (regional build)</t>
  </si>
  <si>
    <t>v3 drivers, copied (controls: FCFF = v3)</t>
  </si>
  <si>
    <t>Capital IQ consensus FY26-28 + fade</t>
  </si>
  <si>
    <t>Average of the two sets</t>
  </si>
  <si>
    <t>Alejandro is not an independent set: his FCFF FY2026-30 equal v3 to the peso</t>
  </si>
  <si>
    <t>Horizon</t>
  </si>
  <si>
    <t>10 years (FY2026-35)</t>
  </si>
  <si>
    <t>5 years (2H26-FY2030)</t>
  </si>
  <si>
    <t>5 years (76-day stub-FY2030)</t>
  </si>
  <si>
    <t>Template horizon for both teammates; v3 kept as a reference row</t>
  </si>
  <si>
    <t>Valuation date mechanics</t>
  </si>
  <si>
    <t>Fiscal-year-end roll (0.79 y)</t>
  </si>
  <si>
    <t>30-Jun anchor, rolled at ke</t>
  </si>
  <si>
    <t>16-Oct, 30-Jun balance sheet</t>
  </si>
  <si>
    <t>Diego's mix of dates drops about 3.5 months of cash flow (Walks: -0.75)</t>
  </si>
  <si>
    <t>Cost of capital</t>
  </si>
  <si>
    <t>Same in all three</t>
  </si>
  <si>
    <t>Country risk premium (EBITDA-weighted)</t>
  </si>
  <si>
    <t>Same method and weights</t>
  </si>
  <si>
    <t>Averaged</t>
  </si>
  <si>
    <t>D/E</t>
  </si>
  <si>
    <t>Company debt; Diego's CIQ debt figure is reconverted at the wrong FX rate</t>
  </si>
  <si>
    <t>Less than 10 bp apart</t>
  </si>
  <si>
    <t>Forecast</t>
  </si>
  <si>
    <t>Revenue FY2030 (MXN m)</t>
  </si>
  <si>
    <t>n/a</t>
  </si>
  <si>
    <t>Revenue CAGR FY2025-30</t>
  </si>
  <si>
    <t>EBITDA margin FY2030</t>
  </si>
  <si>
    <t>The largest judgment gap (Walks: -3.3 per share)</t>
  </si>
  <si>
    <t>Capex + new leases / revenue FY2030</t>
  </si>
  <si>
    <t>Judgment + mechanic</t>
  </si>
  <si>
    <t>Capex averaged; leases recomputed with the v3 mechanics</t>
  </si>
  <si>
    <t>FCFF FY2026-30, sum (MXN m)</t>
  </si>
  <si>
    <t>Terminal value</t>
  </si>
  <si>
    <t>Diego's rule on clean data gives 5.83x; average with v3 6.0x</t>
  </si>
  <si>
    <t>Perpetual growth implied by the multiple</t>
  </si>
  <si>
    <t>Terminal growth g (Gordon)</t>
  </si>
  <si>
    <t>Diego: his reverse-DCF g</t>
  </si>
  <si>
    <t>RONIC behind the Gordon value</t>
  </si>
  <si>
    <t>Alejandro's template-style Gordon implies 20%</t>
  </si>
  <si>
    <t>Equity bridge (MXN m)</t>
  </si>
  <si>
    <t>See Inputs row 15</t>
  </si>
  <si>
    <t>Cash</t>
  </si>
  <si>
    <t>Market value in v3 and Alejandro; book in Diego</t>
  </si>
  <si>
    <t>Associates - seasonal tax</t>
  </si>
  <si>
    <t>Shares (millions)</t>
  </si>
  <si>
    <t>Results (MXN per share, 16-Oct-2026)</t>
  </si>
  <si>
    <t>Gordon (as each model computes it)</t>
  </si>
  <si>
    <t>Consolidated: RONIC-consistent</t>
  </si>
  <si>
    <t>Exit vs price</t>
  </si>
  <si>
    <t>Why the values differ</t>
  </si>
  <si>
    <t>Values from the Python replica (valuation/build/consolidate_models.py), which reproduces both workbooks to the centavo (Checks). One change at a time, in order.</t>
  </si>
  <si>
    <t>Walk 1 - Alejandro to Diego, exit method (MXN per share, 16-Oct-2026)</t>
  </si>
  <si>
    <t>Step</t>
  </si>
  <si>
    <t>Change</t>
  </si>
  <si>
    <t>Type</t>
  </si>
  <si>
    <t>Alejandro: v3 inputs on the S&amp;P template (30-Jun anchor, rolled to 16-Oct at ke)</t>
  </si>
  <si>
    <t>Start</t>
  </si>
  <si>
    <t>Valuation date: 76-day stub discounted from 16-Oct, balance sheet still 30-Jun (no roll-forward)</t>
  </si>
  <si>
    <t>Debt: add derivative liabilities that sit inside Capital IQ total debt (+2,658)</t>
  </si>
  <si>
    <t>Debt and cash: US$ figures reconverted at 17.96 MXN/US$; CIQ's own peso and dollar figures imply 17.47</t>
  </si>
  <si>
    <t>Fact (FX reconversion, to confirm)</t>
  </si>
  <si>
    <t>Shares: Capital IQ 4,296.3m instead of the BMV notice 4,294.9m</t>
  </si>
  <si>
    <t>Bridge: drop associates (+6,498) and the seasonal tax payable (-4,538)</t>
  </si>
  <si>
    <t>NCI at book (743) instead of market value (18,243)</t>
  </si>
  <si>
    <t>WACC 10.32% -&gt; 10.40% (unlevered beta 0.53 -&gt; 0.56; D/E 0.743 -&gt; 0.774)</t>
  </si>
  <si>
    <t>Judgment (beta) + fact (debt)</t>
  </si>
  <si>
    <t>Revenue path: v3 regional build -&gt; Capital IQ consensus + fade</t>
  </si>
  <si>
    <t>EBITDA margin path: v3 (to 15.3%) -&gt; consensus (held at 14.7%)</t>
  </si>
  <si>
    <t>D&amp;A path: v3 (5.85-5.9% of sales) -&gt; template mechanics (D&amp;A rises to 100% of capex + leases)</t>
  </si>
  <si>
    <t>Mechanic (template D&amp;A)</t>
  </si>
  <si>
    <t>Capex excluding leases: v3 (4.6% -&gt; 5.5%) -&gt; consensus (5.2% -&gt; 4.8%)</t>
  </si>
  <si>
    <t>New leases: principal + growth in the liability -&gt; principal only (1.39%)</t>
  </si>
  <si>
    <t>Working capital path</t>
  </si>
  <si>
    <t>Tax on EBIT 34% (effective) -&gt; 30% (statutory)</t>
  </si>
  <si>
    <t>Exit multiple 6.0x -&gt; 6.4x</t>
  </si>
  <si>
    <t>Judgment + data basis</t>
  </si>
  <si>
    <t>Diego's workbook (SPG_DCF_independent_Diego.xlsm, DCF!I155)</t>
  </si>
  <si>
    <t>gap must be 0.00</t>
  </si>
  <si>
    <t>Walk 2 - v3 set to Diego's set on the same facts and mechanics (where the analysts really differ)</t>
  </si>
  <si>
    <t>Exit</t>
  </si>
  <si>
    <t>Gordon (RONIC)</t>
  </si>
  <si>
    <t>v3 set on reconciled facts and mechanics (= Alejandro)</t>
  </si>
  <si>
    <t>Unlevered beta 0.53 -&gt; 0.56 (WACC 10.32% -&gt; 10.43%)</t>
  </si>
  <si>
    <t>Revenue path: v3 regional build -&gt; consensus + fade</t>
  </si>
  <si>
    <t>Tax on EBIT 34% -&gt; 30%</t>
  </si>
  <si>
    <t>Exit multiple 6.0x -&gt; 5.83x (Diego's core-median rule on lease-consistent peer data)</t>
  </si>
  <si>
    <t>Terminal growth 4.25% -&gt; 4.00% (Gordon only)</t>
  </si>
  <si>
    <t>Reading: once facts and mechanics are reconciled the two sets are only about Ps 1.3 apart on the exit method. Margin is the main disagreement (v3 higher); revenue, capex and the tax rate offset it (Diego higher).</t>
  </si>
  <si>
    <t>Risks and ESG translated into value (consolidated base)</t>
  </si>
  <si>
    <t>Each row changes one input against the base. Values from the Python replica. ESG evidence from Diego's General ESG Report v2 (team-models/BIMBOA_ESG_Report_EN_Diego.pdf); figures he tagged [unverified] are not used.</t>
  </si>
  <si>
    <t>Lever</t>
  </si>
  <si>
    <t>Theme and evidence</t>
  </si>
  <si>
    <t>Exit (MXN/share)</t>
  </si>
  <si>
    <t>Gordon RONIC (MXN/share)</t>
  </si>
  <si>
    <t>EBITDA margin -50 bp every year</t>
  </si>
  <si>
    <t>Wheat is the main input: raw materials ~64% of cost of sales [sourced/calc]; the CFO tied 60 bp of 2022 EBITDA margin to the wheat cycle [guidance]; the 2026 wheat move (+17%) is [unverified]</t>
  </si>
  <si>
    <t>EBITDA margin +50 bp every year</t>
  </si>
  <si>
    <t>Productivity plan delivers more</t>
  </si>
  <si>
    <t>Capex +50 bp of revenue every year</t>
  </si>
  <si>
    <t>101 work centres in high or extremely high water stress [sourced]; withdrawal +15.1% since FY2019 [calc]; a separate sustainability capex envelope since 2025, amount not disclosed [sourced]</t>
  </si>
  <si>
    <t>Revenue growth -50 bp every year</t>
  </si>
  <si>
    <t>Front-of-pack labelling phase 3 from 2028-01-01 and school-food rules from 2025-03-29 [sourced]; consumer shifts on sugar and refined flour</t>
  </si>
  <si>
    <t>Exit multiple -0.5x</t>
  </si>
  <si>
    <t>Controlled company: 72.03% control group and 38.9% independent directors [sourced]; minority protection 1 of 10 on his compiled rubric [assumption]; governance is the weak pillar in every rating source</t>
  </si>
  <si>
    <t>WACC +50 bp</t>
  </si>
  <si>
    <t>Country and currency risk (not ESG)</t>
  </si>
  <si>
    <t>One-off claim of MXN 1bn</t>
  </si>
  <si>
    <t>Canada Bread price-fixing class actions open with no provision; the CAD 50m fine was paid in 2023 [sourced]; uncertain tax positions 8,537 [sourced] already deducted in Gordon</t>
  </si>
  <si>
    <t>Recurring cost of MXN 1bn a year from FY2027 (pre-tax)</t>
  </si>
  <si>
    <t>Mexican carbon market, pilot 2020-25, rules unpublished [sourced]; extended producer responsibility under the law of 2026-01-19 [sourced]</t>
  </si>
  <si>
    <t>Bimbo 23L coupon step-up (Scope 3 target missed in 2030)</t>
  </si>
  <si>
    <t>+25 bp on MXN 12,000m from 21-Nov-2031 to 20-May-2033 if the -28% Scope 3 target is not verified [sourced]; 2025 Scope 3 +46.7% vs the bond base [calc]</t>
  </si>
  <si>
    <t>Rules of thumb (live)</t>
  </si>
  <si>
    <t>Each MXN 1bn of claim at 30-Jun-2026, per share today</t>
  </si>
  <si>
    <t>No ESG adjustment to the discount rate: Diego's report finds no source that links Bimbo's ESG scores to its cost of debt or equity, and the 23L step-up is about 0.05% of FY2025 EBITDA. Adding a premium would double-count risks already in the cash flows.</t>
  </si>
  <si>
    <t>Football field (MXN per share, 16-Oct-2026)</t>
  </si>
  <si>
    <t>Price MXN 58.60. Ranges: consolidated grids at +/-0.5 pp of WACC and +/-0.5x or +/-0.5 pp of g. The team sets the target.</t>
  </si>
  <si>
    <t>Low</t>
  </si>
  <si>
    <t>Point</t>
  </si>
  <si>
    <t>High</t>
  </si>
  <si>
    <t>Note</t>
  </si>
  <si>
    <t>52-week range</t>
  </si>
  <si>
    <t>Capital IQ, 06-Oct-2026</t>
  </si>
  <si>
    <t>Consolidated - exit multiple</t>
  </si>
  <si>
    <t>5.92x; range: WACC +/-0.5 pp and 5.5x-6.5x</t>
  </si>
  <si>
    <t>Consolidated - Gordon, RONIC 14.6%</t>
  </si>
  <si>
    <t>g 4.125%; range: WACC and g +/-0.5 pp</t>
  </si>
  <si>
    <t>Consolidated - Gordon, template style</t>
  </si>
  <si>
    <t>Implies RONIC of about 33%: not credible</t>
  </si>
  <si>
    <t>v3 (10 years) - exit 6.0x / Gordon</t>
  </si>
  <si>
    <t>Published v3</t>
  </si>
  <si>
    <t>Alejandro - exit 6.0x / Gordon</t>
  </si>
  <si>
    <t>v3 inputs, 5 years</t>
  </si>
  <si>
    <t>Diego - exit 6.4x</t>
  </si>
  <si>
    <t>Before fixing facts and mechanics</t>
  </si>
  <si>
    <t>Comps (v3 table) - core 5.53x / all eligible 8.27x</t>
  </si>
  <si>
    <t>LTM EBITDA 60,919; peer-EV claims</t>
  </si>
  <si>
    <t>Current price</t>
  </si>
  <si>
    <t>Checks</t>
  </si>
  <si>
    <t>Replica = valuation/build/consolidate_models.py. Live checks hold at the base settings (w = 0.5, clean, market).</t>
  </si>
  <si>
    <t>Check</t>
  </si>
  <si>
    <t>Replica</t>
  </si>
  <si>
    <t>Reference</t>
  </si>
  <si>
    <t>Difference</t>
  </si>
  <si>
    <t>Result</t>
  </si>
  <si>
    <t>ale_exit</t>
  </si>
  <si>
    <t>ale_gordon</t>
  </si>
  <si>
    <t>ale_ev</t>
  </si>
  <si>
    <t>ale_fcff_sum</t>
  </si>
  <si>
    <t>ale_fcff_vs_v3</t>
  </si>
  <si>
    <t>diego_exit</t>
  </si>
  <si>
    <t>diego_ev</t>
  </si>
  <si>
    <t>diego_fcff_sum</t>
  </si>
  <si>
    <t>ale_wacc_from_inputs</t>
  </si>
  <si>
    <t>diego_wacc_from_inputs</t>
  </si>
  <si>
    <t>v3_lease_mechanics_max_gap</t>
  </si>
  <si>
    <t>walk Alejandro -&gt; Diego closes</t>
  </si>
  <si>
    <t>WACC (live) vs replica</t>
  </si>
  <si>
    <t>Exit value per share (live) vs replica</t>
  </si>
  <si>
    <t>Gordon RONIC (live) vs replica</t>
  </si>
  <si>
    <t>Gordon template style (live) vs replica</t>
  </si>
  <si>
    <t>Gordon RONIC = WACC (live) vs replica</t>
  </si>
  <si>
    <t>Exit grid centre = DCF!B43</t>
  </si>
  <si>
    <t>Gordon grid centre = DCF!B56</t>
  </si>
  <si>
    <t>FY2030 revenue (live) vs replica</t>
  </si>
  <si>
    <t>FCFF FY2026-30 sum (live) vs replica</t>
  </si>
  <si>
    <t>Income statement: net income, computed vs reported (sum of |diff|)</t>
  </si>
  <si>
    <t>Balance sheet: total assets, lines vs reported (sum of |diff|)</t>
  </si>
  <si>
    <t>Balance sheet balances: assets - liabilities - equity (sum of |diff|)</t>
  </si>
  <si>
    <t>History: regional net sales add up to the income statement (sum of |diff|)</t>
  </si>
  <si>
    <t>History: regional Adjusted EBITDA adds up to the income statement (sum of |diff|)</t>
  </si>
  <si>
    <t>DCF FY2025A net sales = income statement</t>
  </si>
  <si>
    <t>DCF FY2025A Adjusted EBITDA = 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</si>
</sst>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%;\(0.00%\);&quot;-&quot;"/>
    <numFmt numFmtId="165" formatCode="0.00&quot;x&quot;"/>
    <numFmt numFmtId="166" formatCode="0.00;\(0.00\);&quot;-&quot;"/>
    <numFmt numFmtId="167" formatCode="0.0%;\(0.0%\);&quot;-&quot;"/>
    <numFmt numFmtId="168" formatCode="0.0000"/>
    <numFmt numFmtId="169" formatCode="#,##0.0;\(#,##0.0\);&quot;-&quot;"/>
    <numFmt numFmtId="170" formatCode="#,##0;\(#,##0\);&quot;-&quot;"/>
    <numFmt numFmtId="171" formatCode="\+0.00;\-0.00;&quot;-&quot;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0"/>
      <name val="Calibri"/>
    </font>
    <font>
      <sz val="10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color rgb="FF0000FF"/>
      <name val="Calibri"/>
    </font>
    <font>
      <sz val="10"/>
      <color rgb="FF00803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5" fillId="0" borderId="0" xfId="0" applyFont="1"/>
    <xf numFmtId="0" fontId="6" fillId="3" borderId="0" xfId="0" applyFont="1" applyFill="1" applyAlignment="1">
      <alignment vertical="center" wrapText="1"/>
    </xf>
    <xf numFmtId="168" fontId="7" fillId="4" borderId="0" xfId="0" applyNumberFormat="1" applyFont="1" applyFill="1"/>
    <xf numFmtId="0" fontId="7" fillId="4" borderId="0" xfId="0" applyFont="1" applyFill="1"/>
    <xf numFmtId="166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169" fontId="4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168" fontId="4" fillId="0" borderId="0" xfId="0" applyNumberFormat="1" applyFont="1"/>
    <xf numFmtId="165" fontId="7" fillId="0" borderId="0" xfId="0" applyNumberFormat="1" applyFont="1"/>
    <xf numFmtId="164" fontId="4" fillId="4" borderId="0" xfId="0" applyNumberFormat="1" applyFont="1" applyFill="1"/>
    <xf numFmtId="164" fontId="4" fillId="5" borderId="0" xfId="0" applyNumberFormat="1" applyFont="1" applyFill="1"/>
    <xf numFmtId="169" fontId="8" fillId="0" borderId="0" xfId="0" applyNumberFormat="1" applyFont="1"/>
    <xf numFmtId="170" fontId="7" fillId="0" borderId="0" xfId="0" applyNumberFormat="1" applyFont="1"/>
    <xf numFmtId="170" fontId="4" fillId="0" borderId="0" xfId="0" applyNumberFormat="1" applyFont="1"/>
    <xf numFmtId="167" fontId="7" fillId="0" borderId="0" xfId="0" applyNumberFormat="1" applyFont="1"/>
    <xf numFmtId="0" fontId="3" fillId="0" borderId="1" xfId="0" applyFont="1" applyBorder="1"/>
    <xf numFmtId="169" fontId="4" fillId="0" borderId="1" xfId="0" applyNumberFormat="1" applyFont="1" applyBorder="1"/>
    <xf numFmtId="169" fontId="5" fillId="0" borderId="0" xfId="0" applyNumberFormat="1" applyFont="1"/>
    <xf numFmtId="169" fontId="5" fillId="0" borderId="1" xfId="0" applyNumberFormat="1" applyFont="1" applyBorder="1"/>
    <xf numFmtId="0" fontId="0" fillId="0" borderId="1" xfId="0" applyBorder="1"/>
    <xf numFmtId="166" fontId="4" fillId="5" borderId="0" xfId="0" applyNumberFormat="1" applyFont="1" applyFill="1"/>
    <xf numFmtId="165" fontId="7" fillId="2" borderId="0" xfId="0" applyNumberFormat="1" applyFont="1" applyFill="1"/>
    <xf numFmtId="165" fontId="4" fillId="2" borderId="0" xfId="0" applyNumberFormat="1" applyFont="1" applyFill="1"/>
    <xf numFmtId="164" fontId="4" fillId="2" borderId="0" xfId="0" applyNumberFormat="1" applyFont="1" applyFill="1"/>
    <xf numFmtId="2" fontId="7" fillId="0" borderId="0" xfId="0" applyNumberFormat="1" applyFont="1"/>
    <xf numFmtId="171" fontId="7" fillId="0" borderId="0" xfId="0" applyNumberFormat="1" applyFont="1"/>
    <xf numFmtId="171" fontId="4" fillId="0" borderId="0" xfId="0" applyNumberFormat="1" applyFont="1"/>
    <xf numFmtId="0" fontId="5" fillId="0" borderId="0" xfId="0" applyFont="1" applyAlignment="1">
      <alignment vertical="top" wrapText="1"/>
    </xf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56" customWidth="1"/>
    <col min="2" max="2" width="110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4" spans="1:3" ht="25.5" x14ac:dyDescent="0.25">
      <c r="A4" s="3" t="s">
        <v>2</v>
      </c>
      <c r="B4" s="4" t="s">
        <v>3</v>
      </c>
    </row>
    <row r="5" spans="1:3" ht="25.5" x14ac:dyDescent="0.25">
      <c r="A5" s="3" t="s">
        <v>4</v>
      </c>
      <c r="B5" s="4" t="s">
        <v>5</v>
      </c>
    </row>
    <row r="6" spans="1:3" ht="38.25" x14ac:dyDescent="0.25">
      <c r="A6" s="3" t="s">
        <v>6</v>
      </c>
      <c r="B6" s="4" t="s">
        <v>7</v>
      </c>
    </row>
    <row r="7" spans="1:3" x14ac:dyDescent="0.25">
      <c r="A7" s="3" t="s">
        <v>8</v>
      </c>
      <c r="B7" s="4" t="s">
        <v>9</v>
      </c>
    </row>
    <row r="8" spans="1:3" ht="25.5" x14ac:dyDescent="0.25">
      <c r="A8" s="3" t="s">
        <v>10</v>
      </c>
      <c r="B8" s="4" t="s">
        <v>11</v>
      </c>
    </row>
    <row r="10" spans="1:3" x14ac:dyDescent="0.25">
      <c r="A10" s="5" t="s">
        <v>12</v>
      </c>
      <c r="B10" s="6"/>
      <c r="C10" s="6"/>
    </row>
    <row r="11" spans="1:3" x14ac:dyDescent="0.25">
      <c r="A11" s="7" t="s">
        <v>13</v>
      </c>
      <c r="B11" s="8">
        <f>WACC!B16</f>
        <v>0.10378241694862467</v>
      </c>
    </row>
    <row r="12" spans="1:3" x14ac:dyDescent="0.25">
      <c r="A12" s="7" t="s">
        <v>14</v>
      </c>
      <c r="B12" s="8">
        <f>WACC!B11</f>
        <v>0.13039388994006529</v>
      </c>
    </row>
    <row r="13" spans="1:3" x14ac:dyDescent="0.25">
      <c r="A13" s="7" t="s">
        <v>15</v>
      </c>
      <c r="B13" s="9">
        <f>Inputs!D40</f>
        <v>5.9172897184825191</v>
      </c>
    </row>
    <row r="14" spans="1:3" x14ac:dyDescent="0.25">
      <c r="A14" s="7" t="s">
        <v>16</v>
      </c>
      <c r="B14" s="8">
        <f>Inputs!D42</f>
        <v>4.1250000000000002E-2</v>
      </c>
    </row>
    <row r="15" spans="1:3" x14ac:dyDescent="0.25">
      <c r="A15" s="7" t="s">
        <v>17</v>
      </c>
      <c r="B15" s="10">
        <f>DCF!B43</f>
        <v>46.417140641541941</v>
      </c>
    </row>
    <row r="16" spans="1:3" x14ac:dyDescent="0.25">
      <c r="A16" s="7" t="s">
        <v>18</v>
      </c>
      <c r="B16" s="10">
        <f>DCF!B56</f>
        <v>30.756773515008913</v>
      </c>
    </row>
    <row r="17" spans="1:2" x14ac:dyDescent="0.25">
      <c r="A17" s="7" t="s">
        <v>19</v>
      </c>
      <c r="B17" s="10">
        <f>DCF!B60</f>
        <v>41.645672956400304</v>
      </c>
    </row>
    <row r="18" spans="1:2" x14ac:dyDescent="0.25">
      <c r="A18" s="7" t="s">
        <v>20</v>
      </c>
      <c r="B18" s="10">
        <f>DCF!C66</f>
        <v>51.419652169687701</v>
      </c>
    </row>
    <row r="19" spans="1:2" x14ac:dyDescent="0.25">
      <c r="A19" s="7" t="s">
        <v>21</v>
      </c>
      <c r="B19" s="11">
        <f>DCF!D66</f>
        <v>-0.10461344420328154</v>
      </c>
    </row>
    <row r="20" spans="1:2" x14ac:dyDescent="0.25">
      <c r="A20" s="7" t="s">
        <v>22</v>
      </c>
      <c r="B20" s="10">
        <f>DCF!D72</f>
        <v>46.65630314296579</v>
      </c>
    </row>
    <row r="21" spans="1:2" x14ac:dyDescent="0.25">
      <c r="A21" s="7" t="s">
        <v>23</v>
      </c>
      <c r="B21" s="7" t="str">
        <f>Checks!E35</f>
        <v>OK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3" width="15" customWidth="1"/>
    <col min="4" max="4" width="17" customWidth="1"/>
    <col min="5" max="6" width="15" customWidth="1"/>
    <col min="7" max="7" width="90" customWidth="1"/>
  </cols>
  <sheetData>
    <row r="1" spans="1:7" ht="18.75" x14ac:dyDescent="0.3">
      <c r="A1" s="1" t="s">
        <v>24</v>
      </c>
    </row>
    <row r="2" spans="1:7" x14ac:dyDescent="0.25">
      <c r="A2" s="2" t="s">
        <v>25</v>
      </c>
    </row>
    <row r="3" spans="1:7" x14ac:dyDescent="0.25">
      <c r="A3" s="12" t="s">
        <v>26</v>
      </c>
    </row>
    <row r="5" spans="1:7" x14ac:dyDescent="0.25">
      <c r="A5" s="13" t="s">
        <v>27</v>
      </c>
      <c r="B5" s="13" t="s">
        <v>28</v>
      </c>
      <c r="C5" s="13" t="s">
        <v>29</v>
      </c>
      <c r="D5" s="13" t="s">
        <v>30</v>
      </c>
      <c r="E5" s="13" t="s">
        <v>31</v>
      </c>
      <c r="F5" s="13" t="s">
        <v>32</v>
      </c>
      <c r="G5" s="13" t="s">
        <v>33</v>
      </c>
    </row>
    <row r="6" spans="1:7" ht="25.5" x14ac:dyDescent="0.25">
      <c r="A6" s="7" t="s">
        <v>34</v>
      </c>
      <c r="D6" s="14">
        <v>0.5</v>
      </c>
      <c r="E6" s="7" t="s">
        <v>35</v>
      </c>
      <c r="F6" s="7" t="s">
        <v>36</v>
      </c>
      <c r="G6" s="4" t="s">
        <v>37</v>
      </c>
    </row>
    <row r="7" spans="1:7" ht="25.5" x14ac:dyDescent="0.25">
      <c r="A7" s="7" t="s">
        <v>38</v>
      </c>
      <c r="D7" s="15" t="s">
        <v>39</v>
      </c>
      <c r="E7" s="7" t="s">
        <v>35</v>
      </c>
      <c r="F7" s="7" t="s">
        <v>36</v>
      </c>
      <c r="G7" s="4" t="s">
        <v>40</v>
      </c>
    </row>
    <row r="8" spans="1:7" ht="25.5" x14ac:dyDescent="0.25">
      <c r="A8" s="7" t="s">
        <v>41</v>
      </c>
      <c r="D8" s="15" t="s">
        <v>42</v>
      </c>
      <c r="E8" s="7" t="s">
        <v>35</v>
      </c>
      <c r="F8" s="7" t="s">
        <v>43</v>
      </c>
      <c r="G8" s="4" t="s">
        <v>44</v>
      </c>
    </row>
    <row r="10" spans="1:7" x14ac:dyDescent="0.25">
      <c r="A10" s="5" t="s">
        <v>45</v>
      </c>
      <c r="B10" s="6"/>
      <c r="C10" s="6"/>
      <c r="D10" s="6"/>
      <c r="E10" s="6"/>
      <c r="F10" s="6"/>
      <c r="G10" s="6"/>
    </row>
    <row r="11" spans="1:7" x14ac:dyDescent="0.25">
      <c r="A11" s="7" t="s">
        <v>46</v>
      </c>
      <c r="B11" s="16">
        <v>58.6</v>
      </c>
      <c r="C11" s="16">
        <v>58.6</v>
      </c>
      <c r="D11" s="16">
        <v>58.6</v>
      </c>
      <c r="E11" s="7" t="s">
        <v>47</v>
      </c>
      <c r="F11" s="7" t="s">
        <v>48</v>
      </c>
      <c r="G11" s="4" t="s">
        <v>49</v>
      </c>
    </row>
    <row r="12" spans="1:7" x14ac:dyDescent="0.25">
      <c r="A12" s="7" t="s">
        <v>50</v>
      </c>
      <c r="B12" s="17">
        <v>4294.9437150000003</v>
      </c>
      <c r="C12" s="17">
        <v>4296.2842149999997</v>
      </c>
      <c r="D12" s="17">
        <v>4294.9437150000003</v>
      </c>
      <c r="E12" s="7" t="s">
        <v>47</v>
      </c>
      <c r="F12" s="7" t="s">
        <v>48</v>
      </c>
      <c r="G12" s="4" t="s">
        <v>51</v>
      </c>
    </row>
    <row r="13" spans="1:7" x14ac:dyDescent="0.25">
      <c r="A13" s="7" t="s">
        <v>52</v>
      </c>
      <c r="B13" s="18">
        <v>153660</v>
      </c>
      <c r="D13" s="18">
        <v>153660</v>
      </c>
      <c r="E13" s="7" t="s">
        <v>47</v>
      </c>
      <c r="F13" s="7" t="s">
        <v>48</v>
      </c>
      <c r="G13" s="4" t="s">
        <v>53</v>
      </c>
    </row>
    <row r="14" spans="1:7" x14ac:dyDescent="0.25">
      <c r="A14" s="7" t="s">
        <v>54</v>
      </c>
      <c r="B14" s="18">
        <v>33361</v>
      </c>
      <c r="D14" s="18">
        <v>33361</v>
      </c>
      <c r="E14" s="7" t="s">
        <v>47</v>
      </c>
      <c r="F14" s="7" t="s">
        <v>48</v>
      </c>
      <c r="G14" s="4" t="s">
        <v>55</v>
      </c>
    </row>
    <row r="15" spans="1:7" ht="51" x14ac:dyDescent="0.25">
      <c r="A15" s="7" t="s">
        <v>56</v>
      </c>
      <c r="B15" s="18">
        <v>187021</v>
      </c>
      <c r="C15" s="18">
        <v>194918.29771951871</v>
      </c>
      <c r="D15" s="19">
        <f>D13+D14</f>
        <v>187021</v>
      </c>
      <c r="E15" s="7" t="s">
        <v>57</v>
      </c>
      <c r="F15" s="7" t="s">
        <v>48</v>
      </c>
      <c r="G15" s="4" t="s">
        <v>58</v>
      </c>
    </row>
    <row r="16" spans="1:7" x14ac:dyDescent="0.25">
      <c r="A16" s="7" t="s">
        <v>59</v>
      </c>
      <c r="B16" s="18">
        <v>16563</v>
      </c>
      <c r="C16" s="18">
        <v>17022.804812354101</v>
      </c>
      <c r="D16" s="18">
        <v>16563</v>
      </c>
      <c r="E16" s="7" t="s">
        <v>47</v>
      </c>
      <c r="F16" s="7" t="s">
        <v>48</v>
      </c>
      <c r="G16" s="4" t="s">
        <v>60</v>
      </c>
    </row>
    <row r="17" spans="1:7" x14ac:dyDescent="0.25">
      <c r="A17" s="7" t="s">
        <v>61</v>
      </c>
      <c r="B17" s="18">
        <v>1814</v>
      </c>
      <c r="D17" s="18">
        <v>1814</v>
      </c>
      <c r="E17" s="7" t="s">
        <v>47</v>
      </c>
      <c r="F17" s="7" t="s">
        <v>48</v>
      </c>
      <c r="G17" s="4" t="s">
        <v>62</v>
      </c>
    </row>
    <row r="18" spans="1:7" x14ac:dyDescent="0.25">
      <c r="A18" s="7" t="s">
        <v>63</v>
      </c>
      <c r="B18" s="20">
        <v>0.03</v>
      </c>
      <c r="D18" s="20">
        <v>0.03</v>
      </c>
      <c r="E18" s="7" t="s">
        <v>35</v>
      </c>
      <c r="F18" s="7" t="s">
        <v>64</v>
      </c>
      <c r="G18" s="4" t="s">
        <v>65</v>
      </c>
    </row>
    <row r="19" spans="1:7" x14ac:dyDescent="0.25">
      <c r="A19" s="7" t="s">
        <v>66</v>
      </c>
      <c r="B19" s="18">
        <v>721.7</v>
      </c>
      <c r="C19" s="18">
        <v>743</v>
      </c>
      <c r="D19" s="18">
        <v>721.7</v>
      </c>
      <c r="E19" s="7" t="s">
        <v>47</v>
      </c>
      <c r="F19" s="7" t="s">
        <v>48</v>
      </c>
      <c r="G19" s="4" t="s">
        <v>67</v>
      </c>
    </row>
    <row r="20" spans="1:7" x14ac:dyDescent="0.25">
      <c r="A20" s="7" t="s">
        <v>68</v>
      </c>
      <c r="B20" s="18">
        <v>6497.5</v>
      </c>
      <c r="C20" s="18">
        <v>0</v>
      </c>
      <c r="D20" s="18">
        <v>6497.5</v>
      </c>
      <c r="E20" s="7" t="s">
        <v>47</v>
      </c>
      <c r="F20" s="7" t="s">
        <v>69</v>
      </c>
      <c r="G20" s="4" t="s">
        <v>70</v>
      </c>
    </row>
    <row r="21" spans="1:7" x14ac:dyDescent="0.25">
      <c r="A21" s="7" t="s">
        <v>71</v>
      </c>
      <c r="B21" s="18">
        <v>4538.05</v>
      </c>
      <c r="C21" s="18">
        <v>0</v>
      </c>
      <c r="D21" s="18">
        <v>4538.05</v>
      </c>
      <c r="E21" s="7" t="s">
        <v>47</v>
      </c>
      <c r="F21" s="7" t="s">
        <v>69</v>
      </c>
      <c r="G21" s="4" t="s">
        <v>72</v>
      </c>
    </row>
    <row r="22" spans="1:7" ht="25.5" x14ac:dyDescent="0.25">
      <c r="A22" s="7" t="s">
        <v>73</v>
      </c>
      <c r="B22" s="18">
        <v>18135</v>
      </c>
      <c r="C22" s="18">
        <v>0</v>
      </c>
      <c r="D22" s="18">
        <v>18135</v>
      </c>
      <c r="E22" s="7" t="s">
        <v>47</v>
      </c>
      <c r="F22" s="7" t="s">
        <v>69</v>
      </c>
      <c r="G22" s="4" t="s">
        <v>74</v>
      </c>
    </row>
    <row r="23" spans="1:7" x14ac:dyDescent="0.25">
      <c r="A23" s="7" t="s">
        <v>75</v>
      </c>
      <c r="B23" s="18">
        <v>426952</v>
      </c>
      <c r="C23" s="18">
        <v>426952</v>
      </c>
      <c r="D23" s="18">
        <v>426952</v>
      </c>
      <c r="E23" s="7" t="s">
        <v>47</v>
      </c>
      <c r="F23" s="7" t="s">
        <v>48</v>
      </c>
      <c r="G23" s="4" t="s">
        <v>76</v>
      </c>
    </row>
    <row r="24" spans="1:7" x14ac:dyDescent="0.25">
      <c r="A24" s="7" t="s">
        <v>77</v>
      </c>
      <c r="B24" s="20">
        <v>1.3899999999999999E-2</v>
      </c>
      <c r="C24" s="20">
        <v>1.3872753845865581E-2</v>
      </c>
      <c r="D24" s="20">
        <v>1.3899999999999999E-2</v>
      </c>
      <c r="E24" s="7" t="s">
        <v>57</v>
      </c>
      <c r="F24" s="7" t="s">
        <v>69</v>
      </c>
      <c r="G24" s="4" t="s">
        <v>78</v>
      </c>
    </row>
    <row r="25" spans="1:7" ht="25.5" x14ac:dyDescent="0.25">
      <c r="A25" s="7" t="s">
        <v>79</v>
      </c>
      <c r="B25" s="20">
        <v>8.1484569694017073E-2</v>
      </c>
      <c r="D25" s="20">
        <v>8.1484569694017073E-2</v>
      </c>
      <c r="E25" s="7" t="s">
        <v>57</v>
      </c>
      <c r="F25" s="7" t="s">
        <v>69</v>
      </c>
      <c r="G25" s="4" t="s">
        <v>80</v>
      </c>
    </row>
    <row r="26" spans="1:7" ht="25.5" x14ac:dyDescent="0.25">
      <c r="A26" s="7" t="s">
        <v>81</v>
      </c>
      <c r="B26" s="21">
        <v>184</v>
      </c>
      <c r="C26" s="21">
        <v>76</v>
      </c>
      <c r="D26" s="21">
        <v>184</v>
      </c>
      <c r="E26" s="7" t="s">
        <v>57</v>
      </c>
      <c r="F26" s="7" t="s">
        <v>69</v>
      </c>
      <c r="G26" s="4" t="s">
        <v>82</v>
      </c>
    </row>
    <row r="27" spans="1:7" x14ac:dyDescent="0.25">
      <c r="A27" s="7" t="s">
        <v>83</v>
      </c>
      <c r="B27" s="21">
        <v>108</v>
      </c>
      <c r="C27" s="21">
        <v>0</v>
      </c>
      <c r="D27" s="21">
        <v>108</v>
      </c>
      <c r="E27" s="7" t="s">
        <v>57</v>
      </c>
      <c r="F27" s="7" t="s">
        <v>69</v>
      </c>
      <c r="G27" s="4" t="s">
        <v>84</v>
      </c>
    </row>
    <row r="28" spans="1:7" x14ac:dyDescent="0.25">
      <c r="A28" s="7" t="s">
        <v>85</v>
      </c>
      <c r="B28" s="16">
        <v>1.05</v>
      </c>
      <c r="D28" s="16">
        <v>1.05</v>
      </c>
      <c r="E28" s="7" t="s">
        <v>47</v>
      </c>
      <c r="F28" s="7" t="s">
        <v>48</v>
      </c>
      <c r="G28" s="4" t="s">
        <v>86</v>
      </c>
    </row>
    <row r="30" spans="1:7" x14ac:dyDescent="0.25">
      <c r="A30" s="5" t="s">
        <v>87</v>
      </c>
      <c r="B30" s="6"/>
      <c r="C30" s="6"/>
      <c r="D30" s="6"/>
      <c r="E30" s="6"/>
      <c r="F30" s="6"/>
      <c r="G30" s="6"/>
    </row>
    <row r="31" spans="1:7" x14ac:dyDescent="0.25">
      <c r="A31" s="7" t="s">
        <v>88</v>
      </c>
      <c r="B31" s="20">
        <v>7.5101187761694166E-2</v>
      </c>
      <c r="C31" s="20">
        <v>7.5101187761694194E-2</v>
      </c>
      <c r="D31" s="20">
        <v>7.5101187761694166E-2</v>
      </c>
      <c r="E31" s="7" t="s">
        <v>89</v>
      </c>
      <c r="F31" s="7" t="s">
        <v>48</v>
      </c>
      <c r="G31" s="4" t="s">
        <v>90</v>
      </c>
    </row>
    <row r="32" spans="1:7" x14ac:dyDescent="0.25">
      <c r="A32" s="7" t="s">
        <v>91</v>
      </c>
      <c r="B32" s="20">
        <v>4.200000000000001E-2</v>
      </c>
      <c r="C32" s="20">
        <v>4.200000000000001E-2</v>
      </c>
      <c r="D32" s="20">
        <v>4.200000000000001E-2</v>
      </c>
      <c r="E32" s="7" t="s">
        <v>47</v>
      </c>
      <c r="F32" s="7" t="s">
        <v>48</v>
      </c>
      <c r="G32" s="4" t="s">
        <v>92</v>
      </c>
    </row>
    <row r="33" spans="1:7" ht="25.5" x14ac:dyDescent="0.25">
      <c r="A33" s="7" t="s">
        <v>93</v>
      </c>
      <c r="B33" s="20">
        <v>2.0496339299999999E-2</v>
      </c>
      <c r="C33" s="20">
        <v>2.0496777991541398E-2</v>
      </c>
      <c r="D33" s="20">
        <v>2.0496339299999999E-2</v>
      </c>
      <c r="E33" s="7" t="s">
        <v>57</v>
      </c>
      <c r="F33" s="7" t="s">
        <v>48</v>
      </c>
      <c r="G33" s="4" t="s">
        <v>94</v>
      </c>
    </row>
    <row r="34" spans="1:7" x14ac:dyDescent="0.25">
      <c r="A34" s="7" t="s">
        <v>95</v>
      </c>
      <c r="B34" s="20">
        <v>9.7100000000000006E-2</v>
      </c>
      <c r="C34" s="20">
        <v>9.7100000000000006E-2</v>
      </c>
      <c r="D34" s="20">
        <v>9.7100000000000006E-2</v>
      </c>
      <c r="E34" s="7" t="s">
        <v>89</v>
      </c>
      <c r="F34" s="7" t="s">
        <v>48</v>
      </c>
      <c r="G34" s="4" t="s">
        <v>96</v>
      </c>
    </row>
    <row r="35" spans="1:7" x14ac:dyDescent="0.25">
      <c r="A35" s="7" t="s">
        <v>97</v>
      </c>
      <c r="B35" s="20">
        <v>0.3</v>
      </c>
      <c r="C35" s="20">
        <v>0.3</v>
      </c>
      <c r="D35" s="20">
        <v>0.3</v>
      </c>
      <c r="E35" s="7" t="s">
        <v>47</v>
      </c>
      <c r="F35" s="7" t="s">
        <v>48</v>
      </c>
      <c r="G35" s="4" t="s">
        <v>98</v>
      </c>
    </row>
    <row r="36" spans="1:7" x14ac:dyDescent="0.25">
      <c r="A36" s="7" t="s">
        <v>99</v>
      </c>
      <c r="B36" s="17">
        <v>0.74307950311246973</v>
      </c>
      <c r="C36" s="17">
        <v>0.77421572872507427</v>
      </c>
      <c r="D36" s="22">
        <f>D15/(D11*D12)</f>
        <v>0.74307950311246973</v>
      </c>
      <c r="E36" s="7" t="s">
        <v>57</v>
      </c>
      <c r="F36" s="7" t="s">
        <v>48</v>
      </c>
      <c r="G36" s="4" t="s">
        <v>100</v>
      </c>
    </row>
    <row r="37" spans="1:7" x14ac:dyDescent="0.25">
      <c r="A37" s="7" t="s">
        <v>101</v>
      </c>
      <c r="B37" s="17">
        <v>0.53</v>
      </c>
      <c r="C37" s="17">
        <v>0.56000000000000005</v>
      </c>
      <c r="D37" s="22">
        <f>$D$6*B37+(1-$D$6)*C37</f>
        <v>0.54500000000000004</v>
      </c>
      <c r="E37" s="7" t="s">
        <v>47</v>
      </c>
      <c r="F37" s="7" t="s">
        <v>102</v>
      </c>
      <c r="G37" s="4" t="s">
        <v>103</v>
      </c>
    </row>
    <row r="39" spans="1:7" x14ac:dyDescent="0.25">
      <c r="A39" s="5" t="s">
        <v>104</v>
      </c>
      <c r="B39" s="6"/>
      <c r="C39" s="6"/>
      <c r="D39" s="6"/>
      <c r="E39" s="6"/>
      <c r="F39" s="6"/>
      <c r="G39" s="6"/>
    </row>
    <row r="40" spans="1:7" ht="25.5" x14ac:dyDescent="0.25">
      <c r="A40" s="7" t="s">
        <v>105</v>
      </c>
      <c r="B40" s="23">
        <v>6</v>
      </c>
      <c r="C40" s="23">
        <v>6.4</v>
      </c>
      <c r="D40" s="9">
        <f>$D$6*B40+(1-$D$6)*IF($D$7="raw",C40,C41)</f>
        <v>5.9172897184825191</v>
      </c>
      <c r="E40" s="7" t="s">
        <v>35</v>
      </c>
      <c r="F40" s="7" t="s">
        <v>102</v>
      </c>
      <c r="G40" s="4" t="s">
        <v>106</v>
      </c>
    </row>
    <row r="41" spans="1:7" x14ac:dyDescent="0.25">
      <c r="A41" s="7" t="s">
        <v>107</v>
      </c>
      <c r="C41" s="9">
        <f>B52</f>
        <v>5.8345794369650381</v>
      </c>
      <c r="E41" s="7" t="s">
        <v>57</v>
      </c>
      <c r="F41" s="7" t="s">
        <v>108</v>
      </c>
      <c r="G41" s="4" t="s">
        <v>109</v>
      </c>
    </row>
    <row r="42" spans="1:7" x14ac:dyDescent="0.25">
      <c r="A42" s="7" t="s">
        <v>110</v>
      </c>
      <c r="B42" s="20">
        <v>4.2500000000000003E-2</v>
      </c>
      <c r="C42" s="20">
        <v>0.04</v>
      </c>
      <c r="D42" s="8">
        <f>$D$6*B42+(1-$D$6)*C42</f>
        <v>4.1250000000000002E-2</v>
      </c>
      <c r="E42" s="7" t="s">
        <v>35</v>
      </c>
      <c r="F42" s="7" t="s">
        <v>102</v>
      </c>
      <c r="G42" s="4" t="s">
        <v>111</v>
      </c>
    </row>
    <row r="43" spans="1:7" ht="25.5" x14ac:dyDescent="0.25">
      <c r="A43" s="7" t="s">
        <v>112</v>
      </c>
      <c r="B43" s="20">
        <v>0.34</v>
      </c>
      <c r="C43" s="20">
        <v>0.3</v>
      </c>
      <c r="D43" s="8">
        <f>$D$6*B43+(1-$D$6)*C43</f>
        <v>0.32</v>
      </c>
      <c r="E43" s="7" t="s">
        <v>35</v>
      </c>
      <c r="F43" s="7" t="s">
        <v>113</v>
      </c>
      <c r="G43" s="4" t="s">
        <v>114</v>
      </c>
    </row>
    <row r="44" spans="1:7" ht="25.5" x14ac:dyDescent="0.25">
      <c r="A44" s="7" t="s">
        <v>115</v>
      </c>
      <c r="B44" s="20">
        <v>0.14618400000000001</v>
      </c>
      <c r="D44" s="24">
        <f>B44</f>
        <v>0.14618400000000001</v>
      </c>
      <c r="E44" s="7" t="s">
        <v>35</v>
      </c>
      <c r="F44" s="7" t="s">
        <v>116</v>
      </c>
      <c r="G44" s="4" t="s">
        <v>117</v>
      </c>
    </row>
    <row r="46" spans="1:7" x14ac:dyDescent="0.25">
      <c r="A46" s="5" t="s">
        <v>118</v>
      </c>
      <c r="B46" s="6"/>
      <c r="C46" s="6"/>
      <c r="D46" s="6"/>
      <c r="E46" s="6"/>
      <c r="F46" s="6"/>
      <c r="G46" s="6"/>
    </row>
    <row r="47" spans="1:7" ht="25.5" x14ac:dyDescent="0.25">
      <c r="A47" s="13" t="s">
        <v>119</v>
      </c>
      <c r="B47" s="13" t="s">
        <v>120</v>
      </c>
      <c r="C47" s="13" t="s">
        <v>121</v>
      </c>
      <c r="D47" s="13" t="s">
        <v>122</v>
      </c>
      <c r="E47" s="13"/>
      <c r="F47" s="13"/>
      <c r="G47" s="13" t="s">
        <v>123</v>
      </c>
    </row>
    <row r="48" spans="1:7" x14ac:dyDescent="0.25">
      <c r="A48" s="7" t="s">
        <v>124</v>
      </c>
      <c r="B48" s="23">
        <v>5.6094444703642079</v>
      </c>
      <c r="C48" s="23">
        <v>6.6763199999999996</v>
      </c>
      <c r="D48" s="9">
        <f>C48-B48</f>
        <v>1.0668755296357917</v>
      </c>
      <c r="G48" s="4" t="s">
        <v>125</v>
      </c>
    </row>
    <row r="49" spans="1:7" x14ac:dyDescent="0.25">
      <c r="A49" s="7" t="s">
        <v>126</v>
      </c>
      <c r="B49" s="23">
        <v>5.4417222021823424</v>
      </c>
      <c r="C49" s="23">
        <v>6.0133669999999997</v>
      </c>
      <c r="D49" s="9">
        <f>C49-B49</f>
        <v>0.57164479781765731</v>
      </c>
      <c r="G49" s="4" t="s">
        <v>127</v>
      </c>
    </row>
    <row r="50" spans="1:7" x14ac:dyDescent="0.25">
      <c r="A50" s="7" t="s">
        <v>128</v>
      </c>
      <c r="B50" s="23">
        <v>6.0597144035658683</v>
      </c>
      <c r="C50" s="23">
        <v>6.0643459999999996</v>
      </c>
      <c r="D50" s="9">
        <f>C50-B50</f>
        <v>4.6315964341312466E-3</v>
      </c>
      <c r="G50" s="4" t="s">
        <v>129</v>
      </c>
    </row>
    <row r="51" spans="1:7" x14ac:dyDescent="0.25">
      <c r="A51" s="7" t="s">
        <v>130</v>
      </c>
      <c r="B51" s="23">
        <v>8.3332365847860537</v>
      </c>
      <c r="C51" s="23">
        <v>8.3332010000000007</v>
      </c>
      <c r="D51" s="9">
        <f>C51-B51</f>
        <v>-3.5584786052922368E-5</v>
      </c>
      <c r="G51" s="4" t="s">
        <v>131</v>
      </c>
    </row>
    <row r="52" spans="1:7" x14ac:dyDescent="0.25">
      <c r="A52" s="3" t="s">
        <v>132</v>
      </c>
      <c r="B52" s="9">
        <f>MEDIAN(B48:B51)</f>
        <v>5.8345794369650381</v>
      </c>
      <c r="C52" s="9">
        <f>MEDIAN(C48:C51)</f>
        <v>6.3703329999999996</v>
      </c>
      <c r="D52" s="9">
        <f>C52-B52</f>
        <v>0.53575356303496147</v>
      </c>
      <c r="G52" s="4" t="s">
        <v>133</v>
      </c>
    </row>
    <row r="54" spans="1:7" x14ac:dyDescent="0.25">
      <c r="A54" s="5" t="s">
        <v>134</v>
      </c>
      <c r="B54" s="6"/>
      <c r="C54" s="6"/>
      <c r="D54" s="6"/>
      <c r="E54" s="6"/>
      <c r="F54" s="6"/>
      <c r="G54" s="6"/>
    </row>
    <row r="55" spans="1:7" x14ac:dyDescent="0.25">
      <c r="A55" s="13" t="s">
        <v>135</v>
      </c>
      <c r="B55" s="13" t="s">
        <v>136</v>
      </c>
      <c r="C55" s="13" t="s">
        <v>137</v>
      </c>
      <c r="D55" s="13" t="s">
        <v>138</v>
      </c>
      <c r="E55" s="13" t="s">
        <v>139</v>
      </c>
      <c r="F55" s="13" t="s">
        <v>140</v>
      </c>
      <c r="G55" s="13" t="s">
        <v>141</v>
      </c>
    </row>
    <row r="56" spans="1:7" ht="25.5" x14ac:dyDescent="0.25">
      <c r="A56" s="7" t="s">
        <v>142</v>
      </c>
      <c r="B56" s="20">
        <v>-8.1259439000169742E-3</v>
      </c>
      <c r="C56" s="20">
        <v>4.5410940957358648E-2</v>
      </c>
      <c r="D56" s="20">
        <v>4.4061251236503951E-2</v>
      </c>
      <c r="E56" s="20">
        <v>4.4213834958435561E-2</v>
      </c>
      <c r="F56" s="20">
        <v>4.4366516090338592E-2</v>
      </c>
      <c r="G56" s="4" t="s">
        <v>143</v>
      </c>
    </row>
    <row r="57" spans="1:7" x14ac:dyDescent="0.25">
      <c r="A57" s="7" t="s">
        <v>144</v>
      </c>
      <c r="B57" s="20">
        <v>-1.5862847814274159E-3</v>
      </c>
      <c r="C57" s="20">
        <v>4.4603219024284879E-2</v>
      </c>
      <c r="D57" s="20">
        <v>5.1972993261125922E-2</v>
      </c>
      <c r="E57" s="20">
        <v>4.7E-2</v>
      </c>
      <c r="F57" s="20">
        <v>4.2999999999999997E-2</v>
      </c>
    </row>
    <row r="58" spans="1:7" x14ac:dyDescent="0.25">
      <c r="A58" s="3" t="s">
        <v>145</v>
      </c>
      <c r="B58" s="25">
        <f>$D$6*B56+(1-$D$6)*B57</f>
        <v>-4.8561143407221952E-3</v>
      </c>
      <c r="C58" s="25">
        <f>$D$6*C56+(1-$D$6)*C57</f>
        <v>4.5007079990821763E-2</v>
      </c>
      <c r="D58" s="25">
        <f>$D$6*D56+(1-$D$6)*D57</f>
        <v>4.8017122248814936E-2</v>
      </c>
      <c r="E58" s="25">
        <f>$D$6*E56+(1-$D$6)*E57</f>
        <v>4.560691747921778E-2</v>
      </c>
      <c r="F58" s="25">
        <f>$D$6*F56+(1-$D$6)*F57</f>
        <v>4.3683258045169295E-2</v>
      </c>
      <c r="G58" s="7" t="s">
        <v>146</v>
      </c>
    </row>
    <row r="59" spans="1:7" ht="25.5" x14ac:dyDescent="0.25">
      <c r="A59" s="7" t="s">
        <v>147</v>
      </c>
      <c r="B59" s="20">
        <v>0.14699999999999999</v>
      </c>
      <c r="C59" s="20">
        <v>0.14499999999999999</v>
      </c>
      <c r="D59" s="20">
        <v>0.14899999999999999</v>
      </c>
      <c r="E59" s="20">
        <v>0.151</v>
      </c>
      <c r="F59" s="20">
        <v>0.153</v>
      </c>
      <c r="G59" s="4" t="s">
        <v>148</v>
      </c>
    </row>
    <row r="60" spans="1:7" x14ac:dyDescent="0.25">
      <c r="A60" s="7" t="s">
        <v>149</v>
      </c>
      <c r="B60" s="20">
        <v>0.14572030896570021</v>
      </c>
      <c r="C60" s="20">
        <v>0.14572766016534749</v>
      </c>
      <c r="D60" s="20">
        <v>0.1472973319677599</v>
      </c>
      <c r="E60" s="20">
        <v>0.1472973319677599</v>
      </c>
      <c r="F60" s="20">
        <v>0.1472973319677599</v>
      </c>
    </row>
    <row r="61" spans="1:7" x14ac:dyDescent="0.25">
      <c r="A61" s="3" t="s">
        <v>150</v>
      </c>
      <c r="B61" s="25">
        <f>$D$6*B59+(1-$D$6)*B60</f>
        <v>0.14636015448285011</v>
      </c>
      <c r="C61" s="25">
        <f>$D$6*C59+(1-$D$6)*C60</f>
        <v>0.14536383008267373</v>
      </c>
      <c r="D61" s="25">
        <f>$D$6*D59+(1-$D$6)*D60</f>
        <v>0.14814866598387993</v>
      </c>
      <c r="E61" s="25">
        <f>$D$6*E59+(1-$D$6)*E60</f>
        <v>0.14914866598387994</v>
      </c>
      <c r="F61" s="25">
        <f>$D$6*F59+(1-$D$6)*F60</f>
        <v>0.15014866598387994</v>
      </c>
      <c r="G61" s="7" t="s">
        <v>146</v>
      </c>
    </row>
    <row r="62" spans="1:7" ht="25.5" x14ac:dyDescent="0.25">
      <c r="A62" s="7" t="s">
        <v>151</v>
      </c>
      <c r="B62" s="20">
        <v>5.899999999999999E-2</v>
      </c>
      <c r="C62" s="20">
        <v>5.8999999999999997E-2</v>
      </c>
      <c r="D62" s="20">
        <v>5.8999999999999997E-2</v>
      </c>
      <c r="E62" s="20">
        <v>5.8500000000000003E-2</v>
      </c>
      <c r="F62" s="20">
        <v>5.850000000000001E-2</v>
      </c>
      <c r="G62" s="4" t="s">
        <v>152</v>
      </c>
    </row>
    <row r="63" spans="1:7" x14ac:dyDescent="0.25">
      <c r="A63" s="7" t="s">
        <v>153</v>
      </c>
      <c r="B63" s="20">
        <v>5.8288101925312127E-2</v>
      </c>
      <c r="C63" s="20">
        <v>5.8800528081534201E-2</v>
      </c>
      <c r="D63" s="20">
        <v>5.9400557924870527E-2</v>
      </c>
      <c r="E63" s="20">
        <v>6.0629364838411012E-2</v>
      </c>
      <c r="F63" s="20">
        <v>6.1830873740548353E-2</v>
      </c>
    </row>
    <row r="64" spans="1:7" x14ac:dyDescent="0.25">
      <c r="A64" s="3" t="s">
        <v>154</v>
      </c>
      <c r="B64" s="25">
        <f>B62</f>
        <v>5.899999999999999E-2</v>
      </c>
      <c r="C64" s="25">
        <f>C62</f>
        <v>5.8999999999999997E-2</v>
      </c>
      <c r="D64" s="25">
        <f>D62</f>
        <v>5.8999999999999997E-2</v>
      </c>
      <c r="E64" s="25">
        <f>E62</f>
        <v>5.8500000000000003E-2</v>
      </c>
      <c r="F64" s="25">
        <f>F62</f>
        <v>5.850000000000001E-2</v>
      </c>
      <c r="G64" s="7" t="s">
        <v>155</v>
      </c>
    </row>
    <row r="65" spans="1:7" ht="25.5" x14ac:dyDescent="0.25">
      <c r="A65" s="7" t="s">
        <v>156</v>
      </c>
      <c r="B65" s="20">
        <v>4.5999999999999999E-2</v>
      </c>
      <c r="C65" s="20">
        <v>0.05</v>
      </c>
      <c r="D65" s="20">
        <v>5.1999999999999998E-2</v>
      </c>
      <c r="E65" s="20">
        <v>5.3999999999999999E-2</v>
      </c>
      <c r="F65" s="20">
        <v>5.5E-2</v>
      </c>
      <c r="G65" s="4" t="s">
        <v>157</v>
      </c>
    </row>
    <row r="66" spans="1:7" x14ac:dyDescent="0.25">
      <c r="A66" s="7" t="s">
        <v>158</v>
      </c>
      <c r="B66" s="20">
        <v>5.1560094657821631E-2</v>
      </c>
      <c r="C66" s="20">
        <v>5.0172716146153991E-2</v>
      </c>
      <c r="D66" s="20">
        <v>4.8958119894682781E-2</v>
      </c>
      <c r="E66" s="20">
        <v>4.845811989468278E-2</v>
      </c>
      <c r="F66" s="20">
        <v>4.795811989468278E-2</v>
      </c>
    </row>
    <row r="67" spans="1:7" x14ac:dyDescent="0.25">
      <c r="A67" s="3" t="s">
        <v>159</v>
      </c>
      <c r="B67" s="25">
        <f>$D$6*B65+(1-$D$6)*B66</f>
        <v>4.8780047328910815E-2</v>
      </c>
      <c r="C67" s="25">
        <f>$D$6*C65+(1-$D$6)*C66</f>
        <v>5.0086358073077E-2</v>
      </c>
      <c r="D67" s="25">
        <f>$D$6*D65+(1-$D$6)*D66</f>
        <v>5.0479059947341393E-2</v>
      </c>
      <c r="E67" s="25">
        <f>$D$6*E65+(1-$D$6)*E66</f>
        <v>5.1229059947341393E-2</v>
      </c>
      <c r="F67" s="25">
        <f>$D$6*F65+(1-$D$6)*F66</f>
        <v>5.1479059947341393E-2</v>
      </c>
      <c r="G67" s="7" t="s">
        <v>146</v>
      </c>
    </row>
    <row r="68" spans="1:7" x14ac:dyDescent="0.25">
      <c r="A68" s="7" t="s">
        <v>160</v>
      </c>
      <c r="B68" s="20">
        <v>-1.25496188650261E-4</v>
      </c>
      <c r="C68" s="20">
        <v>1.0647403417631629E-3</v>
      </c>
      <c r="D68" s="20">
        <v>3.1061464797801181E-4</v>
      </c>
      <c r="E68" s="20">
        <v>4.0609969904321339E-4</v>
      </c>
      <c r="F68" s="20">
        <v>6.1583138084568263E-4</v>
      </c>
      <c r="G68" s="4" t="s">
        <v>161</v>
      </c>
    </row>
    <row r="69" spans="1:7" x14ac:dyDescent="0.25">
      <c r="A69" s="7" t="s">
        <v>162</v>
      </c>
      <c r="B69" s="20">
        <v>-6.5712769782368527E-6</v>
      </c>
      <c r="C69" s="20">
        <v>1.7980254303889369E-3</v>
      </c>
      <c r="D69" s="20">
        <v>1.6685150470111679E-3</v>
      </c>
      <c r="E69" s="20">
        <v>1.562563503510053E-3</v>
      </c>
      <c r="F69" s="20">
        <v>1.4350619426679711E-3</v>
      </c>
    </row>
    <row r="70" spans="1:7" x14ac:dyDescent="0.25">
      <c r="A70" s="3" t="s">
        <v>163</v>
      </c>
      <c r="B70" s="25">
        <f>$D$6*B68+(1-$D$6)*B69</f>
        <v>-6.6033732814248922E-5</v>
      </c>
      <c r="C70" s="25">
        <f>$D$6*C68+(1-$D$6)*C69</f>
        <v>1.4313828860760499E-3</v>
      </c>
      <c r="D70" s="25">
        <f>$D$6*D68+(1-$D$6)*D69</f>
        <v>9.8956484749458977E-4</v>
      </c>
      <c r="E70" s="25">
        <f>$D$6*E68+(1-$D$6)*E69</f>
        <v>9.8433160127663327E-4</v>
      </c>
      <c r="F70" s="25">
        <f>$D$6*F68+(1-$D$6)*F69</f>
        <v>1.0254466617568268E-3</v>
      </c>
      <c r="G70" s="7" t="s">
        <v>146</v>
      </c>
    </row>
    <row r="71" spans="1:7" x14ac:dyDescent="0.25">
      <c r="A71" s="7" t="s">
        <v>164</v>
      </c>
      <c r="B71" s="20">
        <v>1.32324363733697E-2</v>
      </c>
      <c r="C71" s="20">
        <v>1.743955639676217E-2</v>
      </c>
      <c r="D71" s="20">
        <v>1.7338794508401121E-2</v>
      </c>
      <c r="E71" s="20">
        <v>1.7350198795971519E-2</v>
      </c>
      <c r="F71" s="20">
        <v>1.736160702851491E-2</v>
      </c>
      <c r="G71" s="4" t="s">
        <v>165</v>
      </c>
    </row>
    <row r="72" spans="1:7" x14ac:dyDescent="0.25">
      <c r="A72" s="7" t="s">
        <v>166</v>
      </c>
      <c r="B72" s="20">
        <v>1.387275384586557E-2</v>
      </c>
      <c r="C72" s="20">
        <v>1.3872753845865581E-2</v>
      </c>
      <c r="D72" s="20">
        <v>1.387275384586557E-2</v>
      </c>
      <c r="E72" s="20">
        <v>1.387275384586557E-2</v>
      </c>
      <c r="F72" s="20">
        <v>1.387275384586557E-2</v>
      </c>
    </row>
    <row r="74" spans="1:7" x14ac:dyDescent="0.25">
      <c r="A74" s="5" t="s">
        <v>167</v>
      </c>
      <c r="B74" s="6"/>
      <c r="C74" s="6"/>
      <c r="D74" s="6"/>
      <c r="E74" s="6"/>
      <c r="F74" s="6"/>
      <c r="G74" s="6"/>
    </row>
    <row r="75" spans="1:7" x14ac:dyDescent="0.25">
      <c r="A75" s="13" t="s">
        <v>168</v>
      </c>
      <c r="B75" s="13"/>
      <c r="C75" s="13"/>
      <c r="D75" s="13" t="s">
        <v>169</v>
      </c>
      <c r="E75" s="13" t="s">
        <v>31</v>
      </c>
      <c r="F75" s="13" t="s">
        <v>32</v>
      </c>
      <c r="G75" s="13" t="s">
        <v>170</v>
      </c>
    </row>
    <row r="76" spans="1:7" x14ac:dyDescent="0.25">
      <c r="A76" s="7" t="s">
        <v>171</v>
      </c>
      <c r="D76" s="26">
        <f>IS!E5</f>
        <v>408335</v>
      </c>
      <c r="E76" s="7" t="s">
        <v>47</v>
      </c>
      <c r="F76" s="7" t="s">
        <v>172</v>
      </c>
      <c r="G76" s="4" t="s">
        <v>173</v>
      </c>
    </row>
    <row r="77" spans="1:7" x14ac:dyDescent="0.25">
      <c r="A77" s="7" t="s">
        <v>174</v>
      </c>
      <c r="D77" s="26">
        <f>IS!F24</f>
        <v>59456</v>
      </c>
      <c r="E77" s="7" t="s">
        <v>47</v>
      </c>
      <c r="F77" s="7" t="s">
        <v>172</v>
      </c>
      <c r="G77" s="4" t="s">
        <v>175</v>
      </c>
    </row>
    <row r="78" spans="1:7" x14ac:dyDescent="0.25">
      <c r="A78" s="7" t="s">
        <v>176</v>
      </c>
      <c r="D78" s="26">
        <f>IS!F22</f>
        <v>24838</v>
      </c>
      <c r="E78" s="7" t="s">
        <v>47</v>
      </c>
      <c r="F78" s="7" t="s">
        <v>172</v>
      </c>
      <c r="G78" s="4" t="s">
        <v>177</v>
      </c>
    </row>
    <row r="79" spans="1:7" x14ac:dyDescent="0.25">
      <c r="A79" s="7" t="s">
        <v>178</v>
      </c>
      <c r="D79" s="26">
        <f>CF!F11</f>
        <v>22530</v>
      </c>
      <c r="E79" s="7" t="s">
        <v>47</v>
      </c>
      <c r="F79" s="7" t="s">
        <v>172</v>
      </c>
      <c r="G79" s="4" t="s">
        <v>179</v>
      </c>
    </row>
    <row r="80" spans="1:7" x14ac:dyDescent="0.25">
      <c r="A80" s="7" t="s">
        <v>180</v>
      </c>
      <c r="D80" s="26">
        <f>CF!F7</f>
        <v>5923</v>
      </c>
      <c r="E80" s="7" t="s">
        <v>57</v>
      </c>
      <c r="F80" s="7" t="s">
        <v>172</v>
      </c>
      <c r="G80" s="4" t="s">
        <v>181</v>
      </c>
    </row>
    <row r="81" spans="1:7" ht="25.5" x14ac:dyDescent="0.25">
      <c r="A81" s="7" t="s">
        <v>182</v>
      </c>
      <c r="D81" s="26">
        <f>CF!F13</f>
        <v>696</v>
      </c>
      <c r="E81" s="7" t="s">
        <v>57</v>
      </c>
      <c r="F81" s="7" t="s">
        <v>172</v>
      </c>
      <c r="G81" s="4" t="s">
        <v>183</v>
      </c>
    </row>
  </sheetData>
  <dataValidations count="2">
    <dataValidation type="list" sqref="D7" xr:uid="{00000000-0002-0000-0100-000000000000}">
      <formula1>"clean,raw"</formula1>
    </dataValidation>
    <dataValidation type="list" sqref="D8" xr:uid="{00000000-0002-0000-0100-000001000000}">
      <formula1>"market,book"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6" customWidth="1"/>
    <col min="2" max="6" width="12" customWidth="1"/>
    <col min="7" max="7" width="11" customWidth="1"/>
    <col min="8" max="8" width="95" customWidth="1"/>
  </cols>
  <sheetData>
    <row r="1" spans="1:8" ht="18.75" x14ac:dyDescent="0.3">
      <c r="A1" s="1" t="s">
        <v>184</v>
      </c>
    </row>
    <row r="2" spans="1:8" x14ac:dyDescent="0.25">
      <c r="A2" s="2" t="s">
        <v>185</v>
      </c>
    </row>
    <row r="4" spans="1:8" x14ac:dyDescent="0.25">
      <c r="A4" s="13" t="s">
        <v>186</v>
      </c>
      <c r="B4" s="13" t="s">
        <v>187</v>
      </c>
      <c r="C4" s="13" t="s">
        <v>188</v>
      </c>
      <c r="D4" s="13" t="s">
        <v>189</v>
      </c>
      <c r="E4" s="13" t="s">
        <v>190</v>
      </c>
      <c r="F4" s="13" t="s">
        <v>169</v>
      </c>
      <c r="G4" s="13" t="s">
        <v>31</v>
      </c>
      <c r="H4" s="13" t="s">
        <v>191</v>
      </c>
    </row>
    <row r="5" spans="1:8" x14ac:dyDescent="0.25">
      <c r="A5" s="3" t="s">
        <v>192</v>
      </c>
      <c r="B5" s="27">
        <v>338792</v>
      </c>
      <c r="C5" s="27">
        <v>398706</v>
      </c>
      <c r="D5" s="27">
        <v>399879</v>
      </c>
      <c r="E5" s="27">
        <v>408335</v>
      </c>
      <c r="F5" s="27">
        <v>426952</v>
      </c>
      <c r="G5" s="7" t="s">
        <v>47</v>
      </c>
      <c r="H5" s="7" t="s">
        <v>193</v>
      </c>
    </row>
    <row r="6" spans="1:8" x14ac:dyDescent="0.25">
      <c r="A6" s="7" t="s">
        <v>194</v>
      </c>
      <c r="B6" s="27">
        <v>157703</v>
      </c>
      <c r="C6" s="27">
        <v>193325</v>
      </c>
      <c r="D6" s="27">
        <v>194369</v>
      </c>
      <c r="E6" s="27">
        <v>193407</v>
      </c>
      <c r="F6" s="27">
        <v>203465</v>
      </c>
      <c r="G6" s="7" t="s">
        <v>47</v>
      </c>
      <c r="H6" s="7" t="s">
        <v>193</v>
      </c>
    </row>
    <row r="7" spans="1:8" x14ac:dyDescent="0.25">
      <c r="A7" s="3" t="s">
        <v>195</v>
      </c>
      <c r="B7" s="28">
        <f>B5-B6</f>
        <v>181089</v>
      </c>
      <c r="C7" s="28">
        <f>C5-C6</f>
        <v>205381</v>
      </c>
      <c r="D7" s="28">
        <f>D5-D6</f>
        <v>205510</v>
      </c>
      <c r="E7" s="28">
        <f>E5-E6</f>
        <v>214928</v>
      </c>
      <c r="F7" s="28">
        <f>F5-F6</f>
        <v>223487</v>
      </c>
      <c r="G7" s="7" t="s">
        <v>57</v>
      </c>
    </row>
    <row r="8" spans="1:8" x14ac:dyDescent="0.25">
      <c r="A8" s="7" t="s">
        <v>196</v>
      </c>
      <c r="B8" s="27">
        <v>148509</v>
      </c>
      <c r="C8" s="27">
        <v>151685</v>
      </c>
      <c r="D8" s="27">
        <v>170055</v>
      </c>
      <c r="E8" s="27">
        <v>181779</v>
      </c>
      <c r="F8" s="27">
        <v>189341</v>
      </c>
      <c r="G8" s="7" t="s">
        <v>47</v>
      </c>
      <c r="H8" s="7" t="s">
        <v>197</v>
      </c>
    </row>
    <row r="9" spans="1:8" x14ac:dyDescent="0.25">
      <c r="A9" s="3" t="s">
        <v>198</v>
      </c>
      <c r="B9" s="28">
        <f>B7-B8</f>
        <v>32580</v>
      </c>
      <c r="C9" s="28">
        <f>C7-C8</f>
        <v>53696</v>
      </c>
      <c r="D9" s="28">
        <f>D7-D8</f>
        <v>35455</v>
      </c>
      <c r="E9" s="28">
        <f>E7-E8</f>
        <v>33149</v>
      </c>
      <c r="F9" s="28">
        <f>F7-F8</f>
        <v>34146</v>
      </c>
      <c r="G9" s="7" t="s">
        <v>57</v>
      </c>
      <c r="H9" s="7" t="s">
        <v>199</v>
      </c>
    </row>
    <row r="10" spans="1:8" x14ac:dyDescent="0.25">
      <c r="A10" s="7" t="s">
        <v>200</v>
      </c>
      <c r="B10" s="27">
        <v>7823</v>
      </c>
      <c r="C10" s="27">
        <v>8049</v>
      </c>
      <c r="D10" s="27">
        <v>10006</v>
      </c>
      <c r="E10" s="27">
        <v>13100</v>
      </c>
      <c r="F10" s="27">
        <v>14464</v>
      </c>
      <c r="G10" s="7" t="s">
        <v>47</v>
      </c>
      <c r="H10" s="7" t="s">
        <v>193</v>
      </c>
    </row>
    <row r="11" spans="1:8" x14ac:dyDescent="0.25">
      <c r="A11" s="7" t="s">
        <v>201</v>
      </c>
      <c r="B11" s="27">
        <v>363</v>
      </c>
      <c r="C11" s="27">
        <v>740</v>
      </c>
      <c r="D11" s="27">
        <v>809</v>
      </c>
      <c r="E11" s="27">
        <v>924</v>
      </c>
      <c r="F11" s="27">
        <v>897</v>
      </c>
      <c r="G11" s="7" t="s">
        <v>47</v>
      </c>
      <c r="H11" s="7" t="s">
        <v>193</v>
      </c>
    </row>
    <row r="12" spans="1:8" x14ac:dyDescent="0.25">
      <c r="A12" s="7" t="s">
        <v>202</v>
      </c>
      <c r="B12" s="27">
        <v>988</v>
      </c>
      <c r="C12" s="27">
        <v>16479</v>
      </c>
      <c r="D12" s="27">
        <v>-950</v>
      </c>
      <c r="E12" s="27">
        <v>-133</v>
      </c>
      <c r="F12" s="27">
        <v>-436</v>
      </c>
      <c r="G12" s="7" t="s">
        <v>47</v>
      </c>
      <c r="H12" s="7" t="s">
        <v>203</v>
      </c>
    </row>
    <row r="13" spans="1:8" x14ac:dyDescent="0.25">
      <c r="A13" s="7" t="s">
        <v>204</v>
      </c>
      <c r="B13" s="28">
        <f>B9-B10+B11+B12</f>
        <v>26108</v>
      </c>
      <c r="C13" s="28">
        <f>C9-C10+C11+C12</f>
        <v>62866</v>
      </c>
      <c r="D13" s="28">
        <f>D9-D10+D11+D12</f>
        <v>25308</v>
      </c>
      <c r="E13" s="28">
        <f>E9-E10+E11+E12</f>
        <v>20840</v>
      </c>
      <c r="F13" s="28">
        <f>F9-F10+F11+F12</f>
        <v>20143</v>
      </c>
      <c r="G13" s="7" t="s">
        <v>57</v>
      </c>
    </row>
    <row r="14" spans="1:8" x14ac:dyDescent="0.25">
      <c r="A14" s="7" t="s">
        <v>205</v>
      </c>
      <c r="B14" s="27">
        <v>8726</v>
      </c>
      <c r="C14" s="27">
        <v>14381</v>
      </c>
      <c r="D14" s="27">
        <v>8386</v>
      </c>
      <c r="E14" s="27">
        <v>6797</v>
      </c>
      <c r="F14" s="27">
        <v>7197</v>
      </c>
      <c r="G14" s="7" t="s">
        <v>47</v>
      </c>
      <c r="H14" s="7" t="s">
        <v>206</v>
      </c>
    </row>
    <row r="15" spans="1:8" x14ac:dyDescent="0.25">
      <c r="A15" s="3" t="s">
        <v>207</v>
      </c>
      <c r="B15" s="28">
        <f>B13-B14</f>
        <v>17382</v>
      </c>
      <c r="C15" s="28">
        <f>C13-C14</f>
        <v>48485</v>
      </c>
      <c r="D15" s="28">
        <f>D13-D14</f>
        <v>16922</v>
      </c>
      <c r="E15" s="28">
        <f>E13-E14</f>
        <v>14043</v>
      </c>
      <c r="F15" s="28">
        <f>F13-F14</f>
        <v>12946</v>
      </c>
      <c r="G15" s="7" t="s">
        <v>57</v>
      </c>
    </row>
    <row r="16" spans="1:8" x14ac:dyDescent="0.25">
      <c r="A16" s="7" t="s">
        <v>208</v>
      </c>
      <c r="B16" s="27">
        <v>17382</v>
      </c>
      <c r="C16" s="27">
        <v>48485</v>
      </c>
      <c r="D16" s="27">
        <v>16922</v>
      </c>
      <c r="E16" s="27">
        <v>14043</v>
      </c>
      <c r="F16" s="27">
        <v>12946</v>
      </c>
      <c r="G16" s="7" t="s">
        <v>47</v>
      </c>
      <c r="H16" s="7" t="s">
        <v>209</v>
      </c>
    </row>
    <row r="17" spans="1:8" x14ac:dyDescent="0.25">
      <c r="A17" s="7" t="s">
        <v>210</v>
      </c>
      <c r="B17" s="28">
        <f>B15-B16</f>
        <v>0</v>
      </c>
      <c r="C17" s="28">
        <f>C15-C16</f>
        <v>0</v>
      </c>
      <c r="D17" s="28">
        <f>D15-D16</f>
        <v>0</v>
      </c>
      <c r="E17" s="28">
        <f>E15-E16</f>
        <v>0</v>
      </c>
      <c r="F17" s="28">
        <f>F15-F16</f>
        <v>0</v>
      </c>
      <c r="G17" s="7" t="s">
        <v>57</v>
      </c>
    </row>
    <row r="18" spans="1:8" x14ac:dyDescent="0.25">
      <c r="A18" s="7" t="s">
        <v>211</v>
      </c>
      <c r="B18" s="27">
        <v>1466</v>
      </c>
      <c r="C18" s="27">
        <v>1575</v>
      </c>
      <c r="D18" s="27">
        <v>1445</v>
      </c>
      <c r="E18" s="27">
        <v>1499</v>
      </c>
      <c r="F18" s="27">
        <v>1813</v>
      </c>
      <c r="G18" s="7" t="s">
        <v>47</v>
      </c>
      <c r="H18" s="7" t="s">
        <v>212</v>
      </c>
    </row>
    <row r="19" spans="1:8" x14ac:dyDescent="0.25">
      <c r="A19" s="3" t="s">
        <v>213</v>
      </c>
      <c r="B19" s="28">
        <f>B15-B18</f>
        <v>15916</v>
      </c>
      <c r="C19" s="28">
        <f>C15-C18</f>
        <v>46910</v>
      </c>
      <c r="D19" s="28">
        <f>D15-D18</f>
        <v>15477</v>
      </c>
      <c r="E19" s="28">
        <f>E15-E18</f>
        <v>12544</v>
      </c>
      <c r="F19" s="28">
        <f>F15-F18</f>
        <v>11133</v>
      </c>
      <c r="G19" s="7" t="s">
        <v>57</v>
      </c>
    </row>
    <row r="20" spans="1:8" x14ac:dyDescent="0.25">
      <c r="A20" s="7" t="s">
        <v>214</v>
      </c>
      <c r="B20" s="18">
        <v>4487.268</v>
      </c>
      <c r="C20" s="18">
        <v>4448.6930000000002</v>
      </c>
      <c r="D20" s="18">
        <v>4418.1369999999997</v>
      </c>
      <c r="E20" s="18">
        <v>4357.25</v>
      </c>
      <c r="F20" s="18">
        <v>4310.5309999999999</v>
      </c>
      <c r="G20" s="7" t="s">
        <v>47</v>
      </c>
      <c r="H20" s="7" t="s">
        <v>193</v>
      </c>
    </row>
    <row r="21" spans="1:8" x14ac:dyDescent="0.25">
      <c r="A21" s="7" t="s">
        <v>215</v>
      </c>
      <c r="B21" s="10">
        <f>B19/B20</f>
        <v>3.5469243200985545</v>
      </c>
      <c r="C21" s="10">
        <f>C19/C20</f>
        <v>10.544670086247804</v>
      </c>
      <c r="D21" s="10">
        <f>D19/D20</f>
        <v>3.5030602265162898</v>
      </c>
      <c r="E21" s="10">
        <f>E19/E20</f>
        <v>2.8788800275403066</v>
      </c>
      <c r="F21" s="10">
        <f>F19/F20</f>
        <v>2.5827444461018838</v>
      </c>
      <c r="G21" s="7" t="s">
        <v>57</v>
      </c>
    </row>
    <row r="22" spans="1:8" x14ac:dyDescent="0.25">
      <c r="A22" s="7" t="s">
        <v>216</v>
      </c>
      <c r="B22" s="27">
        <v>16126</v>
      </c>
      <c r="C22" s="27">
        <v>18038</v>
      </c>
      <c r="D22" s="27">
        <v>18929</v>
      </c>
      <c r="E22" s="27">
        <v>23051</v>
      </c>
      <c r="F22" s="27">
        <v>24838</v>
      </c>
      <c r="G22" s="7" t="s">
        <v>47</v>
      </c>
      <c r="H22" s="7" t="s">
        <v>217</v>
      </c>
    </row>
    <row r="23" spans="1:8" x14ac:dyDescent="0.25">
      <c r="A23" s="3" t="s">
        <v>218</v>
      </c>
      <c r="B23" s="28">
        <f>B9+B22</f>
        <v>48706</v>
      </c>
      <c r="C23" s="28">
        <f>C9+C22</f>
        <v>71734</v>
      </c>
      <c r="D23" s="28">
        <f>D9+D22</f>
        <v>54384</v>
      </c>
      <c r="E23" s="28">
        <f>E9+E22</f>
        <v>56200</v>
      </c>
      <c r="F23" s="28">
        <f>F9+F22</f>
        <v>58984</v>
      </c>
      <c r="G23" s="7" t="s">
        <v>57</v>
      </c>
    </row>
    <row r="24" spans="1:8" x14ac:dyDescent="0.25">
      <c r="A24" s="3" t="s">
        <v>219</v>
      </c>
      <c r="B24" s="27">
        <v>47372</v>
      </c>
      <c r="C24" s="27">
        <v>53446</v>
      </c>
      <c r="D24" s="27">
        <v>54942</v>
      </c>
      <c r="E24" s="27">
        <v>55473</v>
      </c>
      <c r="F24" s="27">
        <v>59456</v>
      </c>
      <c r="G24" s="7" t="s">
        <v>47</v>
      </c>
      <c r="H24" s="7" t="s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6" customWidth="1"/>
    <col min="2" max="6" width="12" customWidth="1"/>
    <col min="7" max="7" width="11" customWidth="1"/>
    <col min="8" max="8" width="95" customWidth="1"/>
  </cols>
  <sheetData>
    <row r="1" spans="1:8" ht="18.75" x14ac:dyDescent="0.3">
      <c r="A1" s="1" t="s">
        <v>221</v>
      </c>
    </row>
    <row r="2" spans="1:8" x14ac:dyDescent="0.25">
      <c r="A2" s="2" t="s">
        <v>222</v>
      </c>
    </row>
    <row r="4" spans="1:8" x14ac:dyDescent="0.25">
      <c r="A4" s="13" t="s">
        <v>186</v>
      </c>
      <c r="B4" s="13" t="s">
        <v>187</v>
      </c>
      <c r="C4" s="13" t="s">
        <v>188</v>
      </c>
      <c r="D4" s="13" t="s">
        <v>189</v>
      </c>
      <c r="E4" s="13" t="s">
        <v>190</v>
      </c>
      <c r="F4" s="13" t="s">
        <v>169</v>
      </c>
      <c r="G4" s="13" t="s">
        <v>31</v>
      </c>
      <c r="H4" s="13" t="s">
        <v>191</v>
      </c>
    </row>
    <row r="5" spans="1:8" x14ac:dyDescent="0.25">
      <c r="A5" s="7" t="s">
        <v>223</v>
      </c>
      <c r="B5" s="27">
        <v>8748</v>
      </c>
      <c r="C5" s="27">
        <v>12313</v>
      </c>
      <c r="D5" s="27">
        <v>6353</v>
      </c>
      <c r="E5" s="27">
        <v>8057</v>
      </c>
      <c r="F5" s="27">
        <v>8535</v>
      </c>
      <c r="G5" s="7" t="s">
        <v>47</v>
      </c>
      <c r="H5" s="7" t="s">
        <v>224</v>
      </c>
    </row>
    <row r="6" spans="1:8" x14ac:dyDescent="0.25">
      <c r="A6" s="7" t="s">
        <v>225</v>
      </c>
      <c r="B6" s="27">
        <v>19184</v>
      </c>
      <c r="C6" s="27">
        <v>21600</v>
      </c>
      <c r="D6" s="27">
        <v>21268</v>
      </c>
      <c r="E6" s="27">
        <v>23555</v>
      </c>
      <c r="F6" s="27">
        <v>23784</v>
      </c>
      <c r="G6" s="7" t="s">
        <v>47</v>
      </c>
      <c r="H6" s="7" t="s">
        <v>226</v>
      </c>
    </row>
    <row r="7" spans="1:8" x14ac:dyDescent="0.25">
      <c r="A7" s="7" t="s">
        <v>227</v>
      </c>
      <c r="B7" s="27">
        <v>13710</v>
      </c>
      <c r="C7" s="27">
        <v>16989</v>
      </c>
      <c r="D7" s="27">
        <v>16120</v>
      </c>
      <c r="E7" s="27">
        <v>18832</v>
      </c>
      <c r="F7" s="27">
        <v>17151</v>
      </c>
      <c r="G7" s="7" t="s">
        <v>47</v>
      </c>
      <c r="H7" s="7" t="s">
        <v>224</v>
      </c>
    </row>
    <row r="8" spans="1:8" x14ac:dyDescent="0.25">
      <c r="A8" s="7" t="s">
        <v>228</v>
      </c>
      <c r="B8" s="27">
        <v>11769</v>
      </c>
      <c r="C8" s="27">
        <v>12568</v>
      </c>
      <c r="D8" s="27">
        <v>15173</v>
      </c>
      <c r="E8" s="27">
        <v>16736</v>
      </c>
      <c r="F8" s="27">
        <v>15201</v>
      </c>
      <c r="G8" s="7" t="s">
        <v>47</v>
      </c>
      <c r="H8" s="7" t="s">
        <v>224</v>
      </c>
    </row>
    <row r="9" spans="1:8" x14ac:dyDescent="0.25">
      <c r="A9" s="3" t="s">
        <v>229</v>
      </c>
      <c r="B9" s="28">
        <f>SUM(B5:B8)</f>
        <v>53411</v>
      </c>
      <c r="C9" s="28">
        <f>SUM(C5:C8)</f>
        <v>63470</v>
      </c>
      <c r="D9" s="28">
        <f>SUM(D5:D8)</f>
        <v>58914</v>
      </c>
      <c r="E9" s="28">
        <f>SUM(E5:E8)</f>
        <v>67180</v>
      </c>
      <c r="F9" s="28">
        <f>SUM(F5:F8)</f>
        <v>64671</v>
      </c>
      <c r="G9" s="7" t="s">
        <v>57</v>
      </c>
    </row>
    <row r="10" spans="1:8" x14ac:dyDescent="0.25">
      <c r="A10" s="7" t="s">
        <v>230</v>
      </c>
      <c r="B10" s="27">
        <v>134645</v>
      </c>
      <c r="C10" s="27">
        <v>141982</v>
      </c>
      <c r="D10" s="27">
        <v>155004</v>
      </c>
      <c r="E10" s="27">
        <v>189596</v>
      </c>
      <c r="F10" s="27">
        <v>190180</v>
      </c>
      <c r="G10" s="7" t="s">
        <v>47</v>
      </c>
      <c r="H10" s="7" t="s">
        <v>224</v>
      </c>
    </row>
    <row r="11" spans="1:8" x14ac:dyDescent="0.25">
      <c r="A11" s="7" t="s">
        <v>231</v>
      </c>
      <c r="B11" s="27">
        <v>131530</v>
      </c>
      <c r="C11" s="27">
        <v>127147</v>
      </c>
      <c r="D11" s="27">
        <v>117101</v>
      </c>
      <c r="E11" s="27">
        <v>140908</v>
      </c>
      <c r="F11" s="27">
        <v>135515</v>
      </c>
      <c r="G11" s="7" t="s">
        <v>47</v>
      </c>
      <c r="H11" s="7" t="s">
        <v>224</v>
      </c>
    </row>
    <row r="12" spans="1:8" x14ac:dyDescent="0.25">
      <c r="A12" s="7" t="s">
        <v>232</v>
      </c>
      <c r="B12" s="27">
        <v>18054</v>
      </c>
      <c r="C12" s="27">
        <v>15165</v>
      </c>
      <c r="D12" s="27">
        <v>17083</v>
      </c>
      <c r="E12" s="27">
        <v>19120</v>
      </c>
      <c r="F12" s="27">
        <v>19439</v>
      </c>
      <c r="G12" s="7" t="s">
        <v>47</v>
      </c>
      <c r="H12" s="7" t="s">
        <v>224</v>
      </c>
    </row>
    <row r="13" spans="1:8" x14ac:dyDescent="0.25">
      <c r="A13" s="3" t="s">
        <v>233</v>
      </c>
      <c r="B13" s="28">
        <f>B9+B10+B11+B12</f>
        <v>337640</v>
      </c>
      <c r="C13" s="28">
        <f>C9+C10+C11+C12</f>
        <v>347764</v>
      </c>
      <c r="D13" s="28">
        <f>D9+D10+D11+D12</f>
        <v>348102</v>
      </c>
      <c r="E13" s="28">
        <f>E9+E10+E11+E12</f>
        <v>416804</v>
      </c>
      <c r="F13" s="28">
        <f>F9+F10+F11+F12</f>
        <v>409805</v>
      </c>
      <c r="G13" s="7" t="s">
        <v>57</v>
      </c>
    </row>
    <row r="14" spans="1:8" x14ac:dyDescent="0.25">
      <c r="A14" s="7" t="s">
        <v>234</v>
      </c>
      <c r="B14" s="27">
        <v>337640</v>
      </c>
      <c r="C14" s="27">
        <v>347764</v>
      </c>
      <c r="D14" s="27">
        <v>348102</v>
      </c>
      <c r="E14" s="27">
        <v>416804</v>
      </c>
      <c r="F14" s="27">
        <v>409805</v>
      </c>
      <c r="G14" s="7" t="s">
        <v>47</v>
      </c>
      <c r="H14" s="7" t="s">
        <v>224</v>
      </c>
    </row>
    <row r="15" spans="1:8" x14ac:dyDescent="0.25">
      <c r="A15" s="7" t="s">
        <v>235</v>
      </c>
      <c r="B15" s="28">
        <f>B13-B14</f>
        <v>0</v>
      </c>
      <c r="C15" s="28">
        <f>C13-C14</f>
        <v>0</v>
      </c>
      <c r="D15" s="28">
        <f>D13-D14</f>
        <v>0</v>
      </c>
      <c r="E15" s="28">
        <f>E13-E14</f>
        <v>0</v>
      </c>
      <c r="F15" s="28">
        <f>F13-F14</f>
        <v>0</v>
      </c>
      <c r="G15" s="7" t="s">
        <v>57</v>
      </c>
    </row>
    <row r="16" spans="1:8" x14ac:dyDescent="0.25">
      <c r="A16" s="7" t="s">
        <v>236</v>
      </c>
      <c r="B16" s="27">
        <v>35752</v>
      </c>
      <c r="C16" s="27">
        <v>44058</v>
      </c>
      <c r="D16" s="27">
        <v>40409</v>
      </c>
      <c r="E16" s="27">
        <v>40815</v>
      </c>
      <c r="F16" s="27">
        <v>39074</v>
      </c>
      <c r="G16" s="7" t="s">
        <v>47</v>
      </c>
      <c r="H16" s="7" t="s">
        <v>224</v>
      </c>
    </row>
    <row r="17" spans="1:8" x14ac:dyDescent="0.25">
      <c r="A17" s="7" t="s">
        <v>237</v>
      </c>
      <c r="B17" s="27">
        <v>28590</v>
      </c>
      <c r="C17" s="27">
        <v>33311</v>
      </c>
      <c r="D17" s="27">
        <v>28100</v>
      </c>
      <c r="E17" s="27">
        <v>32338</v>
      </c>
      <c r="F17" s="27">
        <v>31788</v>
      </c>
      <c r="G17" s="7" t="s">
        <v>47</v>
      </c>
      <c r="H17" s="7" t="s">
        <v>224</v>
      </c>
    </row>
    <row r="18" spans="1:8" x14ac:dyDescent="0.25">
      <c r="A18" s="7" t="s">
        <v>238</v>
      </c>
      <c r="B18" s="27">
        <v>10625</v>
      </c>
      <c r="C18" s="27">
        <v>6435</v>
      </c>
      <c r="D18" s="27">
        <v>12932</v>
      </c>
      <c r="E18" s="27">
        <v>4862</v>
      </c>
      <c r="F18" s="27">
        <v>12635</v>
      </c>
      <c r="G18" s="7" t="s">
        <v>47</v>
      </c>
      <c r="H18" s="7" t="s">
        <v>224</v>
      </c>
    </row>
    <row r="19" spans="1:8" x14ac:dyDescent="0.25">
      <c r="A19" s="3" t="s">
        <v>239</v>
      </c>
      <c r="B19" s="28">
        <f>SUM(B16:B18)</f>
        <v>74967</v>
      </c>
      <c r="C19" s="28">
        <f>SUM(C16:C18)</f>
        <v>83804</v>
      </c>
      <c r="D19" s="28">
        <f>SUM(D16:D18)</f>
        <v>81441</v>
      </c>
      <c r="E19" s="28">
        <f>SUM(E16:E18)</f>
        <v>78015</v>
      </c>
      <c r="F19" s="28">
        <f>SUM(F16:F18)</f>
        <v>83497</v>
      </c>
      <c r="G19" s="7" t="s">
        <v>57</v>
      </c>
    </row>
    <row r="20" spans="1:8" x14ac:dyDescent="0.25">
      <c r="A20" s="7" t="s">
        <v>240</v>
      </c>
      <c r="B20" s="27">
        <v>82230</v>
      </c>
      <c r="C20" s="27">
        <v>77619</v>
      </c>
      <c r="D20" s="27">
        <v>97003</v>
      </c>
      <c r="E20" s="27">
        <v>146043</v>
      </c>
      <c r="F20" s="27">
        <v>141028</v>
      </c>
      <c r="G20" s="7" t="s">
        <v>47</v>
      </c>
      <c r="H20" s="7" t="s">
        <v>224</v>
      </c>
    </row>
    <row r="21" spans="1:8" x14ac:dyDescent="0.25">
      <c r="A21" s="7" t="s">
        <v>241</v>
      </c>
      <c r="B21" s="27">
        <v>31149</v>
      </c>
      <c r="C21" s="27">
        <v>29185</v>
      </c>
      <c r="D21" s="27">
        <v>26815</v>
      </c>
      <c r="E21" s="27">
        <v>35801</v>
      </c>
      <c r="F21" s="27">
        <v>34790</v>
      </c>
      <c r="G21" s="7" t="s">
        <v>47</v>
      </c>
      <c r="H21" s="7" t="s">
        <v>224</v>
      </c>
    </row>
    <row r="22" spans="1:8" x14ac:dyDescent="0.25">
      <c r="A22" s="7" t="s">
        <v>242</v>
      </c>
      <c r="B22" s="27">
        <v>47688</v>
      </c>
      <c r="C22" s="27">
        <v>29554</v>
      </c>
      <c r="D22" s="27">
        <v>31215</v>
      </c>
      <c r="E22" s="27">
        <v>29247</v>
      </c>
      <c r="F22" s="27">
        <v>30235</v>
      </c>
      <c r="G22" s="7" t="s">
        <v>47</v>
      </c>
      <c r="H22" s="7" t="s">
        <v>224</v>
      </c>
    </row>
    <row r="23" spans="1:8" x14ac:dyDescent="0.25">
      <c r="A23" s="3" t="s">
        <v>243</v>
      </c>
      <c r="B23" s="28">
        <f>B19+B20+B21+B22</f>
        <v>236034</v>
      </c>
      <c r="C23" s="28">
        <f>C19+C20+C21+C22</f>
        <v>220162</v>
      </c>
      <c r="D23" s="28">
        <f>D19+D20+D21+D22</f>
        <v>236474</v>
      </c>
      <c r="E23" s="28">
        <f>E19+E20+E21+E22</f>
        <v>289106</v>
      </c>
      <c r="F23" s="28">
        <f>F19+F20+F21+F22</f>
        <v>289550</v>
      </c>
      <c r="G23" s="7" t="s">
        <v>57</v>
      </c>
    </row>
    <row r="24" spans="1:8" x14ac:dyDescent="0.25">
      <c r="A24" s="7" t="s">
        <v>244</v>
      </c>
      <c r="B24" s="27">
        <v>97100</v>
      </c>
      <c r="C24" s="27">
        <v>124111</v>
      </c>
      <c r="D24" s="27">
        <v>108322</v>
      </c>
      <c r="E24" s="27">
        <v>125944</v>
      </c>
      <c r="F24" s="27">
        <v>119512</v>
      </c>
      <c r="G24" s="7" t="s">
        <v>47</v>
      </c>
      <c r="H24" s="7" t="s">
        <v>245</v>
      </c>
    </row>
    <row r="25" spans="1:8" x14ac:dyDescent="0.25">
      <c r="A25" s="7" t="s">
        <v>246</v>
      </c>
      <c r="B25" s="27">
        <v>4506</v>
      </c>
      <c r="C25" s="27">
        <v>3491</v>
      </c>
      <c r="D25" s="27">
        <v>3306</v>
      </c>
      <c r="E25" s="27">
        <v>1754</v>
      </c>
      <c r="F25" s="27">
        <v>743</v>
      </c>
      <c r="G25" s="7" t="s">
        <v>47</v>
      </c>
      <c r="H25" s="7" t="s">
        <v>224</v>
      </c>
    </row>
    <row r="26" spans="1:8" x14ac:dyDescent="0.25">
      <c r="A26" s="3" t="s">
        <v>247</v>
      </c>
      <c r="B26" s="28">
        <f>B24+B25</f>
        <v>101606</v>
      </c>
      <c r="C26" s="28">
        <f>C24+C25</f>
        <v>127602</v>
      </c>
      <c r="D26" s="28">
        <f>D24+D25</f>
        <v>111628</v>
      </c>
      <c r="E26" s="28">
        <f>E24+E25</f>
        <v>127698</v>
      </c>
      <c r="F26" s="28">
        <f>F24+F25</f>
        <v>120255</v>
      </c>
      <c r="G26" s="7" t="s">
        <v>57</v>
      </c>
    </row>
    <row r="27" spans="1:8" x14ac:dyDescent="0.25">
      <c r="A27" s="3" t="s">
        <v>248</v>
      </c>
      <c r="B27" s="28">
        <f>B23+B26</f>
        <v>337640</v>
      </c>
      <c r="C27" s="28">
        <f>C23+C26</f>
        <v>347764</v>
      </c>
      <c r="D27" s="28">
        <f>D23+D26</f>
        <v>348102</v>
      </c>
      <c r="E27" s="28">
        <f>E23+E26</f>
        <v>416804</v>
      </c>
      <c r="F27" s="28">
        <f>F23+F26</f>
        <v>409805</v>
      </c>
      <c r="G27" s="7" t="s">
        <v>57</v>
      </c>
    </row>
    <row r="28" spans="1:8" x14ac:dyDescent="0.25">
      <c r="A28" s="7" t="s">
        <v>249</v>
      </c>
      <c r="B28" s="28">
        <f>B13-B27</f>
        <v>0</v>
      </c>
      <c r="C28" s="28">
        <f>C13-C27</f>
        <v>0</v>
      </c>
      <c r="D28" s="28">
        <f>D13-D27</f>
        <v>0</v>
      </c>
      <c r="E28" s="28">
        <f>E13-E27</f>
        <v>0</v>
      </c>
      <c r="F28" s="28">
        <f>F13-F27</f>
        <v>0</v>
      </c>
      <c r="G28" s="7" t="s">
        <v>57</v>
      </c>
    </row>
    <row r="29" spans="1:8" x14ac:dyDescent="0.25">
      <c r="A29" s="7" t="s">
        <v>250</v>
      </c>
      <c r="B29" s="28">
        <f>B18+B20+B21</f>
        <v>124004</v>
      </c>
      <c r="C29" s="28">
        <f>C18+C20+C21</f>
        <v>113239</v>
      </c>
      <c r="D29" s="28">
        <f>D18+D20+D21</f>
        <v>136750</v>
      </c>
      <c r="E29" s="28">
        <f>E18+E20+E21</f>
        <v>186706</v>
      </c>
      <c r="F29" s="28">
        <f>F18+F20+F21</f>
        <v>188453</v>
      </c>
      <c r="G29" s="7" t="s">
        <v>57</v>
      </c>
    </row>
    <row r="30" spans="1:8" x14ac:dyDescent="0.25">
      <c r="A30" s="3" t="s">
        <v>251</v>
      </c>
      <c r="B30" s="28">
        <f>B29-B5</f>
        <v>115256</v>
      </c>
      <c r="C30" s="28">
        <f>C29-C5</f>
        <v>100926</v>
      </c>
      <c r="D30" s="28">
        <f>D29-D5</f>
        <v>130397</v>
      </c>
      <c r="E30" s="28">
        <f>E29-E5</f>
        <v>178649</v>
      </c>
      <c r="F30" s="28">
        <f>F29-F5</f>
        <v>179918</v>
      </c>
      <c r="G30" s="7" t="s">
        <v>57</v>
      </c>
    </row>
    <row r="31" spans="1:8" x14ac:dyDescent="0.25">
      <c r="A31" s="7" t="s">
        <v>252</v>
      </c>
      <c r="B31" s="9">
        <f>B30/IS!B24</f>
        <v>2.4329983956767709</v>
      </c>
      <c r="C31" s="9">
        <f>C30/IS!C24</f>
        <v>1.8883733113797103</v>
      </c>
      <c r="D31" s="9">
        <f>D30/IS!D24</f>
        <v>2.3733573586691419</v>
      </c>
      <c r="E31" s="9">
        <f>E30/IS!E24</f>
        <v>3.2204676148757052</v>
      </c>
      <c r="F31" s="9">
        <f>F30/IS!F24</f>
        <v>3.0260696986006459</v>
      </c>
      <c r="G31" s="7" t="s">
        <v>57</v>
      </c>
    </row>
    <row r="32" spans="1:8" x14ac:dyDescent="0.25">
      <c r="A32" s="7" t="s">
        <v>253</v>
      </c>
      <c r="B32" s="28">
        <f>B6+B7+B8-B16-B17</f>
        <v>-19679</v>
      </c>
      <c r="C32" s="28">
        <f>C6+C7+C8-C16-C17</f>
        <v>-26212</v>
      </c>
      <c r="D32" s="28">
        <f>D6+D7+D8-D16-D17</f>
        <v>-15948</v>
      </c>
      <c r="E32" s="28">
        <f>E6+E7+E8-E16-E17</f>
        <v>-14030</v>
      </c>
      <c r="F32" s="28">
        <f>F6+F7+F8-F16-F17</f>
        <v>-14726</v>
      </c>
      <c r="G32" s="7" t="s">
        <v>57</v>
      </c>
      <c r="H32" s="7" t="s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6" customWidth="1"/>
    <col min="2" max="6" width="12" customWidth="1"/>
    <col min="7" max="7" width="11" customWidth="1"/>
    <col min="8" max="8" width="95" customWidth="1"/>
  </cols>
  <sheetData>
    <row r="1" spans="1:8" ht="18.75" x14ac:dyDescent="0.3">
      <c r="A1" s="1" t="s">
        <v>255</v>
      </c>
    </row>
    <row r="2" spans="1:8" x14ac:dyDescent="0.25">
      <c r="A2" s="2" t="s">
        <v>256</v>
      </c>
    </row>
    <row r="4" spans="1:8" x14ac:dyDescent="0.25">
      <c r="A4" s="13" t="s">
        <v>186</v>
      </c>
      <c r="B4" s="13" t="s">
        <v>187</v>
      </c>
      <c r="C4" s="13" t="s">
        <v>188</v>
      </c>
      <c r="D4" s="13" t="s">
        <v>189</v>
      </c>
      <c r="E4" s="13" t="s">
        <v>190</v>
      </c>
      <c r="F4" s="13" t="s">
        <v>169</v>
      </c>
      <c r="G4" s="13" t="s">
        <v>31</v>
      </c>
      <c r="H4" s="13" t="s">
        <v>191</v>
      </c>
    </row>
    <row r="5" spans="1:8" x14ac:dyDescent="0.25">
      <c r="A5" s="3" t="s">
        <v>257</v>
      </c>
      <c r="B5" s="27">
        <v>45776</v>
      </c>
      <c r="C5" s="27">
        <v>38851</v>
      </c>
      <c r="D5" s="27">
        <v>31411</v>
      </c>
      <c r="E5" s="27">
        <v>39907</v>
      </c>
      <c r="F5" s="27">
        <v>47753</v>
      </c>
      <c r="G5" s="7" t="s">
        <v>47</v>
      </c>
      <c r="H5" s="7" t="s">
        <v>258</v>
      </c>
    </row>
    <row r="6" spans="1:8" x14ac:dyDescent="0.25">
      <c r="A6" s="7" t="s">
        <v>259</v>
      </c>
      <c r="B6" s="27">
        <v>21293</v>
      </c>
      <c r="C6" s="27">
        <v>29467</v>
      </c>
      <c r="D6" s="27">
        <v>35672</v>
      </c>
      <c r="E6" s="27">
        <v>30174</v>
      </c>
      <c r="F6" s="27">
        <v>22841</v>
      </c>
      <c r="G6" s="7" t="s">
        <v>47</v>
      </c>
      <c r="H6" s="7" t="s">
        <v>258</v>
      </c>
    </row>
    <row r="7" spans="1:8" x14ac:dyDescent="0.25">
      <c r="A7" s="7" t="s">
        <v>260</v>
      </c>
      <c r="B7" s="27">
        <v>4117</v>
      </c>
      <c r="C7" s="27">
        <v>5056</v>
      </c>
      <c r="D7" s="27">
        <v>4802</v>
      </c>
      <c r="E7" s="27">
        <v>5321</v>
      </c>
      <c r="F7" s="27">
        <v>5923</v>
      </c>
      <c r="G7" s="7" t="s">
        <v>57</v>
      </c>
      <c r="H7" s="7" t="s">
        <v>261</v>
      </c>
    </row>
    <row r="8" spans="1:8" x14ac:dyDescent="0.25">
      <c r="A8" s="3" t="s">
        <v>262</v>
      </c>
      <c r="B8" s="28">
        <f>B5-B6-B7</f>
        <v>20366</v>
      </c>
      <c r="C8" s="28">
        <f>C5-C6-C7</f>
        <v>4328</v>
      </c>
      <c r="D8" s="28">
        <f>D5-D6-D7</f>
        <v>-9063</v>
      </c>
      <c r="E8" s="28">
        <f>E5-E6-E7</f>
        <v>4412</v>
      </c>
      <c r="F8" s="28">
        <f>F5-F6-F7</f>
        <v>18989</v>
      </c>
      <c r="G8" s="7" t="s">
        <v>57</v>
      </c>
    </row>
    <row r="9" spans="1:8" x14ac:dyDescent="0.25">
      <c r="A9" s="7" t="s">
        <v>263</v>
      </c>
      <c r="B9" s="27">
        <v>4502</v>
      </c>
      <c r="C9" s="27">
        <v>5791</v>
      </c>
      <c r="D9" s="27">
        <v>3458</v>
      </c>
      <c r="E9" s="27">
        <v>4125</v>
      </c>
      <c r="F9" s="27">
        <v>4316</v>
      </c>
      <c r="G9" s="7" t="s">
        <v>47</v>
      </c>
      <c r="H9" s="7" t="s">
        <v>264</v>
      </c>
    </row>
    <row r="10" spans="1:8" x14ac:dyDescent="0.25">
      <c r="A10" s="7" t="s">
        <v>265</v>
      </c>
      <c r="B10" s="11">
        <f>B8/IS!B5</f>
        <v>6.0113580013695718E-2</v>
      </c>
      <c r="C10" s="11">
        <f>C8/IS!C5</f>
        <v>1.0855116301234494E-2</v>
      </c>
      <c r="D10" s="11">
        <f>D8/IS!D5</f>
        <v>-2.2664355967680225E-2</v>
      </c>
      <c r="E10" s="11">
        <f>E8/IS!E5</f>
        <v>1.0804853857739357E-2</v>
      </c>
      <c r="F10" s="11">
        <f>F8/IS!F5</f>
        <v>4.4475725608499314E-2</v>
      </c>
      <c r="G10" s="7" t="s">
        <v>57</v>
      </c>
    </row>
    <row r="11" spans="1:8" x14ac:dyDescent="0.25">
      <c r="A11" s="7" t="s">
        <v>266</v>
      </c>
      <c r="B11" s="27">
        <v>20671</v>
      </c>
      <c r="C11" s="27">
        <v>28669</v>
      </c>
      <c r="D11" s="27">
        <v>34754</v>
      </c>
      <c r="E11" s="27">
        <v>29402</v>
      </c>
      <c r="F11" s="27">
        <v>22530</v>
      </c>
      <c r="G11" s="7" t="s">
        <v>47</v>
      </c>
      <c r="H11" s="7" t="s">
        <v>267</v>
      </c>
    </row>
    <row r="12" spans="1:8" x14ac:dyDescent="0.25">
      <c r="A12" s="7" t="s">
        <v>268</v>
      </c>
      <c r="B12" s="11">
        <f>B11/IS!B5</f>
        <v>6.1013837398757938E-2</v>
      </c>
      <c r="C12" s="11">
        <f>C11/IS!C5</f>
        <v>7.1905113040686627E-2</v>
      </c>
      <c r="D12" s="11">
        <f>D11/IS!D5</f>
        <v>8.6911290665426286E-2</v>
      </c>
      <c r="E12" s="11">
        <f>E11/IS!E5</f>
        <v>7.2004604062840566E-2</v>
      </c>
      <c r="F12" s="11">
        <f>F11/IS!F5</f>
        <v>5.2769397965110834E-2</v>
      </c>
      <c r="G12" s="7" t="s">
        <v>57</v>
      </c>
    </row>
    <row r="13" spans="1:8" x14ac:dyDescent="0.25">
      <c r="A13" s="7" t="s">
        <v>269</v>
      </c>
      <c r="C13" s="28">
        <f>BS!B32-BS!C32</f>
        <v>6533</v>
      </c>
      <c r="D13" s="28">
        <f>BS!C32-BS!D32</f>
        <v>-10264</v>
      </c>
      <c r="E13" s="28">
        <f>BS!D32-BS!E32</f>
        <v>-1918</v>
      </c>
      <c r="F13" s="28">
        <f>BS!E32-BS!F32</f>
        <v>696</v>
      </c>
      <c r="G13" s="7" t="s">
        <v>57</v>
      </c>
      <c r="H13" s="7" t="s">
        <v>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6" customWidth="1"/>
    <col min="2" max="6" width="12" customWidth="1"/>
    <col min="7" max="7" width="11" customWidth="1"/>
    <col min="8" max="8" width="95" customWidth="1"/>
  </cols>
  <sheetData>
    <row r="1" spans="1:8" ht="18.75" x14ac:dyDescent="0.3">
      <c r="A1" s="1" t="s">
        <v>271</v>
      </c>
    </row>
    <row r="2" spans="1:8" x14ac:dyDescent="0.25">
      <c r="A2" s="2" t="s">
        <v>272</v>
      </c>
    </row>
    <row r="4" spans="1:8" x14ac:dyDescent="0.25">
      <c r="A4" s="13" t="s">
        <v>186</v>
      </c>
      <c r="B4" s="13" t="s">
        <v>187</v>
      </c>
      <c r="C4" s="13" t="s">
        <v>188</v>
      </c>
      <c r="D4" s="13" t="s">
        <v>189</v>
      </c>
      <c r="E4" s="13" t="s">
        <v>190</v>
      </c>
      <c r="F4" s="13" t="s">
        <v>169</v>
      </c>
      <c r="G4" s="13" t="s">
        <v>31</v>
      </c>
      <c r="H4" s="13" t="s">
        <v>191</v>
      </c>
    </row>
    <row r="5" spans="1:8" x14ac:dyDescent="0.25">
      <c r="A5" s="5" t="s">
        <v>273</v>
      </c>
      <c r="B5" s="6"/>
      <c r="C5" s="6"/>
      <c r="D5" s="6"/>
      <c r="E5" s="6"/>
      <c r="F5" s="6"/>
      <c r="G5" s="6"/>
      <c r="H5" s="6"/>
    </row>
    <row r="6" spans="1:8" x14ac:dyDescent="0.25">
      <c r="A6" s="7" t="s">
        <v>274</v>
      </c>
      <c r="C6" s="11">
        <f>IS!C5/IS!B5-1</f>
        <v>0.17684597038891114</v>
      </c>
      <c r="D6" s="11">
        <f>IS!D5/IS!C5-1</f>
        <v>2.9420174263743437E-3</v>
      </c>
      <c r="E6" s="11">
        <f>IS!E5/IS!D5-1</f>
        <v>2.1146396785027388E-2</v>
      </c>
      <c r="F6" s="11">
        <f>IS!F5/IS!E5-1</f>
        <v>4.5592466969522683E-2</v>
      </c>
      <c r="G6" s="7" t="s">
        <v>57</v>
      </c>
    </row>
    <row r="7" spans="1:8" x14ac:dyDescent="0.25">
      <c r="A7" s="7" t="s">
        <v>275</v>
      </c>
      <c r="C7" s="11">
        <f>IS!C24/IS!B24-1</f>
        <v>0.12821920121590824</v>
      </c>
      <c r="D7" s="11">
        <f>IS!D24/IS!C24-1</f>
        <v>2.7990869288627707E-2</v>
      </c>
      <c r="E7" s="11">
        <f>IS!E24/IS!D24-1</f>
        <v>9.664737359397213E-3</v>
      </c>
      <c r="F7" s="11">
        <f>IS!F24/IS!E24-1</f>
        <v>7.1800695834009387E-2</v>
      </c>
      <c r="G7" s="7" t="s">
        <v>57</v>
      </c>
    </row>
    <row r="8" spans="1:8" x14ac:dyDescent="0.25">
      <c r="A8" s="7" t="s">
        <v>276</v>
      </c>
      <c r="C8" s="11">
        <f>IS!C9/IS!B9-1</f>
        <v>0.64812768569674639</v>
      </c>
      <c r="D8" s="11">
        <f>IS!D9/IS!C9-1</f>
        <v>-0.33970873063170437</v>
      </c>
      <c r="E8" s="11">
        <f>IS!E9/IS!D9-1</f>
        <v>-6.5040191792412938E-2</v>
      </c>
      <c r="F8" s="11">
        <f>IS!F9/IS!E9-1</f>
        <v>3.0076322060997418E-2</v>
      </c>
      <c r="G8" s="7" t="s">
        <v>57</v>
      </c>
      <c r="H8" s="7" t="s">
        <v>277</v>
      </c>
    </row>
    <row r="9" spans="1:8" x14ac:dyDescent="0.25">
      <c r="A9" s="7" t="s">
        <v>213</v>
      </c>
      <c r="C9" s="11">
        <f>IS!C19/IS!B19-1</f>
        <v>1.9473485800452375</v>
      </c>
      <c r="D9" s="11">
        <f>IS!D19/IS!C19-1</f>
        <v>-0.67007034747388616</v>
      </c>
      <c r="E9" s="11">
        <f>IS!E19/IS!D19-1</f>
        <v>-0.18950701040253282</v>
      </c>
      <c r="F9" s="11">
        <f>IS!F19/IS!E19-1</f>
        <v>-0.11248405612244894</v>
      </c>
      <c r="G9" s="7" t="s">
        <v>57</v>
      </c>
    </row>
    <row r="10" spans="1:8" x14ac:dyDescent="0.25">
      <c r="A10" s="7" t="s">
        <v>278</v>
      </c>
      <c r="C10" s="11">
        <f>IS!C21/IS!B21-1</f>
        <v>1.9729052933260247</v>
      </c>
      <c r="D10" s="11">
        <f>IS!D21/IS!C21-1</f>
        <v>-0.66778854171218427</v>
      </c>
      <c r="E10" s="11">
        <f>IS!E21/IS!D21-1</f>
        <v>-0.17818140671726779</v>
      </c>
      <c r="F10" s="11">
        <f>IS!F21/IS!E21-1</f>
        <v>-0.10286485668228373</v>
      </c>
      <c r="G10" s="7" t="s">
        <v>57</v>
      </c>
    </row>
    <row r="11" spans="1:8" x14ac:dyDescent="0.25">
      <c r="A11" s="7" t="s">
        <v>279</v>
      </c>
      <c r="B11" s="29">
        <v>9.2999999999999999E-2</v>
      </c>
      <c r="C11" s="29">
        <v>0.20599999999999999</v>
      </c>
      <c r="D11" s="29">
        <v>0.107</v>
      </c>
      <c r="E11" s="29">
        <v>5.0000000000000001E-3</v>
      </c>
      <c r="F11" s="29">
        <v>1.6E-2</v>
      </c>
      <c r="G11" s="7" t="s">
        <v>47</v>
      </c>
      <c r="H11" s="7" t="s">
        <v>280</v>
      </c>
    </row>
    <row r="13" spans="1:8" x14ac:dyDescent="0.25">
      <c r="A13" s="5" t="s">
        <v>281</v>
      </c>
      <c r="B13" s="6"/>
      <c r="C13" s="6"/>
      <c r="D13" s="6"/>
      <c r="E13" s="6"/>
      <c r="F13" s="6"/>
      <c r="G13" s="6"/>
      <c r="H13" s="6"/>
    </row>
    <row r="14" spans="1:8" x14ac:dyDescent="0.25">
      <c r="A14" s="7" t="s">
        <v>282</v>
      </c>
      <c r="B14" s="11">
        <f>(IS!F5/IS!B5)^(1/4)-1</f>
        <v>5.9525653475194007E-2</v>
      </c>
      <c r="G14" s="7" t="s">
        <v>57</v>
      </c>
    </row>
    <row r="15" spans="1:8" x14ac:dyDescent="0.25">
      <c r="A15" s="7" t="s">
        <v>283</v>
      </c>
      <c r="B15" s="11">
        <f>(IS!F5/IS!C5)^(1/3)-1</f>
        <v>2.3078034224448318E-2</v>
      </c>
      <c r="G15" s="7" t="s">
        <v>57</v>
      </c>
    </row>
    <row r="16" spans="1:8" x14ac:dyDescent="0.25">
      <c r="A16" s="7" t="s">
        <v>284</v>
      </c>
      <c r="B16" s="11">
        <f>(IS!F24/IS!B24)^(1/4)-1</f>
        <v>5.8445478058902767E-2</v>
      </c>
      <c r="G16" s="7" t="s">
        <v>57</v>
      </c>
    </row>
    <row r="17" spans="1:8" x14ac:dyDescent="0.25">
      <c r="A17" s="7" t="s">
        <v>285</v>
      </c>
      <c r="B17" s="11">
        <f>(IS!F24/IS!C24)^(1/3)-1</f>
        <v>3.6160009883261068E-2</v>
      </c>
      <c r="G17" s="7" t="s">
        <v>57</v>
      </c>
    </row>
    <row r="18" spans="1:8" x14ac:dyDescent="0.25">
      <c r="A18" s="7" t="s">
        <v>286</v>
      </c>
      <c r="B18" s="11">
        <f>AVERAGE(C6:F6)</f>
        <v>6.163171289245889E-2</v>
      </c>
      <c r="G18" s="7" t="s">
        <v>57</v>
      </c>
      <c r="H18" s="7" t="s">
        <v>287</v>
      </c>
    </row>
    <row r="20" spans="1:8" x14ac:dyDescent="0.25">
      <c r="A20" s="5" t="s">
        <v>288</v>
      </c>
      <c r="B20" s="6"/>
      <c r="C20" s="6"/>
      <c r="D20" s="6"/>
      <c r="E20" s="6"/>
      <c r="F20" s="6"/>
      <c r="G20" s="6"/>
      <c r="H20" s="6"/>
    </row>
    <row r="21" spans="1:8" x14ac:dyDescent="0.25">
      <c r="A21" s="7" t="s">
        <v>289</v>
      </c>
      <c r="B21" s="11">
        <f>IS!B7/IS!B5</f>
        <v>0.53451380197879528</v>
      </c>
      <c r="C21" s="11">
        <f>IS!C7/IS!C5</f>
        <v>0.5151189096727915</v>
      </c>
      <c r="D21" s="11">
        <f>IS!D7/IS!D5</f>
        <v>0.51393046396534947</v>
      </c>
      <c r="E21" s="11">
        <f>IS!E7/IS!E5</f>
        <v>0.52635213733821495</v>
      </c>
      <c r="F21" s="11">
        <f>IS!F7/IS!F5</f>
        <v>0.52344760066705387</v>
      </c>
      <c r="G21" s="7" t="s">
        <v>57</v>
      </c>
    </row>
    <row r="22" spans="1:8" x14ac:dyDescent="0.25">
      <c r="A22" s="7" t="s">
        <v>290</v>
      </c>
      <c r="B22" s="11">
        <f>IS!B9/IS!B5</f>
        <v>9.616519870599069E-2</v>
      </c>
      <c r="C22" s="11">
        <f>IS!C9/IS!C5</f>
        <v>0.1346756758112494</v>
      </c>
      <c r="D22" s="11">
        <f>IS!D9/IS!D5</f>
        <v>8.8664320957089524E-2</v>
      </c>
      <c r="E22" s="11">
        <f>IS!E9/IS!E5</f>
        <v>8.1180893139211674E-2</v>
      </c>
      <c r="F22" s="11">
        <f>IS!F9/IS!F5</f>
        <v>7.9976203413966912E-2</v>
      </c>
      <c r="G22" s="7" t="s">
        <v>57</v>
      </c>
    </row>
    <row r="23" spans="1:8" x14ac:dyDescent="0.25">
      <c r="A23" s="7" t="s">
        <v>291</v>
      </c>
      <c r="B23" s="11">
        <f>IS!B23/IS!B5</f>
        <v>0.14376372523554276</v>
      </c>
      <c r="C23" s="11">
        <f>IS!C23/IS!C5</f>
        <v>0.179917031597217</v>
      </c>
      <c r="D23" s="11">
        <f>IS!D23/IS!D5</f>
        <v>0.13600114034495434</v>
      </c>
      <c r="E23" s="11">
        <f>IS!E23/IS!E5</f>
        <v>0.13763209129758655</v>
      </c>
      <c r="F23" s="11">
        <f>IS!F23/IS!F5</f>
        <v>0.13815136127714592</v>
      </c>
      <c r="G23" s="7" t="s">
        <v>57</v>
      </c>
    </row>
    <row r="24" spans="1:8" x14ac:dyDescent="0.25">
      <c r="A24" s="7" t="s">
        <v>292</v>
      </c>
      <c r="B24" s="11">
        <f>IS!B24/IS!B5</f>
        <v>0.13982620604972962</v>
      </c>
      <c r="C24" s="11">
        <f>IS!C24/IS!C5</f>
        <v>0.13404864737425573</v>
      </c>
      <c r="D24" s="11">
        <f>IS!D24/IS!D5</f>
        <v>0.1373965624601442</v>
      </c>
      <c r="E24" s="11">
        <f>IS!E24/IS!E5</f>
        <v>0.13585169040126366</v>
      </c>
      <c r="F24" s="11">
        <f>IS!F24/IS!F5</f>
        <v>0.13925687196687214</v>
      </c>
      <c r="G24" s="7" t="s">
        <v>57</v>
      </c>
    </row>
    <row r="25" spans="1:8" x14ac:dyDescent="0.25">
      <c r="A25" s="7" t="s">
        <v>293</v>
      </c>
      <c r="B25" s="11">
        <f>IS!B19/IS!B5</f>
        <v>4.6978677182460037E-2</v>
      </c>
      <c r="C25" s="11">
        <f>IS!C19/IS!C5</f>
        <v>0.11765561591749309</v>
      </c>
      <c r="D25" s="11">
        <f>IS!D19/IS!D5</f>
        <v>3.8704208022926935E-2</v>
      </c>
      <c r="E25" s="11">
        <f>IS!E19/IS!E5</f>
        <v>3.0719874612756683E-2</v>
      </c>
      <c r="F25" s="11">
        <f>IS!F19/IS!F5</f>
        <v>2.6075530738818416E-2</v>
      </c>
      <c r="G25" s="7" t="s">
        <v>57</v>
      </c>
      <c r="H25" s="7" t="s">
        <v>294</v>
      </c>
    </row>
    <row r="26" spans="1:8" x14ac:dyDescent="0.25">
      <c r="A26" s="7" t="s">
        <v>295</v>
      </c>
      <c r="B26" s="11">
        <f>CF!B10</f>
        <v>6.0113580013695718E-2</v>
      </c>
      <c r="C26" s="11">
        <f>CF!C10</f>
        <v>1.0855116301234494E-2</v>
      </c>
      <c r="D26" s="11">
        <f>CF!D10</f>
        <v>-2.2664355967680225E-2</v>
      </c>
      <c r="E26" s="11">
        <f>CF!E10</f>
        <v>1.0804853857739357E-2</v>
      </c>
      <c r="F26" s="11">
        <f>CF!F10</f>
        <v>4.4475725608499314E-2</v>
      </c>
      <c r="G26" s="7" t="s">
        <v>57</v>
      </c>
    </row>
    <row r="27" spans="1:8" x14ac:dyDescent="0.25">
      <c r="A27" s="7" t="s">
        <v>296</v>
      </c>
      <c r="B27" s="11">
        <f>IS!B22/IS!B5</f>
        <v>4.7598526529552057E-2</v>
      </c>
      <c r="C27" s="11">
        <f>IS!C22/IS!C5</f>
        <v>4.5241355785967607E-2</v>
      </c>
      <c r="D27" s="11">
        <f>IS!D22/IS!D5</f>
        <v>4.7336819387864826E-2</v>
      </c>
      <c r="E27" s="11">
        <f>IS!E22/IS!E5</f>
        <v>5.6451198158374863E-2</v>
      </c>
      <c r="F27" s="11">
        <f>IS!F22/IS!F5</f>
        <v>5.8175157863178999E-2</v>
      </c>
      <c r="G27" s="7" t="s">
        <v>57</v>
      </c>
    </row>
    <row r="28" spans="1:8" x14ac:dyDescent="0.25">
      <c r="A28" s="7" t="s">
        <v>297</v>
      </c>
      <c r="B28" s="11">
        <f>CF!B12</f>
        <v>6.1013837398757938E-2</v>
      </c>
      <c r="C28" s="11">
        <f>CF!C12</f>
        <v>7.1905113040686627E-2</v>
      </c>
      <c r="D28" s="11">
        <f>CF!D12</f>
        <v>8.6911290665426286E-2</v>
      </c>
      <c r="E28" s="11">
        <f>CF!E12</f>
        <v>7.2004604062840566E-2</v>
      </c>
      <c r="F28" s="11">
        <f>CF!F12</f>
        <v>5.2769397965110834E-2</v>
      </c>
      <c r="G28" s="7" t="s">
        <v>57</v>
      </c>
    </row>
    <row r="30" spans="1:8" x14ac:dyDescent="0.25">
      <c r="A30" s="5" t="s">
        <v>298</v>
      </c>
      <c r="B30" s="6"/>
      <c r="C30" s="6"/>
      <c r="D30" s="6"/>
      <c r="E30" s="6"/>
      <c r="F30" s="6"/>
      <c r="G30" s="6"/>
      <c r="H30" s="6"/>
    </row>
    <row r="31" spans="1:8" x14ac:dyDescent="0.25">
      <c r="A31" s="7" t="s">
        <v>299</v>
      </c>
      <c r="C31" s="11">
        <f>IS!C19/AVERAGE(BS!B24,BS!C24)</f>
        <v>0.42411995786827961</v>
      </c>
      <c r="D31" s="11">
        <f>IS!D19/AVERAGE(BS!C24,BS!D24)</f>
        <v>0.13317386085452582</v>
      </c>
      <c r="E31" s="11">
        <f>IS!E19/AVERAGE(BS!D24,BS!E24)</f>
        <v>0.10709193822407008</v>
      </c>
      <c r="F31" s="11">
        <f>IS!F19/AVERAGE(BS!E24,BS!F24)</f>
        <v>9.0712795776025035E-2</v>
      </c>
      <c r="G31" s="7" t="s">
        <v>57</v>
      </c>
      <c r="H31" s="7" t="s">
        <v>300</v>
      </c>
    </row>
    <row r="32" spans="1:8" x14ac:dyDescent="0.25">
      <c r="A32" s="7" t="s">
        <v>301</v>
      </c>
      <c r="C32" s="11">
        <f>IS!C9*(1-IS!C14/IS!C13)/(BS!B26+BS!B30)</f>
        <v>0.19096336015986409</v>
      </c>
      <c r="D32" s="11">
        <f>IS!D9*(1-IS!D14/IS!D13)/(BS!C26+BS!C30)</f>
        <v>0.10373658233289393</v>
      </c>
      <c r="E32" s="11">
        <f>IS!E9*(1-IS!E14/IS!E13)/(BS!D26+BS!D30)</f>
        <v>9.2293769520248703E-2</v>
      </c>
      <c r="F32" s="11">
        <f>IS!F9*(1-IS!F14/IS!F13)/(BS!E26+BS!E30)</f>
        <v>7.1637043540011602E-2</v>
      </c>
      <c r="G32" s="7" t="s">
        <v>57</v>
      </c>
    </row>
    <row r="33" spans="1:8" x14ac:dyDescent="0.25">
      <c r="A33" s="7" t="s">
        <v>302</v>
      </c>
      <c r="B33" s="11">
        <f>IS!B14/IS!B13</f>
        <v>0.33422705684081505</v>
      </c>
      <c r="C33" s="11">
        <f>IS!C14/IS!C13</f>
        <v>0.22875640250691948</v>
      </c>
      <c r="D33" s="11">
        <f>IS!D14/IS!D13</f>
        <v>0.3313576734629366</v>
      </c>
      <c r="E33" s="11">
        <f>IS!E14/IS!E13</f>
        <v>0.32615163147792708</v>
      </c>
      <c r="F33" s="11">
        <f>IS!F14/IS!F13</f>
        <v>0.3572953383309338</v>
      </c>
      <c r="G33" s="7" t="s">
        <v>57</v>
      </c>
    </row>
    <row r="34" spans="1:8" x14ac:dyDescent="0.25">
      <c r="A34" s="7" t="s">
        <v>303</v>
      </c>
      <c r="B34" s="9">
        <f>BS!B31</f>
        <v>2.4329983956767709</v>
      </c>
      <c r="C34" s="9">
        <f>BS!C31</f>
        <v>1.8883733113797103</v>
      </c>
      <c r="D34" s="9">
        <f>BS!D31</f>
        <v>2.3733573586691419</v>
      </c>
      <c r="E34" s="9">
        <f>BS!E31</f>
        <v>3.2204676148757052</v>
      </c>
      <c r="F34" s="9">
        <f>BS!F31</f>
        <v>3.0260696986006459</v>
      </c>
      <c r="G34" s="7" t="s">
        <v>57</v>
      </c>
    </row>
    <row r="35" spans="1:8" x14ac:dyDescent="0.25">
      <c r="A35" s="7" t="s">
        <v>304</v>
      </c>
      <c r="B35" s="9">
        <f>IS!B9/IS!B10</f>
        <v>4.164642720184073</v>
      </c>
      <c r="C35" s="9">
        <f>IS!C9/IS!C10</f>
        <v>6.6711392719592499</v>
      </c>
      <c r="D35" s="9">
        <f>IS!D9/IS!D10</f>
        <v>3.5433739756146312</v>
      </c>
      <c r="E35" s="9">
        <f>IS!E9/IS!E10</f>
        <v>2.5304580152671754</v>
      </c>
      <c r="F35" s="9">
        <f>IS!F9/IS!F10</f>
        <v>2.3607577433628317</v>
      </c>
      <c r="G35" s="7" t="s">
        <v>57</v>
      </c>
    </row>
    <row r="36" spans="1:8" x14ac:dyDescent="0.25">
      <c r="A36" s="7" t="s">
        <v>305</v>
      </c>
      <c r="B36" s="9">
        <f>BS!B9/BS!B19</f>
        <v>0.71246014913228484</v>
      </c>
      <c r="C36" s="9">
        <f>BS!C9/BS!C19</f>
        <v>0.75736241706839769</v>
      </c>
      <c r="D36" s="9">
        <f>BS!D9/BS!D19</f>
        <v>0.72339485025969719</v>
      </c>
      <c r="E36" s="9">
        <f>BS!E9/BS!E19</f>
        <v>0.86111645196436581</v>
      </c>
      <c r="F36" s="9">
        <f>BS!F9/BS!F19</f>
        <v>0.77453082146663954</v>
      </c>
      <c r="G36" s="7" t="s">
        <v>57</v>
      </c>
    </row>
    <row r="38" spans="1:8" x14ac:dyDescent="0.25">
      <c r="A38" s="5" t="s">
        <v>306</v>
      </c>
      <c r="B38" s="6"/>
      <c r="C38" s="6"/>
      <c r="D38" s="6"/>
      <c r="E38" s="6"/>
      <c r="F38" s="6"/>
      <c r="G38" s="6"/>
      <c r="H38" s="6"/>
    </row>
    <row r="39" spans="1:8" x14ac:dyDescent="0.25">
      <c r="A39" s="7" t="s">
        <v>307</v>
      </c>
      <c r="B39" s="27">
        <v>175369</v>
      </c>
      <c r="C39" s="27">
        <v>205674</v>
      </c>
      <c r="D39" s="27">
        <v>192534</v>
      </c>
      <c r="E39" s="27">
        <v>189330</v>
      </c>
      <c r="F39" s="27">
        <v>190211</v>
      </c>
      <c r="G39" s="7" t="s">
        <v>47</v>
      </c>
      <c r="H39" s="7" t="s">
        <v>308</v>
      </c>
    </row>
    <row r="40" spans="1:8" x14ac:dyDescent="0.25">
      <c r="A40" s="7" t="s">
        <v>309</v>
      </c>
      <c r="B40" s="27">
        <v>109089</v>
      </c>
      <c r="C40" s="27">
        <v>130401</v>
      </c>
      <c r="D40" s="27">
        <v>145387</v>
      </c>
      <c r="E40" s="27">
        <v>151164</v>
      </c>
      <c r="F40" s="27">
        <v>154809</v>
      </c>
      <c r="G40" s="7" t="s">
        <v>47</v>
      </c>
      <c r="H40" s="7" t="s">
        <v>308</v>
      </c>
    </row>
    <row r="41" spans="1:8" x14ac:dyDescent="0.25">
      <c r="A41" s="7" t="s">
        <v>310</v>
      </c>
      <c r="B41" s="27">
        <v>34195</v>
      </c>
      <c r="C41" s="27">
        <v>37536</v>
      </c>
      <c r="D41" s="27">
        <v>40545</v>
      </c>
      <c r="E41" s="27">
        <v>45044</v>
      </c>
      <c r="F41" s="27">
        <v>54214</v>
      </c>
      <c r="G41" s="7" t="s">
        <v>47</v>
      </c>
      <c r="H41" s="7" t="s">
        <v>308</v>
      </c>
    </row>
    <row r="42" spans="1:8" x14ac:dyDescent="0.25">
      <c r="A42" s="7" t="s">
        <v>311</v>
      </c>
      <c r="B42" s="27">
        <v>31109</v>
      </c>
      <c r="C42" s="27">
        <v>38411</v>
      </c>
      <c r="D42" s="27">
        <v>36647</v>
      </c>
      <c r="E42" s="27">
        <v>39879</v>
      </c>
      <c r="F42" s="27">
        <v>44120</v>
      </c>
      <c r="G42" s="7" t="s">
        <v>47</v>
      </c>
      <c r="H42" s="7" t="s">
        <v>308</v>
      </c>
    </row>
    <row r="43" spans="1:8" x14ac:dyDescent="0.25">
      <c r="A43" s="7" t="s">
        <v>312</v>
      </c>
      <c r="B43" s="27">
        <v>-10970</v>
      </c>
      <c r="C43" s="27">
        <v>-13316</v>
      </c>
      <c r="D43" s="27">
        <v>-15234</v>
      </c>
      <c r="E43" s="27">
        <v>-17082</v>
      </c>
      <c r="F43" s="27">
        <v>-16402</v>
      </c>
      <c r="G43" s="7" t="s">
        <v>47</v>
      </c>
      <c r="H43" s="7" t="s">
        <v>308</v>
      </c>
    </row>
    <row r="44" spans="1:8" x14ac:dyDescent="0.25">
      <c r="A44" s="3" t="s">
        <v>313</v>
      </c>
      <c r="B44" s="28">
        <f>SUM(B39:B43)</f>
        <v>338792</v>
      </c>
      <c r="C44" s="28">
        <f>SUM(C39:C43)</f>
        <v>398706</v>
      </c>
      <c r="D44" s="28">
        <f>SUM(D39:D43)</f>
        <v>399879</v>
      </c>
      <c r="E44" s="28">
        <f>SUM(E39:E43)</f>
        <v>408335</v>
      </c>
      <c r="F44" s="28">
        <f>SUM(F39:F43)</f>
        <v>426952</v>
      </c>
      <c r="G44" s="7" t="s">
        <v>57</v>
      </c>
    </row>
    <row r="45" spans="1:8" x14ac:dyDescent="0.25">
      <c r="A45" s="7" t="s">
        <v>314</v>
      </c>
      <c r="B45" s="28">
        <f>B44-IS!B5</f>
        <v>0</v>
      </c>
      <c r="C45" s="28">
        <f>C44-IS!C5</f>
        <v>0</v>
      </c>
      <c r="D45" s="28">
        <f>D44-IS!D5</f>
        <v>0</v>
      </c>
      <c r="E45" s="28">
        <f>E44-IS!E5</f>
        <v>0</v>
      </c>
      <c r="F45" s="28">
        <f>F44-IS!F5</f>
        <v>0</v>
      </c>
      <c r="G45" s="7" t="s">
        <v>57</v>
      </c>
    </row>
    <row r="46" spans="1:8" x14ac:dyDescent="0.25">
      <c r="A46" s="5" t="s">
        <v>315</v>
      </c>
      <c r="B46" s="6"/>
      <c r="C46" s="6"/>
      <c r="D46" s="6"/>
      <c r="E46" s="6"/>
      <c r="F46" s="6"/>
      <c r="G46" s="6"/>
      <c r="H46" s="6"/>
    </row>
    <row r="47" spans="1:8" x14ac:dyDescent="0.25">
      <c r="A47" s="7" t="s">
        <v>307</v>
      </c>
      <c r="C47" s="11">
        <f t="shared" ref="C47:F50" si="0">C39/B39-1</f>
        <v>0.17280705255774964</v>
      </c>
      <c r="D47" s="11">
        <f t="shared" si="0"/>
        <v>-6.388751130429704E-2</v>
      </c>
      <c r="E47" s="11">
        <f t="shared" si="0"/>
        <v>-1.6641216616285925E-2</v>
      </c>
      <c r="F47" s="11">
        <f t="shared" si="0"/>
        <v>4.653250937516562E-3</v>
      </c>
      <c r="G47" s="7" t="s">
        <v>57</v>
      </c>
    </row>
    <row r="48" spans="1:8" x14ac:dyDescent="0.25">
      <c r="A48" s="7" t="s">
        <v>309</v>
      </c>
      <c r="C48" s="11">
        <f t="shared" si="0"/>
        <v>0.19536341885983011</v>
      </c>
      <c r="D48" s="11">
        <f t="shared" si="0"/>
        <v>0.11492243157644499</v>
      </c>
      <c r="E48" s="11">
        <f t="shared" si="0"/>
        <v>3.973532709251848E-2</v>
      </c>
      <c r="F48" s="11">
        <f t="shared" si="0"/>
        <v>2.4112884020004666E-2</v>
      </c>
      <c r="G48" s="7" t="s">
        <v>57</v>
      </c>
    </row>
    <row r="49" spans="1:8" x14ac:dyDescent="0.25">
      <c r="A49" s="7" t="s">
        <v>310</v>
      </c>
      <c r="C49" s="11">
        <f t="shared" si="0"/>
        <v>9.7704342740166705E-2</v>
      </c>
      <c r="D49" s="11">
        <f t="shared" si="0"/>
        <v>8.0163043478260976E-2</v>
      </c>
      <c r="E49" s="11">
        <f t="shared" si="0"/>
        <v>0.11096312738932057</v>
      </c>
      <c r="F49" s="11">
        <f t="shared" si="0"/>
        <v>0.20357872302637414</v>
      </c>
      <c r="G49" s="7" t="s">
        <v>57</v>
      </c>
    </row>
    <row r="50" spans="1:8" x14ac:dyDescent="0.25">
      <c r="A50" s="7" t="s">
        <v>311</v>
      </c>
      <c r="C50" s="11">
        <f t="shared" si="0"/>
        <v>0.23472307049406926</v>
      </c>
      <c r="D50" s="11">
        <f t="shared" si="0"/>
        <v>-4.592434458878969E-2</v>
      </c>
      <c r="E50" s="11">
        <f t="shared" si="0"/>
        <v>8.819275793380088E-2</v>
      </c>
      <c r="F50" s="11">
        <f t="shared" si="0"/>
        <v>0.10634669876376046</v>
      </c>
      <c r="G50" s="7" t="s">
        <v>57</v>
      </c>
    </row>
    <row r="51" spans="1:8" x14ac:dyDescent="0.25">
      <c r="A51" s="5" t="s">
        <v>316</v>
      </c>
      <c r="B51" s="6"/>
      <c r="C51" s="6"/>
      <c r="D51" s="6"/>
      <c r="E51" s="6"/>
      <c r="F51" s="6"/>
      <c r="G51" s="6"/>
      <c r="H51" s="6"/>
    </row>
    <row r="52" spans="1:8" x14ac:dyDescent="0.25">
      <c r="A52" s="7" t="s">
        <v>307</v>
      </c>
      <c r="D52" s="29">
        <v>6.7000000000000004E-2</v>
      </c>
      <c r="E52" s="29">
        <v>-4.5999999999999999E-2</v>
      </c>
      <c r="F52" s="29">
        <v>-0.04</v>
      </c>
      <c r="G52" s="7" t="s">
        <v>47</v>
      </c>
      <c r="H52" s="7" t="s">
        <v>317</v>
      </c>
    </row>
    <row r="53" spans="1:8" x14ac:dyDescent="0.25">
      <c r="A53" s="7" t="s">
        <v>309</v>
      </c>
      <c r="D53" s="29">
        <v>0.115</v>
      </c>
      <c r="E53" s="29">
        <v>0.04</v>
      </c>
      <c r="F53" s="29">
        <v>2.4E-2</v>
      </c>
      <c r="G53" s="7" t="s">
        <v>47</v>
      </c>
      <c r="H53" s="7" t="s">
        <v>317</v>
      </c>
    </row>
    <row r="54" spans="1:8" x14ac:dyDescent="0.25">
      <c r="A54" s="7" t="s">
        <v>310</v>
      </c>
      <c r="D54" s="29">
        <v>0.23499999999999999</v>
      </c>
      <c r="E54" s="29">
        <v>7.9000000000000001E-2</v>
      </c>
      <c r="F54" s="29">
        <v>0.11700000000000001</v>
      </c>
      <c r="G54" s="7" t="s">
        <v>47</v>
      </c>
      <c r="H54" s="7" t="s">
        <v>317</v>
      </c>
    </row>
    <row r="55" spans="1:8" x14ac:dyDescent="0.25">
      <c r="A55" s="7" t="s">
        <v>311</v>
      </c>
      <c r="D55" s="29">
        <v>0.16900000000000001</v>
      </c>
      <c r="E55" s="29">
        <v>0.1</v>
      </c>
      <c r="F55" s="29">
        <v>0.10100000000000001</v>
      </c>
      <c r="G55" s="7" t="s">
        <v>47</v>
      </c>
      <c r="H55" s="7" t="s">
        <v>317</v>
      </c>
    </row>
    <row r="57" spans="1:8" x14ac:dyDescent="0.25">
      <c r="A57" s="5" t="s">
        <v>318</v>
      </c>
      <c r="B57" s="6"/>
      <c r="C57" s="6"/>
      <c r="D57" s="6"/>
      <c r="E57" s="6"/>
      <c r="F57" s="6"/>
      <c r="G57" s="6"/>
      <c r="H57" s="6"/>
    </row>
    <row r="58" spans="1:8" x14ac:dyDescent="0.25">
      <c r="A58" s="7" t="s">
        <v>307</v>
      </c>
      <c r="B58" s="27">
        <v>21452</v>
      </c>
      <c r="C58" s="27">
        <v>22611</v>
      </c>
      <c r="D58" s="27">
        <v>20217</v>
      </c>
      <c r="E58" s="27">
        <v>15812</v>
      </c>
      <c r="F58" s="27">
        <v>17117</v>
      </c>
      <c r="G58" s="7" t="s">
        <v>47</v>
      </c>
      <c r="H58" s="7" t="s">
        <v>319</v>
      </c>
    </row>
    <row r="59" spans="1:8" x14ac:dyDescent="0.25">
      <c r="A59" s="7" t="s">
        <v>309</v>
      </c>
      <c r="B59" s="27">
        <v>20771</v>
      </c>
      <c r="C59" s="27">
        <v>23320</v>
      </c>
      <c r="D59" s="27">
        <v>27484</v>
      </c>
      <c r="E59" s="27">
        <v>30762</v>
      </c>
      <c r="F59" s="27">
        <v>31630</v>
      </c>
      <c r="G59" s="7" t="s">
        <v>47</v>
      </c>
      <c r="H59" s="7" t="s">
        <v>319</v>
      </c>
    </row>
    <row r="60" spans="1:8" x14ac:dyDescent="0.25">
      <c r="A60" s="7" t="s">
        <v>310</v>
      </c>
      <c r="B60" s="27">
        <v>2704</v>
      </c>
      <c r="C60" s="27">
        <v>2626</v>
      </c>
      <c r="D60" s="27">
        <v>2932</v>
      </c>
      <c r="E60" s="27">
        <v>4212</v>
      </c>
      <c r="F60" s="27">
        <v>5830</v>
      </c>
      <c r="G60" s="7" t="s">
        <v>47</v>
      </c>
      <c r="H60" s="7" t="s">
        <v>319</v>
      </c>
    </row>
    <row r="61" spans="1:8" x14ac:dyDescent="0.25">
      <c r="A61" s="7" t="s">
        <v>311</v>
      </c>
      <c r="B61" s="27">
        <v>1926</v>
      </c>
      <c r="C61" s="27">
        <v>3433</v>
      </c>
      <c r="D61" s="27">
        <v>3531</v>
      </c>
      <c r="E61" s="27">
        <v>3603</v>
      </c>
      <c r="F61" s="27">
        <v>3552</v>
      </c>
      <c r="G61" s="7" t="s">
        <v>47</v>
      </c>
      <c r="H61" s="7" t="s">
        <v>319</v>
      </c>
    </row>
    <row r="62" spans="1:8" x14ac:dyDescent="0.25">
      <c r="A62" s="7" t="s">
        <v>320</v>
      </c>
      <c r="B62" s="27">
        <v>519</v>
      </c>
      <c r="C62" s="27">
        <v>1456</v>
      </c>
      <c r="D62" s="27">
        <v>778</v>
      </c>
      <c r="E62" s="27">
        <v>1084</v>
      </c>
      <c r="F62" s="27">
        <v>1327</v>
      </c>
      <c r="G62" s="7" t="s">
        <v>47</v>
      </c>
      <c r="H62" s="7" t="s">
        <v>319</v>
      </c>
    </row>
    <row r="63" spans="1:8" x14ac:dyDescent="0.25">
      <c r="A63" s="3" t="s">
        <v>321</v>
      </c>
      <c r="B63" s="28">
        <f>SUM(B58:B62)</f>
        <v>47372</v>
      </c>
      <c r="C63" s="28">
        <f>SUM(C58:C62)</f>
        <v>53446</v>
      </c>
      <c r="D63" s="28">
        <f>SUM(D58:D62)</f>
        <v>54942</v>
      </c>
      <c r="E63" s="28">
        <f>SUM(E58:E62)</f>
        <v>55473</v>
      </c>
      <c r="F63" s="28">
        <f>SUM(F58:F62)</f>
        <v>59456</v>
      </c>
      <c r="G63" s="7" t="s">
        <v>57</v>
      </c>
    </row>
    <row r="64" spans="1:8" x14ac:dyDescent="0.25">
      <c r="A64" s="7" t="s">
        <v>314</v>
      </c>
      <c r="B64" s="28">
        <f>B63-IS!B24</f>
        <v>0</v>
      </c>
      <c r="C64" s="28">
        <f>C63-IS!C24</f>
        <v>0</v>
      </c>
      <c r="D64" s="28">
        <f>D63-IS!D24</f>
        <v>0</v>
      </c>
      <c r="E64" s="28">
        <f>E63-IS!E24</f>
        <v>0</v>
      </c>
      <c r="F64" s="28">
        <f>F63-IS!F24</f>
        <v>0</v>
      </c>
      <c r="G64" s="7" t="s">
        <v>57</v>
      </c>
    </row>
    <row r="65" spans="1:8" x14ac:dyDescent="0.25">
      <c r="A65" s="5" t="s">
        <v>322</v>
      </c>
      <c r="B65" s="6"/>
      <c r="C65" s="6"/>
      <c r="D65" s="6"/>
      <c r="E65" s="6"/>
      <c r="F65" s="6"/>
      <c r="G65" s="6"/>
      <c r="H65" s="6"/>
    </row>
    <row r="66" spans="1:8" x14ac:dyDescent="0.25">
      <c r="A66" s="7" t="s">
        <v>307</v>
      </c>
      <c r="B66" s="11">
        <f t="shared" ref="B66:F69" si="1">B58/B39</f>
        <v>0.12232492629826253</v>
      </c>
      <c r="C66" s="11">
        <f t="shared" si="1"/>
        <v>0.1099361124886957</v>
      </c>
      <c r="D66" s="11">
        <f t="shared" si="1"/>
        <v>0.1050048303156845</v>
      </c>
      <c r="E66" s="11">
        <f t="shared" si="1"/>
        <v>8.35155548513178E-2</v>
      </c>
      <c r="F66" s="11">
        <f t="shared" si="1"/>
        <v>8.9989537934188873E-2</v>
      </c>
      <c r="G66" s="7" t="s">
        <v>57</v>
      </c>
    </row>
    <row r="67" spans="1:8" x14ac:dyDescent="0.25">
      <c r="A67" s="7" t="s">
        <v>309</v>
      </c>
      <c r="B67" s="11">
        <f t="shared" si="1"/>
        <v>0.19040416540622795</v>
      </c>
      <c r="C67" s="11">
        <f t="shared" si="1"/>
        <v>0.17883298440962875</v>
      </c>
      <c r="D67" s="11">
        <f t="shared" si="1"/>
        <v>0.18904028558261743</v>
      </c>
      <c r="E67" s="11">
        <f t="shared" si="1"/>
        <v>0.2035008335317933</v>
      </c>
      <c r="F67" s="11">
        <f t="shared" si="1"/>
        <v>0.20431628652080952</v>
      </c>
      <c r="G67" s="7" t="s">
        <v>57</v>
      </c>
    </row>
    <row r="68" spans="1:8" x14ac:dyDescent="0.25">
      <c r="A68" s="7" t="s">
        <v>310</v>
      </c>
      <c r="B68" s="11">
        <f t="shared" si="1"/>
        <v>7.9075888287761367E-2</v>
      </c>
      <c r="C68" s="11">
        <f t="shared" si="1"/>
        <v>6.9959505541346972E-2</v>
      </c>
      <c r="D68" s="11">
        <f t="shared" si="1"/>
        <v>7.2314712048341348E-2</v>
      </c>
      <c r="E68" s="11">
        <f t="shared" si="1"/>
        <v>9.3508569398810054E-2</v>
      </c>
      <c r="F68" s="11">
        <f t="shared" si="1"/>
        <v>0.10753679861290441</v>
      </c>
      <c r="G68" s="7" t="s">
        <v>57</v>
      </c>
    </row>
    <row r="69" spans="1:8" x14ac:dyDescent="0.25">
      <c r="A69" s="7" t="s">
        <v>311</v>
      </c>
      <c r="B69" s="11">
        <f t="shared" si="1"/>
        <v>6.1911343984056059E-2</v>
      </c>
      <c r="C69" s="11">
        <f t="shared" si="1"/>
        <v>8.9375439327276041E-2</v>
      </c>
      <c r="D69" s="11">
        <f t="shared" si="1"/>
        <v>9.6351679537206317E-2</v>
      </c>
      <c r="E69" s="11">
        <f t="shared" si="1"/>
        <v>9.0348303618445799E-2</v>
      </c>
      <c r="F69" s="11">
        <f t="shared" si="1"/>
        <v>8.0507706255666361E-2</v>
      </c>
      <c r="G69" s="7" t="s">
        <v>57</v>
      </c>
    </row>
    <row r="70" spans="1:8" x14ac:dyDescent="0.25">
      <c r="A70" s="5" t="s">
        <v>323</v>
      </c>
      <c r="B70" s="6"/>
      <c r="C70" s="6"/>
      <c r="D70" s="6"/>
      <c r="E70" s="6"/>
      <c r="F70" s="6"/>
      <c r="G70" s="6"/>
      <c r="H70" s="6"/>
    </row>
    <row r="71" spans="1:8" x14ac:dyDescent="0.25">
      <c r="A71" s="7" t="s">
        <v>307</v>
      </c>
      <c r="B71" s="11">
        <f>B58/B63</f>
        <v>0.4528413408764671</v>
      </c>
      <c r="C71" s="11">
        <f>C58/C63</f>
        <v>0.42306253040452046</v>
      </c>
      <c r="D71" s="11">
        <f>D58/D63</f>
        <v>0.3679698591241673</v>
      </c>
      <c r="E71" s="11">
        <f>E58/E63</f>
        <v>0.28503956879923564</v>
      </c>
      <c r="F71" s="11">
        <f>F58/F63</f>
        <v>0.28789356835306784</v>
      </c>
      <c r="G71" s="7" t="s">
        <v>57</v>
      </c>
    </row>
    <row r="72" spans="1:8" x14ac:dyDescent="0.25">
      <c r="A72" s="7" t="s">
        <v>324</v>
      </c>
      <c r="B72" s="11">
        <f>(B59+B62)/B63</f>
        <v>0.44942159925694503</v>
      </c>
      <c r="C72" s="11">
        <f>(C59+C62)/C63</f>
        <v>0.46357070688171237</v>
      </c>
      <c r="D72" s="11">
        <f>(D59+D62)/D63</f>
        <v>0.51439700047322634</v>
      </c>
      <c r="E72" s="11">
        <f>(E59+E62)/E63</f>
        <v>0.57408108449155448</v>
      </c>
      <c r="F72" s="11">
        <f>(F59+F62)/F63</f>
        <v>0.55430906889128095</v>
      </c>
      <c r="G72" s="7" t="s">
        <v>57</v>
      </c>
    </row>
    <row r="73" spans="1:8" x14ac:dyDescent="0.25">
      <c r="A73" s="7" t="s">
        <v>310</v>
      </c>
      <c r="B73" s="11">
        <f>B60/B63</f>
        <v>5.7080131723380903E-2</v>
      </c>
      <c r="C73" s="11">
        <f>C60/C63</f>
        <v>4.9133705048085917E-2</v>
      </c>
      <c r="D73" s="11">
        <f>D60/D63</f>
        <v>5.336536711441156E-2</v>
      </c>
      <c r="E73" s="11">
        <f>E60/E63</f>
        <v>7.5928830241739229E-2</v>
      </c>
      <c r="F73" s="11">
        <f>F60/F63</f>
        <v>9.8055705059203441E-2</v>
      </c>
      <c r="G73" s="7" t="s">
        <v>57</v>
      </c>
    </row>
    <row r="74" spans="1:8" x14ac:dyDescent="0.25">
      <c r="A74" s="7" t="s">
        <v>311</v>
      </c>
      <c r="B74" s="11">
        <f>B61/B63</f>
        <v>4.0656928143206955E-2</v>
      </c>
      <c r="C74" s="11">
        <f>C61/C63</f>
        <v>6.4233057665681242E-2</v>
      </c>
      <c r="D74" s="11">
        <f>D61/D63</f>
        <v>6.4267773288194829E-2</v>
      </c>
      <c r="E74" s="11">
        <f>E61/E63</f>
        <v>6.4950516467470659E-2</v>
      </c>
      <c r="F74" s="11">
        <f>F61/F63</f>
        <v>5.9741657696447792E-2</v>
      </c>
      <c r="G74" s="7" t="s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workbookViewId="0"/>
  </sheetViews>
  <sheetFormatPr defaultRowHeight="15" x14ac:dyDescent="0.25"/>
  <cols>
    <col min="1" max="1" width="46" customWidth="1"/>
    <col min="2" max="2" width="14" customWidth="1"/>
    <col min="3" max="3" width="70" customWidth="1"/>
  </cols>
  <sheetData>
    <row r="1" spans="1:3" ht="18.75" x14ac:dyDescent="0.3">
      <c r="A1" s="1" t="s">
        <v>325</v>
      </c>
    </row>
    <row r="2" spans="1:3" x14ac:dyDescent="0.25">
      <c r="A2" s="2" t="s">
        <v>326</v>
      </c>
    </row>
    <row r="3" spans="1:3" x14ac:dyDescent="0.25">
      <c r="A3" s="13" t="s">
        <v>168</v>
      </c>
      <c r="B3" s="13" t="s">
        <v>327</v>
      </c>
      <c r="C3" s="13" t="s">
        <v>328</v>
      </c>
    </row>
    <row r="4" spans="1:3" x14ac:dyDescent="0.25">
      <c r="A4" s="7" t="s">
        <v>101</v>
      </c>
      <c r="B4" s="22">
        <f>Inputs!D37</f>
        <v>0.54500000000000004</v>
      </c>
      <c r="C4" s="7" t="s">
        <v>329</v>
      </c>
    </row>
    <row r="5" spans="1:3" x14ac:dyDescent="0.25">
      <c r="A5" s="7" t="s">
        <v>330</v>
      </c>
      <c r="B5" s="22">
        <f>Inputs!D36</f>
        <v>0.74307950311246973</v>
      </c>
      <c r="C5" s="7" t="s">
        <v>331</v>
      </c>
    </row>
    <row r="6" spans="1:3" x14ac:dyDescent="0.25">
      <c r="A6" s="7" t="s">
        <v>332</v>
      </c>
      <c r="B6" s="8">
        <f>Inputs!D35</f>
        <v>0.3</v>
      </c>
      <c r="C6" s="7" t="s">
        <v>333</v>
      </c>
    </row>
    <row r="7" spans="1:3" x14ac:dyDescent="0.25">
      <c r="A7" s="7" t="s">
        <v>334</v>
      </c>
      <c r="B7" s="22">
        <f>B4*(1+(1-B6)*B5)</f>
        <v>0.82848483043740717</v>
      </c>
      <c r="C7" s="7" t="s">
        <v>335</v>
      </c>
    </row>
    <row r="8" spans="1:3" x14ac:dyDescent="0.25">
      <c r="A8" s="7" t="s">
        <v>336</v>
      </c>
      <c r="B8" s="8">
        <f>Inputs!D31</f>
        <v>7.5101187761694166E-2</v>
      </c>
      <c r="C8" s="7"/>
    </row>
    <row r="9" spans="1:3" x14ac:dyDescent="0.25">
      <c r="A9" s="7" t="s">
        <v>337</v>
      </c>
      <c r="B9" s="8">
        <f>Inputs!D32</f>
        <v>4.200000000000001E-2</v>
      </c>
      <c r="C9" s="7"/>
    </row>
    <row r="10" spans="1:3" x14ac:dyDescent="0.25">
      <c r="A10" s="7" t="s">
        <v>338</v>
      </c>
      <c r="B10" s="8">
        <f>Inputs!D33</f>
        <v>2.0496339299999999E-2</v>
      </c>
      <c r="C10" s="7" t="s">
        <v>339</v>
      </c>
    </row>
    <row r="11" spans="1:3" x14ac:dyDescent="0.25">
      <c r="A11" s="3" t="s">
        <v>340</v>
      </c>
      <c r="B11" s="25">
        <f>B8+B7*B9+B10</f>
        <v>0.13039388994006529</v>
      </c>
      <c r="C11" s="7"/>
    </row>
    <row r="12" spans="1:3" x14ac:dyDescent="0.25">
      <c r="A12" s="7" t="s">
        <v>341</v>
      </c>
      <c r="B12" s="8">
        <f>Inputs!D34</f>
        <v>9.7100000000000006E-2</v>
      </c>
      <c r="C12" s="7"/>
    </row>
    <row r="13" spans="1:3" x14ac:dyDescent="0.25">
      <c r="A13" s="7" t="s">
        <v>342</v>
      </c>
      <c r="B13" s="8">
        <f>B12*(1-B6)</f>
        <v>6.7970000000000003E-2</v>
      </c>
      <c r="C13" s="7"/>
    </row>
    <row r="14" spans="1:3" x14ac:dyDescent="0.25">
      <c r="A14" s="7" t="s">
        <v>343</v>
      </c>
      <c r="B14" s="8">
        <f>B5/(1+B5)</f>
        <v>0.42630270265103543</v>
      </c>
      <c r="C14" s="7"/>
    </row>
    <row r="15" spans="1:3" x14ac:dyDescent="0.25">
      <c r="A15" s="7" t="s">
        <v>344</v>
      </c>
      <c r="B15" s="8">
        <f>1-B14</f>
        <v>0.57369729734896457</v>
      </c>
      <c r="C15" s="7"/>
    </row>
    <row r="16" spans="1:3" x14ac:dyDescent="0.25">
      <c r="A16" s="3" t="s">
        <v>13</v>
      </c>
      <c r="B16" s="25">
        <f>B15*B11+B14*B13</f>
        <v>0.10378241694862467</v>
      </c>
      <c r="C16" s="7"/>
    </row>
    <row r="18" spans="1:3" x14ac:dyDescent="0.25">
      <c r="A18" s="5" t="s">
        <v>345</v>
      </c>
      <c r="B18" s="6"/>
      <c r="C18" s="6"/>
    </row>
    <row r="19" spans="1:3" x14ac:dyDescent="0.25">
      <c r="A19" s="7" t="s">
        <v>346</v>
      </c>
      <c r="B19" s="20">
        <v>0.1032327567</v>
      </c>
      <c r="C19" s="7" t="s">
        <v>347</v>
      </c>
    </row>
    <row r="20" spans="1:3" x14ac:dyDescent="0.25">
      <c r="A20" s="7" t="s">
        <v>348</v>
      </c>
      <c r="B20" s="20">
        <v>0.10323298815942571</v>
      </c>
      <c r="C20" s="7" t="s">
        <v>349</v>
      </c>
    </row>
    <row r="21" spans="1:3" x14ac:dyDescent="0.25">
      <c r="A21" s="7" t="s">
        <v>350</v>
      </c>
      <c r="B21" s="20">
        <v>0.10398289994023389</v>
      </c>
      <c r="C21" s="7" t="s">
        <v>351</v>
      </c>
    </row>
    <row r="22" spans="1:3" x14ac:dyDescent="0.25">
      <c r="A22" s="7" t="s">
        <v>352</v>
      </c>
      <c r="B22" s="8">
        <f>(B20+B21)/2</f>
        <v>0.1036079440498298</v>
      </c>
      <c r="C22" s="7"/>
    </row>
    <row r="23" spans="1:3" x14ac:dyDescent="0.25">
      <c r="A23" s="7" t="s">
        <v>353</v>
      </c>
      <c r="B23" s="8">
        <f>(B19+B20+B21)/3</f>
        <v>0.10348288159988654</v>
      </c>
      <c r="C23" s="7"/>
    </row>
    <row r="24" spans="1:3" x14ac:dyDescent="0.25">
      <c r="A24" s="7" t="s">
        <v>354</v>
      </c>
      <c r="B24" s="8">
        <f>B16</f>
        <v>0.10378241694862467</v>
      </c>
      <c r="C24" s="7" t="s">
        <v>355</v>
      </c>
    </row>
    <row r="26" spans="1:3" x14ac:dyDescent="0.25">
      <c r="A26" s="12" t="s">
        <v>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2" customWidth="1"/>
    <col min="2" max="3" width="14" customWidth="1"/>
    <col min="4" max="4" width="16" customWidth="1"/>
    <col min="5" max="7" width="14" customWidth="1"/>
  </cols>
  <sheetData>
    <row r="1" spans="1:7" ht="18.75" x14ac:dyDescent="0.3">
      <c r="A1" s="1" t="s">
        <v>357</v>
      </c>
    </row>
    <row r="2" spans="1:7" x14ac:dyDescent="0.25">
      <c r="A2" s="2" t="s">
        <v>358</v>
      </c>
    </row>
    <row r="3" spans="1:7" x14ac:dyDescent="0.25">
      <c r="A3" s="12" t="s">
        <v>359</v>
      </c>
    </row>
    <row r="4" spans="1:7" x14ac:dyDescent="0.25">
      <c r="A4" s="13" t="s">
        <v>186</v>
      </c>
      <c r="B4" s="13" t="s">
        <v>169</v>
      </c>
      <c r="C4" s="13" t="s">
        <v>136</v>
      </c>
      <c r="D4" s="13" t="s">
        <v>137</v>
      </c>
      <c r="E4" s="13" t="s">
        <v>138</v>
      </c>
      <c r="F4" s="13" t="s">
        <v>139</v>
      </c>
      <c r="G4" s="13" t="s">
        <v>140</v>
      </c>
    </row>
    <row r="5" spans="1:7" x14ac:dyDescent="0.25">
      <c r="A5" s="3" t="s">
        <v>360</v>
      </c>
      <c r="B5" s="19">
        <f>Inputs!D23</f>
        <v>426952</v>
      </c>
      <c r="C5" s="19">
        <f>B5*(1+C6)</f>
        <v>424878.67226999998</v>
      </c>
      <c r="D5" s="19">
        <f>C5*(1+D6)</f>
        <v>444001.22065924999</v>
      </c>
      <c r="E5" s="19">
        <f>D5*(1+E6)</f>
        <v>465320.88155026821</v>
      </c>
      <c r="F5" s="19">
        <f>E5*(1+F6)</f>
        <v>486542.73259648815</v>
      </c>
      <c r="G5" s="19">
        <f>F5*(1+G6)</f>
        <v>507796.50433450239</v>
      </c>
    </row>
    <row r="6" spans="1:7" x14ac:dyDescent="0.25">
      <c r="A6" s="7" t="s">
        <v>361</v>
      </c>
      <c r="B6" s="8">
        <f>B5/Inputs!D76-1</f>
        <v>4.5592466969522683E-2</v>
      </c>
      <c r="C6" s="8">
        <f>Inputs!B58</f>
        <v>-4.8561143407221952E-3</v>
      </c>
      <c r="D6" s="8">
        <f>Inputs!C58</f>
        <v>4.5007079990821763E-2</v>
      </c>
      <c r="E6" s="8">
        <f>Inputs!D58</f>
        <v>4.8017122248814936E-2</v>
      </c>
      <c r="F6" s="8">
        <f>Inputs!E58</f>
        <v>4.560691747921778E-2</v>
      </c>
      <c r="G6" s="8">
        <f>Inputs!F58</f>
        <v>4.3683258045169295E-2</v>
      </c>
    </row>
    <row r="7" spans="1:7" x14ac:dyDescent="0.25">
      <c r="A7" s="7" t="s">
        <v>362</v>
      </c>
      <c r="B7" s="8">
        <f>B8/B5</f>
        <v>0.13925687196687214</v>
      </c>
      <c r="C7" s="8">
        <f>Inputs!B61</f>
        <v>0.14636015448285011</v>
      </c>
      <c r="D7" s="8">
        <f>Inputs!C61</f>
        <v>0.14536383008267373</v>
      </c>
      <c r="E7" s="8">
        <f>Inputs!D61</f>
        <v>0.14814866598387993</v>
      </c>
      <c r="F7" s="8">
        <f>Inputs!E61</f>
        <v>0.14914866598387994</v>
      </c>
      <c r="G7" s="8">
        <f>Inputs!F61</f>
        <v>0.15014866598387994</v>
      </c>
    </row>
    <row r="8" spans="1:7" x14ac:dyDescent="0.25">
      <c r="A8" s="30" t="s">
        <v>363</v>
      </c>
      <c r="B8" s="31">
        <f>Inputs!D77</f>
        <v>59456</v>
      </c>
      <c r="C8" s="31">
        <f>C5*C7</f>
        <v>62185.30810990544</v>
      </c>
      <c r="D8" s="31">
        <f>D5*D7</f>
        <v>64541.717996410938</v>
      </c>
      <c r="E8" s="31">
        <f>E5*E7</f>
        <v>68936.667856115251</v>
      </c>
      <c r="F8" s="31">
        <f>F5*F7</f>
        <v>72567.199510917824</v>
      </c>
      <c r="G8" s="31">
        <f>G5*G7</f>
        <v>76244.967717103034</v>
      </c>
    </row>
    <row r="9" spans="1:7" x14ac:dyDescent="0.25">
      <c r="A9" s="7" t="s">
        <v>364</v>
      </c>
      <c r="B9" s="8">
        <f>B10/B5</f>
        <v>5.8175157863178999E-2</v>
      </c>
      <c r="C9" s="8">
        <f>Inputs!B64</f>
        <v>5.899999999999999E-2</v>
      </c>
      <c r="D9" s="8">
        <f>Inputs!C64</f>
        <v>5.8999999999999997E-2</v>
      </c>
      <c r="E9" s="8">
        <f>Inputs!D64</f>
        <v>5.8999999999999997E-2</v>
      </c>
      <c r="F9" s="8">
        <f>Inputs!E64</f>
        <v>5.8500000000000003E-2</v>
      </c>
      <c r="G9" s="8">
        <f>Inputs!F64</f>
        <v>5.850000000000001E-2</v>
      </c>
    </row>
    <row r="10" spans="1:7" x14ac:dyDescent="0.25">
      <c r="A10" s="7" t="s">
        <v>365</v>
      </c>
      <c r="B10" s="19">
        <f>Inputs!D78</f>
        <v>24838</v>
      </c>
      <c r="C10" s="19">
        <f>C5*C9</f>
        <v>25067.841663929994</v>
      </c>
      <c r="D10" s="19">
        <f>D5*D9</f>
        <v>26196.072018895749</v>
      </c>
      <c r="E10" s="19">
        <f>E5*E9</f>
        <v>27453.932011465822</v>
      </c>
      <c r="F10" s="19">
        <f>F5*F9</f>
        <v>28462.749856894559</v>
      </c>
      <c r="G10" s="19">
        <f>G5*G9</f>
        <v>29706.095503568395</v>
      </c>
    </row>
    <row r="11" spans="1:7" x14ac:dyDescent="0.25">
      <c r="A11" s="7" t="s">
        <v>276</v>
      </c>
      <c r="B11" s="19">
        <f t="shared" ref="B11:G11" si="0">B8-B10</f>
        <v>34618</v>
      </c>
      <c r="C11" s="19">
        <f t="shared" si="0"/>
        <v>37117.466445975442</v>
      </c>
      <c r="D11" s="19">
        <f t="shared" si="0"/>
        <v>38345.645977515189</v>
      </c>
      <c r="E11" s="19">
        <f t="shared" si="0"/>
        <v>41482.735844649433</v>
      </c>
      <c r="F11" s="19">
        <f t="shared" si="0"/>
        <v>44104.449654023265</v>
      </c>
      <c r="G11" s="19">
        <f t="shared" si="0"/>
        <v>46538.87221353464</v>
      </c>
    </row>
    <row r="12" spans="1:7" x14ac:dyDescent="0.25">
      <c r="A12" s="7" t="s">
        <v>366</v>
      </c>
      <c r="B12" s="32">
        <f>B11*Inputs!$D$43</f>
        <v>11077.76</v>
      </c>
      <c r="C12" s="19">
        <f>C11*Inputs!$D$43</f>
        <v>11877.589262712141</v>
      </c>
      <c r="D12" s="19">
        <f>D11*Inputs!$D$43</f>
        <v>12270.60671280486</v>
      </c>
      <c r="E12" s="19">
        <f>E11*Inputs!$D$43</f>
        <v>13274.475470287818</v>
      </c>
      <c r="F12" s="19">
        <f>F11*Inputs!$D$43</f>
        <v>14113.423889287445</v>
      </c>
      <c r="G12" s="19">
        <f>G11*Inputs!$D$43</f>
        <v>14892.439108331086</v>
      </c>
    </row>
    <row r="13" spans="1:7" x14ac:dyDescent="0.25">
      <c r="A13" s="30" t="s">
        <v>367</v>
      </c>
      <c r="B13" s="33">
        <f t="shared" ref="B13:G13" si="1">B11-B12</f>
        <v>23540.239999999998</v>
      </c>
      <c r="C13" s="31">
        <f t="shared" si="1"/>
        <v>25239.877183263299</v>
      </c>
      <c r="D13" s="31">
        <f t="shared" si="1"/>
        <v>26075.039264710329</v>
      </c>
      <c r="E13" s="31">
        <f t="shared" si="1"/>
        <v>28208.260374361613</v>
      </c>
      <c r="F13" s="31">
        <f t="shared" si="1"/>
        <v>29991.025764735819</v>
      </c>
      <c r="G13" s="31">
        <f t="shared" si="1"/>
        <v>31646.433105203556</v>
      </c>
    </row>
    <row r="14" spans="1:7" x14ac:dyDescent="0.25">
      <c r="A14" s="7" t="s">
        <v>368</v>
      </c>
      <c r="B14" s="8">
        <f>B15/B5</f>
        <v>5.2769397965110834E-2</v>
      </c>
      <c r="C14" s="8">
        <f>Inputs!B67</f>
        <v>4.8780047328910815E-2</v>
      </c>
      <c r="D14" s="8">
        <f>Inputs!C67</f>
        <v>5.0086358073077E-2</v>
      </c>
      <c r="E14" s="8">
        <f>Inputs!D67</f>
        <v>5.0479059947341393E-2</v>
      </c>
      <c r="F14" s="8">
        <f>Inputs!E67</f>
        <v>5.1229059947341393E-2</v>
      </c>
      <c r="G14" s="8">
        <f>Inputs!F67</f>
        <v>5.1479059947341393E-2</v>
      </c>
    </row>
    <row r="15" spans="1:7" x14ac:dyDescent="0.25">
      <c r="A15" s="7" t="s">
        <v>369</v>
      </c>
      <c r="B15" s="19">
        <f>Inputs!D79</f>
        <v>22530</v>
      </c>
      <c r="C15" s="19">
        <f>C5*C14</f>
        <v>20725.601742375387</v>
      </c>
      <c r="D15" s="19">
        <f>D5*D14</f>
        <v>22238.404122822467</v>
      </c>
      <c r="E15" s="19">
        <f>E5*E14</f>
        <v>23488.960674525733</v>
      </c>
      <c r="F15" s="19">
        <f>F5*F14</f>
        <v>24925.126815128784</v>
      </c>
      <c r="G15" s="19">
        <f>G5*G14</f>
        <v>26140.886687686252</v>
      </c>
    </row>
    <row r="16" spans="1:7" x14ac:dyDescent="0.25">
      <c r="A16" s="7" t="s">
        <v>370</v>
      </c>
      <c r="B16" s="19">
        <f>Inputs!D80</f>
        <v>5923</v>
      </c>
      <c r="C16" s="19">
        <f>Inputs!$D$24*C5+Inputs!$D$25*(C5-B5)</f>
        <v>5736.8693266392747</v>
      </c>
      <c r="D16" s="19">
        <f>Inputs!$D$24*D5+Inputs!$D$25*(D5-C5)</f>
        <v>7729.8095941146303</v>
      </c>
      <c r="E16" s="19">
        <f>Inputs!$D$24*E5+Inputs!$D$25*(E5-D5)</f>
        <v>8205.1836472757132</v>
      </c>
      <c r="F16" s="19">
        <f>Inputs!$D$24*F5+Inputs!$D$25*(F5-E5)</f>
        <v>8492.1973837029418</v>
      </c>
      <c r="G16" s="19">
        <f>Inputs!$D$24*G5+Inputs!$D$25*(G5-F5)</f>
        <v>8790.225854696535</v>
      </c>
    </row>
    <row r="17" spans="1:7" x14ac:dyDescent="0.25">
      <c r="A17" s="7" t="s">
        <v>371</v>
      </c>
      <c r="B17" s="8">
        <f>B18/B5</f>
        <v>1.6301598306132773E-3</v>
      </c>
      <c r="C17" s="8">
        <f>Inputs!B70</f>
        <v>-6.6033732814248922E-5</v>
      </c>
      <c r="D17" s="8">
        <f>Inputs!C70</f>
        <v>1.4313828860760499E-3</v>
      </c>
      <c r="E17" s="8">
        <f>Inputs!D70</f>
        <v>9.8956484749458977E-4</v>
      </c>
      <c r="F17" s="8">
        <f>Inputs!E70</f>
        <v>9.8433160127663327E-4</v>
      </c>
      <c r="G17" s="8">
        <f>Inputs!F70</f>
        <v>1.0254466617568268E-3</v>
      </c>
    </row>
    <row r="18" spans="1:7" x14ac:dyDescent="0.25">
      <c r="A18" s="7" t="s">
        <v>372</v>
      </c>
      <c r="B18" s="19">
        <f>Inputs!D81</f>
        <v>696</v>
      </c>
      <c r="C18" s="19">
        <f>C5*C17</f>
        <v>-28.056324723150013</v>
      </c>
      <c r="D18" s="19">
        <f>D5*D17</f>
        <v>635.53574864852635</v>
      </c>
      <c r="E18" s="19">
        <f>E5*E17</f>
        <v>460.46518718733921</v>
      </c>
      <c r="F18" s="19">
        <f>F5*F17</f>
        <v>478.91938706620999</v>
      </c>
      <c r="G18" s="19">
        <f>G5*G17</f>
        <v>520.71823022160152</v>
      </c>
    </row>
    <row r="19" spans="1:7" x14ac:dyDescent="0.25">
      <c r="A19" s="30" t="s">
        <v>373</v>
      </c>
      <c r="B19" s="33">
        <f t="shared" ref="B19:G19" si="2">B13+B10-B15-B16+B18</f>
        <v>20621.239999999998</v>
      </c>
      <c r="C19" s="31">
        <f t="shared" si="2"/>
        <v>23817.191453455478</v>
      </c>
      <c r="D19" s="31">
        <f t="shared" si="2"/>
        <v>22938.433315317507</v>
      </c>
      <c r="E19" s="31">
        <f t="shared" si="2"/>
        <v>24428.513251213331</v>
      </c>
      <c r="F19" s="31">
        <f t="shared" si="2"/>
        <v>25515.370809864868</v>
      </c>
      <c r="G19" s="31">
        <f t="shared" si="2"/>
        <v>26942.134296610766</v>
      </c>
    </row>
    <row r="20" spans="1:7" x14ac:dyDescent="0.25">
      <c r="A20" s="7" t="s">
        <v>374</v>
      </c>
      <c r="C20" s="22">
        <f>Inputs!$D$26/365</f>
        <v>0.50410958904109593</v>
      </c>
      <c r="D20" s="22">
        <v>1</v>
      </c>
      <c r="E20" s="22">
        <v>1</v>
      </c>
      <c r="F20" s="22">
        <v>1</v>
      </c>
      <c r="G20" s="22">
        <v>1</v>
      </c>
    </row>
    <row r="21" spans="1:7" x14ac:dyDescent="0.25">
      <c r="A21" s="7" t="s">
        <v>375</v>
      </c>
      <c r="C21" s="22">
        <f>Inputs!$D$26/365/2</f>
        <v>0.25205479452054796</v>
      </c>
      <c r="D21" s="22">
        <f>Inputs!$D$26/365+0.5</f>
        <v>1.004109589041096</v>
      </c>
      <c r="E21" s="22">
        <f>D21+1</f>
        <v>2.004109589041096</v>
      </c>
      <c r="F21" s="22">
        <f>E21+1</f>
        <v>3.004109589041096</v>
      </c>
      <c r="G21" s="22">
        <f>F21+1</f>
        <v>4.0041095890410965</v>
      </c>
    </row>
    <row r="22" spans="1:7" x14ac:dyDescent="0.25">
      <c r="A22" s="7" t="s">
        <v>376</v>
      </c>
      <c r="C22" s="22">
        <f>1/(1+WACC!$B$16)^C21</f>
        <v>0.97541856093776746</v>
      </c>
      <c r="D22" s="22">
        <f>1/(1+WACC!$B$16)^D21</f>
        <v>0.90560809310883139</v>
      </c>
      <c r="E22" s="22">
        <f>1/(1+WACC!$B$16)^E21</f>
        <v>0.82045888682695201</v>
      </c>
      <c r="F22" s="22">
        <f>1/(1+WACC!$B$16)^F21</f>
        <v>0.74331577875201826</v>
      </c>
      <c r="G22" s="22">
        <f>1/(1+WACC!$B$16)^G21</f>
        <v>0.6734260007573718</v>
      </c>
    </row>
    <row r="23" spans="1:7" x14ac:dyDescent="0.25">
      <c r="A23" s="30" t="s">
        <v>377</v>
      </c>
      <c r="B23" s="34"/>
      <c r="C23" s="31">
        <f>C19*C20*C22</f>
        <v>11711.338172087742</v>
      </c>
      <c r="D23" s="31">
        <f>D19*D20*D22</f>
        <v>20773.230853588775</v>
      </c>
      <c r="E23" s="31">
        <f>E19*E20*E22</f>
        <v>20042.590788927937</v>
      </c>
      <c r="F23" s="31">
        <f>F19*F20*F22</f>
        <v>18965.977723681219</v>
      </c>
      <c r="G23" s="31">
        <f>G19*G20*G22</f>
        <v>18143.533751234616</v>
      </c>
    </row>
    <row r="25" spans="1:7" x14ac:dyDescent="0.25">
      <c r="A25" s="5" t="s">
        <v>378</v>
      </c>
      <c r="B25" s="6"/>
      <c r="C25" s="6"/>
      <c r="D25" s="6"/>
      <c r="E25" s="6"/>
      <c r="F25" s="6"/>
      <c r="G25" s="6"/>
    </row>
    <row r="26" spans="1:7" x14ac:dyDescent="0.25">
      <c r="A26" s="7" t="s">
        <v>379</v>
      </c>
      <c r="B26" s="19">
        <f>SUM(C23:G23)</f>
        <v>89636.671289520295</v>
      </c>
    </row>
    <row r="27" spans="1:7" x14ac:dyDescent="0.25">
      <c r="A27" s="7" t="s">
        <v>380</v>
      </c>
      <c r="B27" s="22">
        <f>Inputs!D26/365+4</f>
        <v>4.5041095890410956</v>
      </c>
    </row>
    <row r="28" spans="1:7" x14ac:dyDescent="0.25">
      <c r="A28" s="3" t="s">
        <v>381</v>
      </c>
    </row>
    <row r="29" spans="1:7" x14ac:dyDescent="0.25">
      <c r="A29" s="7" t="s">
        <v>15</v>
      </c>
      <c r="B29" s="9">
        <f>Inputs!D40</f>
        <v>5.9172897184825191</v>
      </c>
    </row>
    <row r="30" spans="1:7" x14ac:dyDescent="0.25">
      <c r="A30" s="7" t="s">
        <v>382</v>
      </c>
      <c r="B30" s="19">
        <f>G8*B29</f>
        <v>451163.56355844537</v>
      </c>
    </row>
    <row r="31" spans="1:7" x14ac:dyDescent="0.25">
      <c r="A31" s="7" t="s">
        <v>383</v>
      </c>
      <c r="B31" s="19">
        <f>B30/(1+WACC!B16)^B27</f>
        <v>289189.26194586459</v>
      </c>
    </row>
    <row r="32" spans="1:7" x14ac:dyDescent="0.25">
      <c r="A32" s="3" t="s">
        <v>384</v>
      </c>
      <c r="B32" s="19">
        <f>B26+B31</f>
        <v>378825.93323538487</v>
      </c>
    </row>
    <row r="33" spans="1:2" x14ac:dyDescent="0.25">
      <c r="A33" s="7" t="s">
        <v>385</v>
      </c>
      <c r="B33" s="11">
        <f>B31/B32</f>
        <v>0.76338295922886512</v>
      </c>
    </row>
    <row r="34" spans="1:2" x14ac:dyDescent="0.25">
      <c r="A34" s="7" t="s">
        <v>386</v>
      </c>
      <c r="B34" s="8">
        <f>(B30*WACC!B16-G19)/(B30+G19)</f>
        <v>4.1582250238452974E-2</v>
      </c>
    </row>
    <row r="35" spans="1:2" x14ac:dyDescent="0.25">
      <c r="A35" s="3" t="s">
        <v>387</v>
      </c>
    </row>
    <row r="36" spans="1:2" x14ac:dyDescent="0.25">
      <c r="A36" s="7" t="s">
        <v>388</v>
      </c>
      <c r="B36" s="19">
        <f>-Inputs!D15</f>
        <v>-187021</v>
      </c>
    </row>
    <row r="37" spans="1:2" x14ac:dyDescent="0.25">
      <c r="A37" s="7" t="s">
        <v>389</v>
      </c>
      <c r="B37" s="19">
        <f>Inputs!D16</f>
        <v>16563</v>
      </c>
    </row>
    <row r="38" spans="1:2" x14ac:dyDescent="0.25">
      <c r="A38" s="7" t="s">
        <v>390</v>
      </c>
      <c r="B38" s="19">
        <f>-IF(Inputs!D8="book",Inputs!D19,Inputs!D17/(WACC!B11-Inputs!D18))</f>
        <v>-18068.828701457329</v>
      </c>
    </row>
    <row r="39" spans="1:2" x14ac:dyDescent="0.25">
      <c r="A39" s="7" t="s">
        <v>391</v>
      </c>
      <c r="B39" s="19">
        <f>Inputs!D20-Inputs!D21</f>
        <v>1959.4499999999998</v>
      </c>
    </row>
    <row r="40" spans="1:2" x14ac:dyDescent="0.25">
      <c r="A40" s="7" t="s">
        <v>392</v>
      </c>
      <c r="B40" s="19">
        <f>B32+SUM(B36:B39)</f>
        <v>192258.55453392756</v>
      </c>
    </row>
    <row r="41" spans="1:2" x14ac:dyDescent="0.25">
      <c r="A41" s="7" t="s">
        <v>393</v>
      </c>
      <c r="B41" s="10">
        <f>B40/Inputs!D12</f>
        <v>44.763928771049692</v>
      </c>
    </row>
    <row r="42" spans="1:2" x14ac:dyDescent="0.25">
      <c r="A42" s="7" t="s">
        <v>394</v>
      </c>
      <c r="B42" s="22">
        <f>(1+WACC!B11)^(Inputs!D27/365)</f>
        <v>1.0369317867282783</v>
      </c>
    </row>
    <row r="43" spans="1:2" x14ac:dyDescent="0.25">
      <c r="A43" s="3" t="s">
        <v>395</v>
      </c>
      <c r="B43" s="35">
        <f>B41*B42</f>
        <v>46.417140641541941</v>
      </c>
    </row>
    <row r="44" spans="1:2" x14ac:dyDescent="0.25">
      <c r="A44" s="7" t="s">
        <v>396</v>
      </c>
      <c r="B44" s="11">
        <f>B43/Inputs!D11-1</f>
        <v>-0.207898623864472</v>
      </c>
    </row>
    <row r="45" spans="1:2" x14ac:dyDescent="0.25">
      <c r="A45" s="3" t="s">
        <v>397</v>
      </c>
    </row>
    <row r="46" spans="1:2" x14ac:dyDescent="0.25">
      <c r="A46" s="7" t="s">
        <v>398</v>
      </c>
      <c r="B46" s="8">
        <f>Inputs!D42</f>
        <v>4.1250000000000002E-2</v>
      </c>
    </row>
    <row r="47" spans="1:2" x14ac:dyDescent="0.25">
      <c r="A47" s="7" t="s">
        <v>399</v>
      </c>
      <c r="B47" s="8">
        <f>Inputs!D44</f>
        <v>0.14618400000000001</v>
      </c>
    </row>
    <row r="48" spans="1:2" x14ac:dyDescent="0.25">
      <c r="A48" s="7" t="s">
        <v>400</v>
      </c>
      <c r="B48" s="19">
        <f>G13*(1+B46)</f>
        <v>32951.8484707932</v>
      </c>
    </row>
    <row r="49" spans="1:7" x14ac:dyDescent="0.25">
      <c r="A49" s="7" t="s">
        <v>401</v>
      </c>
      <c r="B49" s="11">
        <f>B46/B47</f>
        <v>0.28217862419963879</v>
      </c>
    </row>
    <row r="50" spans="1:7" x14ac:dyDescent="0.25">
      <c r="A50" s="7" t="s">
        <v>402</v>
      </c>
      <c r="B50" s="19">
        <f>B48*(1-B49)</f>
        <v>23653.541204469802</v>
      </c>
    </row>
    <row r="51" spans="1:7" x14ac:dyDescent="0.25">
      <c r="A51" s="7" t="s">
        <v>403</v>
      </c>
      <c r="B51" s="19">
        <f>B50/(WACC!B16-B46)</f>
        <v>378260.46646978421</v>
      </c>
    </row>
    <row r="52" spans="1:7" x14ac:dyDescent="0.25">
      <c r="A52" s="7" t="s">
        <v>383</v>
      </c>
      <c r="B52" s="19">
        <f>B51/(1+WACC!B16)^B27</f>
        <v>242459.44033892429</v>
      </c>
    </row>
    <row r="53" spans="1:7" x14ac:dyDescent="0.25">
      <c r="A53" s="3" t="s">
        <v>404</v>
      </c>
      <c r="B53" s="19">
        <f>B26+B52</f>
        <v>332096.11162844457</v>
      </c>
    </row>
    <row r="54" spans="1:7" x14ac:dyDescent="0.25">
      <c r="A54" s="7" t="s">
        <v>405</v>
      </c>
      <c r="B54" s="19">
        <f>-Inputs!D22</f>
        <v>-18135</v>
      </c>
    </row>
    <row r="55" spans="1:7" x14ac:dyDescent="0.25">
      <c r="A55" s="7" t="s">
        <v>406</v>
      </c>
      <c r="B55" s="19">
        <f>B53+SUM(B36:B39)+B54</f>
        <v>127393.73292698726</v>
      </c>
    </row>
    <row r="56" spans="1:7" x14ac:dyDescent="0.25">
      <c r="A56" s="3" t="s">
        <v>407</v>
      </c>
      <c r="B56" s="35">
        <f>B55/Inputs!D12*B42</f>
        <v>30.756773515008913</v>
      </c>
    </row>
    <row r="57" spans="1:7" x14ac:dyDescent="0.25">
      <c r="A57" s="7" t="s">
        <v>408</v>
      </c>
      <c r="B57" s="9">
        <f>B51/G8</f>
        <v>4.9611204227047496</v>
      </c>
    </row>
    <row r="58" spans="1:7" x14ac:dyDescent="0.25">
      <c r="A58" s="3" t="s">
        <v>409</v>
      </c>
    </row>
    <row r="59" spans="1:7" x14ac:dyDescent="0.25">
      <c r="A59" s="7" t="s">
        <v>410</v>
      </c>
      <c r="B59" s="19">
        <f>G19*(1+B46)</f>
        <v>28053.497336345961</v>
      </c>
    </row>
    <row r="60" spans="1:7" x14ac:dyDescent="0.25">
      <c r="A60" s="7" t="s">
        <v>411</v>
      </c>
      <c r="B60" s="10">
        <f>(B26+B59/(WACC!B16-B46)/(1+WACC!B16)^B27+SUM(B36:B39)+B54)/Inputs!D12*B42</f>
        <v>41.645672956400304</v>
      </c>
    </row>
    <row r="61" spans="1:7" x14ac:dyDescent="0.25">
      <c r="A61" s="7" t="s">
        <v>412</v>
      </c>
      <c r="B61" s="11">
        <f>B46/((G15+G16-G10-G18)/G13)</f>
        <v>0.27749414284764323</v>
      </c>
    </row>
    <row r="62" spans="1:7" x14ac:dyDescent="0.25">
      <c r="A62" s="7" t="s">
        <v>413</v>
      </c>
      <c r="B62" s="10">
        <f>(B26+B48*(1-B46/WACC!B16)/(WACC!B16-B46)/(1+WACC!B16)^B27+SUM(B36:B39)+B54)/Inputs!D12*B42</f>
        <v>21.355258917909207</v>
      </c>
    </row>
    <row r="64" spans="1:7" x14ac:dyDescent="0.25">
      <c r="A64" s="5" t="s">
        <v>414</v>
      </c>
      <c r="B64" s="6"/>
      <c r="C64" s="6"/>
      <c r="D64" s="6"/>
      <c r="E64" s="6"/>
      <c r="F64" s="6"/>
      <c r="G64" s="6"/>
    </row>
    <row r="65" spans="1:7" ht="51" x14ac:dyDescent="0.25">
      <c r="A65" s="13" t="s">
        <v>36</v>
      </c>
      <c r="B65" s="13" t="s">
        <v>415</v>
      </c>
      <c r="C65" s="13" t="s">
        <v>416</v>
      </c>
      <c r="D65" s="13" t="s">
        <v>417</v>
      </c>
      <c r="E65" s="13"/>
      <c r="F65" s="13"/>
      <c r="G65" s="13"/>
    </row>
    <row r="66" spans="1:7" x14ac:dyDescent="0.25">
      <c r="A66" s="7" t="s">
        <v>418</v>
      </c>
      <c r="B66" s="10">
        <f>B43</f>
        <v>46.417140641541941</v>
      </c>
      <c r="C66" s="10">
        <f>B66*(1+WACC!$B$11)-Inputs!$D$28</f>
        <v>51.419652169687701</v>
      </c>
      <c r="D66" s="11">
        <f>C66/Inputs!$D$11-1+Inputs!$D$28/Inputs!$D$11</f>
        <v>-0.10461344420328154</v>
      </c>
    </row>
    <row r="67" spans="1:7" x14ac:dyDescent="0.25">
      <c r="A67" s="7" t="s">
        <v>419</v>
      </c>
      <c r="B67" s="10">
        <f>B56</f>
        <v>30.756773515008913</v>
      </c>
      <c r="C67" s="10">
        <f>B67*(1+WACC!$B$11)-Inputs!$D$28</f>
        <v>33.717268855636505</v>
      </c>
      <c r="D67" s="11">
        <f>C67/Inputs!$D$11-1+Inputs!$D$28/Inputs!$D$11</f>
        <v>-0.40670189666149315</v>
      </c>
    </row>
    <row r="68" spans="1:7" x14ac:dyDescent="0.25">
      <c r="A68" s="7" t="s">
        <v>420</v>
      </c>
      <c r="B68" s="10">
        <f>B60</f>
        <v>41.645672956400304</v>
      </c>
      <c r="C68" s="10">
        <f>B68*(1+WACC!$B$11)-Inputs!$D$28</f>
        <v>46.026014252357129</v>
      </c>
      <c r="D68" s="11">
        <f>C68/Inputs!$D$11-1+Inputs!$D$28/Inputs!$D$11</f>
        <v>-0.19665504688810365</v>
      </c>
    </row>
    <row r="69" spans="1:7" x14ac:dyDescent="0.25">
      <c r="A69" s="7" t="s">
        <v>421</v>
      </c>
      <c r="B69" s="10">
        <f>B62</f>
        <v>21.355258917909207</v>
      </c>
      <c r="C69" s="10">
        <f>B69*(1+WACC!$B$11)-Inputs!$D$28</f>
        <v>23.08985419889266</v>
      </c>
      <c r="D69" s="11">
        <f>C69/Inputs!$D$11-1+Inputs!$D$28/Inputs!$D$11</f>
        <v>-0.58805709558203656</v>
      </c>
    </row>
    <row r="71" spans="1:7" x14ac:dyDescent="0.25">
      <c r="A71" s="12" t="s">
        <v>422</v>
      </c>
    </row>
    <row r="72" spans="1:7" x14ac:dyDescent="0.25">
      <c r="A72" s="7" t="s">
        <v>423</v>
      </c>
      <c r="D72" s="10">
        <f>Inputs!D11*0.9/(1+WACC!B11)</f>
        <v>46.65630314296579</v>
      </c>
    </row>
    <row r="73" spans="1:7" x14ac:dyDescent="0.25">
      <c r="A73" s="7" t="s">
        <v>424</v>
      </c>
      <c r="D73" s="10">
        <f>Inputs!D11*1.15/(1+WACC!B11)</f>
        <v>59.616387349345182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5" x14ac:dyDescent="0.25"/>
  <cols>
    <col min="1" max="1" width="22" customWidth="1"/>
    <col min="2" max="6" width="12" customWidth="1"/>
  </cols>
  <sheetData>
    <row r="1" spans="1:6" ht="18.75" x14ac:dyDescent="0.3">
      <c r="A1" s="1" t="s">
        <v>425</v>
      </c>
    </row>
    <row r="2" spans="1:6" x14ac:dyDescent="0.25">
      <c r="A2" s="2" t="s">
        <v>426</v>
      </c>
    </row>
    <row r="4" spans="1:6" x14ac:dyDescent="0.25">
      <c r="A4" s="3" t="s">
        <v>427</v>
      </c>
    </row>
    <row r="5" spans="1:6" x14ac:dyDescent="0.25">
      <c r="A5" s="3" t="s">
        <v>428</v>
      </c>
      <c r="B5" s="36">
        <v>5</v>
      </c>
      <c r="C5" s="36">
        <v>5.5</v>
      </c>
      <c r="D5" s="37">
        <f>Inputs!D40</f>
        <v>5.9172897184825191</v>
      </c>
      <c r="E5" s="36">
        <v>6.5</v>
      </c>
      <c r="F5" s="36">
        <v>7</v>
      </c>
    </row>
    <row r="6" spans="1:6" x14ac:dyDescent="0.25">
      <c r="A6" s="38">
        <f>WACC!$B$16-0.01</f>
        <v>9.3782416948624672E-2</v>
      </c>
      <c r="B6" s="10">
        <f>(SUMPRODUCT(DCF!$C$19:$G$19*DCF!$C$20:$G$20/(1+$A6)^DCF!$C$21:$G$21)+DCF!$G$8*B$5/(1+$A6)^DCF!$B$27+SUM(DCF!$B$36:$B$39))/Inputs!$D$12*DCF!$B$42</f>
        <v>38.493583984101001</v>
      </c>
      <c r="C6" s="10">
        <f>(SUMPRODUCT(DCF!$C$19:$G$19*DCF!$C$20:$G$20/(1+$A6)^DCF!$C$21:$G$21)+DCF!$G$8*C$5/(1+$A6)^DCF!$B$27+SUM(DCF!$B$36:$B$39))/Inputs!$D$12*DCF!$B$42</f>
        <v>44.640038763758071</v>
      </c>
      <c r="D6" s="10">
        <f>(SUMPRODUCT(DCF!$C$19:$G$19*DCF!$C$20:$G$20/(1+$A6)^DCF!$C$21:$G$21)+DCF!$G$8*D$5/(1+$A6)^DCF!$B$27+SUM(DCF!$B$36:$B$39))/Inputs!$D$12*DCF!$B$42</f>
        <v>49.769743533095358</v>
      </c>
      <c r="E6" s="10">
        <f>(SUMPRODUCT(DCF!$C$19:$G$19*DCF!$C$20:$G$20/(1+$A6)^DCF!$C$21:$G$21)+DCF!$G$8*E$5/(1+$A6)^DCF!$B$27+SUM(DCF!$B$36:$B$39))/Inputs!$D$12*DCF!$B$42</f>
        <v>56.932948323072246</v>
      </c>
      <c r="F6" s="10">
        <f>(SUMPRODUCT(DCF!$C$19:$G$19*DCF!$C$20:$G$20/(1+$A6)^DCF!$C$21:$G$21)+DCF!$G$8*F$5/(1+$A6)^DCF!$B$27+SUM(DCF!$B$36:$B$39))/Inputs!$D$12*DCF!$B$42</f>
        <v>63.079403102729302</v>
      </c>
    </row>
    <row r="7" spans="1:6" x14ac:dyDescent="0.25">
      <c r="A7" s="38">
        <f>WACC!$B$16-0.005</f>
        <v>9.8782416948624663E-2</v>
      </c>
      <c r="B7" s="10">
        <f>(SUMPRODUCT(DCF!$C$19:$G$19*DCF!$C$20:$G$20/(1+$A7)^DCF!$C$21:$G$21)+DCF!$G$8*B$5/(1+$A7)^DCF!$B$27+SUM(DCF!$B$36:$B$39))/Inputs!$D$12*DCF!$B$42</f>
        <v>37.026347290549431</v>
      </c>
      <c r="C7" s="10">
        <f>(SUMPRODUCT(DCF!$C$19:$G$19*DCF!$C$20:$G$20/(1+$A7)^DCF!$C$21:$G$21)+DCF!$G$8*C$5/(1+$A7)^DCF!$B$27+SUM(DCF!$B$36:$B$39))/Inputs!$D$12*DCF!$B$42</f>
        <v>43.047825443987264</v>
      </c>
      <c r="D7" s="10">
        <f>(SUMPRODUCT(DCF!$C$19:$G$19*DCF!$C$20:$G$20/(1+$A7)^DCF!$C$21:$G$21)+DCF!$G$8*D$5/(1+$A7)^DCF!$B$27+SUM(DCF!$B$36:$B$39))/Inputs!$D$12*DCF!$B$42</f>
        <v>48.073227290980689</v>
      </c>
      <c r="E7" s="10">
        <f>(SUMPRODUCT(DCF!$C$19:$G$19*DCF!$C$20:$G$20/(1+$A7)^DCF!$C$21:$G$21)+DCF!$G$8*E$5/(1+$A7)^DCF!$B$27+SUM(DCF!$B$36:$B$39))/Inputs!$D$12*DCF!$B$42</f>
        <v>55.090781750862924</v>
      </c>
      <c r="F7" s="10">
        <f>(SUMPRODUCT(DCF!$C$19:$G$19*DCF!$C$20:$G$20/(1+$A7)^DCF!$C$21:$G$21)+DCF!$G$8*F$5/(1+$A7)^DCF!$B$27+SUM(DCF!$B$36:$B$39))/Inputs!$D$12*DCF!$B$42</f>
        <v>61.112259904300743</v>
      </c>
    </row>
    <row r="8" spans="1:6" x14ac:dyDescent="0.25">
      <c r="A8" s="38">
        <f>WACC!$B$16</f>
        <v>0.10378241694862467</v>
      </c>
      <c r="B8" s="10">
        <f>(SUMPRODUCT(DCF!$C$19:$G$19*DCF!$C$20:$G$20/(1+$A8)^DCF!$C$21:$G$21)+DCF!$G$8*B$5/(1+$A8)^DCF!$B$27+SUM(DCF!$B$36:$B$39))/Inputs!$D$12*DCF!$B$42</f>
        <v>35.593868808446587</v>
      </c>
      <c r="C8" s="10">
        <f>(SUMPRODUCT(DCF!$C$19:$G$19*DCF!$C$20:$G$20/(1+$A8)^DCF!$C$21:$G$21)+DCF!$G$8*C$5/(1+$A8)^DCF!$B$27+SUM(DCF!$B$36:$B$39))/Inputs!$D$12*DCF!$B$42</f>
        <v>41.493461715145891</v>
      </c>
      <c r="D8" s="35">
        <f>(SUMPRODUCT(DCF!$C$19:$G$19*DCF!$C$20:$G$20/(1+$A8)^DCF!$C$21:$G$21)+DCF!$G$8*D$5/(1+$A8)^DCF!$B$27+SUM(DCF!$B$36:$B$39))/Inputs!$D$12*DCF!$B$42</f>
        <v>46.417140641541941</v>
      </c>
      <c r="E8" s="10">
        <f>(SUMPRODUCT(DCF!$C$19:$G$19*DCF!$C$20:$G$20/(1+$A8)^DCF!$C$21:$G$21)+DCF!$G$8*E$5/(1+$A8)^DCF!$B$27+SUM(DCF!$B$36:$B$39))/Inputs!$D$12*DCF!$B$42</f>
        <v>53.292647528544528</v>
      </c>
      <c r="F8" s="10">
        <f>(SUMPRODUCT(DCF!$C$19:$G$19*DCF!$C$20:$G$20/(1+$A8)^DCF!$C$21:$G$21)+DCF!$G$8*F$5/(1+$A8)^DCF!$B$27+SUM(DCF!$B$36:$B$39))/Inputs!$D$12*DCF!$B$42</f>
        <v>59.192240435243839</v>
      </c>
    </row>
    <row r="9" spans="1:6" x14ac:dyDescent="0.25">
      <c r="A9" s="38">
        <f>WACC!$B$16+0.005</f>
        <v>0.10878241694862467</v>
      </c>
      <c r="B9" s="10">
        <f>(SUMPRODUCT(DCF!$C$19:$G$19*DCF!$C$20:$G$20/(1+$A9)^DCF!$C$21:$G$21)+DCF!$G$8*B$5/(1+$A9)^DCF!$B$27+SUM(DCF!$B$36:$B$39))/Inputs!$D$12*DCF!$B$42</f>
        <v>34.195159235707642</v>
      </c>
      <c r="C9" s="10">
        <f>(SUMPRODUCT(DCF!$C$19:$G$19*DCF!$C$20:$G$20/(1+$A9)^DCF!$C$21:$G$21)+DCF!$G$8*C$5/(1+$A9)^DCF!$B$27+SUM(DCF!$B$36:$B$39))/Inputs!$D$12*DCF!$B$42</f>
        <v>39.975868319856517</v>
      </c>
      <c r="D9" s="10">
        <f>(SUMPRODUCT(DCF!$C$19:$G$19*DCF!$C$20:$G$20/(1+$A9)^DCF!$C$21:$G$21)+DCF!$G$8*D$5/(1+$A9)^DCF!$B$27+SUM(DCF!$B$36:$B$39))/Inputs!$D$12*DCF!$B$42</f>
        <v>44.80032925256414</v>
      </c>
      <c r="E9" s="10">
        <f>(SUMPRODUCT(DCF!$C$19:$G$19*DCF!$C$20:$G$20/(1+$A9)^DCF!$C$21:$G$21)+DCF!$G$8*E$5/(1+$A9)^DCF!$B$27+SUM(DCF!$B$36:$B$39))/Inputs!$D$12*DCF!$B$42</f>
        <v>51.537286488154201</v>
      </c>
      <c r="F9" s="10">
        <f>(SUMPRODUCT(DCF!$C$19:$G$19*DCF!$C$20:$G$20/(1+$A9)^DCF!$C$21:$G$21)+DCF!$G$8*F$5/(1+$A9)^DCF!$B$27+SUM(DCF!$B$36:$B$39))/Inputs!$D$12*DCF!$B$42</f>
        <v>57.317995572303076</v>
      </c>
    </row>
    <row r="10" spans="1:6" x14ac:dyDescent="0.25">
      <c r="A10" s="38">
        <f>WACC!$B$16+0.01</f>
        <v>0.11378241694862466</v>
      </c>
      <c r="B10" s="10">
        <f>(SUMPRODUCT(DCF!$C$19:$G$19*DCF!$C$20:$G$20/(1+$A10)^DCF!$C$21:$G$21)+DCF!$G$8*B$5/(1+$A10)^DCF!$B$27+SUM(DCF!$B$36:$B$39))/Inputs!$D$12*DCF!$B$42</f>
        <v>32.829261887121966</v>
      </c>
      <c r="C10" s="10">
        <f>(SUMPRODUCT(DCF!$C$19:$G$19*DCF!$C$20:$G$20/(1+$A10)^DCF!$C$21:$G$21)+DCF!$G$8*C$5/(1+$A10)^DCF!$B$27+SUM(DCF!$B$36:$B$39))/Inputs!$D$12*DCF!$B$42</f>
        <v>38.494001624185373</v>
      </c>
      <c r="D10" s="10">
        <f>(SUMPRODUCT(DCF!$C$19:$G$19*DCF!$C$20:$G$20/(1+$A10)^DCF!$C$21:$G$21)+DCF!$G$8*D$5/(1+$A10)^DCF!$B$27+SUM(DCF!$B$36:$B$39))/Inputs!$D$12*DCF!$B$42</f>
        <v>43.22167692449721</v>
      </c>
      <c r="E10" s="10">
        <f>(SUMPRODUCT(DCF!$C$19:$G$19*DCF!$C$20:$G$20/(1+$A10)^DCF!$C$21:$G$21)+DCF!$G$8*E$5/(1+$A10)^DCF!$B$27+SUM(DCF!$B$36:$B$39))/Inputs!$D$12*DCF!$B$42</f>
        <v>49.823481098312151</v>
      </c>
      <c r="F10" s="10">
        <f>(SUMPRODUCT(DCF!$C$19:$G$19*DCF!$C$20:$G$20/(1+$A10)^DCF!$C$21:$G$21)+DCF!$G$8*F$5/(1+$A10)^DCF!$B$27+SUM(DCF!$B$36:$B$39))/Inputs!$D$12*DCF!$B$42</f>
        <v>55.488220835375543</v>
      </c>
    </row>
    <row r="13" spans="1:6" x14ac:dyDescent="0.25">
      <c r="A13" s="3" t="s">
        <v>429</v>
      </c>
    </row>
    <row r="14" spans="1:6" x14ac:dyDescent="0.25">
      <c r="A14" s="3" t="s">
        <v>430</v>
      </c>
      <c r="B14" s="38">
        <f>Inputs!$D$42-0.01</f>
        <v>3.125E-2</v>
      </c>
      <c r="C14" s="38">
        <f>Inputs!$D$42-0.005</f>
        <v>3.6250000000000004E-2</v>
      </c>
      <c r="D14" s="38">
        <f>Inputs!$D$42</f>
        <v>4.1250000000000002E-2</v>
      </c>
      <c r="E14" s="38">
        <f>Inputs!$D$42+0.005</f>
        <v>4.6249999999999999E-2</v>
      </c>
      <c r="F14" s="38">
        <f>Inputs!$D$42+0.01</f>
        <v>5.1250000000000004E-2</v>
      </c>
    </row>
    <row r="15" spans="1:6" x14ac:dyDescent="0.25">
      <c r="A15" s="38">
        <f>WACC!$B$16-0.01</f>
        <v>9.3782416948624672E-2</v>
      </c>
      <c r="B15" s="10">
        <f>(SUMPRODUCT(DCF!$C$19:$G$19*DCF!$C$20:$G$20/(1+$A15)^DCF!$C$21:$G$21)+DCF!$G$13*(1+B$14)*(1-B$14/Inputs!$D$44)/($A15-B$14)/(1+$A15)^DCF!$B$27+SUM(DCF!$B$36:$B$39)+DCF!$B$54)/Inputs!$D$12*DCF!$B$42</f>
        <v>38.807671913114525</v>
      </c>
      <c r="C15" s="10">
        <f>(SUMPRODUCT(DCF!$C$19:$G$19*DCF!$C$20:$G$20/(1+$A15)^DCF!$C$21:$G$21)+DCF!$G$13*(1+C$14)*(1-C$14/Inputs!$D$44)/($A15-C$14)/(1+$A15)^DCF!$B$27+SUM(DCF!$B$36:$B$39)+DCF!$B$54)/Inputs!$D$12*DCF!$B$42</f>
        <v>41.762516611708605</v>
      </c>
      <c r="D15" s="10">
        <f>(SUMPRODUCT(DCF!$C$19:$G$19*DCF!$C$20:$G$20/(1+$A15)^DCF!$C$21:$G$21)+DCF!$G$13*(1+D$14)*(1-D$14/Inputs!$D$44)/($A15-D$14)/(1+$A15)^DCF!$B$27+SUM(DCF!$B$36:$B$39)+DCF!$B$54)/Inputs!$D$12*DCF!$B$42</f>
        <v>45.246620686026333</v>
      </c>
      <c r="E15" s="10">
        <f>(SUMPRODUCT(DCF!$C$19:$G$19*DCF!$C$20:$G$20/(1+$A15)^DCF!$C$21:$G$21)+DCF!$G$13*(1+E$14)*(1-E$14/Inputs!$D$44)/($A15-E$14)/(1+$A15)^DCF!$B$27+SUM(DCF!$B$36:$B$39)+DCF!$B$54)/Inputs!$D$12*DCF!$B$42</f>
        <v>49.427004690575465</v>
      </c>
      <c r="F15" s="10">
        <f>(SUMPRODUCT(DCF!$C$19:$G$19*DCF!$C$20:$G$20/(1+$A15)^DCF!$C$21:$G$21)+DCF!$G$13*(1+F$14)*(1-F$14/Inputs!$D$44)/($A15-F$14)/(1+$A15)^DCF!$B$27+SUM(DCF!$B$36:$B$39)+DCF!$B$54)/Inputs!$D$12*DCF!$B$42</f>
        <v>54.549227182869622</v>
      </c>
    </row>
    <row r="16" spans="1:6" x14ac:dyDescent="0.25">
      <c r="A16" s="38">
        <f>WACC!$B$16-0.005</f>
        <v>9.8782416948624663E-2</v>
      </c>
      <c r="B16" s="10">
        <f>(SUMPRODUCT(DCF!$C$19:$G$19*DCF!$C$20:$G$20/(1+$A16)^DCF!$C$21:$G$21)+DCF!$G$13*(1+B$14)*(1-B$14/Inputs!$D$44)/($A16-B$14)/(1+$A16)^DCF!$B$27+SUM(DCF!$B$36:$B$39)+DCF!$B$54)/Inputs!$D$12*DCF!$B$42</f>
        <v>32.446453375457303</v>
      </c>
      <c r="C16" s="10">
        <f>(SUMPRODUCT(DCF!$C$19:$G$19*DCF!$C$20:$G$20/(1+$A16)^DCF!$C$21:$G$21)+DCF!$G$13*(1+C$14)*(1-C$14/Inputs!$D$44)/($A16-C$14)/(1+$A16)^DCF!$B$27+SUM(DCF!$B$36:$B$39)+DCF!$B$54)/Inputs!$D$12*DCF!$B$42</f>
        <v>34.72606923500669</v>
      </c>
      <c r="D16" s="10">
        <f>(SUMPRODUCT(DCF!$C$19:$G$19*DCF!$C$20:$G$20/(1+$A16)^DCF!$C$21:$G$21)+DCF!$G$13*(1+D$14)*(1-D$14/Inputs!$D$44)/($A16-D$14)/(1+$A16)^DCF!$B$27+SUM(DCF!$B$36:$B$39)+DCF!$B$54)/Inputs!$D$12*DCF!$B$42</f>
        <v>37.372199691748435</v>
      </c>
      <c r="E16" s="10">
        <f>(SUMPRODUCT(DCF!$C$19:$G$19*DCF!$C$20:$G$20/(1+$A16)^DCF!$C$21:$G$21)+DCF!$G$13*(1+E$14)*(1-E$14/Inputs!$D$44)/($A16-E$14)/(1+$A16)^DCF!$B$27+SUM(DCF!$B$36:$B$39)+DCF!$B$54)/Inputs!$D$12*DCF!$B$42</f>
        <v>40.489498581870187</v>
      </c>
      <c r="F16" s="10">
        <f>(SUMPRODUCT(DCF!$C$19:$G$19*DCF!$C$20:$G$20/(1+$A16)^DCF!$C$21:$G$21)+DCF!$G$13*(1+F$14)*(1-F$14/Inputs!$D$44)/($A16-F$14)/(1+$A16)^DCF!$B$27+SUM(DCF!$B$36:$B$39)+DCF!$B$54)/Inputs!$D$12*DCF!$B$42</f>
        <v>44.226654462664165</v>
      </c>
    </row>
    <row r="17" spans="1:6" x14ac:dyDescent="0.25">
      <c r="A17" s="38">
        <f>WACC!$B$16</f>
        <v>0.10378241694862467</v>
      </c>
      <c r="B17" s="10">
        <f>(SUMPRODUCT(DCF!$C$19:$G$19*DCF!$C$20:$G$20/(1+$A17)^DCF!$C$21:$G$21)+DCF!$G$13*(1+B$14)*(1-B$14/Inputs!$D$44)/($A17-B$14)/(1+$A17)^DCF!$B$27+SUM(DCF!$B$36:$B$39)+DCF!$B$54)/Inputs!$D$12*DCF!$B$42</f>
        <v>26.964800473908046</v>
      </c>
      <c r="C17" s="10">
        <f>(SUMPRODUCT(DCF!$C$19:$G$19*DCF!$C$20:$G$20/(1+$A17)^DCF!$C$21:$G$21)+DCF!$G$13*(1+C$14)*(1-C$14/Inputs!$D$44)/($A17-C$14)/(1+$A17)^DCF!$B$27+SUM(DCF!$B$36:$B$39)+DCF!$B$54)/Inputs!$D$12*DCF!$B$42</f>
        <v>28.732813014787098</v>
      </c>
      <c r="D17" s="35">
        <f>(SUMPRODUCT(DCF!$C$19:$G$19*DCF!$C$20:$G$20/(1+$A17)^DCF!$C$21:$G$21)+DCF!$G$13*(1+D$14)*(1-D$14/Inputs!$D$44)/($A17-D$14)/(1+$A17)^DCF!$B$27+SUM(DCF!$B$36:$B$39)+DCF!$B$54)/Inputs!$D$12*DCF!$B$42</f>
        <v>30.756773515008913</v>
      </c>
      <c r="E17" s="10">
        <f>(SUMPRODUCT(DCF!$C$19:$G$19*DCF!$C$20:$G$20/(1+$A17)^DCF!$C$21:$G$21)+DCF!$G$13*(1+E$14)*(1-E$14/Inputs!$D$44)/($A17-E$14)/(1+$A17)^DCF!$B$27+SUM(DCF!$B$36:$B$39)+DCF!$B$54)/Inputs!$D$12*DCF!$B$42</f>
        <v>33.10341338607607</v>
      </c>
      <c r="F17" s="10">
        <f>(SUMPRODUCT(DCF!$C$19:$G$19*DCF!$C$20:$G$20/(1+$A17)^DCF!$C$21:$G$21)+DCF!$G$13*(1+F$14)*(1-F$14/Inputs!$D$44)/($A17-F$14)/(1+$A17)^DCF!$B$27+SUM(DCF!$B$36:$B$39)+DCF!$B$54)/Inputs!$D$12*DCF!$B$42</f>
        <v>35.86486984237601</v>
      </c>
    </row>
    <row r="18" spans="1:6" x14ac:dyDescent="0.25">
      <c r="A18" s="38">
        <f>WACC!$B$16+0.005</f>
        <v>0.10878241694862467</v>
      </c>
      <c r="B18" s="10">
        <f>(SUMPRODUCT(DCF!$C$19:$G$19*DCF!$C$20:$G$20/(1+$A18)^DCF!$C$21:$G$21)+DCF!$G$13*(1+B$14)*(1-B$14/Inputs!$D$44)/($A18-B$14)/(1+$A18)^DCF!$B$27+SUM(DCF!$B$36:$B$39)+DCF!$B$54)/Inputs!$D$12*DCF!$B$42</f>
        <v>22.192418989221803</v>
      </c>
      <c r="C18" s="10">
        <f>(SUMPRODUCT(DCF!$C$19:$G$19*DCF!$C$20:$G$20/(1+$A18)^DCF!$C$21:$G$21)+DCF!$G$13*(1+C$14)*(1-C$14/Inputs!$D$44)/($A18-C$14)/(1+$A18)^DCF!$B$27+SUM(DCF!$B$36:$B$39)+DCF!$B$54)/Inputs!$D$12*DCF!$B$42</f>
        <v>23.566914755607584</v>
      </c>
      <c r="D18" s="10">
        <f>(SUMPRODUCT(DCF!$C$19:$G$19*DCF!$C$20:$G$20/(1+$A18)^DCF!$C$21:$G$21)+DCF!$G$13*(1+D$14)*(1-D$14/Inputs!$D$44)/($A18-D$14)/(1+$A18)^DCF!$B$27+SUM(DCF!$B$36:$B$39)+DCF!$B$54)/Inputs!$D$12*DCF!$B$42</f>
        <v>25.120637509380732</v>
      </c>
      <c r="E18" s="10">
        <f>(SUMPRODUCT(DCF!$C$19:$G$19*DCF!$C$20:$G$20/(1+$A18)^DCF!$C$21:$G$21)+DCF!$G$13*(1+E$14)*(1-E$14/Inputs!$D$44)/($A18-E$14)/(1+$A18)^DCF!$B$27+SUM(DCF!$B$36:$B$39)+DCF!$B$54)/Inputs!$D$12*DCF!$B$42</f>
        <v>26.89657942871046</v>
      </c>
      <c r="F18" s="10">
        <f>(SUMPRODUCT(DCF!$C$19:$G$19*DCF!$C$20:$G$20/(1+$A18)^DCF!$C$21:$G$21)+DCF!$G$13*(1+F$14)*(1-F$14/Inputs!$D$44)/($A18-F$14)/(1+$A18)^DCF!$B$27+SUM(DCF!$B$36:$B$39)+DCF!$B$54)/Inputs!$D$12*DCF!$B$42</f>
        <v>28.952678067069066</v>
      </c>
    </row>
    <row r="19" spans="1:6" x14ac:dyDescent="0.25">
      <c r="A19" s="38">
        <f>WACC!$B$16+0.01</f>
        <v>0.11378241694862466</v>
      </c>
      <c r="B19" s="10">
        <f>(SUMPRODUCT(DCF!$C$19:$G$19*DCF!$C$20:$G$20/(1+$A19)^DCF!$C$21:$G$21)+DCF!$G$13*(1+B$14)*(1-B$14/Inputs!$D$44)/($A19-B$14)/(1+$A19)^DCF!$B$27+SUM(DCF!$B$36:$B$39)+DCF!$B$54)/Inputs!$D$12*DCF!$B$42</f>
        <v>18.000287255359602</v>
      </c>
      <c r="C19" s="10">
        <f>(SUMPRODUCT(DCF!$C$19:$G$19*DCF!$C$20:$G$20/(1+$A19)^DCF!$C$21:$G$21)+DCF!$G$13*(1+C$14)*(1-C$14/Inputs!$D$44)/($A19-C$14)/(1+$A19)^DCF!$B$27+SUM(DCF!$B$36:$B$39)+DCF!$B$54)/Inputs!$D$12*DCF!$B$42</f>
        <v>19.068221348609214</v>
      </c>
      <c r="D19" s="10">
        <f>(SUMPRODUCT(DCF!$C$19:$G$19*DCF!$C$20:$G$20/(1+$A19)^DCF!$C$21:$G$21)+DCF!$G$13*(1+D$14)*(1-D$14/Inputs!$D$44)/($A19-D$14)/(1+$A19)^DCF!$B$27+SUM(DCF!$B$36:$B$39)+DCF!$B$54)/Inputs!$D$12*DCF!$B$42</f>
        <v>20.261215968642297</v>
      </c>
      <c r="E19" s="10">
        <f>(SUMPRODUCT(DCF!$C$19:$G$19*DCF!$C$20:$G$20/(1+$A19)^DCF!$C$21:$G$21)+DCF!$G$13*(1+E$14)*(1-E$14/Inputs!$D$44)/($A19-E$14)/(1+$A19)^DCF!$B$27+SUM(DCF!$B$36:$B$39)+DCF!$B$54)/Inputs!$D$12*DCF!$B$42</f>
        <v>21.607049003272024</v>
      </c>
      <c r="F19" s="10">
        <f>(SUMPRODUCT(DCF!$C$19:$G$19*DCF!$C$20:$G$20/(1+$A19)^DCF!$C$21:$G$21)+DCF!$G$13*(1+F$14)*(1-F$14/Inputs!$D$44)/($A19-F$14)/(1+$A19)^DCF!$B$27+SUM(DCF!$B$36:$B$39)+DCF!$B$54)/Inputs!$D$12*DCF!$B$42</f>
        <v>23.142382656373137</v>
      </c>
    </row>
    <row r="21" spans="1:6" x14ac:dyDescent="0.25">
      <c r="A21" s="12" t="s">
        <v>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3" width="20" customWidth="1"/>
    <col min="4" max="4" width="22" customWidth="1"/>
    <col min="5" max="5" width="20" customWidth="1"/>
    <col min="6" max="6" width="18" customWidth="1"/>
    <col min="7" max="7" width="70" customWidth="1"/>
  </cols>
  <sheetData>
    <row r="1" spans="1:7" ht="18.75" x14ac:dyDescent="0.3">
      <c r="A1" s="1" t="s">
        <v>432</v>
      </c>
    </row>
    <row r="2" spans="1:7" x14ac:dyDescent="0.25">
      <c r="A2" s="2" t="s">
        <v>433</v>
      </c>
    </row>
    <row r="4" spans="1:7" x14ac:dyDescent="0.25">
      <c r="A4" s="13" t="s">
        <v>168</v>
      </c>
      <c r="B4" s="13" t="s">
        <v>434</v>
      </c>
      <c r="C4" s="13" t="s">
        <v>435</v>
      </c>
      <c r="D4" s="13" t="s">
        <v>29</v>
      </c>
      <c r="E4" s="13" t="s">
        <v>436</v>
      </c>
      <c r="F4" s="13" t="s">
        <v>32</v>
      </c>
      <c r="G4" s="13" t="s">
        <v>437</v>
      </c>
    </row>
    <row r="5" spans="1:7" x14ac:dyDescent="0.25">
      <c r="A5" s="5" t="s">
        <v>438</v>
      </c>
      <c r="B5" s="6"/>
      <c r="C5" s="6"/>
      <c r="D5" s="6"/>
      <c r="E5" s="6"/>
      <c r="F5" s="6"/>
      <c r="G5" s="6"/>
    </row>
    <row r="6" spans="1:7" ht="25.5" x14ac:dyDescent="0.25">
      <c r="A6" s="7" t="s">
        <v>439</v>
      </c>
      <c r="B6" s="4" t="s">
        <v>440</v>
      </c>
      <c r="C6" s="4" t="s">
        <v>441</v>
      </c>
      <c r="D6" s="4" t="s">
        <v>442</v>
      </c>
      <c r="E6" s="4" t="s">
        <v>443</v>
      </c>
      <c r="F6" s="4"/>
      <c r="G6" s="4" t="s">
        <v>444</v>
      </c>
    </row>
    <row r="7" spans="1:7" ht="25.5" x14ac:dyDescent="0.25">
      <c r="A7" s="7" t="s">
        <v>445</v>
      </c>
      <c r="B7" s="4" t="s">
        <v>446</v>
      </c>
      <c r="C7" s="4" t="s">
        <v>447</v>
      </c>
      <c r="D7" s="4" t="s">
        <v>448</v>
      </c>
      <c r="E7" s="4" t="s">
        <v>449</v>
      </c>
      <c r="F7" s="4" t="s">
        <v>102</v>
      </c>
      <c r="G7" s="4" t="s">
        <v>450</v>
      </c>
    </row>
    <row r="8" spans="1:7" ht="25.5" x14ac:dyDescent="0.25">
      <c r="A8" s="7" t="s">
        <v>451</v>
      </c>
      <c r="B8" s="4" t="s">
        <v>452</v>
      </c>
      <c r="C8" s="4" t="s">
        <v>453</v>
      </c>
      <c r="D8" s="4" t="s">
        <v>454</v>
      </c>
      <c r="E8" s="4" t="s">
        <v>453</v>
      </c>
      <c r="F8" s="4" t="s">
        <v>69</v>
      </c>
      <c r="G8" s="4" t="s">
        <v>455</v>
      </c>
    </row>
    <row r="9" spans="1:7" ht="25.5" x14ac:dyDescent="0.25">
      <c r="A9" s="7" t="s">
        <v>456</v>
      </c>
      <c r="B9" s="4" t="s">
        <v>457</v>
      </c>
      <c r="C9" s="4" t="s">
        <v>458</v>
      </c>
      <c r="D9" s="4" t="s">
        <v>459</v>
      </c>
      <c r="E9" s="4" t="s">
        <v>458</v>
      </c>
      <c r="F9" s="4" t="s">
        <v>69</v>
      </c>
      <c r="G9" s="4" t="s">
        <v>460</v>
      </c>
    </row>
    <row r="10" spans="1:7" x14ac:dyDescent="0.25">
      <c r="A10" s="5" t="s">
        <v>461</v>
      </c>
      <c r="B10" s="6"/>
      <c r="C10" s="6"/>
      <c r="D10" s="6"/>
      <c r="E10" s="6"/>
      <c r="F10" s="6"/>
      <c r="G10" s="6"/>
    </row>
    <row r="11" spans="1:7" x14ac:dyDescent="0.25">
      <c r="A11" s="7" t="s">
        <v>336</v>
      </c>
      <c r="B11" s="20">
        <v>7.5101000000000001E-2</v>
      </c>
      <c r="C11" s="20">
        <v>7.5101187761694166E-2</v>
      </c>
      <c r="D11" s="20">
        <v>7.5101187761694194E-2</v>
      </c>
      <c r="E11" s="20">
        <v>7.5101187761694166E-2</v>
      </c>
      <c r="F11" s="4" t="s">
        <v>48</v>
      </c>
      <c r="G11" s="4" t="s">
        <v>462</v>
      </c>
    </row>
    <row r="12" spans="1:7" x14ac:dyDescent="0.25">
      <c r="A12" s="7" t="s">
        <v>463</v>
      </c>
      <c r="B12" s="20">
        <v>2.0496E-2</v>
      </c>
      <c r="C12" s="20">
        <v>2.0496339299999999E-2</v>
      </c>
      <c r="D12" s="20">
        <v>2.0496777991541398E-2</v>
      </c>
      <c r="E12" s="20">
        <v>2.0496339299999999E-2</v>
      </c>
      <c r="F12" s="4" t="s">
        <v>48</v>
      </c>
      <c r="G12" s="4" t="s">
        <v>464</v>
      </c>
    </row>
    <row r="13" spans="1:7" x14ac:dyDescent="0.25">
      <c r="A13" s="7" t="s">
        <v>101</v>
      </c>
      <c r="B13" s="17">
        <v>0.53</v>
      </c>
      <c r="C13" s="17">
        <v>0.53</v>
      </c>
      <c r="D13" s="17">
        <v>0.56000000000000005</v>
      </c>
      <c r="E13" s="17">
        <v>0.54500000000000004</v>
      </c>
      <c r="F13" s="4" t="s">
        <v>102</v>
      </c>
      <c r="G13" s="4" t="s">
        <v>465</v>
      </c>
    </row>
    <row r="14" spans="1:7" x14ac:dyDescent="0.25">
      <c r="A14" s="7" t="s">
        <v>466</v>
      </c>
      <c r="B14" s="17">
        <v>0.74309999999999998</v>
      </c>
      <c r="C14" s="17">
        <v>0.74307950311246973</v>
      </c>
      <c r="D14" s="17">
        <v>0.77421572872507427</v>
      </c>
      <c r="E14" s="17">
        <v>0.74307950311246973</v>
      </c>
      <c r="F14" s="4" t="s">
        <v>48</v>
      </c>
      <c r="G14" s="4" t="s">
        <v>467</v>
      </c>
    </row>
    <row r="15" spans="1:7" x14ac:dyDescent="0.25">
      <c r="A15" s="7" t="s">
        <v>334</v>
      </c>
      <c r="B15" s="17">
        <v>0.80600000000000005</v>
      </c>
      <c r="C15" s="17">
        <v>0.80568249565472627</v>
      </c>
      <c r="D15" s="17">
        <v>0.86349256566022914</v>
      </c>
      <c r="E15" s="17">
        <v>0.82848483043740717</v>
      </c>
      <c r="F15" s="4"/>
      <c r="G15" s="4"/>
    </row>
    <row r="16" spans="1:7" x14ac:dyDescent="0.25">
      <c r="A16" s="7" t="s">
        <v>14</v>
      </c>
      <c r="B16" s="20">
        <v>0.1294365113</v>
      </c>
      <c r="C16" s="20">
        <v>0.1294361918791927</v>
      </c>
      <c r="D16" s="20">
        <v>0.13186465351096521</v>
      </c>
      <c r="E16" s="20">
        <v>0.13039388994006529</v>
      </c>
      <c r="F16" s="4"/>
      <c r="G16" s="4"/>
    </row>
    <row r="17" spans="1:7" x14ac:dyDescent="0.25">
      <c r="A17" s="7" t="s">
        <v>13</v>
      </c>
      <c r="B17" s="20">
        <v>0.1032327567</v>
      </c>
      <c r="C17" s="20">
        <v>0.10323298815942571</v>
      </c>
      <c r="D17" s="20">
        <v>0.10398289994023389</v>
      </c>
      <c r="E17" s="20">
        <v>0.1037824169486247</v>
      </c>
      <c r="F17" s="4"/>
      <c r="G17" s="4" t="s">
        <v>468</v>
      </c>
    </row>
    <row r="18" spans="1:7" x14ac:dyDescent="0.25">
      <c r="A18" s="5" t="s">
        <v>469</v>
      </c>
      <c r="B18" s="6"/>
      <c r="C18" s="6"/>
      <c r="D18" s="6"/>
      <c r="E18" s="6"/>
      <c r="F18" s="6"/>
      <c r="G18" s="6"/>
    </row>
    <row r="19" spans="1:7" x14ac:dyDescent="0.25">
      <c r="A19" s="7" t="s">
        <v>470</v>
      </c>
      <c r="B19" s="12" t="s">
        <v>471</v>
      </c>
      <c r="C19" s="18">
        <v>504070.15464166371</v>
      </c>
      <c r="D19" s="18">
        <v>511536.38621538237</v>
      </c>
      <c r="E19" s="18">
        <v>507796.50433450239</v>
      </c>
      <c r="F19" s="4" t="s">
        <v>102</v>
      </c>
      <c r="G19" s="4"/>
    </row>
    <row r="20" spans="1:7" x14ac:dyDescent="0.25">
      <c r="A20" s="7" t="s">
        <v>472</v>
      </c>
      <c r="B20" s="12" t="s">
        <v>471</v>
      </c>
      <c r="C20" s="20">
        <v>3.3766338049877831E-2</v>
      </c>
      <c r="D20" s="20">
        <v>3.6810760245403078E-2</v>
      </c>
      <c r="E20" s="20">
        <v>3.529026649138145E-2</v>
      </c>
      <c r="F20" s="4" t="s">
        <v>102</v>
      </c>
      <c r="G20" s="4"/>
    </row>
    <row r="21" spans="1:7" x14ac:dyDescent="0.25">
      <c r="A21" s="7" t="s">
        <v>473</v>
      </c>
      <c r="B21" s="12" t="s">
        <v>471</v>
      </c>
      <c r="C21" s="20">
        <v>0.153</v>
      </c>
      <c r="D21" s="20">
        <v>0.1472973319677599</v>
      </c>
      <c r="E21" s="20">
        <v>0.15014866598387999</v>
      </c>
      <c r="F21" s="4" t="s">
        <v>102</v>
      </c>
      <c r="G21" s="4" t="s">
        <v>474</v>
      </c>
    </row>
    <row r="22" spans="1:7" x14ac:dyDescent="0.25">
      <c r="A22" s="7" t="s">
        <v>475</v>
      </c>
      <c r="B22" s="12" t="s">
        <v>471</v>
      </c>
      <c r="C22" s="20">
        <v>7.2361607028514907E-2</v>
      </c>
      <c r="D22" s="20">
        <v>6.1830873740548353E-2</v>
      </c>
      <c r="E22" s="20">
        <v>6.8789588435946597E-2</v>
      </c>
      <c r="F22" s="4" t="s">
        <v>476</v>
      </c>
      <c r="G22" s="4" t="s">
        <v>477</v>
      </c>
    </row>
    <row r="23" spans="1:7" x14ac:dyDescent="0.25">
      <c r="A23" s="7" t="s">
        <v>366</v>
      </c>
      <c r="B23" s="20">
        <v>0.34</v>
      </c>
      <c r="C23" s="20">
        <v>0.34</v>
      </c>
      <c r="D23" s="20">
        <v>0.3</v>
      </c>
      <c r="E23" s="20">
        <v>0.32</v>
      </c>
      <c r="F23" s="4" t="s">
        <v>113</v>
      </c>
      <c r="G23" s="4" t="s">
        <v>465</v>
      </c>
    </row>
    <row r="24" spans="1:7" x14ac:dyDescent="0.25">
      <c r="A24" s="7" t="s">
        <v>478</v>
      </c>
      <c r="B24" s="12" t="s">
        <v>471</v>
      </c>
      <c r="C24" s="18">
        <v>117350.411409056</v>
      </c>
      <c r="D24" s="18">
        <v>137620.96345450901</v>
      </c>
      <c r="E24" s="18">
        <v>123641.643126462</v>
      </c>
      <c r="F24" s="4"/>
      <c r="G24" s="4"/>
    </row>
    <row r="25" spans="1:7" x14ac:dyDescent="0.25">
      <c r="A25" s="5" t="s">
        <v>479</v>
      </c>
      <c r="B25" s="6"/>
      <c r="C25" s="6"/>
      <c r="D25" s="6"/>
      <c r="E25" s="6"/>
      <c r="F25" s="6"/>
      <c r="G25" s="6"/>
    </row>
    <row r="26" spans="1:7" x14ac:dyDescent="0.25">
      <c r="A26" s="7" t="s">
        <v>15</v>
      </c>
      <c r="B26" s="23">
        <v>6</v>
      </c>
      <c r="C26" s="23">
        <v>6</v>
      </c>
      <c r="D26" s="23">
        <v>6.4</v>
      </c>
      <c r="E26" s="23">
        <v>5.9172897184825191</v>
      </c>
      <c r="F26" s="4" t="s">
        <v>102</v>
      </c>
      <c r="G26" s="4" t="s">
        <v>480</v>
      </c>
    </row>
    <row r="27" spans="1:7" x14ac:dyDescent="0.25">
      <c r="A27" s="7" t="s">
        <v>481</v>
      </c>
      <c r="B27" s="20">
        <v>5.0788E-2</v>
      </c>
      <c r="C27" s="20">
        <v>4.7195238862503847E-2</v>
      </c>
      <c r="D27" s="20">
        <v>3.6618227947829651E-2</v>
      </c>
      <c r="E27" s="20">
        <v>4.158225023845296E-2</v>
      </c>
      <c r="F27" s="4"/>
      <c r="G27" s="4"/>
    </row>
    <row r="28" spans="1:7" x14ac:dyDescent="0.25">
      <c r="A28" s="7" t="s">
        <v>482</v>
      </c>
      <c r="B28" s="20">
        <v>4.2500000000000003E-2</v>
      </c>
      <c r="C28" s="20">
        <v>4.2500000000000003E-2</v>
      </c>
      <c r="D28" s="20">
        <v>0.04</v>
      </c>
      <c r="E28" s="20">
        <v>4.1250000000000002E-2</v>
      </c>
      <c r="F28" s="4" t="s">
        <v>102</v>
      </c>
      <c r="G28" s="4" t="s">
        <v>483</v>
      </c>
    </row>
    <row r="29" spans="1:7" x14ac:dyDescent="0.25">
      <c r="A29" s="7" t="s">
        <v>484</v>
      </c>
      <c r="B29" s="29">
        <v>0.14618400000000001</v>
      </c>
      <c r="C29" s="29">
        <v>0.20011851857587781</v>
      </c>
      <c r="D29" s="12" t="s">
        <v>471</v>
      </c>
      <c r="E29" s="29">
        <v>0.14618400000000001</v>
      </c>
      <c r="F29" s="4" t="s">
        <v>102</v>
      </c>
      <c r="G29" s="4" t="s">
        <v>485</v>
      </c>
    </row>
    <row r="30" spans="1:7" x14ac:dyDescent="0.25">
      <c r="A30" s="5" t="s">
        <v>486</v>
      </c>
      <c r="B30" s="6"/>
      <c r="C30" s="6"/>
      <c r="D30" s="6"/>
      <c r="E30" s="6"/>
      <c r="F30" s="6"/>
      <c r="G30" s="6"/>
    </row>
    <row r="31" spans="1:7" x14ac:dyDescent="0.25">
      <c r="A31" s="7" t="s">
        <v>56</v>
      </c>
      <c r="B31" s="12" t="s">
        <v>471</v>
      </c>
      <c r="C31" s="18">
        <v>187021</v>
      </c>
      <c r="D31" s="18">
        <v>194918.29771951871</v>
      </c>
      <c r="E31" s="18">
        <v>187021</v>
      </c>
      <c r="F31" s="4" t="s">
        <v>48</v>
      </c>
      <c r="G31" s="4" t="s">
        <v>487</v>
      </c>
    </row>
    <row r="32" spans="1:7" x14ac:dyDescent="0.25">
      <c r="A32" s="7" t="s">
        <v>488</v>
      </c>
      <c r="B32" s="12" t="s">
        <v>471</v>
      </c>
      <c r="C32" s="18">
        <v>16563</v>
      </c>
      <c r="D32" s="18">
        <v>17022.804812354101</v>
      </c>
      <c r="E32" s="18">
        <v>16563</v>
      </c>
      <c r="F32" s="4" t="s">
        <v>48</v>
      </c>
      <c r="G32" s="4"/>
    </row>
    <row r="33" spans="1:7" ht="25.5" x14ac:dyDescent="0.25">
      <c r="A33" s="7" t="s">
        <v>246</v>
      </c>
      <c r="B33" s="12" t="s">
        <v>471</v>
      </c>
      <c r="C33" s="18">
        <v>18242.854696244511</v>
      </c>
      <c r="D33" s="18">
        <v>743</v>
      </c>
      <c r="E33" s="18">
        <v>18068.828701457329</v>
      </c>
      <c r="F33" s="4" t="s">
        <v>43</v>
      </c>
      <c r="G33" s="4" t="s">
        <v>489</v>
      </c>
    </row>
    <row r="34" spans="1:7" x14ac:dyDescent="0.25">
      <c r="A34" s="7" t="s">
        <v>490</v>
      </c>
      <c r="B34" s="12" t="s">
        <v>471</v>
      </c>
      <c r="C34" s="18">
        <v>1959.45</v>
      </c>
      <c r="D34" s="18">
        <v>0</v>
      </c>
      <c r="E34" s="18">
        <v>1959.45</v>
      </c>
      <c r="F34" s="4" t="s">
        <v>69</v>
      </c>
      <c r="G34" s="4"/>
    </row>
    <row r="35" spans="1:7" x14ac:dyDescent="0.25">
      <c r="A35" s="7" t="s">
        <v>73</v>
      </c>
      <c r="B35" s="12" t="s">
        <v>471</v>
      </c>
      <c r="C35" s="18">
        <v>18135</v>
      </c>
      <c r="D35" s="18">
        <v>0</v>
      </c>
      <c r="E35" s="18">
        <v>18135</v>
      </c>
      <c r="F35" s="4" t="s">
        <v>69</v>
      </c>
      <c r="G35" s="4"/>
    </row>
    <row r="36" spans="1:7" x14ac:dyDescent="0.25">
      <c r="A36" s="7" t="s">
        <v>491</v>
      </c>
      <c r="B36" s="39">
        <v>4294.8999999999996</v>
      </c>
      <c r="C36" s="39">
        <v>4294.9437150000003</v>
      </c>
      <c r="D36" s="39">
        <v>4296.2842149999997</v>
      </c>
      <c r="E36" s="39">
        <v>4294.9437150000003</v>
      </c>
      <c r="F36" s="4" t="s">
        <v>48</v>
      </c>
      <c r="G36" s="4"/>
    </row>
    <row r="37" spans="1:7" x14ac:dyDescent="0.25">
      <c r="A37" s="5" t="s">
        <v>492</v>
      </c>
      <c r="B37" s="6"/>
      <c r="C37" s="6"/>
      <c r="D37" s="6"/>
      <c r="E37" s="6"/>
      <c r="F37" s="6"/>
      <c r="G37" s="6"/>
    </row>
    <row r="38" spans="1:7" x14ac:dyDescent="0.25">
      <c r="A38" s="7" t="s">
        <v>418</v>
      </c>
      <c r="B38" s="16">
        <v>45.715085000000002</v>
      </c>
      <c r="C38" s="16">
        <v>47.13422365481572</v>
      </c>
      <c r="D38" s="16">
        <v>54.938042707873663</v>
      </c>
      <c r="E38" s="16">
        <v>46.417140641541977</v>
      </c>
      <c r="F38" s="4"/>
      <c r="G38" s="4"/>
    </row>
    <row r="39" spans="1:7" x14ac:dyDescent="0.25">
      <c r="A39" s="7" t="s">
        <v>493</v>
      </c>
      <c r="B39" s="16">
        <v>33.551592999999997</v>
      </c>
      <c r="C39" s="16">
        <v>36.912947375172358</v>
      </c>
      <c r="D39" s="12" t="s">
        <v>471</v>
      </c>
      <c r="E39" s="16">
        <v>30.75677351500897</v>
      </c>
      <c r="F39" s="4"/>
      <c r="G39" s="4" t="s">
        <v>494</v>
      </c>
    </row>
    <row r="40" spans="1:7" x14ac:dyDescent="0.25">
      <c r="A40" s="7" t="s">
        <v>495</v>
      </c>
      <c r="B40" s="29">
        <v>-0.21987909556313989</v>
      </c>
      <c r="C40" s="29">
        <v>-0.19566171237515839</v>
      </c>
      <c r="D40" s="29">
        <v>-6.2490738773486987E-2</v>
      </c>
      <c r="E40" s="29">
        <v>-0.2078986238644713</v>
      </c>
      <c r="F40" s="4"/>
      <c r="G40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6"/>
  <sheetViews>
    <sheetView workbookViewId="0"/>
  </sheetViews>
  <sheetFormatPr defaultRowHeight="15" x14ac:dyDescent="0.25"/>
  <cols>
    <col min="1" max="1" width="95" customWidth="1"/>
    <col min="2" max="3" width="12" customWidth="1"/>
    <col min="4" max="4" width="16" customWidth="1"/>
    <col min="5" max="5" width="12" customWidth="1"/>
  </cols>
  <sheetData>
    <row r="1" spans="1:4" ht="18.75" x14ac:dyDescent="0.3">
      <c r="A1" s="1" t="s">
        <v>496</v>
      </c>
    </row>
    <row r="2" spans="1:4" x14ac:dyDescent="0.25">
      <c r="A2" s="2" t="s">
        <v>497</v>
      </c>
    </row>
    <row r="4" spans="1:4" x14ac:dyDescent="0.25">
      <c r="A4" s="3" t="s">
        <v>498</v>
      </c>
    </row>
    <row r="5" spans="1:4" x14ac:dyDescent="0.25">
      <c r="A5" s="13" t="s">
        <v>499</v>
      </c>
      <c r="B5" s="13" t="s">
        <v>327</v>
      </c>
      <c r="C5" s="13" t="s">
        <v>500</v>
      </c>
      <c r="D5" s="13" t="s">
        <v>501</v>
      </c>
    </row>
    <row r="6" spans="1:4" x14ac:dyDescent="0.25">
      <c r="A6" s="4" t="s">
        <v>502</v>
      </c>
      <c r="B6" s="16">
        <v>47.13422365481572</v>
      </c>
      <c r="D6" s="7" t="s">
        <v>503</v>
      </c>
    </row>
    <row r="7" spans="1:4" x14ac:dyDescent="0.25">
      <c r="A7" s="4" t="s">
        <v>504</v>
      </c>
      <c r="B7" s="16">
        <v>46.381989562126947</v>
      </c>
      <c r="C7" s="40">
        <v>-0.75223409268877361</v>
      </c>
      <c r="D7" s="7" t="s">
        <v>69</v>
      </c>
    </row>
    <row r="8" spans="1:4" x14ac:dyDescent="0.25">
      <c r="A8" s="4" t="s">
        <v>505</v>
      </c>
      <c r="B8" s="16">
        <v>45.76302918071017</v>
      </c>
      <c r="C8" s="40">
        <v>-0.61896038141677678</v>
      </c>
      <c r="D8" s="7" t="s">
        <v>48</v>
      </c>
    </row>
    <row r="9" spans="1:4" x14ac:dyDescent="0.25">
      <c r="A9" s="4" t="s">
        <v>506</v>
      </c>
      <c r="B9" s="16">
        <v>44.650303793768828</v>
      </c>
      <c r="C9" s="40">
        <v>-1.112725386941342</v>
      </c>
      <c r="D9" s="7" t="s">
        <v>507</v>
      </c>
    </row>
    <row r="10" spans="1:4" x14ac:dyDescent="0.25">
      <c r="A10" s="4" t="s">
        <v>508</v>
      </c>
      <c r="B10" s="16">
        <v>44.636372282434792</v>
      </c>
      <c r="C10" s="40">
        <v>-1.3931511334035919E-2</v>
      </c>
      <c r="D10" s="7" t="s">
        <v>48</v>
      </c>
    </row>
    <row r="11" spans="1:4" x14ac:dyDescent="0.25">
      <c r="A11" s="4" t="s">
        <v>509</v>
      </c>
      <c r="B11" s="16">
        <v>44.180292120615228</v>
      </c>
      <c r="C11" s="40">
        <v>-0.45608016181955691</v>
      </c>
      <c r="D11" s="7" t="s">
        <v>69</v>
      </c>
    </row>
    <row r="12" spans="1:4" x14ac:dyDescent="0.25">
      <c r="A12" s="4" t="s">
        <v>510</v>
      </c>
      <c r="B12" s="16">
        <v>48.253545616076657</v>
      </c>
      <c r="C12" s="40">
        <v>4.0732534954614286</v>
      </c>
      <c r="D12" s="7" t="s">
        <v>43</v>
      </c>
    </row>
    <row r="13" spans="1:4" x14ac:dyDescent="0.25">
      <c r="A13" s="4" t="s">
        <v>511</v>
      </c>
      <c r="B13" s="16">
        <v>48.024794194065827</v>
      </c>
      <c r="C13" s="40">
        <v>-0.22875142201083071</v>
      </c>
      <c r="D13" s="7" t="s">
        <v>512</v>
      </c>
    </row>
    <row r="14" spans="1:4" x14ac:dyDescent="0.25">
      <c r="A14" s="4" t="s">
        <v>513</v>
      </c>
      <c r="B14" s="16">
        <v>49.299074280339347</v>
      </c>
      <c r="C14" s="40">
        <v>1.2742800862735211</v>
      </c>
      <c r="D14" s="7" t="s">
        <v>102</v>
      </c>
    </row>
    <row r="15" spans="1:4" x14ac:dyDescent="0.25">
      <c r="A15" s="4" t="s">
        <v>514</v>
      </c>
      <c r="B15" s="16">
        <v>46.014117282295793</v>
      </c>
      <c r="C15" s="40">
        <v>-3.2849569980435689</v>
      </c>
      <c r="D15" s="7" t="s">
        <v>102</v>
      </c>
    </row>
    <row r="16" spans="1:4" x14ac:dyDescent="0.25">
      <c r="A16" s="4" t="s">
        <v>515</v>
      </c>
      <c r="B16" s="16">
        <v>46.1718123204381</v>
      </c>
      <c r="C16" s="40">
        <v>0.15769503814231459</v>
      </c>
      <c r="D16" s="7" t="s">
        <v>516</v>
      </c>
    </row>
    <row r="17" spans="1:5" x14ac:dyDescent="0.25">
      <c r="A17" s="4" t="s">
        <v>517</v>
      </c>
      <c r="B17" s="16">
        <v>47.386457474774367</v>
      </c>
      <c r="C17" s="40">
        <v>1.2146451543362671</v>
      </c>
      <c r="D17" s="7" t="s">
        <v>102</v>
      </c>
    </row>
    <row r="18" spans="1:5" x14ac:dyDescent="0.25">
      <c r="A18" s="4" t="s">
        <v>518</v>
      </c>
      <c r="B18" s="16">
        <v>48.628698678903604</v>
      </c>
      <c r="C18" s="40">
        <v>1.242241204129229</v>
      </c>
      <c r="D18" s="7" t="s">
        <v>69</v>
      </c>
    </row>
    <row r="19" spans="1:5" x14ac:dyDescent="0.25">
      <c r="A19" s="4" t="s">
        <v>519</v>
      </c>
      <c r="B19" s="16">
        <v>48.995603501327693</v>
      </c>
      <c r="C19" s="40">
        <v>0.36690482242408962</v>
      </c>
      <c r="D19" s="7" t="s">
        <v>102</v>
      </c>
    </row>
    <row r="20" spans="1:5" x14ac:dyDescent="0.25">
      <c r="A20" s="4" t="s">
        <v>520</v>
      </c>
      <c r="B20" s="16">
        <v>50.311640051835383</v>
      </c>
      <c r="C20" s="40">
        <v>1.316036550507697</v>
      </c>
      <c r="D20" s="7" t="s">
        <v>113</v>
      </c>
    </row>
    <row r="21" spans="1:5" x14ac:dyDescent="0.25">
      <c r="A21" s="4" t="s">
        <v>521</v>
      </c>
      <c r="B21" s="16">
        <v>54.938042707873663</v>
      </c>
      <c r="C21" s="40">
        <v>4.6264026560382803</v>
      </c>
      <c r="D21" s="7" t="s">
        <v>522</v>
      </c>
    </row>
    <row r="22" spans="1:5" x14ac:dyDescent="0.25">
      <c r="A22" s="3" t="s">
        <v>523</v>
      </c>
      <c r="B22" s="16">
        <v>54.938042707873663</v>
      </c>
      <c r="C22" s="41">
        <f>B22-B21</f>
        <v>0</v>
      </c>
      <c r="D22" s="7" t="s">
        <v>524</v>
      </c>
    </row>
    <row r="24" spans="1:5" x14ac:dyDescent="0.25">
      <c r="A24" s="3" t="s">
        <v>525</v>
      </c>
    </row>
    <row r="25" spans="1:5" x14ac:dyDescent="0.25">
      <c r="A25" s="13" t="s">
        <v>499</v>
      </c>
      <c r="B25" s="13" t="s">
        <v>526</v>
      </c>
      <c r="C25" s="13" t="s">
        <v>500</v>
      </c>
      <c r="D25" s="13" t="s">
        <v>527</v>
      </c>
      <c r="E25" s="13" t="s">
        <v>500</v>
      </c>
    </row>
    <row r="26" spans="1:5" x14ac:dyDescent="0.25">
      <c r="A26" s="4" t="s">
        <v>528</v>
      </c>
      <c r="B26" s="16">
        <v>47.13422365481572</v>
      </c>
      <c r="D26" s="16">
        <v>30.356136910554198</v>
      </c>
    </row>
    <row r="27" spans="1:5" x14ac:dyDescent="0.25">
      <c r="A27" s="4" t="s">
        <v>529</v>
      </c>
      <c r="B27" s="16">
        <v>46.876760756105107</v>
      </c>
      <c r="C27" s="40">
        <v>-0.25746289871061379</v>
      </c>
      <c r="D27" s="16">
        <v>29.095173359502208</v>
      </c>
      <c r="E27" s="40">
        <v>-1.260963551051987</v>
      </c>
    </row>
    <row r="28" spans="1:5" x14ac:dyDescent="0.25">
      <c r="A28" s="4" t="s">
        <v>530</v>
      </c>
      <c r="B28" s="16">
        <v>48.084800370787207</v>
      </c>
      <c r="C28" s="40">
        <v>1.2080396146821</v>
      </c>
      <c r="D28" s="16">
        <v>30.104701921089191</v>
      </c>
      <c r="E28" s="40">
        <v>1.0095285615869789</v>
      </c>
    </row>
    <row r="29" spans="1:5" x14ac:dyDescent="0.25">
      <c r="A29" s="4" t="s">
        <v>514</v>
      </c>
      <c r="B29" s="16">
        <v>44.754077577035673</v>
      </c>
      <c r="C29" s="40">
        <v>-3.3307227937515411</v>
      </c>
      <c r="D29" s="16">
        <v>25.92129532937269</v>
      </c>
      <c r="E29" s="40">
        <v>-4.1834065917165049</v>
      </c>
    </row>
    <row r="30" spans="1:5" x14ac:dyDescent="0.25">
      <c r="A30" s="4" t="s">
        <v>517</v>
      </c>
      <c r="B30" s="16">
        <v>45.809708173614077</v>
      </c>
      <c r="C30" s="40">
        <v>1.055630596578411</v>
      </c>
      <c r="D30" s="16">
        <v>26.9769259259511</v>
      </c>
      <c r="E30" s="40">
        <v>1.055630596578411</v>
      </c>
    </row>
    <row r="31" spans="1:5" x14ac:dyDescent="0.25">
      <c r="A31" s="4" t="s">
        <v>519</v>
      </c>
      <c r="B31" s="16">
        <v>46.182680288281411</v>
      </c>
      <c r="C31" s="40">
        <v>0.37297211466733421</v>
      </c>
      <c r="D31" s="16">
        <v>27.349898040618449</v>
      </c>
      <c r="E31" s="40">
        <v>0.37297211466734842</v>
      </c>
    </row>
    <row r="32" spans="1:5" x14ac:dyDescent="0.25">
      <c r="A32" s="4" t="s">
        <v>531</v>
      </c>
      <c r="B32" s="16">
        <v>47.630505434694683</v>
      </c>
      <c r="C32" s="40">
        <v>1.447825146413273</v>
      </c>
      <c r="D32" s="16">
        <v>32.153464128578918</v>
      </c>
      <c r="E32" s="40">
        <v>4.8035660879604798</v>
      </c>
    </row>
    <row r="33" spans="1:5" x14ac:dyDescent="0.25">
      <c r="A33" s="4" t="s">
        <v>532</v>
      </c>
      <c r="B33" s="16">
        <v>45.705477047108957</v>
      </c>
      <c r="C33" s="40">
        <v>-1.9250283875857259</v>
      </c>
      <c r="D33" s="16">
        <v>32.153464128578918</v>
      </c>
      <c r="E33" s="40">
        <v>0</v>
      </c>
    </row>
    <row r="34" spans="1:5" x14ac:dyDescent="0.25">
      <c r="A34" s="4" t="s">
        <v>533</v>
      </c>
      <c r="B34" s="16">
        <v>45.705477047108957</v>
      </c>
      <c r="C34" s="40">
        <v>0</v>
      </c>
      <c r="D34" s="16">
        <v>31.093660407756129</v>
      </c>
      <c r="E34" s="40">
        <v>-1.0598037208227991</v>
      </c>
    </row>
    <row r="36" spans="1:5" x14ac:dyDescent="0.25">
      <c r="A36" s="12" t="s">
        <v>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/>
  </sheetViews>
  <sheetFormatPr defaultRowHeight="15" x14ac:dyDescent="0.25"/>
  <cols>
    <col min="1" max="1" width="46" customWidth="1"/>
    <col min="2" max="2" width="80" customWidth="1"/>
    <col min="3" max="3" width="16" customWidth="1"/>
    <col min="4" max="4" width="22" customWidth="1"/>
  </cols>
  <sheetData>
    <row r="1" spans="1:4" ht="18.75" x14ac:dyDescent="0.3">
      <c r="A1" s="1" t="s">
        <v>535</v>
      </c>
    </row>
    <row r="2" spans="1:4" x14ac:dyDescent="0.25">
      <c r="A2" s="2" t="s">
        <v>536</v>
      </c>
    </row>
    <row r="4" spans="1:4" ht="25.5" x14ac:dyDescent="0.25">
      <c r="A4" s="13" t="s">
        <v>537</v>
      </c>
      <c r="B4" s="13" t="s">
        <v>538</v>
      </c>
      <c r="C4" s="13" t="s">
        <v>539</v>
      </c>
      <c r="D4" s="13" t="s">
        <v>540</v>
      </c>
    </row>
    <row r="5" spans="1:4" ht="25.5" x14ac:dyDescent="0.25">
      <c r="A5" s="4" t="s">
        <v>541</v>
      </c>
      <c r="B5" s="4" t="s">
        <v>542</v>
      </c>
      <c r="C5" s="40">
        <v>-3.717522687512961</v>
      </c>
      <c r="D5" s="40">
        <v>-4.5860846238214101</v>
      </c>
    </row>
    <row r="6" spans="1:4" x14ac:dyDescent="0.25">
      <c r="A6" s="4" t="s">
        <v>543</v>
      </c>
      <c r="B6" s="4" t="s">
        <v>544</v>
      </c>
      <c r="C6" s="40">
        <v>3.7175226875129468</v>
      </c>
      <c r="D6" s="40">
        <v>4.5860846238213817</v>
      </c>
    </row>
    <row r="7" spans="1:4" ht="38.25" x14ac:dyDescent="0.25">
      <c r="A7" s="4" t="s">
        <v>545</v>
      </c>
      <c r="B7" s="4" t="s">
        <v>546</v>
      </c>
      <c r="C7" s="40">
        <v>-2.0478239940352272</v>
      </c>
      <c r="D7" s="40">
        <v>-2.0478239940352272</v>
      </c>
    </row>
    <row r="8" spans="1:4" ht="25.5" x14ac:dyDescent="0.25">
      <c r="A8" s="4" t="s">
        <v>547</v>
      </c>
      <c r="B8" s="4" t="s">
        <v>548</v>
      </c>
      <c r="C8" s="40">
        <v>-1.843394763081051</v>
      </c>
      <c r="D8" s="40">
        <v>-1.5735241750864399</v>
      </c>
    </row>
    <row r="9" spans="1:4" ht="38.25" x14ac:dyDescent="0.25">
      <c r="A9" s="4" t="s">
        <v>549</v>
      </c>
      <c r="B9" s="4" t="s">
        <v>550</v>
      </c>
      <c r="C9" s="40">
        <v>-5.8995929066993256</v>
      </c>
      <c r="D9" s="40">
        <v>0</v>
      </c>
    </row>
    <row r="10" spans="1:4" x14ac:dyDescent="0.25">
      <c r="A10" s="4" t="s">
        <v>551</v>
      </c>
      <c r="B10" s="4" t="s">
        <v>552</v>
      </c>
      <c r="C10" s="40">
        <v>-1.616811388977816</v>
      </c>
      <c r="D10" s="40">
        <v>-5.6361360056281846</v>
      </c>
    </row>
    <row r="11" spans="1:4" ht="25.5" x14ac:dyDescent="0.25">
      <c r="A11" s="4" t="s">
        <v>553</v>
      </c>
      <c r="B11" s="4" t="s">
        <v>554</v>
      </c>
      <c r="C11" s="40">
        <v>-0.2414308208759095</v>
      </c>
      <c r="D11" s="40">
        <v>-0.2414308208759095</v>
      </c>
    </row>
    <row r="12" spans="1:4" ht="25.5" x14ac:dyDescent="0.25">
      <c r="A12" s="4" t="s">
        <v>555</v>
      </c>
      <c r="B12" s="4" t="s">
        <v>556</v>
      </c>
      <c r="C12" s="40">
        <v>-1.431686297280315</v>
      </c>
      <c r="D12" s="40">
        <v>-1.7737768508365159</v>
      </c>
    </row>
    <row r="13" spans="1:4" ht="25.5" x14ac:dyDescent="0.25">
      <c r="A13" s="4" t="s">
        <v>557</v>
      </c>
      <c r="B13" s="4" t="s">
        <v>558</v>
      </c>
      <c r="C13" s="40">
        <v>-4.3042728048580817E-3</v>
      </c>
      <c r="D13" s="40">
        <v>-4.3042728048580817E-3</v>
      </c>
    </row>
    <row r="15" spans="1:4" x14ac:dyDescent="0.25">
      <c r="A15" s="3" t="s">
        <v>559</v>
      </c>
    </row>
    <row r="16" spans="1:4" x14ac:dyDescent="0.25">
      <c r="A16" s="7" t="s">
        <v>560</v>
      </c>
      <c r="C16" s="41">
        <f>-1000/Inputs!D12*DCF!B42</f>
        <v>-0.24143082087590947</v>
      </c>
    </row>
    <row r="17" spans="1:1" ht="60" x14ac:dyDescent="0.25">
      <c r="A17" s="42" t="s">
        <v>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5" x14ac:dyDescent="0.25"/>
  <cols>
    <col min="1" max="1" width="52" customWidth="1"/>
    <col min="2" max="4" width="11" customWidth="1"/>
    <col min="5" max="5" width="48" customWidth="1"/>
  </cols>
  <sheetData>
    <row r="1" spans="1:5" ht="18.75" x14ac:dyDescent="0.3">
      <c r="A1" s="1" t="s">
        <v>562</v>
      </c>
    </row>
    <row r="2" spans="1:5" x14ac:dyDescent="0.25">
      <c r="A2" s="2" t="s">
        <v>563</v>
      </c>
    </row>
    <row r="4" spans="1:5" x14ac:dyDescent="0.25">
      <c r="A4" s="13" t="s">
        <v>36</v>
      </c>
      <c r="B4" s="13" t="s">
        <v>564</v>
      </c>
      <c r="C4" s="13" t="s">
        <v>565</v>
      </c>
      <c r="D4" s="13" t="s">
        <v>566</v>
      </c>
      <c r="E4" s="13" t="s">
        <v>567</v>
      </c>
    </row>
    <row r="5" spans="1:5" x14ac:dyDescent="0.25">
      <c r="A5" s="7" t="s">
        <v>568</v>
      </c>
      <c r="B5" s="16">
        <v>53.03</v>
      </c>
      <c r="D5" s="16">
        <v>68.67</v>
      </c>
      <c r="E5" s="7" t="s">
        <v>569</v>
      </c>
    </row>
    <row r="6" spans="1:5" x14ac:dyDescent="0.25">
      <c r="A6" s="7" t="s">
        <v>570</v>
      </c>
      <c r="B6" s="16">
        <v>39.975868319856538</v>
      </c>
      <c r="C6" s="16">
        <v>46.417140641541977</v>
      </c>
      <c r="D6" s="16">
        <v>55.090781750862973</v>
      </c>
      <c r="E6" s="7" t="s">
        <v>571</v>
      </c>
    </row>
    <row r="7" spans="1:5" x14ac:dyDescent="0.25">
      <c r="A7" s="7" t="s">
        <v>572</v>
      </c>
      <c r="B7" s="16">
        <v>23.566914755607609</v>
      </c>
      <c r="C7" s="16">
        <v>30.75677351500897</v>
      </c>
      <c r="D7" s="16">
        <v>40.489498581870237</v>
      </c>
      <c r="E7" s="7" t="s">
        <v>573</v>
      </c>
    </row>
    <row r="8" spans="1:5" x14ac:dyDescent="0.25">
      <c r="A8" s="7" t="s">
        <v>574</v>
      </c>
      <c r="C8" s="16">
        <v>41.645672956400382</v>
      </c>
      <c r="E8" s="7" t="s">
        <v>575</v>
      </c>
    </row>
    <row r="9" spans="1:5" x14ac:dyDescent="0.25">
      <c r="A9" s="7" t="s">
        <v>576</v>
      </c>
      <c r="B9" s="16">
        <v>33.551592999999997</v>
      </c>
      <c r="D9" s="16">
        <v>45.715085000000002</v>
      </c>
      <c r="E9" s="7" t="s">
        <v>577</v>
      </c>
    </row>
    <row r="10" spans="1:5" x14ac:dyDescent="0.25">
      <c r="A10" s="7" t="s">
        <v>578</v>
      </c>
      <c r="B10" s="16">
        <v>36.912947375172358</v>
      </c>
      <c r="D10" s="16">
        <v>47.13422365481572</v>
      </c>
      <c r="E10" s="7" t="s">
        <v>579</v>
      </c>
    </row>
    <row r="11" spans="1:5" x14ac:dyDescent="0.25">
      <c r="A11" s="7" t="s">
        <v>580</v>
      </c>
      <c r="C11" s="16">
        <v>54.938042707873663</v>
      </c>
      <c r="E11" s="7" t="s">
        <v>581</v>
      </c>
    </row>
    <row r="12" spans="1:5" x14ac:dyDescent="0.25">
      <c r="A12" s="7" t="s">
        <v>582</v>
      </c>
      <c r="B12" s="16">
        <v>35.950000000000003</v>
      </c>
      <c r="D12" s="16">
        <v>74.87</v>
      </c>
      <c r="E12" s="7" t="s">
        <v>583</v>
      </c>
    </row>
    <row r="13" spans="1:5" x14ac:dyDescent="0.25">
      <c r="A13" s="7" t="s">
        <v>584</v>
      </c>
      <c r="C13" s="16">
        <v>58.6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5"/>
  <sheetViews>
    <sheetView workbookViewId="0"/>
  </sheetViews>
  <sheetFormatPr defaultRowHeight="15" x14ac:dyDescent="0.25"/>
  <cols>
    <col min="1" max="1" width="44" customWidth="1"/>
    <col min="2" max="3" width="16" customWidth="1"/>
    <col min="4" max="4" width="14" customWidth="1"/>
    <col min="5" max="5" width="10" customWidth="1"/>
  </cols>
  <sheetData>
    <row r="1" spans="1:5" ht="18.75" x14ac:dyDescent="0.3">
      <c r="A1" s="1" t="s">
        <v>585</v>
      </c>
    </row>
    <row r="2" spans="1:5" x14ac:dyDescent="0.25">
      <c r="A2" s="2" t="s">
        <v>586</v>
      </c>
    </row>
    <row r="4" spans="1:5" x14ac:dyDescent="0.25">
      <c r="A4" s="13" t="s">
        <v>587</v>
      </c>
      <c r="B4" s="13" t="s">
        <v>588</v>
      </c>
      <c r="C4" s="13" t="s">
        <v>589</v>
      </c>
      <c r="D4" s="13" t="s">
        <v>590</v>
      </c>
      <c r="E4" s="13" t="s">
        <v>591</v>
      </c>
    </row>
    <row r="5" spans="1:5" x14ac:dyDescent="0.25">
      <c r="A5" s="7" t="s">
        <v>592</v>
      </c>
      <c r="B5" s="17">
        <v>47.13422365481572</v>
      </c>
      <c r="C5" s="17">
        <v>47.13422365481572</v>
      </c>
      <c r="D5" s="43">
        <f t="shared" ref="D5:D16" si="0">B5-C5</f>
        <v>0</v>
      </c>
      <c r="E5" s="7" t="str">
        <f>IF(ABS(D5)&lt;=0.005,"OK","CHECK")</f>
        <v>OK</v>
      </c>
    </row>
    <row r="6" spans="1:5" x14ac:dyDescent="0.25">
      <c r="A6" s="7" t="s">
        <v>593</v>
      </c>
      <c r="B6" s="17">
        <v>36.912947375172358</v>
      </c>
      <c r="C6" s="17">
        <v>36.912947375172358</v>
      </c>
      <c r="D6" s="43">
        <f t="shared" si="0"/>
        <v>0</v>
      </c>
      <c r="E6" s="7" t="str">
        <f>IF(ABS(D6)&lt;=0.005,"OK","CHECK")</f>
        <v>OK</v>
      </c>
    </row>
    <row r="7" spans="1:5" x14ac:dyDescent="0.25">
      <c r="A7" s="7" t="s">
        <v>594</v>
      </c>
      <c r="B7" s="17">
        <v>382019.06582476798</v>
      </c>
      <c r="C7" s="17">
        <v>382019.06582476798</v>
      </c>
      <c r="D7" s="43">
        <f t="shared" si="0"/>
        <v>0</v>
      </c>
      <c r="E7" s="7" t="str">
        <f>IF(ABS(D7)&lt;=1,"OK","CHECK")</f>
        <v>OK</v>
      </c>
    </row>
    <row r="8" spans="1:5" x14ac:dyDescent="0.25">
      <c r="A8" s="7" t="s">
        <v>595</v>
      </c>
      <c r="B8" s="17">
        <v>117350.411409056</v>
      </c>
      <c r="C8" s="17">
        <v>117350.411409056</v>
      </c>
      <c r="D8" s="43">
        <f t="shared" si="0"/>
        <v>0</v>
      </c>
      <c r="E8" s="7" t="str">
        <f>IF(ABS(D8)&lt;=1,"OK","CHECK")</f>
        <v>OK</v>
      </c>
    </row>
    <row r="9" spans="1:5" x14ac:dyDescent="0.25">
      <c r="A9" s="7" t="s">
        <v>596</v>
      </c>
      <c r="B9" s="17">
        <v>117350.411409056</v>
      </c>
      <c r="C9" s="17">
        <v>117350.4114090559</v>
      </c>
      <c r="D9" s="43">
        <f t="shared" si="0"/>
        <v>0</v>
      </c>
      <c r="E9" s="7" t="str">
        <f>IF(ABS(D9)&lt;=1,"OK","CHECK")</f>
        <v>OK</v>
      </c>
    </row>
    <row r="10" spans="1:5" x14ac:dyDescent="0.25">
      <c r="A10" s="7" t="s">
        <v>597</v>
      </c>
      <c r="B10" s="17">
        <v>54.938042707873663</v>
      </c>
      <c r="C10" s="17">
        <v>54.938042707873663</v>
      </c>
      <c r="D10" s="43">
        <f t="shared" si="0"/>
        <v>0</v>
      </c>
      <c r="E10" s="7" t="str">
        <f>IF(ABS(D10)&lt;=0.005,"OK","CHECK")</f>
        <v>OK</v>
      </c>
    </row>
    <row r="11" spans="1:5" x14ac:dyDescent="0.25">
      <c r="A11" s="7" t="s">
        <v>598</v>
      </c>
      <c r="B11" s="17">
        <v>414667.9385959981</v>
      </c>
      <c r="C11" s="17">
        <v>414667.9385959981</v>
      </c>
      <c r="D11" s="43">
        <f t="shared" si="0"/>
        <v>0</v>
      </c>
      <c r="E11" s="7" t="str">
        <f>IF(ABS(D11)&lt;=1,"OK","CHECK")</f>
        <v>OK</v>
      </c>
    </row>
    <row r="12" spans="1:5" x14ac:dyDescent="0.25">
      <c r="A12" s="7" t="s">
        <v>599</v>
      </c>
      <c r="B12" s="17">
        <v>137620.96345450901</v>
      </c>
      <c r="C12" s="17">
        <v>137620.96345450901</v>
      </c>
      <c r="D12" s="43">
        <f t="shared" si="0"/>
        <v>0</v>
      </c>
      <c r="E12" s="7" t="str">
        <f>IF(ABS(D12)&lt;=1,"OK","CHECK")</f>
        <v>OK</v>
      </c>
    </row>
    <row r="13" spans="1:5" x14ac:dyDescent="0.25">
      <c r="A13" s="7" t="s">
        <v>600</v>
      </c>
      <c r="B13" s="17">
        <v>0.10323298815942571</v>
      </c>
      <c r="C13" s="17">
        <v>0.10323298815942571</v>
      </c>
      <c r="D13" s="43">
        <f t="shared" si="0"/>
        <v>0</v>
      </c>
      <c r="E13" s="7" t="str">
        <f>IF(ABS(D13)&lt;=0.000001,"OK","CHECK")</f>
        <v>OK</v>
      </c>
    </row>
    <row r="14" spans="1:5" x14ac:dyDescent="0.25">
      <c r="A14" s="7" t="s">
        <v>601</v>
      </c>
      <c r="B14" s="17">
        <v>0.10398289994023389</v>
      </c>
      <c r="C14" s="17">
        <v>0.10398289994023389</v>
      </c>
      <c r="D14" s="43">
        <f t="shared" si="0"/>
        <v>0</v>
      </c>
      <c r="E14" s="7" t="str">
        <f>IF(ABS(D14)&lt;=0.000001,"OK","CHECK")</f>
        <v>OK</v>
      </c>
    </row>
    <row r="15" spans="1:5" x14ac:dyDescent="0.25">
      <c r="A15" s="7" t="s">
        <v>602</v>
      </c>
      <c r="B15" s="17">
        <v>2.0816681711721691E-17</v>
      </c>
      <c r="C15" s="17">
        <v>0</v>
      </c>
      <c r="D15" s="43">
        <f t="shared" si="0"/>
        <v>2.0816681711721691E-17</v>
      </c>
      <c r="E15" s="7" t="str">
        <f>IF(ABS(D15)&lt;=0.000001,"OK","CHECK")</f>
        <v>OK</v>
      </c>
    </row>
    <row r="16" spans="1:5" x14ac:dyDescent="0.25">
      <c r="A16" s="7" t="s">
        <v>603</v>
      </c>
      <c r="B16" s="17">
        <v>54.938042707873663</v>
      </c>
      <c r="C16" s="17">
        <v>54.938042707873663</v>
      </c>
      <c r="D16" s="43">
        <f t="shared" si="0"/>
        <v>0</v>
      </c>
      <c r="E16" s="7" t="str">
        <f>IF(ABS(D16)&lt;=0.000001,"OK","CHECK")</f>
        <v>OK</v>
      </c>
    </row>
    <row r="18" spans="1:5" x14ac:dyDescent="0.25">
      <c r="A18" s="7" t="s">
        <v>604</v>
      </c>
      <c r="B18" s="22">
        <f>WACC!B16</f>
        <v>0.10378241694862467</v>
      </c>
      <c r="C18" s="17">
        <v>0.1037824169486247</v>
      </c>
      <c r="D18" s="43">
        <f t="shared" ref="D18:D33" si="1">B18-C18</f>
        <v>0</v>
      </c>
      <c r="E18" s="7" t="str">
        <f>IF(ABS(D18)&lt;=0.000000001,"OK","CHECK")</f>
        <v>OK</v>
      </c>
    </row>
    <row r="19" spans="1:5" x14ac:dyDescent="0.25">
      <c r="A19" s="7" t="s">
        <v>605</v>
      </c>
      <c r="B19" s="22">
        <f>DCF!B43</f>
        <v>46.417140641541941</v>
      </c>
      <c r="C19" s="17">
        <v>46.417140641541977</v>
      </c>
      <c r="D19" s="43">
        <f t="shared" si="1"/>
        <v>0</v>
      </c>
      <c r="E19" s="7" t="str">
        <f t="shared" ref="E19:E24" si="2">IF(ABS(D19)&lt;=0.005,"OK","CHECK")</f>
        <v>OK</v>
      </c>
    </row>
    <row r="20" spans="1:5" x14ac:dyDescent="0.25">
      <c r="A20" s="7" t="s">
        <v>606</v>
      </c>
      <c r="B20" s="22">
        <f>DCF!B56</f>
        <v>30.756773515008913</v>
      </c>
      <c r="C20" s="17">
        <v>30.75677351500897</v>
      </c>
      <c r="D20" s="43">
        <f t="shared" si="1"/>
        <v>-5.6843418860808015E-14</v>
      </c>
      <c r="E20" s="7" t="str">
        <f t="shared" si="2"/>
        <v>OK</v>
      </c>
    </row>
    <row r="21" spans="1:5" x14ac:dyDescent="0.25">
      <c r="A21" s="7" t="s">
        <v>607</v>
      </c>
      <c r="B21" s="22">
        <f>DCF!B60</f>
        <v>41.645672956400304</v>
      </c>
      <c r="C21" s="17">
        <v>41.645672956400382</v>
      </c>
      <c r="D21" s="43">
        <f t="shared" si="1"/>
        <v>-7.815970093361102E-14</v>
      </c>
      <c r="E21" s="7" t="str">
        <f t="shared" si="2"/>
        <v>OK</v>
      </c>
    </row>
    <row r="22" spans="1:5" x14ac:dyDescent="0.25">
      <c r="A22" s="7" t="s">
        <v>608</v>
      </c>
      <c r="B22" s="22">
        <f>DCF!B62</f>
        <v>21.355258917909207</v>
      </c>
      <c r="C22" s="17">
        <v>21.355258917909239</v>
      </c>
      <c r="D22" s="43">
        <f t="shared" si="1"/>
        <v>-3.1974423109204508E-14</v>
      </c>
      <c r="E22" s="7" t="str">
        <f t="shared" si="2"/>
        <v>OK</v>
      </c>
    </row>
    <row r="23" spans="1:5" x14ac:dyDescent="0.25">
      <c r="A23" s="7" t="s">
        <v>609</v>
      </c>
      <c r="B23" s="22">
        <f>Sensitivity!D8</f>
        <v>46.417140641541941</v>
      </c>
      <c r="C23" s="22">
        <f>DCF!B43</f>
        <v>46.417140641541941</v>
      </c>
      <c r="D23" s="43">
        <f t="shared" si="1"/>
        <v>0</v>
      </c>
      <c r="E23" s="7" t="str">
        <f t="shared" si="2"/>
        <v>OK</v>
      </c>
    </row>
    <row r="24" spans="1:5" x14ac:dyDescent="0.25">
      <c r="A24" s="7" t="s">
        <v>610</v>
      </c>
      <c r="B24" s="22">
        <f>Sensitivity!D17</f>
        <v>30.756773515008913</v>
      </c>
      <c r="C24" s="22">
        <f>DCF!B56</f>
        <v>30.756773515008913</v>
      </c>
      <c r="D24" s="43">
        <f t="shared" si="1"/>
        <v>0</v>
      </c>
      <c r="E24" s="7" t="str">
        <f t="shared" si="2"/>
        <v>OK</v>
      </c>
    </row>
    <row r="25" spans="1:5" x14ac:dyDescent="0.25">
      <c r="A25" s="7" t="s">
        <v>611</v>
      </c>
      <c r="B25" s="22">
        <f>DCF!G5</f>
        <v>507796.50433450239</v>
      </c>
      <c r="C25" s="17">
        <v>507796.50433450239</v>
      </c>
      <c r="D25" s="43">
        <f t="shared" si="1"/>
        <v>0</v>
      </c>
      <c r="E25" s="7" t="str">
        <f>IF(ABS(D25)&lt;=0.01,"OK","CHECK")</f>
        <v>OK</v>
      </c>
    </row>
    <row r="26" spans="1:5" x14ac:dyDescent="0.25">
      <c r="A26" s="7" t="s">
        <v>612</v>
      </c>
      <c r="B26" s="22">
        <f>SUM(DCF!C19:G19)</f>
        <v>123641.64312646195</v>
      </c>
      <c r="C26" s="17">
        <v>123641.643126462</v>
      </c>
      <c r="D26" s="43">
        <f t="shared" si="1"/>
        <v>0</v>
      </c>
      <c r="E26" s="7" t="str">
        <f>IF(ABS(D26)&lt;=0.01,"OK","CHECK")</f>
        <v>OK</v>
      </c>
    </row>
    <row r="27" spans="1:5" x14ac:dyDescent="0.25">
      <c r="A27" s="7" t="s">
        <v>613</v>
      </c>
      <c r="B27" s="22">
        <f>SUMPRODUCT(ABS(IS!B17:F17))</f>
        <v>0</v>
      </c>
      <c r="C27" s="17">
        <v>0</v>
      </c>
      <c r="D27" s="43">
        <f t="shared" si="1"/>
        <v>0</v>
      </c>
      <c r="E27" s="7" t="str">
        <f t="shared" ref="E27:E33" si="3">IF(ABS(D27)&lt;=0.5,"OK","CHECK")</f>
        <v>OK</v>
      </c>
    </row>
    <row r="28" spans="1:5" x14ac:dyDescent="0.25">
      <c r="A28" s="7" t="s">
        <v>614</v>
      </c>
      <c r="B28" s="22">
        <f>SUMPRODUCT(ABS(BS!B15:F15))</f>
        <v>0</v>
      </c>
      <c r="C28" s="17">
        <v>0</v>
      </c>
      <c r="D28" s="43">
        <f t="shared" si="1"/>
        <v>0</v>
      </c>
      <c r="E28" s="7" t="str">
        <f t="shared" si="3"/>
        <v>OK</v>
      </c>
    </row>
    <row r="29" spans="1:5" x14ac:dyDescent="0.25">
      <c r="A29" s="7" t="s">
        <v>615</v>
      </c>
      <c r="B29" s="22">
        <f>SUMPRODUCT(ABS(BS!B28:F28))</f>
        <v>0</v>
      </c>
      <c r="C29" s="17">
        <v>0</v>
      </c>
      <c r="D29" s="43">
        <f t="shared" si="1"/>
        <v>0</v>
      </c>
      <c r="E29" s="7" t="str">
        <f t="shared" si="3"/>
        <v>OK</v>
      </c>
    </row>
    <row r="30" spans="1:5" x14ac:dyDescent="0.25">
      <c r="A30" s="7" t="s">
        <v>616</v>
      </c>
      <c r="B30" s="22">
        <f>SUMPRODUCT(ABS(History!B45:F45))</f>
        <v>0</v>
      </c>
      <c r="C30" s="17">
        <v>0</v>
      </c>
      <c r="D30" s="43">
        <f t="shared" si="1"/>
        <v>0</v>
      </c>
      <c r="E30" s="7" t="str">
        <f t="shared" si="3"/>
        <v>OK</v>
      </c>
    </row>
    <row r="31" spans="1:5" x14ac:dyDescent="0.25">
      <c r="A31" s="7" t="s">
        <v>617</v>
      </c>
      <c r="B31" s="22">
        <f>SUMPRODUCT(ABS(History!B64:F64))</f>
        <v>0</v>
      </c>
      <c r="C31" s="17">
        <v>0</v>
      </c>
      <c r="D31" s="43">
        <f t="shared" si="1"/>
        <v>0</v>
      </c>
      <c r="E31" s="7" t="str">
        <f t="shared" si="3"/>
        <v>OK</v>
      </c>
    </row>
    <row r="32" spans="1:5" x14ac:dyDescent="0.25">
      <c r="A32" s="7" t="s">
        <v>618</v>
      </c>
      <c r="B32" s="22">
        <f>DCF!B5</f>
        <v>426952</v>
      </c>
      <c r="C32" s="22">
        <f>IS!F5</f>
        <v>426952</v>
      </c>
      <c r="D32" s="43">
        <f t="shared" si="1"/>
        <v>0</v>
      </c>
      <c r="E32" s="7" t="str">
        <f t="shared" si="3"/>
        <v>OK</v>
      </c>
    </row>
    <row r="33" spans="1:5" x14ac:dyDescent="0.25">
      <c r="A33" s="7" t="s">
        <v>619</v>
      </c>
      <c r="B33" s="22">
        <f>DCF!B8</f>
        <v>59456</v>
      </c>
      <c r="C33" s="22">
        <f>IS!F24</f>
        <v>59456</v>
      </c>
      <c r="D33" s="43">
        <f t="shared" si="1"/>
        <v>0</v>
      </c>
      <c r="E33" s="7" t="str">
        <f t="shared" si="3"/>
        <v>OK</v>
      </c>
    </row>
    <row r="35" spans="1:5" x14ac:dyDescent="0.25">
      <c r="A35" s="3" t="s">
        <v>23</v>
      </c>
      <c r="E35" s="7" t="str">
        <f>IF(COUNTIF(E5:E33,"CHECK")=0,"OK","CHECK")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Inputs</vt:lpstr>
      <vt:lpstr>IS</vt:lpstr>
      <vt:lpstr>BS</vt:lpstr>
      <vt:lpstr>CF</vt:lpstr>
      <vt:lpstr>History</vt:lpstr>
      <vt:lpstr>WACC</vt:lpstr>
      <vt:lpstr>DCF</vt:lpstr>
      <vt:lpstr>Sensitivity</vt:lpstr>
      <vt:lpstr>Compare</vt:lpstr>
      <vt:lpstr>Walks</vt:lpstr>
      <vt:lpstr>Risk_ESG</vt:lpstr>
      <vt:lpstr>Football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2026-10-20T01:12:07Z</dcterms:created>
  <dcterms:modified xsi:type="dcterms:W3CDTF">2026-10-20T01:12:09Z</dcterms:modified>
</cp:coreProperties>
</file>