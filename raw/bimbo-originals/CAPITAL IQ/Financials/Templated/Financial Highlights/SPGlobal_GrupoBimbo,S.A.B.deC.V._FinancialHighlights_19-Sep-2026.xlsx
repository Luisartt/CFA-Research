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2" documentId="11_9262AAD17823D90550960E482CBBC92901C964A5" xr6:coauthVersionLast="47" xr6:coauthVersionMax="47" xr10:uidLastSave="{EFB168CC-B6B4-4C92-B1CA-FA536323C3A4}"/>
  <bookViews>
    <workbookView xWindow="240" yWindow="120" windowWidth="18060" windowHeight="7050" xr2:uid="{00000000-000D-0000-FFFF-FFFF00000000}"/>
  </bookViews>
  <sheets>
    <sheet name="Financial Highligh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<sst xmlns="http://schemas.openxmlformats.org/spreadsheetml/2006/main" count="1232" uniqueCount="196">
  <si>
    <t>Grupo Bimbo, S.A.B. de C.V. | Financial Highlights</t>
  </si>
  <si>
    <t>BMV:BIMBO A (MI KEY: 4276592; SPCIQ KEY: 877906)</t>
  </si>
  <si>
    <t>Source: Recommended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</si>
  <si>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</si>
  <si>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</si>
  <si>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</si>
  <si>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</si>
  <si>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</si>
  <si>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</si>
  <si>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FQ11995</t>
  </si>
  <si>
    <t>FQ21995</t>
  </si>
  <si>
    <t>FQ31995</t>
  </si>
  <si>
    <t>FQ41995</t>
  </si>
  <si>
    <t>FQ11996</t>
  </si>
  <si>
    <t>FQ21996</t>
  </si>
  <si>
    <t>FQ31996</t>
  </si>
  <si>
    <t>FQ41996</t>
  </si>
  <si>
    <t>FQ11997</t>
  </si>
  <si>
    <t>FQ21997</t>
  </si>
  <si>
    <t>FQ31997</t>
  </si>
  <si>
    <t>FQ41997</t>
  </si>
  <si>
    <t>FQ31999</t>
  </si>
  <si>
    <t>FQ41999</t>
  </si>
  <si>
    <t>FQ12000</t>
  </si>
  <si>
    <t>FQ22000</t>
  </si>
  <si>
    <t>FQ32000</t>
  </si>
  <si>
    <t>FQ42000</t>
  </si>
  <si>
    <t>FQ12001</t>
  </si>
  <si>
    <t>FQ22001</t>
  </si>
  <si>
    <t>FQ32001</t>
  </si>
  <si>
    <t>FQ42001</t>
  </si>
  <si>
    <t>FQ12002</t>
  </si>
  <si>
    <t>FQ22002</t>
  </si>
  <si>
    <t>FQ32002</t>
  </si>
  <si>
    <t>FQ42002</t>
  </si>
  <si>
    <t>FQ12003</t>
  </si>
  <si>
    <t>FQ22003</t>
  </si>
  <si>
    <t>FQ32003</t>
  </si>
  <si>
    <t>FQ42003</t>
  </si>
  <si>
    <t>FQ12004</t>
  </si>
  <si>
    <t>FQ22004</t>
  </si>
  <si>
    <t>FQ32004</t>
  </si>
  <si>
    <t>FQ42004</t>
  </si>
  <si>
    <t>FQ12005</t>
  </si>
  <si>
    <t>FQ22005</t>
  </si>
  <si>
    <t>FQ32005</t>
  </si>
  <si>
    <t>FQ42005</t>
  </si>
  <si>
    <t>FQ12006</t>
  </si>
  <si>
    <t>FQ22006</t>
  </si>
  <si>
    <t>FQ32006</t>
  </si>
  <si>
    <t>FQ42006</t>
  </si>
  <si>
    <t>FQ12007</t>
  </si>
  <si>
    <t>FQ22007</t>
  </si>
  <si>
    <t>FQ32007</t>
  </si>
  <si>
    <t>FQ42007</t>
  </si>
  <si>
    <t>FQ12008</t>
  </si>
  <si>
    <t>FQ22008</t>
  </si>
  <si>
    <t>FQ32008</t>
  </si>
  <si>
    <t>FQ42008</t>
  </si>
  <si>
    <t>FQ12009</t>
  </si>
  <si>
    <t>FQ22009</t>
  </si>
  <si>
    <t>FQ32009</t>
  </si>
  <si>
    <t>FQ42009</t>
  </si>
  <si>
    <t>FQ12010</t>
  </si>
  <si>
    <t>FQ22010</t>
  </si>
  <si>
    <t>FQ32010</t>
  </si>
  <si>
    <t>FQ42010</t>
  </si>
  <si>
    <t>FQ12011</t>
  </si>
  <si>
    <t>FQ22011</t>
  </si>
  <si>
    <t>FQ32011</t>
  </si>
  <si>
    <t>FQ42011</t>
  </si>
  <si>
    <t>FQ12012</t>
  </si>
  <si>
    <t>FQ22012</t>
  </si>
  <si>
    <t>FQ32012</t>
  </si>
  <si>
    <t>FQ42012</t>
  </si>
  <si>
    <t>FQ12013</t>
  </si>
  <si>
    <t>FQ22013</t>
  </si>
  <si>
    <t>FQ32013</t>
  </si>
  <si>
    <t>FQ42013</t>
  </si>
  <si>
    <t>FQ12014</t>
  </si>
  <si>
    <t>FQ22014</t>
  </si>
  <si>
    <t>FQ32014</t>
  </si>
  <si>
    <t>FQ42014</t>
  </si>
  <si>
    <t>FQ12015</t>
  </si>
  <si>
    <t>FQ22015</t>
  </si>
  <si>
    <t>FQ32015</t>
  </si>
  <si>
    <t>FQ42015</t>
  </si>
  <si>
    <t>FQ12016</t>
  </si>
  <si>
    <t>FQ22016</t>
  </si>
  <si>
    <t>FQ32016</t>
  </si>
  <si>
    <t>FQ42016</t>
  </si>
  <si>
    <t>FQ12017</t>
  </si>
  <si>
    <t>FQ22017</t>
  </si>
  <si>
    <t>FQ32017</t>
  </si>
  <si>
    <t>FQ42017</t>
  </si>
  <si>
    <t>FQ12018</t>
  </si>
  <si>
    <t>FQ22018</t>
  </si>
  <si>
    <t>FQ32018</t>
  </si>
  <si>
    <t>FQ42018</t>
  </si>
  <si>
    <t>FQ12019</t>
  </si>
  <si>
    <t>FQ22019</t>
  </si>
  <si>
    <t>FQ32019</t>
  </si>
  <si>
    <t>FQ42019</t>
  </si>
  <si>
    <t>FQ12020</t>
  </si>
  <si>
    <t>FQ22020</t>
  </si>
  <si>
    <t>FQ32020</t>
  </si>
  <si>
    <t>FQ42020</t>
  </si>
  <si>
    <t>FQ12021</t>
  </si>
  <si>
    <t>FQ22021</t>
  </si>
  <si>
    <t>FQ32021</t>
  </si>
  <si>
    <t>FQ42021</t>
  </si>
  <si>
    <t>FQ12022</t>
  </si>
  <si>
    <t>FQ22022</t>
  </si>
  <si>
    <t>FQ32022</t>
  </si>
  <si>
    <t>FQ42022</t>
  </si>
  <si>
    <t>FQ12023</t>
  </si>
  <si>
    <t>FQ22023</t>
  </si>
  <si>
    <t>FQ32023</t>
  </si>
  <si>
    <t>FQ42023</t>
  </si>
  <si>
    <t>FQ12024</t>
  </si>
  <si>
    <t>FQ22024</t>
  </si>
  <si>
    <t>FQ32024</t>
  </si>
  <si>
    <t>FQ42024</t>
  </si>
  <si>
    <t>FQ12025</t>
  </si>
  <si>
    <t>FQ22025</t>
  </si>
  <si>
    <t>FQ32025</t>
  </si>
  <si>
    <t>FQ42025</t>
  </si>
  <si>
    <t>FQ12026</t>
  </si>
  <si>
    <t>FQ22026</t>
  </si>
  <si>
    <t>Current/Restated</t>
  </si>
  <si>
    <t>Period Ended</t>
  </si>
  <si>
    <t>Financial Filing Date</t>
  </si>
  <si>
    <t>Reported Currency Code</t>
  </si>
  <si>
    <t>MXN</t>
  </si>
  <si>
    <t xml:space="preserve"> </t>
  </si>
  <si>
    <t>Balance Sheet (Mex$000)</t>
  </si>
  <si>
    <t>Cash &amp; Short-term Investments</t>
  </si>
  <si>
    <t>NA</t>
  </si>
  <si>
    <t>Net Property, Plant &amp; Equipment</t>
  </si>
  <si>
    <t>Total Assets</t>
  </si>
  <si>
    <t>Net Debt</t>
  </si>
  <si>
    <t>Total Debt</t>
  </si>
  <si>
    <t>Total Common Equity</t>
  </si>
  <si>
    <t>Total Minority Interest</t>
  </si>
  <si>
    <t>Total Equity</t>
  </si>
  <si>
    <t>Current Ratio (x)</t>
  </si>
  <si>
    <t>Quick Ratio (x)</t>
  </si>
  <si>
    <t>Total Debt/Equity (%)</t>
  </si>
  <si>
    <t>Total Debt / Total Capital (%)</t>
  </si>
  <si>
    <t>Total Debt / EBITDA (x)</t>
  </si>
  <si>
    <t>NM</t>
  </si>
  <si>
    <t>Income Statement (Mex$000)</t>
  </si>
  <si>
    <t>Total Revenue</t>
  </si>
  <si>
    <t>Gross Profit</t>
  </si>
  <si>
    <t>Earnings from Cont. Ops.</t>
  </si>
  <si>
    <t>Net Income</t>
  </si>
  <si>
    <t>EBITDA</t>
  </si>
  <si>
    <t>EBIT</t>
  </si>
  <si>
    <t>EBITDA / Interest Expense (x)</t>
  </si>
  <si>
    <t>EBIT / Interest Expense (x)</t>
  </si>
  <si>
    <t>Avg. Days Sales Out.</t>
  </si>
  <si>
    <t>Avg. Days Inventory Out.</t>
  </si>
  <si>
    <t>Accounts Receivable Turnover (x)</t>
  </si>
  <si>
    <t>Inventory Turnover (x)</t>
  </si>
  <si>
    <t>Fixed Asset Turnover (x)</t>
  </si>
  <si>
    <t>Total Asset Turnover (x)</t>
  </si>
  <si>
    <t>Cash Flow (Mex$000)</t>
  </si>
  <si>
    <t>Cash from Ops.</t>
  </si>
  <si>
    <t>Cash from Investing</t>
  </si>
  <si>
    <t>Cash from Financing</t>
  </si>
  <si>
    <t>Foreign Exchange Rate Adj.</t>
  </si>
  <si>
    <t>Misc. Cash Flow Adj.</t>
  </si>
  <si>
    <t>Net Change in Cash</t>
  </si>
  <si>
    <t>Capital Expenditure</t>
  </si>
  <si>
    <t>Change in Net Working Capital</t>
  </si>
  <si>
    <t>Unlevered Free Cash Flow</t>
  </si>
  <si>
    <t>Levered Free Cash Flow</t>
  </si>
  <si>
    <t>Cash from Ops. to Curr. Liab. (x)</t>
  </si>
  <si>
    <t>Profitability (%)</t>
  </si>
  <si>
    <t>Return on Assets</t>
  </si>
  <si>
    <t>Return on Capital</t>
  </si>
  <si>
    <t>Return on Equity</t>
  </si>
  <si>
    <t>Return on Common Equity</t>
  </si>
  <si>
    <t>Gross Profit Margin</t>
  </si>
  <si>
    <t>Net Income Margin</t>
  </si>
  <si>
    <t>Earnings from Cont Ops Margin</t>
  </si>
  <si>
    <t>EBITDA Margin</t>
  </si>
  <si>
    <t>EBIT Margin</t>
  </si>
  <si>
    <t>Per Share Information (Mex$)</t>
  </si>
  <si>
    <t>Dividends per Share</t>
  </si>
  <si>
    <t>Basic EPS Excl. Extra Items</t>
  </si>
  <si>
    <t>Basic EPS</t>
  </si>
  <si>
    <t>Diluted EPS Excl. Extra Items</t>
  </si>
  <si>
    <t>Diluted EPS Incl. Extra Items</t>
  </si>
  <si>
    <t>Weighted Avg. Basic Shares Out. (actual)</t>
  </si>
  <si>
    <t>Weighted Avg. Diluted Shares Out.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</si>
</sst>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#,##0.00;[Red]\(#,##0.00\)"/>
    <numFmt numFmtId="166" formatCode="#,##0.0;[Red]\(#,##0.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8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4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84"/>
  <sheetViews>
    <sheetView tabSelected="1" topLeftCell="A8" workbookViewId="0">
      <selection activeCell="C25" sqref="C25"/>
    </sheetView>
  </sheetViews>
  <sheetFormatPr defaultRowHeight="15"/>
  <cols>
    <col min="1" max="1" width="48.5703125" customWidth="1"/>
    <col min="2" max="2" width="16.140625" customWidth="1"/>
    <col min="3" max="122" width="28.42578125" customWidth="1"/>
  </cols>
  <sheetData>
    <row r="1" spans="1:122" ht="39.950000000000003" customHeight="1">
      <c r="A1" s="3"/>
      <c r="B1" s="3"/>
      <c r="C1" s="3"/>
      <c r="D1" s="3"/>
    </row>
    <row r="2" spans="1:122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>
      <c r="A3" s="4" t="s">
        <v>1</v>
      </c>
    </row>
    <row r="5" spans="1:122">
      <c r="A5" s="4" t="s">
        <v>2</v>
      </c>
      <c r="B5" s="5"/>
    </row>
    <row r="6" spans="1:122">
      <c r="A6" s="4" t="s">
        <v>3</v>
      </c>
      <c r="B6" s="5"/>
    </row>
    <row r="7" spans="1:122">
      <c r="A7" s="4" t="s">
        <v>4</v>
      </c>
      <c r="B7" s="5"/>
    </row>
    <row r="8" spans="1:122">
      <c r="A8" s="4" t="s">
        <v>5</v>
      </c>
      <c r="B8" s="5"/>
    </row>
    <row r="9" spans="1:122">
      <c r="A9" s="4" t="s">
        <v>6</v>
      </c>
      <c r="B9" s="5"/>
    </row>
    <row r="10" spans="1:122">
      <c r="A10" s="4" t="s">
        <v>7</v>
      </c>
      <c r="B10" s="5"/>
    </row>
    <row r="11" spans="1:122">
      <c r="A11" s="4" t="s">
        <v>8</v>
      </c>
      <c r="B11" s="5"/>
    </row>
    <row r="12" spans="1:1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</row>
    <row r="13" spans="1:122">
      <c r="A13" s="6" t="e">
        <f ca="1">SPGTable($C$14:$DR$14,$B$17:$B$83,$C$15:$DR$15,"NA","Options:Curr=Reported currency, ConvMethod=MIrecommended")</f>
        <v>#NAME?</v>
      </c>
    </row>
    <row r="14" spans="1:122">
      <c r="A14" s="4"/>
      <c r="B14" s="4"/>
      <c r="C14" s="7">
        <v>4276592</v>
      </c>
      <c r="D14" s="7">
        <v>4276592</v>
      </c>
      <c r="E14" s="7">
        <v>4276592</v>
      </c>
      <c r="F14" s="7">
        <v>4276592</v>
      </c>
      <c r="G14" s="7">
        <v>4276592</v>
      </c>
      <c r="H14" s="7">
        <v>4276592</v>
      </c>
      <c r="I14" s="7">
        <v>4276592</v>
      </c>
      <c r="J14" s="7">
        <v>4276592</v>
      </c>
      <c r="K14" s="7">
        <v>4276592</v>
      </c>
      <c r="L14" s="7">
        <v>4276592</v>
      </c>
      <c r="M14" s="7">
        <v>4276592</v>
      </c>
      <c r="N14" s="7">
        <v>4276592</v>
      </c>
      <c r="O14" s="7">
        <v>4276592</v>
      </c>
      <c r="P14" s="7">
        <v>4276592</v>
      </c>
      <c r="Q14" s="7">
        <v>4276592</v>
      </c>
      <c r="R14" s="7">
        <v>4276592</v>
      </c>
      <c r="S14" s="7">
        <v>4276592</v>
      </c>
      <c r="T14" s="7">
        <v>4276592</v>
      </c>
      <c r="U14" s="7">
        <v>4276592</v>
      </c>
      <c r="V14" s="7">
        <v>4276592</v>
      </c>
      <c r="W14" s="7">
        <v>4276592</v>
      </c>
      <c r="X14" s="7">
        <v>4276592</v>
      </c>
      <c r="Y14" s="7">
        <v>4276592</v>
      </c>
      <c r="Z14" s="7">
        <v>4276592</v>
      </c>
      <c r="AA14" s="7">
        <v>4276592</v>
      </c>
      <c r="AB14" s="7">
        <v>4276592</v>
      </c>
      <c r="AC14" s="7">
        <v>4276592</v>
      </c>
      <c r="AD14" s="7">
        <v>4276592</v>
      </c>
      <c r="AE14" s="7">
        <v>4276592</v>
      </c>
      <c r="AF14" s="7">
        <v>4276592</v>
      </c>
      <c r="AG14" s="7">
        <v>4276592</v>
      </c>
      <c r="AH14" s="7">
        <v>4276592</v>
      </c>
      <c r="AI14" s="7">
        <v>4276592</v>
      </c>
      <c r="AJ14" s="7">
        <v>4276592</v>
      </c>
      <c r="AK14" s="7">
        <v>4276592</v>
      </c>
      <c r="AL14" s="7">
        <v>4276592</v>
      </c>
      <c r="AM14" s="7">
        <v>4276592</v>
      </c>
      <c r="AN14" s="7">
        <v>4276592</v>
      </c>
      <c r="AO14" s="7">
        <v>4276592</v>
      </c>
      <c r="AP14" s="7">
        <v>4276592</v>
      </c>
      <c r="AQ14" s="7">
        <v>4276592</v>
      </c>
      <c r="AR14" s="7">
        <v>4276592</v>
      </c>
      <c r="AS14" s="7">
        <v>4276592</v>
      </c>
      <c r="AT14" s="7">
        <v>4276592</v>
      </c>
      <c r="AU14" s="7">
        <v>4276592</v>
      </c>
      <c r="AV14" s="7">
        <v>4276592</v>
      </c>
      <c r="AW14" s="7">
        <v>4276592</v>
      </c>
      <c r="AX14" s="7">
        <v>4276592</v>
      </c>
      <c r="AY14" s="7">
        <v>4276592</v>
      </c>
      <c r="AZ14" s="7">
        <v>4276592</v>
      </c>
      <c r="BA14" s="7">
        <v>4276592</v>
      </c>
      <c r="BB14" s="7">
        <v>4276592</v>
      </c>
      <c r="BC14" s="7">
        <v>4276592</v>
      </c>
      <c r="BD14" s="7">
        <v>4276592</v>
      </c>
      <c r="BE14" s="7">
        <v>4276592</v>
      </c>
      <c r="BF14" s="7">
        <v>4276592</v>
      </c>
      <c r="BG14" s="7">
        <v>4276592</v>
      </c>
      <c r="BH14" s="7">
        <v>4276592</v>
      </c>
      <c r="BI14" s="7">
        <v>4276592</v>
      </c>
      <c r="BJ14" s="7">
        <v>4276592</v>
      </c>
      <c r="BK14" s="7">
        <v>4276592</v>
      </c>
      <c r="BL14" s="7">
        <v>4276592</v>
      </c>
      <c r="BM14" s="7">
        <v>4276592</v>
      </c>
      <c r="BN14" s="7">
        <v>4276592</v>
      </c>
      <c r="BO14" s="7">
        <v>4276592</v>
      </c>
      <c r="BP14" s="7">
        <v>4276592</v>
      </c>
      <c r="BQ14" s="7">
        <v>4276592</v>
      </c>
      <c r="BR14" s="7">
        <v>4276592</v>
      </c>
      <c r="BS14" s="7">
        <v>4276592</v>
      </c>
      <c r="BT14" s="7">
        <v>4276592</v>
      </c>
      <c r="BU14" s="7">
        <v>4276592</v>
      </c>
      <c r="BV14" s="7">
        <v>4276592</v>
      </c>
      <c r="BW14" s="7">
        <v>4276592</v>
      </c>
      <c r="BX14" s="7">
        <v>4276592</v>
      </c>
      <c r="BY14" s="7">
        <v>4276592</v>
      </c>
      <c r="BZ14" s="7">
        <v>4276592</v>
      </c>
      <c r="CA14" s="7">
        <v>4276592</v>
      </c>
      <c r="CB14" s="7">
        <v>4276592</v>
      </c>
      <c r="CC14" s="7">
        <v>4276592</v>
      </c>
      <c r="CD14" s="7">
        <v>4276592</v>
      </c>
      <c r="CE14" s="7">
        <v>4276592</v>
      </c>
      <c r="CF14" s="7">
        <v>4276592</v>
      </c>
      <c r="CG14" s="7">
        <v>4276592</v>
      </c>
      <c r="CH14" s="7">
        <v>4276592</v>
      </c>
      <c r="CI14" s="7">
        <v>4276592</v>
      </c>
      <c r="CJ14" s="7">
        <v>4276592</v>
      </c>
      <c r="CK14" s="7">
        <v>4276592</v>
      </c>
      <c r="CL14" s="7">
        <v>4276592</v>
      </c>
      <c r="CM14" s="7">
        <v>4276592</v>
      </c>
      <c r="CN14" s="7">
        <v>4276592</v>
      </c>
      <c r="CO14" s="7">
        <v>4276592</v>
      </c>
      <c r="CP14" s="7">
        <v>4276592</v>
      </c>
      <c r="CQ14" s="7">
        <v>4276592</v>
      </c>
      <c r="CR14" s="7">
        <v>4276592</v>
      </c>
      <c r="CS14" s="7">
        <v>4276592</v>
      </c>
      <c r="CT14" s="7">
        <v>4276592</v>
      </c>
      <c r="CU14" s="7">
        <v>4276592</v>
      </c>
      <c r="CV14" s="7">
        <v>4276592</v>
      </c>
      <c r="CW14" s="7">
        <v>4276592</v>
      </c>
      <c r="CX14" s="7">
        <v>4276592</v>
      </c>
      <c r="CY14" s="7">
        <v>4276592</v>
      </c>
      <c r="CZ14" s="7">
        <v>4276592</v>
      </c>
      <c r="DA14" s="7">
        <v>4276592</v>
      </c>
      <c r="DB14" s="7">
        <v>4276592</v>
      </c>
      <c r="DC14" s="7">
        <v>4276592</v>
      </c>
      <c r="DD14" s="7">
        <v>4276592</v>
      </c>
      <c r="DE14" s="7">
        <v>4276592</v>
      </c>
      <c r="DF14" s="7">
        <v>4276592</v>
      </c>
      <c r="DG14" s="7">
        <v>4276592</v>
      </c>
      <c r="DH14" s="7">
        <v>4276592</v>
      </c>
      <c r="DI14" s="7">
        <v>4276592</v>
      </c>
      <c r="DJ14" s="7">
        <v>4276592</v>
      </c>
      <c r="DK14" s="7">
        <v>4276592</v>
      </c>
      <c r="DL14" s="7">
        <v>4276592</v>
      </c>
      <c r="DM14" s="7">
        <v>4276592</v>
      </c>
      <c r="DN14" s="7">
        <v>4276592</v>
      </c>
      <c r="DO14" s="7">
        <v>4276592</v>
      </c>
      <c r="DP14" s="7">
        <v>4276592</v>
      </c>
      <c r="DQ14" s="7">
        <v>4276592</v>
      </c>
      <c r="DR14" s="7">
        <v>4276592</v>
      </c>
    </row>
    <row r="15" spans="1:122">
      <c r="A15" s="5"/>
      <c r="B15" s="5"/>
      <c r="C15" s="8" t="s">
        <v>9</v>
      </c>
      <c r="D15" s="8" t="s">
        <v>10</v>
      </c>
      <c r="E15" s="8" t="s">
        <v>11</v>
      </c>
      <c r="F15" s="8" t="s">
        <v>12</v>
      </c>
      <c r="G15" s="8" t="s">
        <v>13</v>
      </c>
      <c r="H15" s="8" t="s">
        <v>14</v>
      </c>
      <c r="I15" s="8" t="s">
        <v>15</v>
      </c>
      <c r="J15" s="8" t="s">
        <v>16</v>
      </c>
      <c r="K15" s="8" t="s">
        <v>17</v>
      </c>
      <c r="L15" s="8" t="s">
        <v>18</v>
      </c>
      <c r="M15" s="8" t="s">
        <v>19</v>
      </c>
      <c r="N15" s="8" t="s">
        <v>20</v>
      </c>
      <c r="O15" s="8" t="s">
        <v>21</v>
      </c>
      <c r="P15" s="8" t="s">
        <v>22</v>
      </c>
      <c r="Q15" s="8" t="s">
        <v>23</v>
      </c>
      <c r="R15" s="8" t="s">
        <v>24</v>
      </c>
      <c r="S15" s="8" t="s">
        <v>25</v>
      </c>
      <c r="T15" s="8" t="s">
        <v>26</v>
      </c>
      <c r="U15" s="8" t="s">
        <v>27</v>
      </c>
      <c r="V15" s="8" t="s">
        <v>28</v>
      </c>
      <c r="W15" s="8" t="s">
        <v>29</v>
      </c>
      <c r="X15" s="8" t="s">
        <v>30</v>
      </c>
      <c r="Y15" s="8" t="s">
        <v>31</v>
      </c>
      <c r="Z15" s="8" t="s">
        <v>32</v>
      </c>
      <c r="AA15" s="8" t="s">
        <v>33</v>
      </c>
      <c r="AB15" s="8" t="s">
        <v>34</v>
      </c>
      <c r="AC15" s="8" t="s">
        <v>35</v>
      </c>
      <c r="AD15" s="8" t="s">
        <v>36</v>
      </c>
      <c r="AE15" s="8" t="s">
        <v>37</v>
      </c>
      <c r="AF15" s="8" t="s">
        <v>38</v>
      </c>
      <c r="AG15" s="8" t="s">
        <v>39</v>
      </c>
      <c r="AH15" s="8" t="s">
        <v>40</v>
      </c>
      <c r="AI15" s="8" t="s">
        <v>41</v>
      </c>
      <c r="AJ15" s="8" t="s">
        <v>42</v>
      </c>
      <c r="AK15" s="8" t="s">
        <v>43</v>
      </c>
      <c r="AL15" s="8" t="s">
        <v>44</v>
      </c>
      <c r="AM15" s="8" t="s">
        <v>45</v>
      </c>
      <c r="AN15" s="8" t="s">
        <v>46</v>
      </c>
      <c r="AO15" s="8" t="s">
        <v>47</v>
      </c>
      <c r="AP15" s="8" t="s">
        <v>48</v>
      </c>
      <c r="AQ15" s="8" t="s">
        <v>49</v>
      </c>
      <c r="AR15" s="8" t="s">
        <v>50</v>
      </c>
      <c r="AS15" s="8" t="s">
        <v>51</v>
      </c>
      <c r="AT15" s="8" t="s">
        <v>52</v>
      </c>
      <c r="AU15" s="8" t="s">
        <v>53</v>
      </c>
      <c r="AV15" s="8" t="s">
        <v>54</v>
      </c>
      <c r="AW15" s="8" t="s">
        <v>55</v>
      </c>
      <c r="AX15" s="8" t="s">
        <v>56</v>
      </c>
      <c r="AY15" s="8" t="s">
        <v>57</v>
      </c>
      <c r="AZ15" s="8" t="s">
        <v>58</v>
      </c>
      <c r="BA15" s="8" t="s">
        <v>59</v>
      </c>
      <c r="BB15" s="8" t="s">
        <v>60</v>
      </c>
      <c r="BC15" s="8" t="s">
        <v>61</v>
      </c>
      <c r="BD15" s="8" t="s">
        <v>62</v>
      </c>
      <c r="BE15" s="8" t="s">
        <v>63</v>
      </c>
      <c r="BF15" s="8" t="s">
        <v>64</v>
      </c>
      <c r="BG15" s="8" t="s">
        <v>65</v>
      </c>
      <c r="BH15" s="8" t="s">
        <v>66</v>
      </c>
      <c r="BI15" s="8" t="s">
        <v>67</v>
      </c>
      <c r="BJ15" s="8" t="s">
        <v>68</v>
      </c>
      <c r="BK15" s="8" t="s">
        <v>69</v>
      </c>
      <c r="BL15" s="8" t="s">
        <v>70</v>
      </c>
      <c r="BM15" s="8" t="s">
        <v>71</v>
      </c>
      <c r="BN15" s="8" t="s">
        <v>72</v>
      </c>
      <c r="BO15" s="8" t="s">
        <v>73</v>
      </c>
      <c r="BP15" s="8" t="s">
        <v>74</v>
      </c>
      <c r="BQ15" s="8" t="s">
        <v>75</v>
      </c>
      <c r="BR15" s="8" t="s">
        <v>76</v>
      </c>
      <c r="BS15" s="8" t="s">
        <v>77</v>
      </c>
      <c r="BT15" s="8" t="s">
        <v>78</v>
      </c>
      <c r="BU15" s="8" t="s">
        <v>79</v>
      </c>
      <c r="BV15" s="8" t="s">
        <v>80</v>
      </c>
      <c r="BW15" s="8" t="s">
        <v>81</v>
      </c>
      <c r="BX15" s="8" t="s">
        <v>82</v>
      </c>
      <c r="BY15" s="8" t="s">
        <v>83</v>
      </c>
      <c r="BZ15" s="8" t="s">
        <v>84</v>
      </c>
      <c r="CA15" s="8" t="s">
        <v>85</v>
      </c>
      <c r="CB15" s="8" t="s">
        <v>86</v>
      </c>
      <c r="CC15" s="8" t="s">
        <v>87</v>
      </c>
      <c r="CD15" s="8" t="s">
        <v>88</v>
      </c>
      <c r="CE15" s="8" t="s">
        <v>89</v>
      </c>
      <c r="CF15" s="8" t="s">
        <v>90</v>
      </c>
      <c r="CG15" s="8" t="s">
        <v>91</v>
      </c>
      <c r="CH15" s="8" t="s">
        <v>92</v>
      </c>
      <c r="CI15" s="8" t="s">
        <v>93</v>
      </c>
      <c r="CJ15" s="8" t="s">
        <v>94</v>
      </c>
      <c r="CK15" s="8" t="s">
        <v>95</v>
      </c>
      <c r="CL15" s="8" t="s">
        <v>96</v>
      </c>
      <c r="CM15" s="8" t="s">
        <v>97</v>
      </c>
      <c r="CN15" s="8" t="s">
        <v>98</v>
      </c>
      <c r="CO15" s="8" t="s">
        <v>99</v>
      </c>
      <c r="CP15" s="8" t="s">
        <v>100</v>
      </c>
      <c r="CQ15" s="8" t="s">
        <v>101</v>
      </c>
      <c r="CR15" s="8" t="s">
        <v>102</v>
      </c>
      <c r="CS15" s="8" t="s">
        <v>103</v>
      </c>
      <c r="CT15" s="8" t="s">
        <v>104</v>
      </c>
      <c r="CU15" s="8" t="s">
        <v>105</v>
      </c>
      <c r="CV15" s="8" t="s">
        <v>106</v>
      </c>
      <c r="CW15" s="8" t="s">
        <v>107</v>
      </c>
      <c r="CX15" s="8" t="s">
        <v>108</v>
      </c>
      <c r="CY15" s="8" t="s">
        <v>109</v>
      </c>
      <c r="CZ15" s="8" t="s">
        <v>110</v>
      </c>
      <c r="DA15" s="8" t="s">
        <v>111</v>
      </c>
      <c r="DB15" s="8" t="s">
        <v>112</v>
      </c>
      <c r="DC15" s="8" t="s">
        <v>113</v>
      </c>
      <c r="DD15" s="8" t="s">
        <v>114</v>
      </c>
      <c r="DE15" s="8" t="s">
        <v>115</v>
      </c>
      <c r="DF15" s="8" t="s">
        <v>116</v>
      </c>
      <c r="DG15" s="8" t="s">
        <v>117</v>
      </c>
      <c r="DH15" s="8" t="s">
        <v>118</v>
      </c>
      <c r="DI15" s="8" t="s">
        <v>119</v>
      </c>
      <c r="DJ15" s="8" t="s">
        <v>120</v>
      </c>
      <c r="DK15" s="8" t="s">
        <v>121</v>
      </c>
      <c r="DL15" s="8" t="s">
        <v>122</v>
      </c>
      <c r="DM15" s="8" t="s">
        <v>123</v>
      </c>
      <c r="DN15" s="8" t="s">
        <v>124</v>
      </c>
      <c r="DO15" s="8" t="s">
        <v>125</v>
      </c>
      <c r="DP15" s="8" t="s">
        <v>126</v>
      </c>
      <c r="DQ15" s="8" t="s">
        <v>127</v>
      </c>
      <c r="DR15" s="8" t="s">
        <v>128</v>
      </c>
    </row>
    <row r="16" spans="1:122">
      <c r="A16" s="4"/>
      <c r="B16" s="4"/>
      <c r="C16" s="7" t="s">
        <v>129</v>
      </c>
      <c r="D16" s="7" t="s">
        <v>129</v>
      </c>
      <c r="E16" s="7" t="s">
        <v>129</v>
      </c>
      <c r="F16" s="7" t="s">
        <v>129</v>
      </c>
      <c r="G16" s="7" t="s">
        <v>129</v>
      </c>
      <c r="H16" s="7" t="s">
        <v>129</v>
      </c>
      <c r="I16" s="7" t="s">
        <v>129</v>
      </c>
      <c r="J16" s="7" t="s">
        <v>129</v>
      </c>
      <c r="K16" s="7" t="s">
        <v>129</v>
      </c>
      <c r="L16" s="7" t="s">
        <v>129</v>
      </c>
      <c r="M16" s="7" t="s">
        <v>129</v>
      </c>
      <c r="N16" s="7" t="s">
        <v>129</v>
      </c>
      <c r="O16" s="7" t="s">
        <v>129</v>
      </c>
      <c r="P16" s="7" t="s">
        <v>129</v>
      </c>
      <c r="Q16" s="7" t="s">
        <v>129</v>
      </c>
      <c r="R16" s="7" t="s">
        <v>129</v>
      </c>
      <c r="S16" s="7" t="s">
        <v>129</v>
      </c>
      <c r="T16" s="7" t="s">
        <v>129</v>
      </c>
      <c r="U16" s="7" t="s">
        <v>129</v>
      </c>
      <c r="V16" s="7" t="s">
        <v>129</v>
      </c>
      <c r="W16" s="7" t="s">
        <v>129</v>
      </c>
      <c r="X16" s="7" t="s">
        <v>129</v>
      </c>
      <c r="Y16" s="7" t="s">
        <v>129</v>
      </c>
      <c r="Z16" s="7" t="s">
        <v>129</v>
      </c>
      <c r="AA16" s="7" t="s">
        <v>129</v>
      </c>
      <c r="AB16" s="7" t="s">
        <v>129</v>
      </c>
      <c r="AC16" s="7" t="s">
        <v>129</v>
      </c>
      <c r="AD16" s="7" t="s">
        <v>129</v>
      </c>
      <c r="AE16" s="7" t="s">
        <v>129</v>
      </c>
      <c r="AF16" s="7" t="s">
        <v>129</v>
      </c>
      <c r="AG16" s="7" t="s">
        <v>129</v>
      </c>
      <c r="AH16" s="7" t="s">
        <v>129</v>
      </c>
      <c r="AI16" s="7" t="s">
        <v>129</v>
      </c>
      <c r="AJ16" s="7" t="s">
        <v>129</v>
      </c>
      <c r="AK16" s="7" t="s">
        <v>129</v>
      </c>
      <c r="AL16" s="7" t="s">
        <v>129</v>
      </c>
      <c r="AM16" s="7" t="s">
        <v>129</v>
      </c>
      <c r="AN16" s="7" t="s">
        <v>129</v>
      </c>
      <c r="AO16" s="7" t="s">
        <v>129</v>
      </c>
      <c r="AP16" s="7" t="s">
        <v>129</v>
      </c>
      <c r="AQ16" s="7" t="s">
        <v>129</v>
      </c>
      <c r="AR16" s="7" t="s">
        <v>129</v>
      </c>
      <c r="AS16" s="7" t="s">
        <v>129</v>
      </c>
      <c r="AT16" s="7" t="s">
        <v>129</v>
      </c>
      <c r="AU16" s="7" t="s">
        <v>129</v>
      </c>
      <c r="AV16" s="7" t="s">
        <v>129</v>
      </c>
      <c r="AW16" s="7" t="s">
        <v>129</v>
      </c>
      <c r="AX16" s="7" t="s">
        <v>129</v>
      </c>
      <c r="AY16" s="7" t="s">
        <v>129</v>
      </c>
      <c r="AZ16" s="7" t="s">
        <v>129</v>
      </c>
      <c r="BA16" s="7" t="s">
        <v>129</v>
      </c>
      <c r="BB16" s="7" t="s">
        <v>129</v>
      </c>
      <c r="BC16" s="7" t="s">
        <v>129</v>
      </c>
      <c r="BD16" s="7" t="s">
        <v>129</v>
      </c>
      <c r="BE16" s="7" t="s">
        <v>129</v>
      </c>
      <c r="BF16" s="7" t="s">
        <v>129</v>
      </c>
      <c r="BG16" s="7" t="s">
        <v>129</v>
      </c>
      <c r="BH16" s="7" t="s">
        <v>129</v>
      </c>
      <c r="BI16" s="7" t="s">
        <v>129</v>
      </c>
      <c r="BJ16" s="7" t="s">
        <v>129</v>
      </c>
      <c r="BK16" s="7" t="s">
        <v>129</v>
      </c>
      <c r="BL16" s="7" t="s">
        <v>129</v>
      </c>
      <c r="BM16" s="7" t="s">
        <v>129</v>
      </c>
      <c r="BN16" s="7" t="s">
        <v>129</v>
      </c>
      <c r="BO16" s="7" t="s">
        <v>129</v>
      </c>
      <c r="BP16" s="7" t="s">
        <v>129</v>
      </c>
      <c r="BQ16" s="7" t="s">
        <v>129</v>
      </c>
      <c r="BR16" s="7" t="s">
        <v>129</v>
      </c>
      <c r="BS16" s="7" t="s">
        <v>129</v>
      </c>
      <c r="BT16" s="7" t="s">
        <v>129</v>
      </c>
      <c r="BU16" s="7" t="s">
        <v>129</v>
      </c>
      <c r="BV16" s="7" t="s">
        <v>129</v>
      </c>
      <c r="BW16" s="7" t="s">
        <v>129</v>
      </c>
      <c r="BX16" s="7" t="s">
        <v>129</v>
      </c>
      <c r="BY16" s="7" t="s">
        <v>129</v>
      </c>
      <c r="BZ16" s="7" t="s">
        <v>129</v>
      </c>
      <c r="CA16" s="7" t="s">
        <v>129</v>
      </c>
      <c r="CB16" s="7" t="s">
        <v>129</v>
      </c>
      <c r="CC16" s="7" t="s">
        <v>129</v>
      </c>
      <c r="CD16" s="7" t="s">
        <v>129</v>
      </c>
      <c r="CE16" s="7" t="s">
        <v>129</v>
      </c>
      <c r="CF16" s="7" t="s">
        <v>129</v>
      </c>
      <c r="CG16" s="7" t="s">
        <v>129</v>
      </c>
      <c r="CH16" s="7" t="s">
        <v>129</v>
      </c>
      <c r="CI16" s="7" t="s">
        <v>129</v>
      </c>
      <c r="CJ16" s="7" t="s">
        <v>129</v>
      </c>
      <c r="CK16" s="7" t="s">
        <v>129</v>
      </c>
      <c r="CL16" s="7" t="s">
        <v>129</v>
      </c>
      <c r="CM16" s="7" t="s">
        <v>129</v>
      </c>
      <c r="CN16" s="7" t="s">
        <v>129</v>
      </c>
      <c r="CO16" s="7" t="s">
        <v>129</v>
      </c>
      <c r="CP16" s="7" t="s">
        <v>129</v>
      </c>
      <c r="CQ16" s="7" t="s">
        <v>129</v>
      </c>
      <c r="CR16" s="7" t="s">
        <v>129</v>
      </c>
      <c r="CS16" s="7" t="s">
        <v>129</v>
      </c>
      <c r="CT16" s="7" t="s">
        <v>129</v>
      </c>
      <c r="CU16" s="7" t="s">
        <v>129</v>
      </c>
      <c r="CV16" s="7" t="s">
        <v>129</v>
      </c>
      <c r="CW16" s="7" t="s">
        <v>129</v>
      </c>
      <c r="CX16" s="7" t="s">
        <v>129</v>
      </c>
      <c r="CY16" s="7" t="s">
        <v>129</v>
      </c>
      <c r="CZ16" s="7" t="s">
        <v>129</v>
      </c>
      <c r="DA16" s="7" t="s">
        <v>129</v>
      </c>
      <c r="DB16" s="7" t="s">
        <v>129</v>
      </c>
      <c r="DC16" s="7" t="s">
        <v>129</v>
      </c>
      <c r="DD16" s="7" t="s">
        <v>129</v>
      </c>
      <c r="DE16" s="7" t="s">
        <v>129</v>
      </c>
      <c r="DF16" s="7" t="s">
        <v>129</v>
      </c>
      <c r="DG16" s="7" t="s">
        <v>129</v>
      </c>
      <c r="DH16" s="7" t="s">
        <v>129</v>
      </c>
      <c r="DI16" s="7" t="s">
        <v>129</v>
      </c>
      <c r="DJ16" s="7" t="s">
        <v>129</v>
      </c>
      <c r="DK16" s="7" t="s">
        <v>129</v>
      </c>
      <c r="DL16" s="7" t="s">
        <v>129</v>
      </c>
      <c r="DM16" s="7" t="s">
        <v>129</v>
      </c>
      <c r="DN16" s="7" t="s">
        <v>129</v>
      </c>
      <c r="DO16" s="7" t="s">
        <v>129</v>
      </c>
      <c r="DP16" s="7" t="s">
        <v>129</v>
      </c>
      <c r="DQ16" s="7" t="s">
        <v>129</v>
      </c>
      <c r="DR16" s="7" t="s">
        <v>129</v>
      </c>
    </row>
    <row r="17" spans="1:122">
      <c r="A17" s="4" t="s">
        <v>130</v>
      </c>
      <c r="B17" s="9">
        <v>275657</v>
      </c>
      <c r="C17" s="10">
        <v>34789</v>
      </c>
      <c r="D17" s="10">
        <v>34880</v>
      </c>
      <c r="E17" s="10">
        <v>34972</v>
      </c>
      <c r="F17" s="10">
        <v>35064</v>
      </c>
      <c r="G17" s="10">
        <v>35155</v>
      </c>
      <c r="H17" s="10">
        <v>35246</v>
      </c>
      <c r="I17" s="10">
        <v>35338</v>
      </c>
      <c r="J17" s="10">
        <v>35430</v>
      </c>
      <c r="K17" s="10">
        <v>35520</v>
      </c>
      <c r="L17" s="10">
        <v>35611</v>
      </c>
      <c r="M17" s="10">
        <v>35703</v>
      </c>
      <c r="N17" s="10">
        <v>35795</v>
      </c>
      <c r="O17" s="10">
        <v>36433</v>
      </c>
      <c r="P17" s="10">
        <v>36525</v>
      </c>
      <c r="Q17" s="10">
        <v>36616</v>
      </c>
      <c r="R17" s="10">
        <v>36707</v>
      </c>
      <c r="S17" s="10">
        <v>36799</v>
      </c>
      <c r="T17" s="10">
        <v>36891</v>
      </c>
      <c r="U17" s="10">
        <v>36981</v>
      </c>
      <c r="V17" s="10">
        <v>37072</v>
      </c>
      <c r="W17" s="10">
        <v>37164</v>
      </c>
      <c r="X17" s="10">
        <v>37256</v>
      </c>
      <c r="Y17" s="10">
        <v>37346</v>
      </c>
      <c r="Z17" s="10">
        <v>37437</v>
      </c>
      <c r="AA17" s="10">
        <v>37529</v>
      </c>
      <c r="AB17" s="10">
        <v>37621</v>
      </c>
      <c r="AC17" s="10">
        <v>37711</v>
      </c>
      <c r="AD17" s="10">
        <v>37802</v>
      </c>
      <c r="AE17" s="10">
        <v>37894</v>
      </c>
      <c r="AF17" s="10">
        <v>37986</v>
      </c>
      <c r="AG17" s="10">
        <v>38077</v>
      </c>
      <c r="AH17" s="10">
        <v>38168</v>
      </c>
      <c r="AI17" s="10">
        <v>38260</v>
      </c>
      <c r="AJ17" s="10">
        <v>38352</v>
      </c>
      <c r="AK17" s="10">
        <v>38442</v>
      </c>
      <c r="AL17" s="10">
        <v>38533</v>
      </c>
      <c r="AM17" s="10">
        <v>38625</v>
      </c>
      <c r="AN17" s="10">
        <v>38717</v>
      </c>
      <c r="AO17" s="10">
        <v>38807</v>
      </c>
      <c r="AP17" s="10">
        <v>38898</v>
      </c>
      <c r="AQ17" s="10">
        <v>38990</v>
      </c>
      <c r="AR17" s="10">
        <v>39082</v>
      </c>
      <c r="AS17" s="10">
        <v>39172</v>
      </c>
      <c r="AT17" s="10">
        <v>39263</v>
      </c>
      <c r="AU17" s="10">
        <v>39355</v>
      </c>
      <c r="AV17" s="10">
        <v>39447</v>
      </c>
      <c r="AW17" s="10">
        <v>39538</v>
      </c>
      <c r="AX17" s="10">
        <v>39629</v>
      </c>
      <c r="AY17" s="10">
        <v>39721</v>
      </c>
      <c r="AZ17" s="10">
        <v>39813</v>
      </c>
      <c r="BA17" s="10">
        <v>39903</v>
      </c>
      <c r="BB17" s="10">
        <v>39994</v>
      </c>
      <c r="BC17" s="10">
        <v>40086</v>
      </c>
      <c r="BD17" s="10">
        <v>40178</v>
      </c>
      <c r="BE17" s="10">
        <v>40268</v>
      </c>
      <c r="BF17" s="10">
        <v>40359</v>
      </c>
      <c r="BG17" s="10">
        <v>40451</v>
      </c>
      <c r="BH17" s="10">
        <v>40543</v>
      </c>
      <c r="BI17" s="10">
        <v>40633</v>
      </c>
      <c r="BJ17" s="10">
        <v>40724</v>
      </c>
      <c r="BK17" s="10">
        <v>40816</v>
      </c>
      <c r="BL17" s="10">
        <v>40908</v>
      </c>
      <c r="BM17" s="10">
        <v>40999</v>
      </c>
      <c r="BN17" s="10">
        <v>41090</v>
      </c>
      <c r="BO17" s="10">
        <v>41182</v>
      </c>
      <c r="BP17" s="10">
        <v>41274</v>
      </c>
      <c r="BQ17" s="10">
        <v>41364</v>
      </c>
      <c r="BR17" s="10">
        <v>41455</v>
      </c>
      <c r="BS17" s="10">
        <v>41547</v>
      </c>
      <c r="BT17" s="10">
        <v>41639</v>
      </c>
      <c r="BU17" s="10">
        <v>41729</v>
      </c>
      <c r="BV17" s="10">
        <v>41820</v>
      </c>
      <c r="BW17" s="10">
        <v>41912</v>
      </c>
      <c r="BX17" s="10">
        <v>42004</v>
      </c>
      <c r="BY17" s="10">
        <v>42094</v>
      </c>
      <c r="BZ17" s="10">
        <v>42185</v>
      </c>
      <c r="CA17" s="10">
        <v>42277</v>
      </c>
      <c r="CB17" s="10">
        <v>42369</v>
      </c>
      <c r="CC17" s="10">
        <v>42460</v>
      </c>
      <c r="CD17" s="10">
        <v>42551</v>
      </c>
      <c r="CE17" s="10">
        <v>42643</v>
      </c>
      <c r="CF17" s="10">
        <v>42735</v>
      </c>
      <c r="CG17" s="10">
        <v>42825</v>
      </c>
      <c r="CH17" s="10">
        <v>42916</v>
      </c>
      <c r="CI17" s="10">
        <v>43008</v>
      </c>
      <c r="CJ17" s="10">
        <v>43100</v>
      </c>
      <c r="CK17" s="10">
        <v>43190</v>
      </c>
      <c r="CL17" s="10">
        <v>43281</v>
      </c>
      <c r="CM17" s="10">
        <v>43373</v>
      </c>
      <c r="CN17" s="10">
        <v>43465</v>
      </c>
      <c r="CO17" s="10">
        <v>43555</v>
      </c>
      <c r="CP17" s="10">
        <v>43646</v>
      </c>
      <c r="CQ17" s="10">
        <v>43738</v>
      </c>
      <c r="CR17" s="10">
        <v>43830</v>
      </c>
      <c r="CS17" s="10">
        <v>43921</v>
      </c>
      <c r="CT17" s="10">
        <v>44012</v>
      </c>
      <c r="CU17" s="10">
        <v>44104</v>
      </c>
      <c r="CV17" s="10">
        <v>44196</v>
      </c>
      <c r="CW17" s="10">
        <v>44286</v>
      </c>
      <c r="CX17" s="10">
        <v>44377</v>
      </c>
      <c r="CY17" s="10">
        <v>44469</v>
      </c>
      <c r="CZ17" s="10">
        <v>44561</v>
      </c>
      <c r="DA17" s="10">
        <v>44651</v>
      </c>
      <c r="DB17" s="10">
        <v>44742</v>
      </c>
      <c r="DC17" s="10">
        <v>44834</v>
      </c>
      <c r="DD17" s="10">
        <v>44926</v>
      </c>
      <c r="DE17" s="10">
        <v>45016</v>
      </c>
      <c r="DF17" s="10">
        <v>45107</v>
      </c>
      <c r="DG17" s="10">
        <v>45199</v>
      </c>
      <c r="DH17" s="10">
        <v>45291</v>
      </c>
      <c r="DI17" s="10">
        <v>45382</v>
      </c>
      <c r="DJ17" s="10">
        <v>45473</v>
      </c>
      <c r="DK17" s="10">
        <v>45565</v>
      </c>
      <c r="DL17" s="10">
        <v>45657</v>
      </c>
      <c r="DM17" s="10">
        <v>45747</v>
      </c>
      <c r="DN17" s="10">
        <v>45838</v>
      </c>
      <c r="DO17" s="10">
        <v>45930</v>
      </c>
      <c r="DP17" s="10">
        <v>46022</v>
      </c>
      <c r="DQ17" s="10">
        <v>46112</v>
      </c>
      <c r="DR17" s="10">
        <v>46203</v>
      </c>
    </row>
    <row r="18" spans="1:122">
      <c r="A18" s="4" t="s">
        <v>131</v>
      </c>
      <c r="B18" s="9">
        <v>309159</v>
      </c>
      <c r="C18" s="10">
        <v>35185</v>
      </c>
      <c r="D18" s="10">
        <v>35276</v>
      </c>
      <c r="E18" s="10">
        <v>35368</v>
      </c>
      <c r="F18" s="10">
        <v>35529</v>
      </c>
      <c r="G18" s="10">
        <v>35185</v>
      </c>
      <c r="H18" s="10">
        <v>35641</v>
      </c>
      <c r="I18" s="10">
        <v>35641</v>
      </c>
      <c r="J18" s="10">
        <v>35880</v>
      </c>
      <c r="K18" s="10">
        <v>35641</v>
      </c>
      <c r="L18" s="10">
        <v>35641</v>
      </c>
      <c r="M18" s="10">
        <v>35880</v>
      </c>
      <c r="N18" s="10">
        <v>36220</v>
      </c>
      <c r="O18" s="10">
        <v>36829</v>
      </c>
      <c r="P18" s="10">
        <v>36951</v>
      </c>
      <c r="Q18" s="10">
        <v>37102</v>
      </c>
      <c r="R18" s="10">
        <v>37194</v>
      </c>
      <c r="S18" s="10">
        <v>37194</v>
      </c>
      <c r="T18" s="10">
        <v>37316</v>
      </c>
      <c r="U18" s="10">
        <v>37467</v>
      </c>
      <c r="V18" s="10">
        <v>37467</v>
      </c>
      <c r="W18" s="10">
        <v>37559</v>
      </c>
      <c r="X18" s="10">
        <v>37690</v>
      </c>
      <c r="Y18" s="10">
        <v>37741</v>
      </c>
      <c r="Z18" s="10">
        <v>37924</v>
      </c>
      <c r="AA18" s="10">
        <v>37924</v>
      </c>
      <c r="AB18" s="10">
        <v>38054</v>
      </c>
      <c r="AC18" s="10">
        <v>38104</v>
      </c>
      <c r="AD18" s="10">
        <v>38198</v>
      </c>
      <c r="AE18" s="10">
        <v>38287</v>
      </c>
      <c r="AF18" s="10">
        <v>38412</v>
      </c>
      <c r="AG18" s="10">
        <v>38469</v>
      </c>
      <c r="AH18" s="10">
        <v>38559</v>
      </c>
      <c r="AI18" s="10">
        <v>38655</v>
      </c>
      <c r="AJ18" s="10">
        <v>38897</v>
      </c>
      <c r="AK18" s="10">
        <v>38837</v>
      </c>
      <c r="AL18" s="10">
        <v>38928</v>
      </c>
      <c r="AM18" s="10">
        <v>39020</v>
      </c>
      <c r="AN18" s="10">
        <v>39262</v>
      </c>
      <c r="AO18" s="10">
        <v>39288</v>
      </c>
      <c r="AP18" s="10">
        <v>39522</v>
      </c>
      <c r="AQ18" s="10">
        <v>39522</v>
      </c>
      <c r="AR18" s="10">
        <v>39727</v>
      </c>
      <c r="AS18" s="10">
        <v>39659</v>
      </c>
      <c r="AT18" s="10">
        <v>39745</v>
      </c>
      <c r="AU18" s="10">
        <v>39745</v>
      </c>
      <c r="AV18" s="10">
        <v>39918</v>
      </c>
      <c r="AW18" s="10">
        <v>39933</v>
      </c>
      <c r="AX18" s="10">
        <v>40018</v>
      </c>
      <c r="AY18" s="10">
        <v>40116</v>
      </c>
      <c r="AZ18" s="10">
        <v>40449</v>
      </c>
      <c r="BA18" s="10">
        <v>40298</v>
      </c>
      <c r="BB18" s="10">
        <v>40381</v>
      </c>
      <c r="BC18" s="10">
        <v>40472</v>
      </c>
      <c r="BD18" s="10">
        <v>40619</v>
      </c>
      <c r="BE18" s="10">
        <v>40660</v>
      </c>
      <c r="BF18" s="10">
        <v>40746</v>
      </c>
      <c r="BG18" s="10">
        <v>40844</v>
      </c>
      <c r="BH18" s="10">
        <v>41026</v>
      </c>
      <c r="BI18" s="10">
        <v>41026</v>
      </c>
      <c r="BJ18" s="10">
        <v>41212</v>
      </c>
      <c r="BK18" s="10">
        <v>41212</v>
      </c>
      <c r="BL18" s="10">
        <v>41393</v>
      </c>
      <c r="BM18" s="10">
        <v>41390</v>
      </c>
      <c r="BN18" s="10">
        <v>41479</v>
      </c>
      <c r="BO18" s="10">
        <v>41571</v>
      </c>
      <c r="BP18" s="10">
        <v>41726</v>
      </c>
      <c r="BQ18" s="10">
        <v>41759</v>
      </c>
      <c r="BR18" s="10">
        <v>41843</v>
      </c>
      <c r="BS18" s="10">
        <v>41936</v>
      </c>
      <c r="BT18" s="10">
        <v>42123</v>
      </c>
      <c r="BU18" s="10">
        <v>42118</v>
      </c>
      <c r="BV18" s="10">
        <v>42207</v>
      </c>
      <c r="BW18" s="10">
        <v>42299</v>
      </c>
      <c r="BX18" s="10">
        <v>42459</v>
      </c>
      <c r="BY18" s="10">
        <v>42486</v>
      </c>
      <c r="BZ18" s="10">
        <v>42577</v>
      </c>
      <c r="CA18" s="10">
        <v>42670</v>
      </c>
      <c r="CB18" s="10">
        <v>42864</v>
      </c>
      <c r="CC18" s="10">
        <v>42851</v>
      </c>
      <c r="CD18" s="10">
        <v>42941</v>
      </c>
      <c r="CE18" s="10">
        <v>43034</v>
      </c>
      <c r="CF18" s="10">
        <v>43222</v>
      </c>
      <c r="CG18" s="10">
        <v>43216</v>
      </c>
      <c r="CH18" s="10">
        <v>43306</v>
      </c>
      <c r="CI18" s="10">
        <v>43397</v>
      </c>
      <c r="CJ18" s="10">
        <v>43616</v>
      </c>
      <c r="CK18" s="10">
        <v>43669</v>
      </c>
      <c r="CL18" s="10">
        <v>43762</v>
      </c>
      <c r="CM18" s="10">
        <v>43762</v>
      </c>
      <c r="CN18" s="10">
        <v>43950</v>
      </c>
      <c r="CO18" s="10">
        <v>43948</v>
      </c>
      <c r="CP18" s="10">
        <v>44039</v>
      </c>
      <c r="CQ18" s="10">
        <v>44126</v>
      </c>
      <c r="CR18" s="10">
        <v>44299</v>
      </c>
      <c r="CS18" s="10">
        <v>44315</v>
      </c>
      <c r="CT18" s="10">
        <v>44406</v>
      </c>
      <c r="CU18" s="10">
        <v>44497</v>
      </c>
      <c r="CV18" s="10">
        <v>44655</v>
      </c>
      <c r="CW18" s="10">
        <v>44764</v>
      </c>
      <c r="CX18" s="10">
        <v>44764</v>
      </c>
      <c r="CY18" s="10">
        <v>44861</v>
      </c>
      <c r="CZ18" s="10">
        <v>45044</v>
      </c>
      <c r="DA18" s="10">
        <v>45044</v>
      </c>
      <c r="DB18" s="10">
        <v>45133</v>
      </c>
      <c r="DC18" s="10">
        <v>45225</v>
      </c>
      <c r="DD18" s="10">
        <v>45412</v>
      </c>
      <c r="DE18" s="10">
        <v>45404</v>
      </c>
      <c r="DF18" s="10">
        <v>45497</v>
      </c>
      <c r="DG18" s="10">
        <v>45594</v>
      </c>
      <c r="DH18" s="10">
        <v>45777</v>
      </c>
      <c r="DI18" s="10">
        <v>45776</v>
      </c>
      <c r="DJ18" s="10">
        <v>45862</v>
      </c>
      <c r="DK18" s="10">
        <v>45958</v>
      </c>
      <c r="DL18" s="10">
        <v>46143</v>
      </c>
      <c r="DM18" s="10">
        <v>46142</v>
      </c>
      <c r="DN18" s="10">
        <v>46227</v>
      </c>
      <c r="DO18" s="10">
        <v>46227</v>
      </c>
      <c r="DP18" s="10">
        <v>46143</v>
      </c>
      <c r="DQ18" s="10">
        <v>46227</v>
      </c>
      <c r="DR18" s="10">
        <v>46227</v>
      </c>
    </row>
    <row r="19" spans="1:122">
      <c r="A19" s="4" t="s">
        <v>132</v>
      </c>
      <c r="B19" s="9">
        <v>275663</v>
      </c>
      <c r="C19" s="8" t="s">
        <v>133</v>
      </c>
      <c r="D19" s="8" t="s">
        <v>133</v>
      </c>
      <c r="E19" s="8" t="s">
        <v>133</v>
      </c>
      <c r="F19" s="8" t="s">
        <v>133</v>
      </c>
      <c r="G19" s="8" t="s">
        <v>133</v>
      </c>
      <c r="H19" s="8" t="s">
        <v>133</v>
      </c>
      <c r="I19" s="8" t="s">
        <v>133</v>
      </c>
      <c r="J19" s="8" t="s">
        <v>133</v>
      </c>
      <c r="K19" s="8" t="s">
        <v>133</v>
      </c>
      <c r="L19" s="8" t="s">
        <v>133</v>
      </c>
      <c r="M19" s="8" t="s">
        <v>133</v>
      </c>
      <c r="N19" s="8" t="s">
        <v>133</v>
      </c>
      <c r="O19" s="8" t="s">
        <v>133</v>
      </c>
      <c r="P19" s="8" t="s">
        <v>133</v>
      </c>
      <c r="Q19" s="8" t="s">
        <v>133</v>
      </c>
      <c r="R19" s="8" t="s">
        <v>133</v>
      </c>
      <c r="S19" s="8" t="s">
        <v>133</v>
      </c>
      <c r="T19" s="8" t="s">
        <v>133</v>
      </c>
      <c r="U19" s="8" t="s">
        <v>133</v>
      </c>
      <c r="V19" s="8" t="s">
        <v>133</v>
      </c>
      <c r="W19" s="8" t="s">
        <v>133</v>
      </c>
      <c r="X19" s="8" t="s">
        <v>133</v>
      </c>
      <c r="Y19" s="8" t="s">
        <v>133</v>
      </c>
      <c r="Z19" s="8" t="s">
        <v>133</v>
      </c>
      <c r="AA19" s="8" t="s">
        <v>133</v>
      </c>
      <c r="AB19" s="8" t="s">
        <v>133</v>
      </c>
      <c r="AC19" s="8" t="s">
        <v>133</v>
      </c>
      <c r="AD19" s="8" t="s">
        <v>133</v>
      </c>
      <c r="AE19" s="8" t="s">
        <v>133</v>
      </c>
      <c r="AF19" s="8" t="s">
        <v>133</v>
      </c>
      <c r="AG19" s="8" t="s">
        <v>133</v>
      </c>
      <c r="AH19" s="8" t="s">
        <v>133</v>
      </c>
      <c r="AI19" s="8" t="s">
        <v>133</v>
      </c>
      <c r="AJ19" s="8" t="s">
        <v>133</v>
      </c>
      <c r="AK19" s="8" t="s">
        <v>133</v>
      </c>
      <c r="AL19" s="8" t="s">
        <v>133</v>
      </c>
      <c r="AM19" s="8" t="s">
        <v>133</v>
      </c>
      <c r="AN19" s="8" t="s">
        <v>133</v>
      </c>
      <c r="AO19" s="8" t="s">
        <v>133</v>
      </c>
      <c r="AP19" s="8" t="s">
        <v>133</v>
      </c>
      <c r="AQ19" s="8" t="s">
        <v>133</v>
      </c>
      <c r="AR19" s="8" t="s">
        <v>133</v>
      </c>
      <c r="AS19" s="8" t="s">
        <v>133</v>
      </c>
      <c r="AT19" s="8" t="s">
        <v>133</v>
      </c>
      <c r="AU19" s="8" t="s">
        <v>133</v>
      </c>
      <c r="AV19" s="8" t="s">
        <v>133</v>
      </c>
      <c r="AW19" s="8" t="s">
        <v>133</v>
      </c>
      <c r="AX19" s="8" t="s">
        <v>133</v>
      </c>
      <c r="AY19" s="8" t="s">
        <v>133</v>
      </c>
      <c r="AZ19" s="8" t="s">
        <v>133</v>
      </c>
      <c r="BA19" s="8" t="s">
        <v>133</v>
      </c>
      <c r="BB19" s="8" t="s">
        <v>133</v>
      </c>
      <c r="BC19" s="8" t="s">
        <v>133</v>
      </c>
      <c r="BD19" s="8" t="s">
        <v>133</v>
      </c>
      <c r="BE19" s="8" t="s">
        <v>133</v>
      </c>
      <c r="BF19" s="8" t="s">
        <v>133</v>
      </c>
      <c r="BG19" s="8" t="s">
        <v>133</v>
      </c>
      <c r="BH19" s="8" t="s">
        <v>133</v>
      </c>
      <c r="BI19" s="8" t="s">
        <v>133</v>
      </c>
      <c r="BJ19" s="8" t="s">
        <v>133</v>
      </c>
      <c r="BK19" s="8" t="s">
        <v>133</v>
      </c>
      <c r="BL19" s="8" t="s">
        <v>133</v>
      </c>
      <c r="BM19" s="8" t="s">
        <v>133</v>
      </c>
      <c r="BN19" s="8" t="s">
        <v>133</v>
      </c>
      <c r="BO19" s="8" t="s">
        <v>133</v>
      </c>
      <c r="BP19" s="8" t="s">
        <v>133</v>
      </c>
      <c r="BQ19" s="8" t="s">
        <v>133</v>
      </c>
      <c r="BR19" s="8" t="s">
        <v>133</v>
      </c>
      <c r="BS19" s="8" t="s">
        <v>133</v>
      </c>
      <c r="BT19" s="8" t="s">
        <v>133</v>
      </c>
      <c r="BU19" s="8" t="s">
        <v>133</v>
      </c>
      <c r="BV19" s="8" t="s">
        <v>133</v>
      </c>
      <c r="BW19" s="8" t="s">
        <v>133</v>
      </c>
      <c r="BX19" s="8" t="s">
        <v>133</v>
      </c>
      <c r="BY19" s="8" t="s">
        <v>133</v>
      </c>
      <c r="BZ19" s="8" t="s">
        <v>133</v>
      </c>
      <c r="CA19" s="8" t="s">
        <v>133</v>
      </c>
      <c r="CB19" s="8" t="s">
        <v>133</v>
      </c>
      <c r="CC19" s="8" t="s">
        <v>133</v>
      </c>
      <c r="CD19" s="8" t="s">
        <v>133</v>
      </c>
      <c r="CE19" s="8" t="s">
        <v>133</v>
      </c>
      <c r="CF19" s="8" t="s">
        <v>133</v>
      </c>
      <c r="CG19" s="8" t="s">
        <v>133</v>
      </c>
      <c r="CH19" s="8" t="s">
        <v>133</v>
      </c>
      <c r="CI19" s="8" t="s">
        <v>133</v>
      </c>
      <c r="CJ19" s="8" t="s">
        <v>133</v>
      </c>
      <c r="CK19" s="8" t="s">
        <v>133</v>
      </c>
      <c r="CL19" s="8" t="s">
        <v>133</v>
      </c>
      <c r="CM19" s="8" t="s">
        <v>133</v>
      </c>
      <c r="CN19" s="8" t="s">
        <v>133</v>
      </c>
      <c r="CO19" s="8" t="s">
        <v>133</v>
      </c>
      <c r="CP19" s="8" t="s">
        <v>133</v>
      </c>
      <c r="CQ19" s="8" t="s">
        <v>133</v>
      </c>
      <c r="CR19" s="8" t="s">
        <v>133</v>
      </c>
      <c r="CS19" s="8" t="s">
        <v>133</v>
      </c>
      <c r="CT19" s="8" t="s">
        <v>133</v>
      </c>
      <c r="CU19" s="8" t="s">
        <v>133</v>
      </c>
      <c r="CV19" s="8" t="s">
        <v>133</v>
      </c>
      <c r="CW19" s="8" t="s">
        <v>133</v>
      </c>
      <c r="CX19" s="8" t="s">
        <v>133</v>
      </c>
      <c r="CY19" s="8" t="s">
        <v>133</v>
      </c>
      <c r="CZ19" s="8" t="s">
        <v>133</v>
      </c>
      <c r="DA19" s="8" t="s">
        <v>133</v>
      </c>
      <c r="DB19" s="8" t="s">
        <v>133</v>
      </c>
      <c r="DC19" s="8" t="s">
        <v>133</v>
      </c>
      <c r="DD19" s="8" t="s">
        <v>133</v>
      </c>
      <c r="DE19" s="8" t="s">
        <v>133</v>
      </c>
      <c r="DF19" s="8" t="s">
        <v>133</v>
      </c>
      <c r="DG19" s="8" t="s">
        <v>133</v>
      </c>
      <c r="DH19" s="8" t="s">
        <v>133</v>
      </c>
      <c r="DI19" s="8" t="s">
        <v>133</v>
      </c>
      <c r="DJ19" s="8" t="s">
        <v>133</v>
      </c>
      <c r="DK19" s="8" t="s">
        <v>133</v>
      </c>
      <c r="DL19" s="8" t="s">
        <v>133</v>
      </c>
      <c r="DM19" s="8" t="s">
        <v>133</v>
      </c>
      <c r="DN19" s="8" t="s">
        <v>133</v>
      </c>
      <c r="DO19" s="8" t="s">
        <v>133</v>
      </c>
      <c r="DP19" s="8" t="s">
        <v>133</v>
      </c>
      <c r="DQ19" s="8" t="s">
        <v>133</v>
      </c>
      <c r="DR19" s="8" t="s">
        <v>133</v>
      </c>
    </row>
    <row r="20" spans="1:122">
      <c r="A20" s="4" t="s">
        <v>134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>
      <c r="A21" s="11" t="s">
        <v>135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>
      <c r="A22" s="4" t="s">
        <v>136</v>
      </c>
      <c r="B22" s="9">
        <v>268525</v>
      </c>
      <c r="C22" s="8" t="s">
        <v>137</v>
      </c>
      <c r="D22" s="8" t="s">
        <v>137</v>
      </c>
      <c r="E22" s="8" t="s">
        <v>137</v>
      </c>
      <c r="F22" s="12">
        <v>373070</v>
      </c>
      <c r="G22" s="12">
        <v>227976</v>
      </c>
      <c r="H22" s="12">
        <v>215089</v>
      </c>
      <c r="I22" s="12">
        <v>108397</v>
      </c>
      <c r="J22" s="12">
        <v>422138</v>
      </c>
      <c r="K22" s="12">
        <v>184852</v>
      </c>
      <c r="L22" s="12">
        <v>184852</v>
      </c>
      <c r="M22" s="12">
        <v>676498</v>
      </c>
      <c r="N22" s="12">
        <v>802327</v>
      </c>
      <c r="O22" s="8" t="s">
        <v>137</v>
      </c>
      <c r="P22" s="12">
        <v>2502597</v>
      </c>
      <c r="Q22" s="12">
        <v>2502597</v>
      </c>
      <c r="R22" s="8" t="s">
        <v>137</v>
      </c>
      <c r="S22" s="8" t="s">
        <v>137</v>
      </c>
      <c r="T22" s="12">
        <v>4465016</v>
      </c>
      <c r="U22" s="8" t="s">
        <v>137</v>
      </c>
      <c r="V22" s="8" t="s">
        <v>137</v>
      </c>
      <c r="W22" s="8" t="s">
        <v>137</v>
      </c>
      <c r="X22" s="12">
        <v>811177</v>
      </c>
      <c r="Y22" s="8" t="s">
        <v>137</v>
      </c>
      <c r="Z22" s="8" t="s">
        <v>137</v>
      </c>
      <c r="AA22" s="8" t="s">
        <v>137</v>
      </c>
      <c r="AB22" s="12">
        <v>2486000</v>
      </c>
      <c r="AC22" s="8" t="s">
        <v>137</v>
      </c>
      <c r="AD22" s="8" t="s">
        <v>137</v>
      </c>
      <c r="AE22" s="8" t="s">
        <v>137</v>
      </c>
      <c r="AF22" s="12">
        <v>1848000</v>
      </c>
      <c r="AG22" s="8" t="s">
        <v>137</v>
      </c>
      <c r="AH22" s="8" t="s">
        <v>137</v>
      </c>
      <c r="AI22" s="8" t="s">
        <v>137</v>
      </c>
      <c r="AJ22" s="12">
        <v>3885000</v>
      </c>
      <c r="AK22" s="12">
        <v>2743000</v>
      </c>
      <c r="AL22" s="12">
        <v>4733000</v>
      </c>
      <c r="AM22" s="12">
        <v>3873000</v>
      </c>
      <c r="AN22" s="12">
        <v>4284000</v>
      </c>
      <c r="AO22" s="12">
        <v>4875406</v>
      </c>
      <c r="AP22" s="12">
        <v>5083334</v>
      </c>
      <c r="AQ22" s="12">
        <v>6054800</v>
      </c>
      <c r="AR22" s="12">
        <v>5690000</v>
      </c>
      <c r="AS22" s="12">
        <v>5750376</v>
      </c>
      <c r="AT22" s="12">
        <v>2498024</v>
      </c>
      <c r="AU22" s="12">
        <v>3754039</v>
      </c>
      <c r="AV22" s="12">
        <v>3902000</v>
      </c>
      <c r="AW22" s="12">
        <v>3913492</v>
      </c>
      <c r="AX22" s="12">
        <v>2480022</v>
      </c>
      <c r="AY22" s="12">
        <v>6567117</v>
      </c>
      <c r="AZ22" s="12">
        <v>7339000</v>
      </c>
      <c r="BA22" s="12">
        <v>4695209</v>
      </c>
      <c r="BB22" s="12">
        <v>7120890</v>
      </c>
      <c r="BC22" s="12">
        <v>9081395</v>
      </c>
      <c r="BD22" s="12">
        <v>4981000</v>
      </c>
      <c r="BE22" s="12">
        <v>4939599</v>
      </c>
      <c r="BF22" s="12">
        <v>15536580</v>
      </c>
      <c r="BG22" s="12">
        <v>4932114</v>
      </c>
      <c r="BH22" s="12">
        <v>3325000</v>
      </c>
      <c r="BI22" s="12">
        <v>4407756</v>
      </c>
      <c r="BJ22" s="12">
        <v>9207493</v>
      </c>
      <c r="BK22" s="12">
        <v>12484612</v>
      </c>
      <c r="BL22" s="12">
        <v>3966000</v>
      </c>
      <c r="BM22" s="12">
        <v>3830076</v>
      </c>
      <c r="BN22" s="12">
        <v>3340078</v>
      </c>
      <c r="BO22" s="12">
        <v>4335073</v>
      </c>
      <c r="BP22" s="12">
        <v>4278000</v>
      </c>
      <c r="BQ22" s="12">
        <v>4770269</v>
      </c>
      <c r="BR22" s="12">
        <v>5217646</v>
      </c>
      <c r="BS22" s="12">
        <v>4993126</v>
      </c>
      <c r="BT22" s="12">
        <v>2504000</v>
      </c>
      <c r="BU22" s="12">
        <v>3578809</v>
      </c>
      <c r="BV22" s="12">
        <v>6057292</v>
      </c>
      <c r="BW22" s="12">
        <v>3601432</v>
      </c>
      <c r="BX22" s="12">
        <v>2572000</v>
      </c>
      <c r="BY22" s="12">
        <v>2253625</v>
      </c>
      <c r="BZ22" s="12">
        <v>3274513</v>
      </c>
      <c r="CA22" s="12">
        <v>4013939</v>
      </c>
      <c r="CB22" s="12">
        <v>4619000</v>
      </c>
      <c r="CC22" s="12">
        <v>6406701</v>
      </c>
      <c r="CD22" s="12">
        <v>4631402</v>
      </c>
      <c r="CE22" s="12">
        <v>8895245</v>
      </c>
      <c r="CF22" s="12">
        <v>6814000</v>
      </c>
      <c r="CG22" s="12">
        <v>7784447</v>
      </c>
      <c r="CH22" s="12">
        <v>5629316</v>
      </c>
      <c r="CI22" s="12">
        <v>5684880</v>
      </c>
      <c r="CJ22" s="12">
        <v>7216000</v>
      </c>
      <c r="CK22" s="12">
        <v>5016730</v>
      </c>
      <c r="CL22" s="12">
        <v>8076073</v>
      </c>
      <c r="CM22" s="12">
        <v>7973716</v>
      </c>
      <c r="CN22" s="12">
        <v>7584000</v>
      </c>
      <c r="CO22" s="12">
        <v>7104898</v>
      </c>
      <c r="CP22" s="12">
        <v>5688807</v>
      </c>
      <c r="CQ22" s="12">
        <v>17060194</v>
      </c>
      <c r="CR22" s="12">
        <v>6251000</v>
      </c>
      <c r="CS22" s="12">
        <v>25442819</v>
      </c>
      <c r="CT22" s="12">
        <v>10336110</v>
      </c>
      <c r="CU22" s="12">
        <v>12031743</v>
      </c>
      <c r="CV22" s="12">
        <v>9268000</v>
      </c>
      <c r="CW22" s="12">
        <v>11317829</v>
      </c>
      <c r="CX22" s="12">
        <v>11913346</v>
      </c>
      <c r="CY22" s="12">
        <v>11153518</v>
      </c>
      <c r="CZ22" s="12">
        <v>8748000</v>
      </c>
      <c r="DA22" s="12">
        <v>9098872</v>
      </c>
      <c r="DB22" s="12">
        <v>6772676</v>
      </c>
      <c r="DC22" s="12">
        <v>7327038</v>
      </c>
      <c r="DD22" s="12">
        <v>12313000</v>
      </c>
      <c r="DE22" s="12">
        <v>5981163</v>
      </c>
      <c r="DF22" s="12">
        <v>6485787</v>
      </c>
      <c r="DG22" s="12">
        <v>6249289</v>
      </c>
      <c r="DH22" s="12">
        <v>6353000</v>
      </c>
      <c r="DI22" s="12">
        <v>17567612</v>
      </c>
      <c r="DJ22" s="12">
        <v>7615620</v>
      </c>
      <c r="DK22" s="12">
        <v>8434317</v>
      </c>
      <c r="DL22" s="12">
        <v>8057000</v>
      </c>
      <c r="DM22" s="12">
        <v>17778945</v>
      </c>
      <c r="DN22" s="12">
        <v>7493772</v>
      </c>
      <c r="DO22" s="12">
        <v>13616759</v>
      </c>
      <c r="DP22" s="12">
        <v>8535000</v>
      </c>
      <c r="DQ22" s="12">
        <v>19573957</v>
      </c>
      <c r="DR22" s="12">
        <v>16562977</v>
      </c>
    </row>
    <row r="23" spans="1:122">
      <c r="A23" s="4" t="s">
        <v>138</v>
      </c>
      <c r="B23" s="9">
        <v>268541</v>
      </c>
      <c r="C23" s="8" t="s">
        <v>137</v>
      </c>
      <c r="D23" s="8" t="s">
        <v>137</v>
      </c>
      <c r="E23" s="8" t="s">
        <v>137</v>
      </c>
      <c r="F23" s="12">
        <v>84233</v>
      </c>
      <c r="G23" s="12">
        <v>6709081</v>
      </c>
      <c r="H23" s="12">
        <v>7036558</v>
      </c>
      <c r="I23" s="12">
        <v>7373039</v>
      </c>
      <c r="J23" s="12">
        <v>9665524</v>
      </c>
      <c r="K23" s="12">
        <v>8721606</v>
      </c>
      <c r="L23" s="12">
        <v>8721606</v>
      </c>
      <c r="M23" s="12">
        <v>9597223</v>
      </c>
      <c r="N23" s="12">
        <v>11382306</v>
      </c>
      <c r="O23" s="8" t="s">
        <v>137</v>
      </c>
      <c r="P23" s="12">
        <v>13529890</v>
      </c>
      <c r="Q23" s="8" t="s">
        <v>137</v>
      </c>
      <c r="R23" s="8" t="s">
        <v>137</v>
      </c>
      <c r="S23" s="12">
        <v>13096000</v>
      </c>
      <c r="T23" s="12">
        <v>13647351</v>
      </c>
      <c r="U23" s="12">
        <v>13685000</v>
      </c>
      <c r="V23" s="12">
        <v>13578000</v>
      </c>
      <c r="W23" s="12">
        <v>13585000</v>
      </c>
      <c r="X23" s="12">
        <v>14682548</v>
      </c>
      <c r="Y23" s="12">
        <v>14633000</v>
      </c>
      <c r="Z23" s="12">
        <v>15236000</v>
      </c>
      <c r="AA23" s="12">
        <v>15048000</v>
      </c>
      <c r="AB23" s="12">
        <v>16555000</v>
      </c>
      <c r="AC23" s="12">
        <v>15696000</v>
      </c>
      <c r="AD23" s="12">
        <v>15749000</v>
      </c>
      <c r="AE23" s="12">
        <v>15906000</v>
      </c>
      <c r="AF23" s="12">
        <v>16727000</v>
      </c>
      <c r="AG23" s="12">
        <v>15877000</v>
      </c>
      <c r="AH23" s="12">
        <v>16283000</v>
      </c>
      <c r="AI23" s="12">
        <v>16556000</v>
      </c>
      <c r="AJ23" s="12">
        <v>17237000</v>
      </c>
      <c r="AK23" s="12">
        <v>16843000</v>
      </c>
      <c r="AL23" s="12">
        <v>16957000</v>
      </c>
      <c r="AM23" s="12">
        <v>17476000</v>
      </c>
      <c r="AN23" s="12">
        <v>19315000</v>
      </c>
      <c r="AO23" s="12">
        <v>18726694</v>
      </c>
      <c r="AP23" s="12">
        <v>19208790</v>
      </c>
      <c r="AQ23" s="12">
        <v>19677045</v>
      </c>
      <c r="AR23" s="12">
        <v>21561000</v>
      </c>
      <c r="AS23" s="12">
        <v>21132970</v>
      </c>
      <c r="AT23" s="12">
        <v>21658379</v>
      </c>
      <c r="AU23" s="12">
        <v>22304726</v>
      </c>
      <c r="AV23" s="12">
        <v>23504000</v>
      </c>
      <c r="AW23" s="12">
        <v>23770520</v>
      </c>
      <c r="AX23" s="12">
        <v>24099629</v>
      </c>
      <c r="AY23" s="12">
        <v>24081442</v>
      </c>
      <c r="AZ23" s="12">
        <v>26039000</v>
      </c>
      <c r="BA23" s="12">
        <v>33624898</v>
      </c>
      <c r="BB23" s="12">
        <v>32480454</v>
      </c>
      <c r="BC23" s="12">
        <v>33067104</v>
      </c>
      <c r="BD23" s="12">
        <v>32763000</v>
      </c>
      <c r="BE23" s="12">
        <v>31100317</v>
      </c>
      <c r="BF23" s="12">
        <v>31320510</v>
      </c>
      <c r="BG23" s="12">
        <v>31463240</v>
      </c>
      <c r="BH23" s="12">
        <v>32028000</v>
      </c>
      <c r="BI23" s="12">
        <v>31707748</v>
      </c>
      <c r="BJ23" s="12">
        <v>32149673</v>
      </c>
      <c r="BK23" s="12">
        <v>34365570</v>
      </c>
      <c r="BL23" s="12">
        <v>42419000</v>
      </c>
      <c r="BM23" s="12">
        <v>41405413</v>
      </c>
      <c r="BN23" s="12">
        <v>42642602</v>
      </c>
      <c r="BO23" s="12">
        <v>41809313</v>
      </c>
      <c r="BP23" s="12">
        <v>42011000</v>
      </c>
      <c r="BQ23" s="12">
        <v>40123908</v>
      </c>
      <c r="BR23" s="12">
        <v>41037671</v>
      </c>
      <c r="BS23" s="12">
        <v>41880171</v>
      </c>
      <c r="BT23" s="12">
        <v>42683000</v>
      </c>
      <c r="BU23" s="12">
        <v>42185944</v>
      </c>
      <c r="BV23" s="12">
        <v>47111794</v>
      </c>
      <c r="BW23" s="12">
        <v>47686128</v>
      </c>
      <c r="BX23" s="12">
        <v>52475000</v>
      </c>
      <c r="BY23" s="12">
        <v>52365507</v>
      </c>
      <c r="BZ23" s="12">
        <v>54165937</v>
      </c>
      <c r="CA23" s="12">
        <v>56748126</v>
      </c>
      <c r="CB23" s="12">
        <v>58073000</v>
      </c>
      <c r="CC23" s="12">
        <v>58994064</v>
      </c>
      <c r="CD23" s="12">
        <v>64336768</v>
      </c>
      <c r="CE23" s="12">
        <v>70237286</v>
      </c>
      <c r="CF23" s="12">
        <v>74584000</v>
      </c>
      <c r="CG23" s="12">
        <v>72119365</v>
      </c>
      <c r="CH23" s="12">
        <v>69683422</v>
      </c>
      <c r="CI23" s="12">
        <v>71975977</v>
      </c>
      <c r="CJ23" s="12">
        <v>82972000</v>
      </c>
      <c r="CK23" s="12">
        <v>80474771</v>
      </c>
      <c r="CL23" s="12">
        <v>84802331</v>
      </c>
      <c r="CM23" s="12">
        <v>82808433</v>
      </c>
      <c r="CN23" s="12">
        <v>87243000</v>
      </c>
      <c r="CO23" s="12">
        <v>107928017</v>
      </c>
      <c r="CP23" s="12">
        <v>108833300</v>
      </c>
      <c r="CQ23" s="12">
        <v>109712279</v>
      </c>
      <c r="CR23" s="12">
        <v>109891000</v>
      </c>
      <c r="CS23" s="12">
        <v>125728012</v>
      </c>
      <c r="CT23" s="12">
        <v>125104958</v>
      </c>
      <c r="CU23" s="12">
        <v>125111692</v>
      </c>
      <c r="CV23" s="12">
        <v>120411000</v>
      </c>
      <c r="CW23" s="12">
        <v>122618862</v>
      </c>
      <c r="CX23" s="12">
        <v>122371127</v>
      </c>
      <c r="CY23" s="12">
        <v>125782000</v>
      </c>
      <c r="CZ23" s="12">
        <v>134645000</v>
      </c>
      <c r="DA23" s="12">
        <v>131811135</v>
      </c>
      <c r="DB23" s="12">
        <v>133560951</v>
      </c>
      <c r="DC23" s="12">
        <v>137572122</v>
      </c>
      <c r="DD23" s="12">
        <v>141982000</v>
      </c>
      <c r="DE23" s="12">
        <v>139268842</v>
      </c>
      <c r="DF23" s="12">
        <v>139249910</v>
      </c>
      <c r="DG23" s="12">
        <v>147508745</v>
      </c>
      <c r="DH23" s="12">
        <v>155160000</v>
      </c>
      <c r="DI23" s="12">
        <v>156386321</v>
      </c>
      <c r="DJ23" s="12">
        <v>169254478</v>
      </c>
      <c r="DK23" s="12">
        <v>181744326</v>
      </c>
      <c r="DL23" s="12">
        <v>189596000</v>
      </c>
      <c r="DM23" s="12">
        <v>193100694</v>
      </c>
      <c r="DN23" s="12">
        <v>189361864</v>
      </c>
      <c r="DO23" s="12">
        <v>187821014</v>
      </c>
      <c r="DP23" s="12">
        <v>190180000</v>
      </c>
      <c r="DQ23" s="12">
        <v>188947927</v>
      </c>
      <c r="DR23" s="12">
        <v>184602629</v>
      </c>
    </row>
    <row r="24" spans="1:122">
      <c r="A24" s="4" t="s">
        <v>139</v>
      </c>
      <c r="B24" s="9">
        <v>268552</v>
      </c>
      <c r="C24" s="8" t="s">
        <v>137</v>
      </c>
      <c r="D24" s="8" t="s">
        <v>137</v>
      </c>
      <c r="E24" s="8" t="s">
        <v>137</v>
      </c>
      <c r="F24" s="12">
        <v>10130418</v>
      </c>
      <c r="G24" s="12">
        <v>9596715</v>
      </c>
      <c r="H24" s="12">
        <v>10202211</v>
      </c>
      <c r="I24" s="12">
        <v>10406151</v>
      </c>
      <c r="J24" s="12">
        <v>13899692</v>
      </c>
      <c r="K24" s="12">
        <v>12487492</v>
      </c>
      <c r="L24" s="12">
        <v>12487492</v>
      </c>
      <c r="M24" s="12">
        <v>13866005</v>
      </c>
      <c r="N24" s="12">
        <v>16445082</v>
      </c>
      <c r="O24" s="8" t="s">
        <v>137</v>
      </c>
      <c r="P24" s="12">
        <v>24333387</v>
      </c>
      <c r="Q24" s="8" t="s">
        <v>137</v>
      </c>
      <c r="R24" s="8" t="s">
        <v>137</v>
      </c>
      <c r="S24" s="12">
        <v>23746000</v>
      </c>
      <c r="T24" s="12">
        <v>25035108</v>
      </c>
      <c r="U24" s="12">
        <v>25447000</v>
      </c>
      <c r="V24" s="12">
        <v>24005000</v>
      </c>
      <c r="W24" s="12">
        <v>22204000</v>
      </c>
      <c r="X24" s="12">
        <v>23781267</v>
      </c>
      <c r="Y24" s="12">
        <v>28522000</v>
      </c>
      <c r="Z24" s="12">
        <v>29820000</v>
      </c>
      <c r="AA24" s="12">
        <v>31214000</v>
      </c>
      <c r="AB24" s="12">
        <v>34203000</v>
      </c>
      <c r="AC24" s="12">
        <v>31693000</v>
      </c>
      <c r="AD24" s="12">
        <v>30865000</v>
      </c>
      <c r="AE24" s="12">
        <v>32085000</v>
      </c>
      <c r="AF24" s="12">
        <v>33527000</v>
      </c>
      <c r="AG24" s="12">
        <v>30661000</v>
      </c>
      <c r="AH24" s="12">
        <v>31106000</v>
      </c>
      <c r="AI24" s="12">
        <v>32659000</v>
      </c>
      <c r="AJ24" s="12">
        <v>34670000</v>
      </c>
      <c r="AK24" s="12">
        <v>34571000</v>
      </c>
      <c r="AL24" s="12">
        <v>34148000</v>
      </c>
      <c r="AM24" s="12">
        <v>35891000</v>
      </c>
      <c r="AN24" s="12">
        <v>38732000</v>
      </c>
      <c r="AO24" s="12">
        <v>38795665</v>
      </c>
      <c r="AP24" s="12">
        <v>40413859</v>
      </c>
      <c r="AQ24" s="12">
        <v>41903169</v>
      </c>
      <c r="AR24" s="12">
        <v>43939000</v>
      </c>
      <c r="AS24" s="12">
        <v>43725505</v>
      </c>
      <c r="AT24" s="12">
        <v>41289434</v>
      </c>
      <c r="AU24" s="12">
        <v>43367481</v>
      </c>
      <c r="AV24" s="12">
        <v>45243000</v>
      </c>
      <c r="AW24" s="12">
        <v>46770453</v>
      </c>
      <c r="AX24" s="12">
        <v>47493738</v>
      </c>
      <c r="AY24" s="12">
        <v>52547462</v>
      </c>
      <c r="AZ24" s="12">
        <v>58506000</v>
      </c>
      <c r="BA24" s="12">
        <v>100690194</v>
      </c>
      <c r="BB24" s="12">
        <v>97436536</v>
      </c>
      <c r="BC24" s="12">
        <v>101627020</v>
      </c>
      <c r="BD24" s="12">
        <v>99666000</v>
      </c>
      <c r="BE24" s="12">
        <v>94585179</v>
      </c>
      <c r="BF24" s="12">
        <v>107249970</v>
      </c>
      <c r="BG24" s="12">
        <v>96544327</v>
      </c>
      <c r="BH24" s="12">
        <v>99069000</v>
      </c>
      <c r="BI24" s="12">
        <v>99152035</v>
      </c>
      <c r="BJ24" s="12">
        <v>106332579</v>
      </c>
      <c r="BK24" s="12">
        <v>115924793</v>
      </c>
      <c r="BL24" s="12">
        <v>143235000</v>
      </c>
      <c r="BM24" s="12">
        <v>131323780</v>
      </c>
      <c r="BN24" s="12">
        <v>137959485</v>
      </c>
      <c r="BO24" s="12">
        <v>134352094</v>
      </c>
      <c r="BP24" s="12">
        <v>137140000</v>
      </c>
      <c r="BQ24" s="12">
        <v>130819012</v>
      </c>
      <c r="BR24" s="12">
        <v>135367599</v>
      </c>
      <c r="BS24" s="12">
        <v>136977876</v>
      </c>
      <c r="BT24" s="12">
        <v>134727000</v>
      </c>
      <c r="BU24" s="12">
        <v>134348871</v>
      </c>
      <c r="BV24" s="12">
        <v>162247728</v>
      </c>
      <c r="BW24" s="12">
        <v>164028123</v>
      </c>
      <c r="BX24" s="12">
        <v>177761000</v>
      </c>
      <c r="BY24" s="12">
        <v>179503654</v>
      </c>
      <c r="BZ24" s="12">
        <v>184480866</v>
      </c>
      <c r="CA24" s="12">
        <v>200354583</v>
      </c>
      <c r="CB24" s="12">
        <v>199633000</v>
      </c>
      <c r="CC24" s="12">
        <v>205264642</v>
      </c>
      <c r="CD24" s="12">
        <v>219826948</v>
      </c>
      <c r="CE24" s="12">
        <v>237468546</v>
      </c>
      <c r="CF24" s="12">
        <v>245165000</v>
      </c>
      <c r="CG24" s="12">
        <v>229388330</v>
      </c>
      <c r="CH24" s="12">
        <v>218778059</v>
      </c>
      <c r="CI24" s="12">
        <v>225306707</v>
      </c>
      <c r="CJ24" s="12">
        <v>259249000</v>
      </c>
      <c r="CK24" s="12">
        <v>244742826</v>
      </c>
      <c r="CL24" s="12">
        <v>266343331</v>
      </c>
      <c r="CM24" s="12">
        <v>255743679</v>
      </c>
      <c r="CN24" s="12">
        <v>263316000</v>
      </c>
      <c r="CO24" s="12">
        <v>282491801</v>
      </c>
      <c r="CP24" s="12">
        <v>281820445</v>
      </c>
      <c r="CQ24" s="12">
        <v>297976065</v>
      </c>
      <c r="CR24" s="12">
        <v>279081000</v>
      </c>
      <c r="CS24" s="12">
        <v>354296256</v>
      </c>
      <c r="CT24" s="12">
        <v>331841434</v>
      </c>
      <c r="CU24" s="12">
        <v>331367235</v>
      </c>
      <c r="CV24" s="12">
        <v>307651000</v>
      </c>
      <c r="CW24" s="12">
        <v>315574549</v>
      </c>
      <c r="CX24" s="12">
        <v>312771192</v>
      </c>
      <c r="CY24" s="12">
        <v>325887706</v>
      </c>
      <c r="CZ24" s="12">
        <v>337640000</v>
      </c>
      <c r="DA24" s="12">
        <v>337748890</v>
      </c>
      <c r="DB24" s="12">
        <v>339080023</v>
      </c>
      <c r="DC24" s="12">
        <v>353850037</v>
      </c>
      <c r="DD24" s="12">
        <v>347764000</v>
      </c>
      <c r="DE24" s="12">
        <v>338204583</v>
      </c>
      <c r="DF24" s="12">
        <v>333324946</v>
      </c>
      <c r="DG24" s="12">
        <v>346144446</v>
      </c>
      <c r="DH24" s="12">
        <v>348102000</v>
      </c>
      <c r="DI24" s="12">
        <v>363595827</v>
      </c>
      <c r="DJ24" s="12">
        <v>379931524</v>
      </c>
      <c r="DK24" s="12">
        <v>408954232</v>
      </c>
      <c r="DL24" s="12">
        <v>416804000</v>
      </c>
      <c r="DM24" s="12">
        <v>429185669</v>
      </c>
      <c r="DN24" s="12">
        <v>414568112</v>
      </c>
      <c r="DO24" s="12">
        <v>414828033</v>
      </c>
      <c r="DP24" s="12">
        <v>409805000</v>
      </c>
      <c r="DQ24" s="12">
        <v>418882803</v>
      </c>
      <c r="DR24" s="12">
        <v>409172953</v>
      </c>
    </row>
    <row r="25" spans="1:122">
      <c r="A25" s="4" t="s">
        <v>140</v>
      </c>
      <c r="B25" s="9">
        <v>268593</v>
      </c>
      <c r="C25" s="8" t="s">
        <v>137</v>
      </c>
      <c r="D25" s="8" t="s">
        <v>137</v>
      </c>
      <c r="E25" s="8" t="s">
        <v>137</v>
      </c>
      <c r="F25" s="12">
        <v>1485491</v>
      </c>
      <c r="G25" s="12">
        <v>1598283</v>
      </c>
      <c r="H25" s="12">
        <v>1808154</v>
      </c>
      <c r="I25" s="12">
        <v>1815169</v>
      </c>
      <c r="J25" s="12">
        <v>2537736</v>
      </c>
      <c r="K25" s="12">
        <v>2119103</v>
      </c>
      <c r="L25" s="12">
        <v>2119103</v>
      </c>
      <c r="M25" s="12">
        <v>1664728</v>
      </c>
      <c r="N25" s="12">
        <v>1974367</v>
      </c>
      <c r="O25" s="8" t="s">
        <v>137</v>
      </c>
      <c r="P25" s="12">
        <v>2209844</v>
      </c>
      <c r="Q25" s="12">
        <v>2209844</v>
      </c>
      <c r="R25" s="8" t="s">
        <v>137</v>
      </c>
      <c r="S25" s="12">
        <v>4073000</v>
      </c>
      <c r="T25" s="12">
        <v>-315178</v>
      </c>
      <c r="U25" s="12">
        <v>3951000</v>
      </c>
      <c r="V25" s="12">
        <v>3556000</v>
      </c>
      <c r="W25" s="12">
        <v>4742000</v>
      </c>
      <c r="X25" s="12">
        <v>4442533</v>
      </c>
      <c r="Y25" s="12">
        <v>10839000</v>
      </c>
      <c r="Z25" s="12">
        <v>11581000</v>
      </c>
      <c r="AA25" s="12">
        <v>11630000</v>
      </c>
      <c r="AB25" s="12">
        <v>9999000</v>
      </c>
      <c r="AC25" s="12">
        <v>11517000</v>
      </c>
      <c r="AD25" s="12">
        <v>11023000</v>
      </c>
      <c r="AE25" s="12">
        <v>10499000</v>
      </c>
      <c r="AF25" s="12">
        <v>7576000</v>
      </c>
      <c r="AG25" s="12">
        <v>8718000</v>
      </c>
      <c r="AH25" s="12">
        <v>8576000</v>
      </c>
      <c r="AI25" s="12">
        <v>8683000</v>
      </c>
      <c r="AJ25" s="12">
        <v>4894000</v>
      </c>
      <c r="AK25" s="12">
        <v>5636000</v>
      </c>
      <c r="AL25" s="12">
        <v>3536000</v>
      </c>
      <c r="AM25" s="12">
        <v>4427000</v>
      </c>
      <c r="AN25" s="12">
        <v>4520000</v>
      </c>
      <c r="AO25" s="12">
        <v>3457291</v>
      </c>
      <c r="AP25" s="12">
        <v>3461719</v>
      </c>
      <c r="AQ25" s="12">
        <v>2678005</v>
      </c>
      <c r="AR25" s="12">
        <v>3116000</v>
      </c>
      <c r="AS25" s="12">
        <v>2626683</v>
      </c>
      <c r="AT25" s="12">
        <v>3186344</v>
      </c>
      <c r="AU25" s="12">
        <v>1945726</v>
      </c>
      <c r="AV25" s="12">
        <v>2122000</v>
      </c>
      <c r="AW25" s="12">
        <v>1919170</v>
      </c>
      <c r="AX25" s="12">
        <v>3335195</v>
      </c>
      <c r="AY25" s="12">
        <v>2737194</v>
      </c>
      <c r="AZ25" s="12">
        <v>3841000</v>
      </c>
      <c r="BA25" s="12">
        <v>39645978</v>
      </c>
      <c r="BB25" s="12">
        <v>35164819</v>
      </c>
      <c r="BC25" s="12">
        <v>32550971</v>
      </c>
      <c r="BD25" s="12">
        <v>31850000</v>
      </c>
      <c r="BE25" s="12">
        <v>30207431</v>
      </c>
      <c r="BF25" s="12">
        <v>30235400</v>
      </c>
      <c r="BG25" s="12">
        <v>27812124</v>
      </c>
      <c r="BH25" s="12">
        <v>30115000</v>
      </c>
      <c r="BI25" s="12">
        <v>28853859</v>
      </c>
      <c r="BJ25" s="12">
        <v>28105527</v>
      </c>
      <c r="BK25" s="12">
        <v>29521142</v>
      </c>
      <c r="BL25" s="12">
        <v>44049000</v>
      </c>
      <c r="BM25" s="12">
        <v>39812024</v>
      </c>
      <c r="BN25" s="12">
        <v>41578244</v>
      </c>
      <c r="BO25" s="12">
        <v>38416884</v>
      </c>
      <c r="BP25" s="12">
        <v>38629000</v>
      </c>
      <c r="BQ25" s="12">
        <v>35932416</v>
      </c>
      <c r="BR25" s="12">
        <v>35975650</v>
      </c>
      <c r="BS25" s="12">
        <v>35518684</v>
      </c>
      <c r="BT25" s="12">
        <v>38676000</v>
      </c>
      <c r="BU25" s="12">
        <v>35133788</v>
      </c>
      <c r="BV25" s="12">
        <v>54860297</v>
      </c>
      <c r="BW25" s="12">
        <v>56847471</v>
      </c>
      <c r="BX25" s="12">
        <v>61172000</v>
      </c>
      <c r="BY25" s="12">
        <v>64684168</v>
      </c>
      <c r="BZ25" s="12">
        <v>63344487</v>
      </c>
      <c r="CA25" s="12">
        <v>67918584</v>
      </c>
      <c r="CB25" s="12">
        <v>66838000</v>
      </c>
      <c r="CC25" s="12">
        <v>66160276</v>
      </c>
      <c r="CD25" s="12">
        <v>71691877</v>
      </c>
      <c r="CE25" s="12">
        <v>75344989</v>
      </c>
      <c r="CF25" s="12">
        <v>79039000</v>
      </c>
      <c r="CG25" s="12">
        <v>72171057</v>
      </c>
      <c r="CH25" s="12">
        <v>69488419</v>
      </c>
      <c r="CI25" s="12">
        <v>69870825</v>
      </c>
      <c r="CJ25" s="12">
        <v>86228000</v>
      </c>
      <c r="CK25" s="12">
        <v>84584940</v>
      </c>
      <c r="CL25" s="12">
        <v>84724727</v>
      </c>
      <c r="CM25" s="12">
        <v>80029756</v>
      </c>
      <c r="CN25" s="12">
        <v>84589000</v>
      </c>
      <c r="CO25" s="12">
        <v>105510393</v>
      </c>
      <c r="CP25" s="12">
        <v>106192464</v>
      </c>
      <c r="CQ25" s="12">
        <v>108130333</v>
      </c>
      <c r="CR25" s="12">
        <v>106157000</v>
      </c>
      <c r="CS25" s="12">
        <v>125691319</v>
      </c>
      <c r="CT25" s="12">
        <v>122452405</v>
      </c>
      <c r="CU25" s="12">
        <v>114865008</v>
      </c>
      <c r="CV25" s="12">
        <v>105073000</v>
      </c>
      <c r="CW25" s="12">
        <v>106387251</v>
      </c>
      <c r="CX25" s="12">
        <v>105123758</v>
      </c>
      <c r="CY25" s="12">
        <v>108992771</v>
      </c>
      <c r="CZ25" s="12">
        <v>115323000</v>
      </c>
      <c r="DA25" s="12">
        <v>112782660</v>
      </c>
      <c r="DB25" s="12">
        <v>117282123</v>
      </c>
      <c r="DC25" s="12">
        <v>122998545</v>
      </c>
      <c r="DD25" s="12">
        <v>101516000</v>
      </c>
      <c r="DE25" s="12">
        <v>115834138</v>
      </c>
      <c r="DF25" s="12">
        <v>121738166</v>
      </c>
      <c r="DG25" s="12">
        <v>129239277</v>
      </c>
      <c r="DH25" s="12">
        <v>133186000</v>
      </c>
      <c r="DI25" s="12">
        <v>140007650</v>
      </c>
      <c r="DJ25" s="12">
        <v>159205198</v>
      </c>
      <c r="DK25" s="12">
        <v>171522313</v>
      </c>
      <c r="DL25" s="12">
        <v>179338000</v>
      </c>
      <c r="DM25" s="12">
        <v>180872685</v>
      </c>
      <c r="DN25" s="12">
        <v>187566321</v>
      </c>
      <c r="DO25" s="12">
        <v>181803191</v>
      </c>
      <c r="DP25" s="12">
        <v>182232000</v>
      </c>
      <c r="DQ25" s="12">
        <v>174227367</v>
      </c>
      <c r="DR25" s="12">
        <v>173116392</v>
      </c>
    </row>
    <row r="26" spans="1:122">
      <c r="A26" s="4" t="s">
        <v>141</v>
      </c>
      <c r="B26" s="9">
        <v>274444</v>
      </c>
      <c r="C26" s="8" t="s">
        <v>137</v>
      </c>
      <c r="D26" s="8" t="s">
        <v>137</v>
      </c>
      <c r="E26" s="8" t="s">
        <v>137</v>
      </c>
      <c r="F26" s="12">
        <v>1858561</v>
      </c>
      <c r="G26" s="12">
        <v>1826259</v>
      </c>
      <c r="H26" s="12">
        <v>2023243</v>
      </c>
      <c r="I26" s="12">
        <v>1923566</v>
      </c>
      <c r="J26" s="12">
        <v>2959874</v>
      </c>
      <c r="K26" s="12">
        <v>2303955</v>
      </c>
      <c r="L26" s="12">
        <v>2303955</v>
      </c>
      <c r="M26" s="12">
        <v>2341226</v>
      </c>
      <c r="N26" s="12">
        <v>2776694</v>
      </c>
      <c r="O26" s="8" t="s">
        <v>137</v>
      </c>
      <c r="P26" s="12">
        <v>4712441</v>
      </c>
      <c r="Q26" s="12">
        <v>4712441</v>
      </c>
      <c r="R26" s="8" t="s">
        <v>137</v>
      </c>
      <c r="S26" s="12">
        <v>4073000</v>
      </c>
      <c r="T26" s="12">
        <v>4149838</v>
      </c>
      <c r="U26" s="12">
        <v>3951000</v>
      </c>
      <c r="V26" s="12">
        <v>3556000</v>
      </c>
      <c r="W26" s="12">
        <v>4742000</v>
      </c>
      <c r="X26" s="12">
        <v>5253710</v>
      </c>
      <c r="Y26" s="12">
        <v>10839000</v>
      </c>
      <c r="Z26" s="12">
        <v>11581000</v>
      </c>
      <c r="AA26" s="12">
        <v>11630000</v>
      </c>
      <c r="AB26" s="12">
        <v>12485000</v>
      </c>
      <c r="AC26" s="12">
        <v>11517000</v>
      </c>
      <c r="AD26" s="12">
        <v>11023000</v>
      </c>
      <c r="AE26" s="12">
        <v>10499000</v>
      </c>
      <c r="AF26" s="12">
        <v>9424000</v>
      </c>
      <c r="AG26" s="12">
        <v>8718000</v>
      </c>
      <c r="AH26" s="12">
        <v>8576000</v>
      </c>
      <c r="AI26" s="12">
        <v>8683000</v>
      </c>
      <c r="AJ26" s="12">
        <v>8779000</v>
      </c>
      <c r="AK26" s="12">
        <v>8379000</v>
      </c>
      <c r="AL26" s="12">
        <v>8269000</v>
      </c>
      <c r="AM26" s="12">
        <v>8300000</v>
      </c>
      <c r="AN26" s="12">
        <v>8804000</v>
      </c>
      <c r="AO26" s="12">
        <v>8332697</v>
      </c>
      <c r="AP26" s="12">
        <v>8545053</v>
      </c>
      <c r="AQ26" s="12">
        <v>8732805</v>
      </c>
      <c r="AR26" s="12">
        <v>8806000</v>
      </c>
      <c r="AS26" s="12">
        <v>8377059</v>
      </c>
      <c r="AT26" s="12">
        <v>5684368</v>
      </c>
      <c r="AU26" s="12">
        <v>5699765</v>
      </c>
      <c r="AV26" s="12">
        <v>6024000</v>
      </c>
      <c r="AW26" s="12">
        <v>5832662</v>
      </c>
      <c r="AX26" s="12">
        <v>5815217</v>
      </c>
      <c r="AY26" s="12">
        <v>9304311</v>
      </c>
      <c r="AZ26" s="12">
        <v>11180000</v>
      </c>
      <c r="BA26" s="12">
        <v>44341187</v>
      </c>
      <c r="BB26" s="12">
        <v>42285709</v>
      </c>
      <c r="BC26" s="12">
        <v>41632366</v>
      </c>
      <c r="BD26" s="12">
        <v>36831000</v>
      </c>
      <c r="BE26" s="12">
        <v>35147030</v>
      </c>
      <c r="BF26" s="12">
        <v>45771980</v>
      </c>
      <c r="BG26" s="12">
        <v>32744238</v>
      </c>
      <c r="BH26" s="12">
        <v>33440000</v>
      </c>
      <c r="BI26" s="12">
        <v>33261615</v>
      </c>
      <c r="BJ26" s="12">
        <v>37313020</v>
      </c>
      <c r="BK26" s="12">
        <v>42005754</v>
      </c>
      <c r="BL26" s="12">
        <v>48015000</v>
      </c>
      <c r="BM26" s="12">
        <v>43642100</v>
      </c>
      <c r="BN26" s="12">
        <v>44918322</v>
      </c>
      <c r="BO26" s="12">
        <v>42751957</v>
      </c>
      <c r="BP26" s="12">
        <v>42907000</v>
      </c>
      <c r="BQ26" s="12">
        <v>40702685</v>
      </c>
      <c r="BR26" s="12">
        <v>41193296</v>
      </c>
      <c r="BS26" s="12">
        <v>40511810</v>
      </c>
      <c r="BT26" s="12">
        <v>41180000</v>
      </c>
      <c r="BU26" s="12">
        <v>38712597</v>
      </c>
      <c r="BV26" s="12">
        <v>60917589</v>
      </c>
      <c r="BW26" s="12">
        <v>60448903</v>
      </c>
      <c r="BX26" s="12">
        <v>63744000</v>
      </c>
      <c r="BY26" s="12">
        <v>66937793</v>
      </c>
      <c r="BZ26" s="12">
        <v>66619000</v>
      </c>
      <c r="CA26" s="12">
        <v>71932523</v>
      </c>
      <c r="CB26" s="12">
        <v>71457000</v>
      </c>
      <c r="CC26" s="12">
        <v>72566977</v>
      </c>
      <c r="CD26" s="12">
        <v>76323279</v>
      </c>
      <c r="CE26" s="12">
        <v>84240234</v>
      </c>
      <c r="CF26" s="12">
        <v>85853000</v>
      </c>
      <c r="CG26" s="12">
        <v>79955504</v>
      </c>
      <c r="CH26" s="12">
        <v>75117735</v>
      </c>
      <c r="CI26" s="12">
        <v>75555705</v>
      </c>
      <c r="CJ26" s="12">
        <v>93444000</v>
      </c>
      <c r="CK26" s="12">
        <v>89601670</v>
      </c>
      <c r="CL26" s="12">
        <v>92800800</v>
      </c>
      <c r="CM26" s="12">
        <v>88003472</v>
      </c>
      <c r="CN26" s="12">
        <v>92173000</v>
      </c>
      <c r="CO26" s="12">
        <v>112615291</v>
      </c>
      <c r="CP26" s="12">
        <v>111881271</v>
      </c>
      <c r="CQ26" s="12">
        <v>125190527</v>
      </c>
      <c r="CR26" s="12">
        <v>112408000</v>
      </c>
      <c r="CS26" s="12">
        <v>151134138</v>
      </c>
      <c r="CT26" s="12">
        <v>132788515</v>
      </c>
      <c r="CU26" s="12">
        <v>126896751</v>
      </c>
      <c r="CV26" s="12">
        <v>114341000</v>
      </c>
      <c r="CW26" s="12">
        <v>117705080</v>
      </c>
      <c r="CX26" s="12">
        <v>117037104</v>
      </c>
      <c r="CY26" s="12">
        <v>120146289</v>
      </c>
      <c r="CZ26" s="12">
        <v>124071000</v>
      </c>
      <c r="DA26" s="12">
        <v>121881532</v>
      </c>
      <c r="DB26" s="12">
        <v>124054799</v>
      </c>
      <c r="DC26" s="12">
        <v>130325583</v>
      </c>
      <c r="DD26" s="12">
        <v>113829000</v>
      </c>
      <c r="DE26" s="12">
        <v>121815301</v>
      </c>
      <c r="DF26" s="12">
        <v>128223953</v>
      </c>
      <c r="DG26" s="12">
        <v>135488566</v>
      </c>
      <c r="DH26" s="12">
        <v>139539000</v>
      </c>
      <c r="DI26" s="12">
        <v>157575262</v>
      </c>
      <c r="DJ26" s="12">
        <v>166820818</v>
      </c>
      <c r="DK26" s="12">
        <v>179956630</v>
      </c>
      <c r="DL26" s="12">
        <v>187395000</v>
      </c>
      <c r="DM26" s="12">
        <v>198651630</v>
      </c>
      <c r="DN26" s="12">
        <v>195060093</v>
      </c>
      <c r="DO26" s="12">
        <v>195419950</v>
      </c>
      <c r="DP26" s="12">
        <v>190767000</v>
      </c>
      <c r="DQ26" s="12">
        <v>193801324</v>
      </c>
      <c r="DR26" s="12">
        <v>189679369</v>
      </c>
    </row>
    <row r="27" spans="1:122">
      <c r="A27" s="4" t="s">
        <v>142</v>
      </c>
      <c r="B27" s="9">
        <v>268583</v>
      </c>
      <c r="C27" s="8" t="s">
        <v>137</v>
      </c>
      <c r="D27" s="8" t="s">
        <v>137</v>
      </c>
      <c r="E27" s="8" t="s">
        <v>137</v>
      </c>
      <c r="F27" s="12">
        <v>8212250</v>
      </c>
      <c r="G27" s="12">
        <v>6423465</v>
      </c>
      <c r="H27" s="12">
        <v>6626896</v>
      </c>
      <c r="I27" s="12">
        <v>6731803</v>
      </c>
      <c r="J27" s="12">
        <v>8985679</v>
      </c>
      <c r="K27" s="12">
        <v>8092846</v>
      </c>
      <c r="L27" s="12">
        <v>8092846</v>
      </c>
      <c r="M27" s="12">
        <v>9374706</v>
      </c>
      <c r="N27" s="12">
        <v>11118401</v>
      </c>
      <c r="O27" s="8" t="s">
        <v>137</v>
      </c>
      <c r="P27" s="12">
        <v>15852303</v>
      </c>
      <c r="Q27" s="12">
        <v>15852303</v>
      </c>
      <c r="R27" s="8" t="s">
        <v>137</v>
      </c>
      <c r="S27" s="12">
        <v>14347000</v>
      </c>
      <c r="T27" s="12">
        <v>15657914</v>
      </c>
      <c r="U27" s="12">
        <v>16426000</v>
      </c>
      <c r="V27" s="12">
        <v>15954000</v>
      </c>
      <c r="W27" s="12">
        <v>12296000</v>
      </c>
      <c r="X27" s="12">
        <v>13107497</v>
      </c>
      <c r="Y27" s="12">
        <v>12717000</v>
      </c>
      <c r="Z27" s="12">
        <v>13017000</v>
      </c>
      <c r="AA27" s="12">
        <v>13132000</v>
      </c>
      <c r="AB27" s="12">
        <v>14577000</v>
      </c>
      <c r="AC27" s="12">
        <v>14265000</v>
      </c>
      <c r="AD27" s="12">
        <v>14222000</v>
      </c>
      <c r="AE27" s="12">
        <v>14989000</v>
      </c>
      <c r="AF27" s="12">
        <v>16166000</v>
      </c>
      <c r="AG27" s="12">
        <v>16195000</v>
      </c>
      <c r="AH27" s="12">
        <v>16436000</v>
      </c>
      <c r="AI27" s="12">
        <v>17440000</v>
      </c>
      <c r="AJ27" s="12">
        <v>17242000</v>
      </c>
      <c r="AK27" s="12">
        <v>17852000</v>
      </c>
      <c r="AL27" s="12">
        <v>17860000</v>
      </c>
      <c r="AM27" s="12">
        <v>18595000</v>
      </c>
      <c r="AN27" s="12">
        <v>20274000</v>
      </c>
      <c r="AO27" s="12">
        <v>20326397</v>
      </c>
      <c r="AP27" s="12">
        <v>21402487</v>
      </c>
      <c r="AQ27" s="12">
        <v>22414870</v>
      </c>
      <c r="AR27" s="12">
        <v>24439000</v>
      </c>
      <c r="AS27" s="12">
        <v>24415215</v>
      </c>
      <c r="AT27" s="12">
        <v>24655517</v>
      </c>
      <c r="AU27" s="12">
        <v>26157526</v>
      </c>
      <c r="AV27" s="12">
        <v>27916000</v>
      </c>
      <c r="AW27" s="12">
        <v>28912924</v>
      </c>
      <c r="AX27" s="12">
        <v>28308792</v>
      </c>
      <c r="AY27" s="12">
        <v>29955667</v>
      </c>
      <c r="AZ27" s="12">
        <v>34264000</v>
      </c>
      <c r="BA27" s="12">
        <v>35946429</v>
      </c>
      <c r="BB27" s="12">
        <v>35272268</v>
      </c>
      <c r="BC27" s="12">
        <v>38307525</v>
      </c>
      <c r="BD27" s="12">
        <v>40104000</v>
      </c>
      <c r="BE27" s="12">
        <v>39765861</v>
      </c>
      <c r="BF27" s="12">
        <v>40761101</v>
      </c>
      <c r="BG27" s="12">
        <v>42528203</v>
      </c>
      <c r="BH27" s="12">
        <v>43710000</v>
      </c>
      <c r="BI27" s="12">
        <v>44516428</v>
      </c>
      <c r="BJ27" s="12">
        <v>44907390</v>
      </c>
      <c r="BK27" s="12">
        <v>46997793</v>
      </c>
      <c r="BL27" s="12">
        <v>46664000</v>
      </c>
      <c r="BM27" s="12">
        <v>45636644</v>
      </c>
      <c r="BN27" s="12">
        <v>48681810</v>
      </c>
      <c r="BO27" s="12">
        <v>46696822</v>
      </c>
      <c r="BP27" s="12">
        <v>44736000</v>
      </c>
      <c r="BQ27" s="12">
        <v>42066153</v>
      </c>
      <c r="BR27" s="12">
        <v>44040580</v>
      </c>
      <c r="BS27" s="12">
        <v>44672934</v>
      </c>
      <c r="BT27" s="12">
        <v>45619000</v>
      </c>
      <c r="BU27" s="12">
        <v>46558160</v>
      </c>
      <c r="BV27" s="12">
        <v>47939585</v>
      </c>
      <c r="BW27" s="12">
        <v>48988671</v>
      </c>
      <c r="BX27" s="12">
        <v>50975000</v>
      </c>
      <c r="BY27" s="12">
        <v>49274975</v>
      </c>
      <c r="BZ27" s="12">
        <v>51634692</v>
      </c>
      <c r="CA27" s="12">
        <v>57480826</v>
      </c>
      <c r="CB27" s="12">
        <v>58955000</v>
      </c>
      <c r="CC27" s="12">
        <v>61911234</v>
      </c>
      <c r="CD27" s="12">
        <v>66798264</v>
      </c>
      <c r="CE27" s="12">
        <v>70850558</v>
      </c>
      <c r="CF27" s="12">
        <v>71430000</v>
      </c>
      <c r="CG27" s="12">
        <v>66442812</v>
      </c>
      <c r="CH27" s="12">
        <v>63028922</v>
      </c>
      <c r="CI27" s="12">
        <v>65648870</v>
      </c>
      <c r="CJ27" s="12">
        <v>72767000</v>
      </c>
      <c r="CK27" s="12">
        <v>68301662</v>
      </c>
      <c r="CL27" s="12">
        <v>79575367</v>
      </c>
      <c r="CM27" s="12">
        <v>75231046</v>
      </c>
      <c r="CN27" s="12">
        <v>79690000</v>
      </c>
      <c r="CO27" s="12">
        <v>79253873</v>
      </c>
      <c r="CP27" s="12">
        <v>76774676</v>
      </c>
      <c r="CQ27" s="12">
        <v>76974468</v>
      </c>
      <c r="CR27" s="12">
        <v>73736000</v>
      </c>
      <c r="CS27" s="12">
        <v>90889253</v>
      </c>
      <c r="CT27" s="12">
        <v>86419990</v>
      </c>
      <c r="CU27" s="12">
        <v>88936722</v>
      </c>
      <c r="CV27" s="12">
        <v>83713000</v>
      </c>
      <c r="CW27" s="12">
        <v>90933649</v>
      </c>
      <c r="CX27" s="12">
        <v>85504318</v>
      </c>
      <c r="CY27" s="12">
        <v>92109493</v>
      </c>
      <c r="CZ27" s="12">
        <v>97100000</v>
      </c>
      <c r="DA27" s="12">
        <v>100421457</v>
      </c>
      <c r="DB27" s="12">
        <v>99049976</v>
      </c>
      <c r="DC27" s="12">
        <v>102321158</v>
      </c>
      <c r="DD27" s="12">
        <v>124111000</v>
      </c>
      <c r="DE27" s="12">
        <v>109783679</v>
      </c>
      <c r="DF27" s="12">
        <v>103664367</v>
      </c>
      <c r="DG27" s="12">
        <v>109382156</v>
      </c>
      <c r="DH27" s="12">
        <v>108322000</v>
      </c>
      <c r="DI27" s="12">
        <v>107445093</v>
      </c>
      <c r="DJ27" s="12">
        <v>113905129</v>
      </c>
      <c r="DK27" s="12">
        <v>125183888</v>
      </c>
      <c r="DL27" s="12">
        <v>125944000</v>
      </c>
      <c r="DM27" s="12">
        <v>127722571</v>
      </c>
      <c r="DN27" s="12">
        <v>118615932</v>
      </c>
      <c r="DO27" s="12">
        <v>116732435</v>
      </c>
      <c r="DP27" s="12">
        <v>119512000</v>
      </c>
      <c r="DQ27" s="12">
        <v>122569149</v>
      </c>
      <c r="DR27" s="12">
        <v>115272454</v>
      </c>
    </row>
    <row r="28" spans="1:122">
      <c r="A28" s="4" t="s">
        <v>143</v>
      </c>
      <c r="B28" s="9">
        <v>268584</v>
      </c>
      <c r="C28" s="8" t="s">
        <v>137</v>
      </c>
      <c r="D28" s="8" t="s">
        <v>137</v>
      </c>
      <c r="E28" s="8" t="s">
        <v>137</v>
      </c>
      <c r="F28" s="8" t="s">
        <v>137</v>
      </c>
      <c r="G28" s="12">
        <v>195482</v>
      </c>
      <c r="H28" s="12">
        <v>200068</v>
      </c>
      <c r="I28" s="12">
        <v>167848</v>
      </c>
      <c r="J28" s="12">
        <v>282700</v>
      </c>
      <c r="K28" s="12">
        <v>347178</v>
      </c>
      <c r="L28" s="12">
        <v>347178</v>
      </c>
      <c r="M28" s="12">
        <v>443378</v>
      </c>
      <c r="N28" s="12">
        <v>525846</v>
      </c>
      <c r="O28" s="8" t="s">
        <v>137</v>
      </c>
      <c r="P28" s="12">
        <v>378685</v>
      </c>
      <c r="Q28" s="8" t="s">
        <v>137</v>
      </c>
      <c r="R28" s="8" t="s">
        <v>137</v>
      </c>
      <c r="S28" s="8" t="s">
        <v>137</v>
      </c>
      <c r="T28" s="12">
        <v>298073</v>
      </c>
      <c r="U28" s="8" t="s">
        <v>137</v>
      </c>
      <c r="V28" s="8" t="s">
        <v>137</v>
      </c>
      <c r="W28" s="8" t="s">
        <v>137</v>
      </c>
      <c r="X28" s="12">
        <v>281289</v>
      </c>
      <c r="Y28" s="8" t="s">
        <v>137</v>
      </c>
      <c r="Z28" s="8" t="s">
        <v>137</v>
      </c>
      <c r="AA28" s="8" t="s">
        <v>137</v>
      </c>
      <c r="AB28" s="12">
        <v>373000</v>
      </c>
      <c r="AC28" s="8" t="s">
        <v>137</v>
      </c>
      <c r="AD28" s="8" t="s">
        <v>137</v>
      </c>
      <c r="AE28" s="8" t="s">
        <v>137</v>
      </c>
      <c r="AF28" s="12">
        <v>413000</v>
      </c>
      <c r="AG28" s="8" t="s">
        <v>137</v>
      </c>
      <c r="AH28" s="8" t="s">
        <v>137</v>
      </c>
      <c r="AI28" s="8" t="s">
        <v>137</v>
      </c>
      <c r="AJ28" s="12">
        <v>429000</v>
      </c>
      <c r="AK28" s="8" t="s">
        <v>137</v>
      </c>
      <c r="AL28" s="8" t="s">
        <v>137</v>
      </c>
      <c r="AM28" s="8" t="s">
        <v>137</v>
      </c>
      <c r="AN28" s="12">
        <v>483000</v>
      </c>
      <c r="AO28" s="12">
        <v>531697</v>
      </c>
      <c r="AP28" s="12">
        <v>534977</v>
      </c>
      <c r="AQ28" s="12">
        <v>565272</v>
      </c>
      <c r="AR28" s="12">
        <v>527000</v>
      </c>
      <c r="AS28" s="12">
        <v>538910</v>
      </c>
      <c r="AT28" s="12">
        <v>497082</v>
      </c>
      <c r="AU28" s="12">
        <v>536591</v>
      </c>
      <c r="AV28" s="12">
        <v>581000</v>
      </c>
      <c r="AW28" s="12">
        <v>618604</v>
      </c>
      <c r="AX28" s="12">
        <v>571110</v>
      </c>
      <c r="AY28" s="12">
        <v>594102</v>
      </c>
      <c r="AZ28" s="12">
        <v>710000</v>
      </c>
      <c r="BA28" s="12">
        <v>887541</v>
      </c>
      <c r="BB28" s="12">
        <v>836044</v>
      </c>
      <c r="BC28" s="12">
        <v>871743</v>
      </c>
      <c r="BD28" s="12">
        <v>853000</v>
      </c>
      <c r="BE28" s="12">
        <v>864808</v>
      </c>
      <c r="BF28" s="12">
        <v>759136</v>
      </c>
      <c r="BG28" s="12">
        <v>821379</v>
      </c>
      <c r="BH28" s="12">
        <v>827000</v>
      </c>
      <c r="BI28" s="12">
        <v>849479</v>
      </c>
      <c r="BJ28" s="12">
        <v>769465</v>
      </c>
      <c r="BK28" s="12">
        <v>852481</v>
      </c>
      <c r="BL28" s="12">
        <v>2035000</v>
      </c>
      <c r="BM28" s="12">
        <v>2872063</v>
      </c>
      <c r="BN28" s="12">
        <v>2872032</v>
      </c>
      <c r="BO28" s="12">
        <v>2997011</v>
      </c>
      <c r="BP28" s="12">
        <v>2322000</v>
      </c>
      <c r="BQ28" s="12">
        <v>2011251</v>
      </c>
      <c r="BR28" s="12">
        <v>1911080</v>
      </c>
      <c r="BS28" s="12">
        <v>2000085</v>
      </c>
      <c r="BT28" s="12">
        <v>2164000</v>
      </c>
      <c r="BU28" s="12">
        <v>2215970</v>
      </c>
      <c r="BV28" s="12">
        <v>2389316</v>
      </c>
      <c r="BW28" s="12">
        <v>1630282</v>
      </c>
      <c r="BX28" s="12">
        <v>2627000</v>
      </c>
      <c r="BY28" s="12">
        <v>2759939</v>
      </c>
      <c r="BZ28" s="12">
        <v>3142579</v>
      </c>
      <c r="CA28" s="12">
        <v>3152257</v>
      </c>
      <c r="CB28" s="12">
        <v>2904000</v>
      </c>
      <c r="CC28" s="12">
        <v>3153245</v>
      </c>
      <c r="CD28" s="12">
        <v>3127224</v>
      </c>
      <c r="CE28" s="12">
        <v>3381197</v>
      </c>
      <c r="CF28" s="12">
        <v>3646000</v>
      </c>
      <c r="CG28" s="12">
        <v>3678887</v>
      </c>
      <c r="CH28" s="12">
        <v>3323110</v>
      </c>
      <c r="CI28" s="12">
        <v>3813684</v>
      </c>
      <c r="CJ28" s="12">
        <v>4257000</v>
      </c>
      <c r="CK28" s="12">
        <v>4220301</v>
      </c>
      <c r="CL28" s="12">
        <v>4345214</v>
      </c>
      <c r="CM28" s="12">
        <v>4616700</v>
      </c>
      <c r="CN28" s="12">
        <v>4885000</v>
      </c>
      <c r="CO28" s="12">
        <v>4824101</v>
      </c>
      <c r="CP28" s="12">
        <v>4672307</v>
      </c>
      <c r="CQ28" s="12">
        <v>4776968</v>
      </c>
      <c r="CR28" s="12">
        <v>4575000</v>
      </c>
      <c r="CS28" s="12">
        <v>5529750</v>
      </c>
      <c r="CT28" s="12">
        <v>4506225</v>
      </c>
      <c r="CU28" s="12">
        <v>4559735</v>
      </c>
      <c r="CV28" s="12">
        <v>4298000</v>
      </c>
      <c r="CW28" s="12">
        <v>4562075</v>
      </c>
      <c r="CX28" s="12">
        <v>4180041</v>
      </c>
      <c r="CY28" s="12">
        <v>4240010</v>
      </c>
      <c r="CZ28" s="12">
        <v>4506000</v>
      </c>
      <c r="DA28" s="12">
        <v>4591965</v>
      </c>
      <c r="DB28" s="12">
        <v>4458930</v>
      </c>
      <c r="DC28" s="12">
        <v>3982255</v>
      </c>
      <c r="DD28" s="12">
        <v>3491000</v>
      </c>
      <c r="DE28" s="12">
        <v>3474768</v>
      </c>
      <c r="DF28" s="12">
        <v>2962344</v>
      </c>
      <c r="DG28" s="12">
        <v>3352877</v>
      </c>
      <c r="DH28" s="12">
        <v>3306000</v>
      </c>
      <c r="DI28" s="12">
        <v>3177954</v>
      </c>
      <c r="DJ28" s="12">
        <v>2762757</v>
      </c>
      <c r="DK28" s="12">
        <v>2531127</v>
      </c>
      <c r="DL28" s="12">
        <v>1754000</v>
      </c>
      <c r="DM28" s="12">
        <v>1556455</v>
      </c>
      <c r="DN28" s="12">
        <v>900385</v>
      </c>
      <c r="DO28" s="12">
        <v>1015689</v>
      </c>
      <c r="DP28" s="12">
        <v>743000</v>
      </c>
      <c r="DQ28" s="12">
        <v>917490</v>
      </c>
      <c r="DR28" s="12">
        <v>721722</v>
      </c>
    </row>
    <row r="29" spans="1:122">
      <c r="A29" s="4" t="s">
        <v>144</v>
      </c>
      <c r="B29" s="9">
        <v>268585</v>
      </c>
      <c r="C29" s="8" t="s">
        <v>137</v>
      </c>
      <c r="D29" s="8" t="s">
        <v>137</v>
      </c>
      <c r="E29" s="8" t="s">
        <v>137</v>
      </c>
      <c r="F29" s="12">
        <v>8212250</v>
      </c>
      <c r="G29" s="12">
        <v>6618947</v>
      </c>
      <c r="H29" s="12">
        <v>6826964</v>
      </c>
      <c r="I29" s="12">
        <v>6899651</v>
      </c>
      <c r="J29" s="12">
        <v>9268379</v>
      </c>
      <c r="K29" s="12">
        <v>8440024</v>
      </c>
      <c r="L29" s="12">
        <v>8440024</v>
      </c>
      <c r="M29" s="12">
        <v>9818084</v>
      </c>
      <c r="N29" s="12">
        <v>11644247</v>
      </c>
      <c r="O29" s="8" t="s">
        <v>137</v>
      </c>
      <c r="P29" s="12">
        <v>16230988</v>
      </c>
      <c r="Q29" s="12">
        <v>16230988</v>
      </c>
      <c r="R29" s="8" t="s">
        <v>137</v>
      </c>
      <c r="S29" s="12">
        <v>14347000</v>
      </c>
      <c r="T29" s="12">
        <v>15955987</v>
      </c>
      <c r="U29" s="12">
        <v>16426000</v>
      </c>
      <c r="V29" s="12">
        <v>15954000</v>
      </c>
      <c r="W29" s="12">
        <v>12296000</v>
      </c>
      <c r="X29" s="12">
        <v>13388786</v>
      </c>
      <c r="Y29" s="12">
        <v>12717000</v>
      </c>
      <c r="Z29" s="12">
        <v>13017000</v>
      </c>
      <c r="AA29" s="12">
        <v>13132000</v>
      </c>
      <c r="AB29" s="12">
        <v>14950000</v>
      </c>
      <c r="AC29" s="12">
        <v>14265000</v>
      </c>
      <c r="AD29" s="12">
        <v>14222000</v>
      </c>
      <c r="AE29" s="12">
        <v>14989000</v>
      </c>
      <c r="AF29" s="12">
        <v>16579000</v>
      </c>
      <c r="AG29" s="12">
        <v>16195000</v>
      </c>
      <c r="AH29" s="12">
        <v>16436000</v>
      </c>
      <c r="AI29" s="12">
        <v>17440000</v>
      </c>
      <c r="AJ29" s="12">
        <v>17671000</v>
      </c>
      <c r="AK29" s="12">
        <v>17852000</v>
      </c>
      <c r="AL29" s="12">
        <v>17860000</v>
      </c>
      <c r="AM29" s="12">
        <v>18595000</v>
      </c>
      <c r="AN29" s="12">
        <v>20757000</v>
      </c>
      <c r="AO29" s="12">
        <v>20858094</v>
      </c>
      <c r="AP29" s="12">
        <v>21937464</v>
      </c>
      <c r="AQ29" s="12">
        <v>22980142</v>
      </c>
      <c r="AR29" s="12">
        <v>24966000</v>
      </c>
      <c r="AS29" s="12">
        <v>24954125</v>
      </c>
      <c r="AT29" s="12">
        <v>25152599</v>
      </c>
      <c r="AU29" s="12">
        <v>26694117</v>
      </c>
      <c r="AV29" s="12">
        <v>28497000</v>
      </c>
      <c r="AW29" s="12">
        <v>29531528</v>
      </c>
      <c r="AX29" s="12">
        <v>28879902</v>
      </c>
      <c r="AY29" s="12">
        <v>30549769</v>
      </c>
      <c r="AZ29" s="12">
        <v>34974000</v>
      </c>
      <c r="BA29" s="12">
        <v>36833970</v>
      </c>
      <c r="BB29" s="12">
        <v>36108312</v>
      </c>
      <c r="BC29" s="12">
        <v>39179268</v>
      </c>
      <c r="BD29" s="12">
        <v>40957000</v>
      </c>
      <c r="BE29" s="12">
        <v>40630669</v>
      </c>
      <c r="BF29" s="12">
        <v>41520237</v>
      </c>
      <c r="BG29" s="12">
        <v>43349582</v>
      </c>
      <c r="BH29" s="12">
        <v>44537000</v>
      </c>
      <c r="BI29" s="12">
        <v>45365907</v>
      </c>
      <c r="BJ29" s="12">
        <v>45676855</v>
      </c>
      <c r="BK29" s="12">
        <v>47850274</v>
      </c>
      <c r="BL29" s="12">
        <v>48699000</v>
      </c>
      <c r="BM29" s="12">
        <v>48508707</v>
      </c>
      <c r="BN29" s="12">
        <v>51553842</v>
      </c>
      <c r="BO29" s="12">
        <v>49693833</v>
      </c>
      <c r="BP29" s="12">
        <v>47058000</v>
      </c>
      <c r="BQ29" s="12">
        <v>44077404</v>
      </c>
      <c r="BR29" s="12">
        <v>45951660</v>
      </c>
      <c r="BS29" s="12">
        <v>46673019</v>
      </c>
      <c r="BT29" s="12">
        <v>47783000</v>
      </c>
      <c r="BU29" s="12">
        <v>48774130</v>
      </c>
      <c r="BV29" s="12">
        <v>50328901</v>
      </c>
      <c r="BW29" s="12">
        <v>50618953</v>
      </c>
      <c r="BX29" s="12">
        <v>53602000</v>
      </c>
      <c r="BY29" s="12">
        <v>52034914</v>
      </c>
      <c r="BZ29" s="12">
        <v>54777271</v>
      </c>
      <c r="CA29" s="12">
        <v>60633083</v>
      </c>
      <c r="CB29" s="12">
        <v>61859000</v>
      </c>
      <c r="CC29" s="12">
        <v>65064479</v>
      </c>
      <c r="CD29" s="12">
        <v>69925488</v>
      </c>
      <c r="CE29" s="12">
        <v>74231755</v>
      </c>
      <c r="CF29" s="12">
        <v>75076000</v>
      </c>
      <c r="CG29" s="12">
        <v>70121699</v>
      </c>
      <c r="CH29" s="12">
        <v>66352032</v>
      </c>
      <c r="CI29" s="12">
        <v>69462554</v>
      </c>
      <c r="CJ29" s="12">
        <v>77024000</v>
      </c>
      <c r="CK29" s="12">
        <v>72521963</v>
      </c>
      <c r="CL29" s="12">
        <v>83920581</v>
      </c>
      <c r="CM29" s="12">
        <v>79847746</v>
      </c>
      <c r="CN29" s="12">
        <v>84575000</v>
      </c>
      <c r="CO29" s="12">
        <v>84077974</v>
      </c>
      <c r="CP29" s="12">
        <v>81446983</v>
      </c>
      <c r="CQ29" s="12">
        <v>81751436</v>
      </c>
      <c r="CR29" s="12">
        <v>78311000</v>
      </c>
      <c r="CS29" s="12">
        <v>96419003</v>
      </c>
      <c r="CT29" s="12">
        <v>90926215</v>
      </c>
      <c r="CU29" s="12">
        <v>93496457</v>
      </c>
      <c r="CV29" s="12">
        <v>88011000</v>
      </c>
      <c r="CW29" s="12">
        <v>95495724</v>
      </c>
      <c r="CX29" s="12">
        <v>89684359</v>
      </c>
      <c r="CY29" s="12">
        <v>96349503</v>
      </c>
      <c r="CZ29" s="12">
        <v>101606000</v>
      </c>
      <c r="DA29" s="12">
        <v>105013422</v>
      </c>
      <c r="DB29" s="12">
        <v>103508906</v>
      </c>
      <c r="DC29" s="12">
        <v>106303413</v>
      </c>
      <c r="DD29" s="12">
        <v>127602000</v>
      </c>
      <c r="DE29" s="12">
        <v>113258447</v>
      </c>
      <c r="DF29" s="12">
        <v>106626711</v>
      </c>
      <c r="DG29" s="12">
        <v>112735033</v>
      </c>
      <c r="DH29" s="12">
        <v>111628000</v>
      </c>
      <c r="DI29" s="12">
        <v>110623047</v>
      </c>
      <c r="DJ29" s="12">
        <v>116667886</v>
      </c>
      <c r="DK29" s="12">
        <v>127715015</v>
      </c>
      <c r="DL29" s="12">
        <v>127698000</v>
      </c>
      <c r="DM29" s="12">
        <v>129279026</v>
      </c>
      <c r="DN29" s="12">
        <v>119516317</v>
      </c>
      <c r="DO29" s="12">
        <v>117748124</v>
      </c>
      <c r="DP29" s="12">
        <v>120255000</v>
      </c>
      <c r="DQ29" s="12">
        <v>123486639</v>
      </c>
      <c r="DR29" s="12">
        <v>115994176</v>
      </c>
    </row>
    <row r="30" spans="1:122">
      <c r="A30" s="4" t="s">
        <v>145</v>
      </c>
      <c r="B30" s="9">
        <v>274464</v>
      </c>
      <c r="C30" s="8" t="s">
        <v>137</v>
      </c>
      <c r="D30" s="8" t="s">
        <v>137</v>
      </c>
      <c r="E30" s="8" t="s">
        <v>137</v>
      </c>
      <c r="F30" s="13">
        <v>0.26600000000000001</v>
      </c>
      <c r="G30" s="13">
        <v>1.1339999999999999</v>
      </c>
      <c r="H30" s="13">
        <v>1.0289999999999999</v>
      </c>
      <c r="I30" s="13">
        <v>0.88500000000000001</v>
      </c>
      <c r="J30" s="13">
        <v>1.022</v>
      </c>
      <c r="K30" s="13">
        <v>0.996</v>
      </c>
      <c r="L30" s="13">
        <v>0.996</v>
      </c>
      <c r="M30" s="13">
        <v>1.411</v>
      </c>
      <c r="N30" s="13">
        <v>1.411</v>
      </c>
      <c r="O30" s="8" t="s">
        <v>137</v>
      </c>
      <c r="P30" s="13">
        <v>1.6519999999999999</v>
      </c>
      <c r="Q30" s="8" t="s">
        <v>137</v>
      </c>
      <c r="R30" s="8" t="s">
        <v>137</v>
      </c>
      <c r="S30" s="13">
        <v>5.4119999999999999</v>
      </c>
      <c r="T30" s="13">
        <v>1.5620000000000001</v>
      </c>
      <c r="U30" s="13">
        <v>4.8079999999999998</v>
      </c>
      <c r="V30" s="13">
        <v>4.5949999999999998</v>
      </c>
      <c r="W30" s="13">
        <v>1.5329999999999999</v>
      </c>
      <c r="X30" s="13">
        <v>1.2090000000000001</v>
      </c>
      <c r="Y30" s="13">
        <v>0.84699999999999998</v>
      </c>
      <c r="Z30" s="13">
        <v>1.798</v>
      </c>
      <c r="AA30" s="13">
        <v>16.873999999999999</v>
      </c>
      <c r="AB30" s="13">
        <v>1.409</v>
      </c>
      <c r="AC30" s="13">
        <v>8.0510000000000002</v>
      </c>
      <c r="AD30" s="13">
        <v>13.021000000000001</v>
      </c>
      <c r="AE30" s="13">
        <v>14.952999999999999</v>
      </c>
      <c r="AF30" s="13">
        <v>1.3320000000000001</v>
      </c>
      <c r="AG30" s="13">
        <v>12.753</v>
      </c>
      <c r="AH30" s="13">
        <v>31.224</v>
      </c>
      <c r="AI30" s="13">
        <v>25.427</v>
      </c>
      <c r="AJ30" s="13">
        <v>1.514</v>
      </c>
      <c r="AK30" s="13">
        <v>47.533000000000001</v>
      </c>
      <c r="AL30" s="13">
        <v>59.076000000000001</v>
      </c>
      <c r="AM30" s="13">
        <v>47.988999999999997</v>
      </c>
      <c r="AN30" s="13">
        <v>1.4339999999999999</v>
      </c>
      <c r="AO30" s="13">
        <v>1.3839999999999999</v>
      </c>
      <c r="AP30" s="13">
        <v>1.042</v>
      </c>
      <c r="AQ30" s="13">
        <v>1.073</v>
      </c>
      <c r="AR30" s="13">
        <v>1.109</v>
      </c>
      <c r="AS30" s="13">
        <v>1.0920000000000001</v>
      </c>
      <c r="AT30" s="13">
        <v>1.0649999999999999</v>
      </c>
      <c r="AU30" s="13">
        <v>0.95399999999999996</v>
      </c>
      <c r="AV30" s="13">
        <v>1.0249999999999999</v>
      </c>
      <c r="AW30" s="13">
        <v>1.069</v>
      </c>
      <c r="AX30" s="13">
        <v>0.85799999999999998</v>
      </c>
      <c r="AY30" s="13">
        <v>1.2669999999999999</v>
      </c>
      <c r="AZ30" s="13">
        <v>1.4690000000000001</v>
      </c>
      <c r="BA30" s="13">
        <v>0.85399999999999998</v>
      </c>
      <c r="BB30" s="13">
        <v>1.345</v>
      </c>
      <c r="BC30" s="13">
        <v>0.95699999999999996</v>
      </c>
      <c r="BD30" s="13">
        <v>1.028</v>
      </c>
      <c r="BE30" s="13">
        <v>1.163</v>
      </c>
      <c r="BF30" s="13">
        <v>1.7549999999999999</v>
      </c>
      <c r="BG30" s="13">
        <v>1.304</v>
      </c>
      <c r="BH30" s="13">
        <v>1.262</v>
      </c>
      <c r="BI30" s="13">
        <v>1.37</v>
      </c>
      <c r="BJ30" s="13">
        <v>1.506</v>
      </c>
      <c r="BK30" s="13">
        <v>1.524</v>
      </c>
      <c r="BL30" s="13">
        <v>1.0860000000000001</v>
      </c>
      <c r="BM30" s="13">
        <v>1.0569999999999999</v>
      </c>
      <c r="BN30" s="13">
        <v>1.0860000000000001</v>
      </c>
      <c r="BO30" s="13">
        <v>1.147</v>
      </c>
      <c r="BP30" s="13">
        <v>1.0620000000000001</v>
      </c>
      <c r="BQ30" s="13">
        <v>1.0820000000000001</v>
      </c>
      <c r="BR30" s="13">
        <v>0.81899999999999995</v>
      </c>
      <c r="BS30" s="13">
        <v>0.81</v>
      </c>
      <c r="BT30" s="13">
        <v>0.75900000000000001</v>
      </c>
      <c r="BU30" s="13">
        <v>0.77700000000000002</v>
      </c>
      <c r="BV30" s="13">
        <v>0.97799999999999998</v>
      </c>
      <c r="BW30" s="13">
        <v>0.91100000000000003</v>
      </c>
      <c r="BX30" s="13">
        <v>0.874</v>
      </c>
      <c r="BY30" s="13">
        <v>0.84299999999999997</v>
      </c>
      <c r="BZ30" s="13">
        <v>0.69699999999999995</v>
      </c>
      <c r="CA30" s="13">
        <v>0.71899999999999997</v>
      </c>
      <c r="CB30" s="13">
        <v>0.747</v>
      </c>
      <c r="CC30" s="13">
        <v>0.80400000000000005</v>
      </c>
      <c r="CD30" s="13">
        <v>0.90400000000000003</v>
      </c>
      <c r="CE30" s="13">
        <v>0.95799999999999996</v>
      </c>
      <c r="CF30" s="13">
        <v>0.91500000000000004</v>
      </c>
      <c r="CG30" s="13">
        <v>0.90800000000000003</v>
      </c>
      <c r="CH30" s="13">
        <v>0.875</v>
      </c>
      <c r="CI30" s="13">
        <v>0.77200000000000002</v>
      </c>
      <c r="CJ30" s="13">
        <v>0.90600000000000003</v>
      </c>
      <c r="CK30" s="13">
        <v>0.874</v>
      </c>
      <c r="CL30" s="13">
        <v>0.92900000000000005</v>
      </c>
      <c r="CM30" s="13">
        <v>0.93100000000000005</v>
      </c>
      <c r="CN30" s="13">
        <v>0.92</v>
      </c>
      <c r="CO30" s="13">
        <v>0.89600000000000002</v>
      </c>
      <c r="CP30" s="13">
        <v>0.66600000000000004</v>
      </c>
      <c r="CQ30" s="13">
        <v>0.82599999999999996</v>
      </c>
      <c r="CR30" s="13">
        <v>0.80900000000000005</v>
      </c>
      <c r="CS30" s="13">
        <v>1.099</v>
      </c>
      <c r="CT30" s="13">
        <v>0.88100000000000001</v>
      </c>
      <c r="CU30" s="13">
        <v>0.86</v>
      </c>
      <c r="CV30" s="13">
        <v>0.82599999999999996</v>
      </c>
      <c r="CW30" s="13">
        <v>0.66600000000000004</v>
      </c>
      <c r="CX30" s="13">
        <v>0.73299999999999998</v>
      </c>
      <c r="CY30" s="13">
        <v>0.71899999999999997</v>
      </c>
      <c r="CZ30" s="13">
        <v>0.66100000000000003</v>
      </c>
      <c r="DA30" s="13">
        <v>0.78800000000000003</v>
      </c>
      <c r="DB30" s="13">
        <v>0.72199999999999998</v>
      </c>
      <c r="DC30" s="13">
        <v>0.73199999999999998</v>
      </c>
      <c r="DD30" s="13">
        <v>0.70699999999999996</v>
      </c>
      <c r="DE30" s="13">
        <v>0.61199999999999999</v>
      </c>
      <c r="DF30" s="13">
        <v>0.627</v>
      </c>
      <c r="DG30" s="13">
        <v>0.61799999999999999</v>
      </c>
      <c r="DH30" s="13">
        <v>0.67600000000000005</v>
      </c>
      <c r="DI30" s="13">
        <v>0.874</v>
      </c>
      <c r="DJ30" s="13">
        <v>0.83299999999999996</v>
      </c>
      <c r="DK30" s="13">
        <v>0.81399999999999995</v>
      </c>
      <c r="DL30" s="13">
        <v>0.78900000000000003</v>
      </c>
      <c r="DM30" s="13">
        <v>0.90400000000000003</v>
      </c>
      <c r="DN30" s="13">
        <v>0.80800000000000005</v>
      </c>
      <c r="DO30" s="13">
        <v>0.76500000000000001</v>
      </c>
      <c r="DP30" s="13">
        <v>0.71399999999999997</v>
      </c>
      <c r="DQ30" s="13">
        <v>0.89100000000000001</v>
      </c>
      <c r="DR30" s="13">
        <v>0.84299999999999997</v>
      </c>
    </row>
    <row r="31" spans="1:122">
      <c r="A31" s="4" t="s">
        <v>146</v>
      </c>
      <c r="B31" s="9">
        <v>274465</v>
      </c>
      <c r="C31" s="8" t="s">
        <v>137</v>
      </c>
      <c r="D31" s="8" t="s">
        <v>137</v>
      </c>
      <c r="E31" s="8" t="s">
        <v>137</v>
      </c>
      <c r="F31" s="13">
        <v>0.26</v>
      </c>
      <c r="G31" s="13">
        <v>0.66700000000000004</v>
      </c>
      <c r="H31" s="13">
        <v>0.53200000000000003</v>
      </c>
      <c r="I31" s="13">
        <v>0.48299999999999998</v>
      </c>
      <c r="J31" s="13">
        <v>0.57899999999999996</v>
      </c>
      <c r="K31" s="13">
        <v>0.49</v>
      </c>
      <c r="L31" s="13">
        <v>0.49</v>
      </c>
      <c r="M31" s="13">
        <v>0.84199999999999997</v>
      </c>
      <c r="N31" s="13">
        <v>0.84399999999999997</v>
      </c>
      <c r="O31" s="8" t="s">
        <v>137</v>
      </c>
      <c r="P31" s="13">
        <v>1.395</v>
      </c>
      <c r="Q31" s="8" t="s">
        <v>137</v>
      </c>
      <c r="R31" s="8" t="s">
        <v>137</v>
      </c>
      <c r="S31" s="8" t="s">
        <v>137</v>
      </c>
      <c r="T31" s="13">
        <v>1.375</v>
      </c>
      <c r="U31" s="8" t="s">
        <v>137</v>
      </c>
      <c r="V31" s="8" t="s">
        <v>137</v>
      </c>
      <c r="W31" s="8" t="s">
        <v>137</v>
      </c>
      <c r="X31" s="13">
        <v>0.97599999999999998</v>
      </c>
      <c r="Y31" s="8" t="s">
        <v>137</v>
      </c>
      <c r="Z31" s="8" t="s">
        <v>137</v>
      </c>
      <c r="AA31" s="8" t="s">
        <v>137</v>
      </c>
      <c r="AB31" s="13">
        <v>1.1759999999999999</v>
      </c>
      <c r="AC31" s="8" t="s">
        <v>137</v>
      </c>
      <c r="AD31" s="8" t="s">
        <v>137</v>
      </c>
      <c r="AE31" s="8" t="s">
        <v>137</v>
      </c>
      <c r="AF31" s="13">
        <v>1.1080000000000001</v>
      </c>
      <c r="AG31" s="8" t="s">
        <v>137</v>
      </c>
      <c r="AH31" s="8" t="s">
        <v>137</v>
      </c>
      <c r="AI31" s="8" t="s">
        <v>137</v>
      </c>
      <c r="AJ31" s="13">
        <v>1.2589999999999999</v>
      </c>
      <c r="AK31" s="13">
        <v>13.784000000000001</v>
      </c>
      <c r="AL31" s="13">
        <v>30.146000000000001</v>
      </c>
      <c r="AM31" s="13">
        <v>20.710999999999999</v>
      </c>
      <c r="AN31" s="13">
        <v>1.163</v>
      </c>
      <c r="AO31" s="13">
        <v>1.1160000000000001</v>
      </c>
      <c r="AP31" s="13">
        <v>0.84</v>
      </c>
      <c r="AQ31" s="13">
        <v>0.88700000000000001</v>
      </c>
      <c r="AR31" s="13">
        <v>0.91300000000000003</v>
      </c>
      <c r="AS31" s="13">
        <v>0.89800000000000002</v>
      </c>
      <c r="AT31" s="13">
        <v>0.80500000000000005</v>
      </c>
      <c r="AU31" s="13">
        <v>0.74199999999999999</v>
      </c>
      <c r="AV31" s="13">
        <v>0.78100000000000003</v>
      </c>
      <c r="AW31" s="13">
        <v>0.80400000000000005</v>
      </c>
      <c r="AX31" s="13">
        <v>0.63300000000000001</v>
      </c>
      <c r="AY31" s="13">
        <v>1.012</v>
      </c>
      <c r="AZ31" s="13">
        <v>1.1870000000000001</v>
      </c>
      <c r="BA31" s="13">
        <v>0.59799999999999998</v>
      </c>
      <c r="BB31" s="13">
        <v>1.0009999999999999</v>
      </c>
      <c r="BC31" s="13">
        <v>0.73399999999999999</v>
      </c>
      <c r="BD31" s="13">
        <v>0.82599999999999996</v>
      </c>
      <c r="BE31" s="13">
        <v>0.93700000000000006</v>
      </c>
      <c r="BF31" s="13">
        <v>1.5229999999999999</v>
      </c>
      <c r="BG31" s="13">
        <v>1.0269999999999999</v>
      </c>
      <c r="BH31" s="13">
        <v>0.98899999999999999</v>
      </c>
      <c r="BI31" s="13">
        <v>1.077</v>
      </c>
      <c r="BJ31" s="13">
        <v>1.226</v>
      </c>
      <c r="BK31" s="13">
        <v>1.2430000000000001</v>
      </c>
      <c r="BL31" s="13">
        <v>0.79100000000000004</v>
      </c>
      <c r="BM31" s="13">
        <v>0.79200000000000004</v>
      </c>
      <c r="BN31" s="13">
        <v>0.80500000000000005</v>
      </c>
      <c r="BO31" s="13">
        <v>0.85599999999999998</v>
      </c>
      <c r="BP31" s="13">
        <v>0.79500000000000004</v>
      </c>
      <c r="BQ31" s="13">
        <v>0.82299999999999995</v>
      </c>
      <c r="BR31" s="13">
        <v>0.63500000000000001</v>
      </c>
      <c r="BS31" s="13">
        <v>0.625</v>
      </c>
      <c r="BT31" s="13">
        <v>0.54500000000000004</v>
      </c>
      <c r="BU31" s="13">
        <v>0.60099999999999998</v>
      </c>
      <c r="BV31" s="13">
        <v>0.77300000000000002</v>
      </c>
      <c r="BW31" s="13">
        <v>0.68600000000000005</v>
      </c>
      <c r="BX31" s="13">
        <v>0.65800000000000003</v>
      </c>
      <c r="BY31" s="13">
        <v>0.66</v>
      </c>
      <c r="BZ31" s="13">
        <v>0.52500000000000002</v>
      </c>
      <c r="CA31" s="13">
        <v>0.52300000000000002</v>
      </c>
      <c r="CB31" s="13">
        <v>0.53500000000000003</v>
      </c>
      <c r="CC31" s="13">
        <v>0.60599999999999998</v>
      </c>
      <c r="CD31" s="13">
        <v>0.68</v>
      </c>
      <c r="CE31" s="13">
        <v>0.73599999999999999</v>
      </c>
      <c r="CF31" s="13">
        <v>0.68400000000000005</v>
      </c>
      <c r="CG31" s="13">
        <v>0.70899999999999996</v>
      </c>
      <c r="CH31" s="13">
        <v>0.66400000000000003</v>
      </c>
      <c r="CI31" s="13">
        <v>0.58799999999999997</v>
      </c>
      <c r="CJ31" s="13">
        <v>0.67</v>
      </c>
      <c r="CK31" s="13">
        <v>0.64600000000000002</v>
      </c>
      <c r="CL31" s="13">
        <v>0.69499999999999995</v>
      </c>
      <c r="CM31" s="13">
        <v>0.70599999999999996</v>
      </c>
      <c r="CN31" s="13">
        <v>0.68600000000000005</v>
      </c>
      <c r="CO31" s="13">
        <v>0.65800000000000003</v>
      </c>
      <c r="CP31" s="13">
        <v>0.48199999999999998</v>
      </c>
      <c r="CQ31" s="13">
        <v>0.64100000000000001</v>
      </c>
      <c r="CR31" s="13">
        <v>0.59399999999999997</v>
      </c>
      <c r="CS31" s="13">
        <v>0.85099999999999998</v>
      </c>
      <c r="CT31" s="13">
        <v>0.61399999999999999</v>
      </c>
      <c r="CU31" s="13">
        <v>0.625</v>
      </c>
      <c r="CV31" s="13">
        <v>0.59899999999999998</v>
      </c>
      <c r="CW31" s="13">
        <v>0.47899999999999998</v>
      </c>
      <c r="CX31" s="13">
        <v>0.51400000000000001</v>
      </c>
      <c r="CY31" s="13">
        <v>0.49199999999999999</v>
      </c>
      <c r="CZ31" s="13">
        <v>0.44400000000000001</v>
      </c>
      <c r="DA31" s="13">
        <v>0.46200000000000002</v>
      </c>
      <c r="DB31" s="13">
        <v>0.40600000000000003</v>
      </c>
      <c r="DC31" s="13">
        <v>0.42799999999999999</v>
      </c>
      <c r="DD31" s="13">
        <v>0.495</v>
      </c>
      <c r="DE31" s="13">
        <v>0.39800000000000002</v>
      </c>
      <c r="DF31" s="13">
        <v>0.4</v>
      </c>
      <c r="DG31" s="13">
        <v>0.40500000000000003</v>
      </c>
      <c r="DH31" s="13">
        <v>0.45400000000000001</v>
      </c>
      <c r="DI31" s="13">
        <v>0.626</v>
      </c>
      <c r="DJ31" s="13">
        <v>0.55600000000000005</v>
      </c>
      <c r="DK31" s="13">
        <v>0.54100000000000004</v>
      </c>
      <c r="DL31" s="13">
        <v>0.52400000000000002</v>
      </c>
      <c r="DM31" s="13">
        <v>0.64900000000000002</v>
      </c>
      <c r="DN31" s="13">
        <v>0.53300000000000003</v>
      </c>
      <c r="DO31" s="13">
        <v>0.53800000000000003</v>
      </c>
      <c r="DP31" s="13">
        <v>0.48899999999999999</v>
      </c>
      <c r="DQ31" s="13">
        <v>0.64100000000000001</v>
      </c>
      <c r="DR31" s="13">
        <v>0.59399999999999997</v>
      </c>
    </row>
    <row r="32" spans="1:122">
      <c r="A32" s="4" t="s">
        <v>147</v>
      </c>
      <c r="B32" s="9">
        <v>274466</v>
      </c>
      <c r="C32" s="8" t="s">
        <v>137</v>
      </c>
      <c r="D32" s="8" t="s">
        <v>137</v>
      </c>
      <c r="E32" s="8" t="s">
        <v>137</v>
      </c>
      <c r="F32" s="13">
        <v>22.632000000000001</v>
      </c>
      <c r="G32" s="13">
        <v>27.591000000000001</v>
      </c>
      <c r="H32" s="13">
        <v>29.635999999999999</v>
      </c>
      <c r="I32" s="13">
        <v>27.879000000000001</v>
      </c>
      <c r="J32" s="13">
        <v>31.934999999999999</v>
      </c>
      <c r="K32" s="13">
        <v>27.297999999999998</v>
      </c>
      <c r="L32" s="13">
        <v>27.297999999999998</v>
      </c>
      <c r="M32" s="13">
        <v>23.846</v>
      </c>
      <c r="N32" s="13">
        <v>23.846</v>
      </c>
      <c r="O32" s="8" t="s">
        <v>137</v>
      </c>
      <c r="P32" s="13">
        <v>29.033999999999999</v>
      </c>
      <c r="Q32" s="13">
        <v>29.033999999999999</v>
      </c>
      <c r="R32" s="8" t="s">
        <v>137</v>
      </c>
      <c r="S32" s="13">
        <v>28.388999999999999</v>
      </c>
      <c r="T32" s="13">
        <v>26.007999999999999</v>
      </c>
      <c r="U32" s="13">
        <v>24.053000000000001</v>
      </c>
      <c r="V32" s="13">
        <v>22.289000000000001</v>
      </c>
      <c r="W32" s="13">
        <v>38.564999999999998</v>
      </c>
      <c r="X32" s="13">
        <v>39.24</v>
      </c>
      <c r="Y32" s="13">
        <v>85.231999999999999</v>
      </c>
      <c r="Z32" s="13">
        <v>88.968000000000004</v>
      </c>
      <c r="AA32" s="13">
        <v>88.561999999999998</v>
      </c>
      <c r="AB32" s="13">
        <v>83.512</v>
      </c>
      <c r="AC32" s="13">
        <v>80.736000000000004</v>
      </c>
      <c r="AD32" s="13">
        <v>77.507000000000005</v>
      </c>
      <c r="AE32" s="13">
        <v>70.045000000000002</v>
      </c>
      <c r="AF32" s="13">
        <v>56.843000000000004</v>
      </c>
      <c r="AG32" s="13">
        <v>53.831000000000003</v>
      </c>
      <c r="AH32" s="13">
        <v>52.177999999999997</v>
      </c>
      <c r="AI32" s="13">
        <v>49.787999999999997</v>
      </c>
      <c r="AJ32" s="13">
        <v>49.68</v>
      </c>
      <c r="AK32" s="13">
        <v>46.936</v>
      </c>
      <c r="AL32" s="13">
        <v>46.298999999999999</v>
      </c>
      <c r="AM32" s="13">
        <v>44.636000000000003</v>
      </c>
      <c r="AN32" s="13">
        <v>42.414999999999999</v>
      </c>
      <c r="AO32" s="13">
        <v>39.948999999999998</v>
      </c>
      <c r="AP32" s="13">
        <v>38.951999999999998</v>
      </c>
      <c r="AQ32" s="13">
        <v>38.002000000000002</v>
      </c>
      <c r="AR32" s="13">
        <v>35.271999999999998</v>
      </c>
      <c r="AS32" s="13">
        <v>33.57</v>
      </c>
      <c r="AT32" s="13">
        <v>22.6</v>
      </c>
      <c r="AU32" s="13">
        <v>21.352</v>
      </c>
      <c r="AV32" s="13">
        <v>21.138999999999999</v>
      </c>
      <c r="AW32" s="13">
        <v>19.751000000000001</v>
      </c>
      <c r="AX32" s="13">
        <v>20.135999999999999</v>
      </c>
      <c r="AY32" s="13">
        <v>30.456</v>
      </c>
      <c r="AZ32" s="13">
        <v>31.966999999999999</v>
      </c>
      <c r="BA32" s="13">
        <v>120.381</v>
      </c>
      <c r="BB32" s="13">
        <v>117.108</v>
      </c>
      <c r="BC32" s="13">
        <v>106.261</v>
      </c>
      <c r="BD32" s="13">
        <v>89.926000000000002</v>
      </c>
      <c r="BE32" s="13">
        <v>86.504000000000005</v>
      </c>
      <c r="BF32" s="13">
        <v>110.24</v>
      </c>
      <c r="BG32" s="13">
        <v>75.534999999999997</v>
      </c>
      <c r="BH32" s="13">
        <v>75.084000000000003</v>
      </c>
      <c r="BI32" s="13">
        <v>73.319000000000003</v>
      </c>
      <c r="BJ32" s="13">
        <v>81.688999999999993</v>
      </c>
      <c r="BK32" s="13">
        <v>87.786000000000001</v>
      </c>
      <c r="BL32" s="13">
        <v>98.594999999999999</v>
      </c>
      <c r="BM32" s="13">
        <v>89.968000000000004</v>
      </c>
      <c r="BN32" s="13">
        <v>87.129000000000005</v>
      </c>
      <c r="BO32" s="13">
        <v>86.031000000000006</v>
      </c>
      <c r="BP32" s="13">
        <v>91.179000000000002</v>
      </c>
      <c r="BQ32" s="13">
        <v>92.343999999999994</v>
      </c>
      <c r="BR32" s="13">
        <v>89.644999999999996</v>
      </c>
      <c r="BS32" s="13">
        <v>86.799000000000007</v>
      </c>
      <c r="BT32" s="13">
        <v>86.180999999999997</v>
      </c>
      <c r="BU32" s="13">
        <v>79.370999999999995</v>
      </c>
      <c r="BV32" s="13">
        <v>121.039</v>
      </c>
      <c r="BW32" s="13">
        <v>119.42</v>
      </c>
      <c r="BX32" s="13">
        <v>118.92100000000001</v>
      </c>
      <c r="BY32" s="13">
        <v>128.63999999999999</v>
      </c>
      <c r="BZ32" s="13">
        <v>121.61799999999999</v>
      </c>
      <c r="CA32" s="13">
        <v>118.636</v>
      </c>
      <c r="CB32" s="13">
        <v>115.51600000000001</v>
      </c>
      <c r="CC32" s="13">
        <v>111.53100000000001</v>
      </c>
      <c r="CD32" s="13">
        <v>109.149</v>
      </c>
      <c r="CE32" s="13">
        <v>113.483</v>
      </c>
      <c r="CF32" s="13">
        <v>114.355</v>
      </c>
      <c r="CG32" s="13">
        <v>114.024</v>
      </c>
      <c r="CH32" s="13">
        <v>113.211</v>
      </c>
      <c r="CI32" s="13">
        <v>108.77200000000001</v>
      </c>
      <c r="CJ32" s="13">
        <v>121.318</v>
      </c>
      <c r="CK32" s="13">
        <v>123.551</v>
      </c>
      <c r="CL32" s="13">
        <v>110.58199999999999</v>
      </c>
      <c r="CM32" s="13">
        <v>110.214</v>
      </c>
      <c r="CN32" s="13">
        <v>108.98399999999999</v>
      </c>
      <c r="CO32" s="13">
        <v>133.941</v>
      </c>
      <c r="CP32" s="13">
        <v>137.36699999999999</v>
      </c>
      <c r="CQ32" s="13">
        <v>153.136</v>
      </c>
      <c r="CR32" s="13">
        <v>143.54</v>
      </c>
      <c r="CS32" s="13">
        <v>156.74700000000001</v>
      </c>
      <c r="CT32" s="13">
        <v>146.04</v>
      </c>
      <c r="CU32" s="13">
        <v>135.72399999999999</v>
      </c>
      <c r="CV32" s="13">
        <v>129.917</v>
      </c>
      <c r="CW32" s="13">
        <v>123.25700000000001</v>
      </c>
      <c r="CX32" s="13">
        <v>130.499</v>
      </c>
      <c r="CY32" s="13">
        <v>124.69799999999999</v>
      </c>
      <c r="CZ32" s="13">
        <v>122.11</v>
      </c>
      <c r="DA32" s="13">
        <v>116.063</v>
      </c>
      <c r="DB32" s="13">
        <v>119.849</v>
      </c>
      <c r="DC32" s="13">
        <v>122.598</v>
      </c>
      <c r="DD32" s="13">
        <v>89.206000000000003</v>
      </c>
      <c r="DE32" s="13">
        <v>107.55500000000001</v>
      </c>
      <c r="DF32" s="13">
        <v>120.255</v>
      </c>
      <c r="DG32" s="13">
        <v>120.18300000000001</v>
      </c>
      <c r="DH32" s="13">
        <v>125.004</v>
      </c>
      <c r="DI32" s="13">
        <v>142.44300000000001</v>
      </c>
      <c r="DJ32" s="13">
        <v>142.988</v>
      </c>
      <c r="DK32" s="13">
        <v>140.905</v>
      </c>
      <c r="DL32" s="13">
        <v>146.749</v>
      </c>
      <c r="DM32" s="13">
        <v>153.661</v>
      </c>
      <c r="DN32" s="13">
        <v>163.208</v>
      </c>
      <c r="DO32" s="13">
        <v>165.964</v>
      </c>
      <c r="DP32" s="13">
        <v>158.63499999999999</v>
      </c>
      <c r="DQ32" s="13">
        <v>156.941</v>
      </c>
      <c r="DR32" s="13">
        <v>163.52500000000001</v>
      </c>
    </row>
    <row r="33" spans="1:122">
      <c r="A33" s="4" t="s">
        <v>148</v>
      </c>
      <c r="B33" s="9">
        <v>274467</v>
      </c>
      <c r="C33" s="8" t="s">
        <v>137</v>
      </c>
      <c r="D33" s="8" t="s">
        <v>137</v>
      </c>
      <c r="E33" s="8" t="s">
        <v>137</v>
      </c>
      <c r="F33" s="13">
        <v>18.454999999999998</v>
      </c>
      <c r="G33" s="13">
        <v>21.625</v>
      </c>
      <c r="H33" s="13">
        <v>22.861000000000001</v>
      </c>
      <c r="I33" s="13">
        <v>21.800999999999998</v>
      </c>
      <c r="J33" s="13">
        <v>24.204999999999998</v>
      </c>
      <c r="K33" s="13">
        <v>21.443999999999999</v>
      </c>
      <c r="L33" s="13">
        <v>21.443999999999999</v>
      </c>
      <c r="M33" s="13">
        <v>19.254999999999999</v>
      </c>
      <c r="N33" s="13">
        <v>19.254999999999999</v>
      </c>
      <c r="O33" s="8" t="s">
        <v>137</v>
      </c>
      <c r="P33" s="13">
        <v>22.501000000000001</v>
      </c>
      <c r="Q33" s="13">
        <v>22.501000000000001</v>
      </c>
      <c r="R33" s="8" t="s">
        <v>137</v>
      </c>
      <c r="S33" s="13">
        <v>22.111999999999998</v>
      </c>
      <c r="T33" s="13">
        <v>20.64</v>
      </c>
      <c r="U33" s="13">
        <v>19.39</v>
      </c>
      <c r="V33" s="13">
        <v>18.227</v>
      </c>
      <c r="W33" s="13">
        <v>27.832000000000001</v>
      </c>
      <c r="X33" s="13">
        <v>28.181000000000001</v>
      </c>
      <c r="Y33" s="13">
        <v>46.014000000000003</v>
      </c>
      <c r="Z33" s="13">
        <v>47.081000000000003</v>
      </c>
      <c r="AA33" s="13">
        <v>46.966999999999999</v>
      </c>
      <c r="AB33" s="13">
        <v>45.508000000000003</v>
      </c>
      <c r="AC33" s="13">
        <v>44.670999999999999</v>
      </c>
      <c r="AD33" s="13">
        <v>43.664000000000001</v>
      </c>
      <c r="AE33" s="13">
        <v>41.192</v>
      </c>
      <c r="AF33" s="13">
        <v>36.241999999999997</v>
      </c>
      <c r="AG33" s="13">
        <v>34.994</v>
      </c>
      <c r="AH33" s="13">
        <v>34.287999999999997</v>
      </c>
      <c r="AI33" s="13">
        <v>33.238999999999997</v>
      </c>
      <c r="AJ33" s="13">
        <v>33.191000000000003</v>
      </c>
      <c r="AK33" s="13">
        <v>31.943000000000001</v>
      </c>
      <c r="AL33" s="13">
        <v>31.646999999999998</v>
      </c>
      <c r="AM33" s="13">
        <v>30.861000000000001</v>
      </c>
      <c r="AN33" s="13">
        <v>29.782</v>
      </c>
      <c r="AO33" s="13">
        <v>28.545999999999999</v>
      </c>
      <c r="AP33" s="13">
        <v>28.033000000000001</v>
      </c>
      <c r="AQ33" s="13">
        <v>27.536999999999999</v>
      </c>
      <c r="AR33" s="13">
        <v>26.074999999999999</v>
      </c>
      <c r="AS33" s="13">
        <v>25.132999999999999</v>
      </c>
      <c r="AT33" s="13">
        <v>18.434000000000001</v>
      </c>
      <c r="AU33" s="13">
        <v>17.594999999999999</v>
      </c>
      <c r="AV33" s="13">
        <v>17.45</v>
      </c>
      <c r="AW33" s="13">
        <v>16.492999999999999</v>
      </c>
      <c r="AX33" s="13">
        <v>16.760999999999999</v>
      </c>
      <c r="AY33" s="13">
        <v>23.346</v>
      </c>
      <c r="AZ33" s="13">
        <v>24.222999999999999</v>
      </c>
      <c r="BA33" s="13">
        <v>54.624000000000002</v>
      </c>
      <c r="BB33" s="13">
        <v>53.94</v>
      </c>
      <c r="BC33" s="13">
        <v>51.518000000000001</v>
      </c>
      <c r="BD33" s="13">
        <v>47.347999999999999</v>
      </c>
      <c r="BE33" s="13">
        <v>46.381999999999998</v>
      </c>
      <c r="BF33" s="13">
        <v>52.435000000000002</v>
      </c>
      <c r="BG33" s="13">
        <v>43.030999999999999</v>
      </c>
      <c r="BH33" s="13">
        <v>42.884</v>
      </c>
      <c r="BI33" s="13">
        <v>42.302999999999997</v>
      </c>
      <c r="BJ33" s="13">
        <v>44.960999999999999</v>
      </c>
      <c r="BK33" s="13">
        <v>46.747999999999998</v>
      </c>
      <c r="BL33" s="13">
        <v>49.646000000000001</v>
      </c>
      <c r="BM33" s="13">
        <v>47.359000000000002</v>
      </c>
      <c r="BN33" s="13">
        <v>46.561</v>
      </c>
      <c r="BO33" s="13">
        <v>46.244999999999997</v>
      </c>
      <c r="BP33" s="13">
        <v>47.692999999999998</v>
      </c>
      <c r="BQ33" s="13">
        <v>48.01</v>
      </c>
      <c r="BR33" s="13">
        <v>47.27</v>
      </c>
      <c r="BS33" s="13">
        <v>46.466999999999999</v>
      </c>
      <c r="BT33" s="13">
        <v>46.289000000000001</v>
      </c>
      <c r="BU33" s="13">
        <v>44.25</v>
      </c>
      <c r="BV33" s="13">
        <v>54.759</v>
      </c>
      <c r="BW33" s="13">
        <v>54.424999999999997</v>
      </c>
      <c r="BX33" s="13">
        <v>54.320999999999998</v>
      </c>
      <c r="BY33" s="13">
        <v>56.262999999999998</v>
      </c>
      <c r="BZ33" s="13">
        <v>54.877000000000002</v>
      </c>
      <c r="CA33" s="13">
        <v>54.262</v>
      </c>
      <c r="CB33" s="13">
        <v>53.6</v>
      </c>
      <c r="CC33" s="13">
        <v>52.725999999999999</v>
      </c>
      <c r="CD33" s="13">
        <v>52.186999999999998</v>
      </c>
      <c r="CE33" s="13">
        <v>53.158000000000001</v>
      </c>
      <c r="CF33" s="13">
        <v>53.347999999999999</v>
      </c>
      <c r="CG33" s="13">
        <v>53.276000000000003</v>
      </c>
      <c r="CH33" s="13">
        <v>53.097999999999999</v>
      </c>
      <c r="CI33" s="13">
        <v>52.100999999999999</v>
      </c>
      <c r="CJ33" s="13">
        <v>54.816000000000003</v>
      </c>
      <c r="CK33" s="13">
        <v>55.267000000000003</v>
      </c>
      <c r="CL33" s="13">
        <v>52.512</v>
      </c>
      <c r="CM33" s="13">
        <v>52.429000000000002</v>
      </c>
      <c r="CN33" s="13">
        <v>52.149000000000001</v>
      </c>
      <c r="CO33" s="13">
        <v>57.253999999999998</v>
      </c>
      <c r="CP33" s="13">
        <v>57.871000000000002</v>
      </c>
      <c r="CQ33" s="13">
        <v>60.494999999999997</v>
      </c>
      <c r="CR33" s="13">
        <v>58.939</v>
      </c>
      <c r="CS33" s="13">
        <v>61.051000000000002</v>
      </c>
      <c r="CT33" s="13">
        <v>59.356000000000002</v>
      </c>
      <c r="CU33" s="13">
        <v>57.576999999999998</v>
      </c>
      <c r="CV33" s="13">
        <v>56.506</v>
      </c>
      <c r="CW33" s="13">
        <v>55.209000000000003</v>
      </c>
      <c r="CX33" s="13">
        <v>56.616</v>
      </c>
      <c r="CY33" s="13">
        <v>55.496000000000002</v>
      </c>
      <c r="CZ33" s="13">
        <v>54.976999999999997</v>
      </c>
      <c r="DA33" s="13">
        <v>53.716999999999999</v>
      </c>
      <c r="DB33" s="13">
        <v>54.514000000000003</v>
      </c>
      <c r="DC33" s="13">
        <v>55.076000000000001</v>
      </c>
      <c r="DD33" s="13">
        <v>47.148000000000003</v>
      </c>
      <c r="DE33" s="13">
        <v>51.82</v>
      </c>
      <c r="DF33" s="13">
        <v>54.597999999999999</v>
      </c>
      <c r="DG33" s="13">
        <v>54.582999999999998</v>
      </c>
      <c r="DH33" s="13">
        <v>55.555999999999997</v>
      </c>
      <c r="DI33" s="13">
        <v>58.753</v>
      </c>
      <c r="DJ33" s="13">
        <v>58.845999999999997</v>
      </c>
      <c r="DK33" s="13">
        <v>58.49</v>
      </c>
      <c r="DL33" s="13">
        <v>59.472999999999999</v>
      </c>
      <c r="DM33" s="13">
        <v>60.576999999999998</v>
      </c>
      <c r="DN33" s="13">
        <v>62.006999999999998</v>
      </c>
      <c r="DO33" s="13">
        <v>62.401000000000003</v>
      </c>
      <c r="DP33" s="13">
        <v>61.335999999999999</v>
      </c>
      <c r="DQ33" s="13">
        <v>61.081000000000003</v>
      </c>
      <c r="DR33" s="13">
        <v>62.052999999999997</v>
      </c>
    </row>
    <row r="34" spans="1:122">
      <c r="A34" s="4" t="s">
        <v>149</v>
      </c>
      <c r="B34" s="9">
        <v>274468</v>
      </c>
      <c r="C34" s="8" t="s">
        <v>137</v>
      </c>
      <c r="D34" s="8" t="s">
        <v>137</v>
      </c>
      <c r="E34" s="8" t="s">
        <v>137</v>
      </c>
      <c r="F34" s="8" t="s">
        <v>150</v>
      </c>
      <c r="G34" s="13">
        <v>1.407</v>
      </c>
      <c r="H34" s="13">
        <v>0.86299999999999999</v>
      </c>
      <c r="I34" s="13">
        <v>0.95499999999999996</v>
      </c>
      <c r="J34" s="13">
        <v>0.89800000000000002</v>
      </c>
      <c r="K34" s="13">
        <v>1</v>
      </c>
      <c r="L34" s="13">
        <v>1</v>
      </c>
      <c r="M34" s="13">
        <v>0.874</v>
      </c>
      <c r="N34" s="13">
        <v>0.54100000000000004</v>
      </c>
      <c r="O34" s="8" t="s">
        <v>137</v>
      </c>
      <c r="P34" s="13">
        <v>1.097</v>
      </c>
      <c r="Q34" s="13">
        <v>1.173</v>
      </c>
      <c r="R34" s="8" t="s">
        <v>137</v>
      </c>
      <c r="S34" s="13">
        <v>0.91200000000000003</v>
      </c>
      <c r="T34" s="13">
        <v>0.87</v>
      </c>
      <c r="U34" s="13">
        <v>0.93400000000000005</v>
      </c>
      <c r="V34" s="13">
        <v>0.753</v>
      </c>
      <c r="W34" s="13">
        <v>0.94499999999999995</v>
      </c>
      <c r="X34" s="13">
        <v>1.1890000000000001</v>
      </c>
      <c r="Y34" s="13">
        <v>2.4740000000000002</v>
      </c>
      <c r="Z34" s="13">
        <v>2.69</v>
      </c>
      <c r="AA34" s="13">
        <v>2.202</v>
      </c>
      <c r="AB34" s="13">
        <v>3.5379999999999998</v>
      </c>
      <c r="AC34" s="13">
        <v>2.7290000000000001</v>
      </c>
      <c r="AD34" s="13">
        <v>2.5489999999999999</v>
      </c>
      <c r="AE34" s="13">
        <v>1.794</v>
      </c>
      <c r="AF34" s="13">
        <v>1.609</v>
      </c>
      <c r="AG34" s="13">
        <v>1.758</v>
      </c>
      <c r="AH34" s="13">
        <v>1.5980000000000001</v>
      </c>
      <c r="AI34" s="13">
        <v>1.2689999999999999</v>
      </c>
      <c r="AJ34" s="13">
        <v>1.4119999999999999</v>
      </c>
      <c r="AK34" s="13">
        <v>1.474</v>
      </c>
      <c r="AL34" s="13">
        <v>1.23</v>
      </c>
      <c r="AM34" s="13">
        <v>1.08</v>
      </c>
      <c r="AN34" s="13">
        <v>1.1200000000000001</v>
      </c>
      <c r="AO34" s="13">
        <v>1.377</v>
      </c>
      <c r="AP34" s="13">
        <v>1.1539999999999999</v>
      </c>
      <c r="AQ34" s="13">
        <v>1.004</v>
      </c>
      <c r="AR34" s="13">
        <v>1.0429999999999999</v>
      </c>
      <c r="AS34" s="13">
        <v>1.1930000000000001</v>
      </c>
      <c r="AT34" s="13">
        <v>0.73799999999999999</v>
      </c>
      <c r="AU34" s="13">
        <v>0.57099999999999995</v>
      </c>
      <c r="AV34" s="13">
        <v>0.61199999999999999</v>
      </c>
      <c r="AW34" s="13">
        <v>0.76900000000000002</v>
      </c>
      <c r="AX34" s="13">
        <v>0.72199999999999998</v>
      </c>
      <c r="AY34" s="13">
        <v>0.86099999999999999</v>
      </c>
      <c r="AZ34" s="13">
        <v>0.86899999999999999</v>
      </c>
      <c r="BA34" s="13">
        <v>3.6480000000000001</v>
      </c>
      <c r="BB34" s="13">
        <v>2.97</v>
      </c>
      <c r="BC34" s="13">
        <v>2.4630000000000001</v>
      </c>
      <c r="BD34" s="13">
        <v>1.837</v>
      </c>
      <c r="BE34" s="13">
        <v>2.46</v>
      </c>
      <c r="BF34" s="13">
        <v>3.177</v>
      </c>
      <c r="BG34" s="13">
        <v>1.907</v>
      </c>
      <c r="BH34" s="13">
        <v>2.0790000000000002</v>
      </c>
      <c r="BI34" s="13">
        <v>2.6869999999999998</v>
      </c>
      <c r="BJ34" s="13">
        <v>2.9870000000000001</v>
      </c>
      <c r="BK34" s="13">
        <v>2.6120000000000001</v>
      </c>
      <c r="BL34" s="13">
        <v>3.282</v>
      </c>
      <c r="BM34" s="13">
        <v>3.5590000000000002</v>
      </c>
      <c r="BN34" s="13">
        <v>2.9329999999999998</v>
      </c>
      <c r="BO34" s="13">
        <v>2.4889999999999999</v>
      </c>
      <c r="BP34" s="13">
        <v>2.2210000000000001</v>
      </c>
      <c r="BQ34" s="13">
        <v>2.923</v>
      </c>
      <c r="BR34" s="13">
        <v>2.1259999999999999</v>
      </c>
      <c r="BS34" s="13">
        <v>1.879</v>
      </c>
      <c r="BT34" s="13">
        <v>2.0590000000000002</v>
      </c>
      <c r="BU34" s="13">
        <v>2.694</v>
      </c>
      <c r="BV34" s="13">
        <v>2.9</v>
      </c>
      <c r="BW34" s="13">
        <v>2.5259999999999998</v>
      </c>
      <c r="BX34" s="13">
        <v>2.3839999999999999</v>
      </c>
      <c r="BY34" s="13">
        <v>3.4289999999999998</v>
      </c>
      <c r="BZ34" s="13">
        <v>2.7450000000000001</v>
      </c>
      <c r="CA34" s="13">
        <v>2.5670000000000002</v>
      </c>
      <c r="CB34" s="13">
        <v>2.4039999999999999</v>
      </c>
      <c r="CC34" s="13">
        <v>3.0139999999999998</v>
      </c>
      <c r="CD34" s="13">
        <v>2.5609999999999999</v>
      </c>
      <c r="CE34" s="13">
        <v>2.4929999999999999</v>
      </c>
      <c r="CF34" s="13">
        <v>2.3980000000000001</v>
      </c>
      <c r="CG34" s="13">
        <v>3.0590000000000002</v>
      </c>
      <c r="CH34" s="13">
        <v>2.5419999999999998</v>
      </c>
      <c r="CI34" s="13">
        <v>2.411</v>
      </c>
      <c r="CJ34" s="13">
        <v>2.726</v>
      </c>
      <c r="CK34" s="13">
        <v>3.129</v>
      </c>
      <c r="CL34" s="13">
        <v>2.6629999999999998</v>
      </c>
      <c r="CM34" s="13">
        <v>2.383</v>
      </c>
      <c r="CN34" s="13">
        <v>2.3410000000000002</v>
      </c>
      <c r="CO34" s="13">
        <v>3.222</v>
      </c>
      <c r="CP34" s="13">
        <v>2.8940000000000001</v>
      </c>
      <c r="CQ34" s="13">
        <v>2.7320000000000002</v>
      </c>
      <c r="CR34" s="13">
        <v>2.544</v>
      </c>
      <c r="CS34" s="13">
        <v>4.0199999999999996</v>
      </c>
      <c r="CT34" s="13">
        <v>2.9670000000000001</v>
      </c>
      <c r="CU34" s="13">
        <v>2.6640000000000001</v>
      </c>
      <c r="CV34" s="13">
        <v>2.1259999999999999</v>
      </c>
      <c r="CW34" s="13">
        <v>2.1360000000000001</v>
      </c>
      <c r="CX34" s="13">
        <v>3.1480000000000001</v>
      </c>
      <c r="CY34" s="13">
        <v>2.504</v>
      </c>
      <c r="CZ34" s="13">
        <v>2.2589999999999999</v>
      </c>
      <c r="DA34" s="13">
        <v>2.411</v>
      </c>
      <c r="DB34" s="13">
        <v>2.117</v>
      </c>
      <c r="DC34" s="13">
        <v>2.09</v>
      </c>
      <c r="DD34" s="13">
        <v>2.3980000000000001</v>
      </c>
      <c r="DE34" s="13">
        <v>2.39</v>
      </c>
      <c r="DF34" s="13">
        <v>2.3010000000000002</v>
      </c>
      <c r="DG34" s="13">
        <v>2.0270000000000001</v>
      </c>
      <c r="DH34" s="13">
        <v>2.2629999999999999</v>
      </c>
      <c r="DI34" s="13">
        <v>3.3420000000000001</v>
      </c>
      <c r="DJ34" s="13">
        <v>2.9340000000000002</v>
      </c>
      <c r="DK34" s="13">
        <v>2.915</v>
      </c>
      <c r="DL34" s="8" t="s">
        <v>137</v>
      </c>
      <c r="DM34" s="13">
        <v>3.879</v>
      </c>
      <c r="DN34" s="13">
        <v>3.3130000000000002</v>
      </c>
      <c r="DO34" s="13">
        <v>3.141</v>
      </c>
      <c r="DP34" s="13">
        <v>2.766</v>
      </c>
      <c r="DQ34" s="13">
        <v>3.0169999999999999</v>
      </c>
      <c r="DR34" s="13">
        <v>3.177</v>
      </c>
    </row>
    <row r="35" spans="1:122">
      <c r="A35" s="4" t="s">
        <v>134</v>
      </c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>
      <c r="A36" s="11" t="s">
        <v>151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>
      <c r="A37" s="4" t="s">
        <v>152</v>
      </c>
      <c r="B37" s="9">
        <v>271468</v>
      </c>
      <c r="C37" s="12">
        <v>2396689</v>
      </c>
      <c r="D37" s="12">
        <v>2784260</v>
      </c>
      <c r="E37" s="12">
        <v>3379726</v>
      </c>
      <c r="F37" s="12">
        <v>-8560675</v>
      </c>
      <c r="G37" s="12">
        <v>2977890</v>
      </c>
      <c r="H37" s="12">
        <v>4864679</v>
      </c>
      <c r="I37" s="12">
        <v>3859894</v>
      </c>
      <c r="J37" s="12">
        <v>7065566</v>
      </c>
      <c r="K37" s="12">
        <v>4176072.5</v>
      </c>
      <c r="L37" s="12">
        <v>4176072.5</v>
      </c>
      <c r="M37" s="12">
        <v>5105433.5</v>
      </c>
      <c r="N37" s="12">
        <v>8558153.5</v>
      </c>
      <c r="O37" s="12">
        <v>7352000</v>
      </c>
      <c r="P37" s="12">
        <v>8942894</v>
      </c>
      <c r="Q37" s="12">
        <v>7787000</v>
      </c>
      <c r="R37" s="12">
        <v>8145000</v>
      </c>
      <c r="S37" s="12">
        <v>8140000</v>
      </c>
      <c r="T37" s="12">
        <v>7935814</v>
      </c>
      <c r="U37" s="12">
        <v>8173000</v>
      </c>
      <c r="V37" s="12">
        <v>8420000</v>
      </c>
      <c r="W37" s="12">
        <v>8681000</v>
      </c>
      <c r="X37" s="12">
        <v>9694097</v>
      </c>
      <c r="Y37" s="12">
        <v>9701000</v>
      </c>
      <c r="Z37" s="12">
        <v>11206000</v>
      </c>
      <c r="AA37" s="12">
        <v>11006000</v>
      </c>
      <c r="AB37" s="12">
        <v>12437000</v>
      </c>
      <c r="AC37" s="12">
        <v>11472000</v>
      </c>
      <c r="AD37" s="12">
        <v>11482000</v>
      </c>
      <c r="AE37" s="12">
        <v>12365000</v>
      </c>
      <c r="AF37" s="12">
        <v>13781000</v>
      </c>
      <c r="AG37" s="12">
        <v>12500000</v>
      </c>
      <c r="AH37" s="12">
        <v>12581000</v>
      </c>
      <c r="AI37" s="12">
        <v>13296000</v>
      </c>
      <c r="AJ37" s="12">
        <v>14196000</v>
      </c>
      <c r="AK37" s="12">
        <v>13692399</v>
      </c>
      <c r="AL37" s="12">
        <v>14282963</v>
      </c>
      <c r="AM37" s="12">
        <v>14763381</v>
      </c>
      <c r="AN37" s="12">
        <v>15904257</v>
      </c>
      <c r="AO37" s="12">
        <v>15419515</v>
      </c>
      <c r="AP37" s="12">
        <v>16140312</v>
      </c>
      <c r="AQ37" s="12">
        <v>16784583</v>
      </c>
      <c r="AR37" s="12">
        <v>18491590</v>
      </c>
      <c r="AS37" s="12">
        <v>17543787</v>
      </c>
      <c r="AT37" s="12">
        <v>17668038</v>
      </c>
      <c r="AU37" s="12">
        <v>18352964</v>
      </c>
      <c r="AV37" s="12">
        <v>18729211</v>
      </c>
      <c r="AW37" s="12">
        <v>19347384</v>
      </c>
      <c r="AX37" s="12">
        <v>19995875</v>
      </c>
      <c r="AY37" s="12">
        <v>20796212</v>
      </c>
      <c r="AZ37" s="12">
        <v>22177529</v>
      </c>
      <c r="BA37" s="12">
        <v>28356961</v>
      </c>
      <c r="BB37" s="12">
        <v>28686289</v>
      </c>
      <c r="BC37" s="12">
        <v>29351521</v>
      </c>
      <c r="BD37" s="12">
        <v>29958228</v>
      </c>
      <c r="BE37" s="12">
        <v>28333589</v>
      </c>
      <c r="BF37" s="12">
        <v>28827795</v>
      </c>
      <c r="BG37" s="12">
        <v>29570537</v>
      </c>
      <c r="BH37" s="12">
        <v>30431079</v>
      </c>
      <c r="BI37" s="12">
        <v>29499834</v>
      </c>
      <c r="BJ37" s="12">
        <v>30163700</v>
      </c>
      <c r="BK37" s="12">
        <v>32263241</v>
      </c>
      <c r="BL37" s="12">
        <v>41569225</v>
      </c>
      <c r="BM37" s="12">
        <v>41028243</v>
      </c>
      <c r="BN37" s="12">
        <v>43318374</v>
      </c>
      <c r="BO37" s="12">
        <v>43514619</v>
      </c>
      <c r="BP37" s="12">
        <v>45277765</v>
      </c>
      <c r="BQ37" s="12">
        <v>41454492</v>
      </c>
      <c r="BR37" s="12">
        <v>43275277</v>
      </c>
      <c r="BS37" s="12">
        <v>44835207</v>
      </c>
      <c r="BT37" s="12">
        <v>46476025</v>
      </c>
      <c r="BU37" s="12">
        <v>41558377</v>
      </c>
      <c r="BV37" s="12">
        <v>44941103</v>
      </c>
      <c r="BW37" s="12">
        <v>49429495</v>
      </c>
      <c r="BX37" s="12">
        <v>51124025</v>
      </c>
      <c r="BY37" s="12">
        <v>50048102</v>
      </c>
      <c r="BZ37" s="12">
        <v>53267373</v>
      </c>
      <c r="CA37" s="12">
        <v>56352003</v>
      </c>
      <c r="CB37" s="12">
        <v>59518522</v>
      </c>
      <c r="CC37" s="12">
        <v>57075494</v>
      </c>
      <c r="CD37" s="12">
        <v>61039829</v>
      </c>
      <c r="CE37" s="12">
        <v>65163769</v>
      </c>
      <c r="CF37" s="12">
        <v>68861909</v>
      </c>
      <c r="CG37" s="12">
        <v>66079969</v>
      </c>
      <c r="CH37" s="12">
        <v>65114553</v>
      </c>
      <c r="CI37" s="12">
        <v>65389754</v>
      </c>
      <c r="CJ37" s="12">
        <v>70930724</v>
      </c>
      <c r="CK37" s="12">
        <v>67557934</v>
      </c>
      <c r="CL37" s="12">
        <v>72524688</v>
      </c>
      <c r="CM37" s="12">
        <v>72646378</v>
      </c>
      <c r="CN37" s="12">
        <v>76591000</v>
      </c>
      <c r="CO37" s="12">
        <v>69523409</v>
      </c>
      <c r="CP37" s="12">
        <v>72094278</v>
      </c>
      <c r="CQ37" s="12">
        <v>74850858</v>
      </c>
      <c r="CR37" s="12">
        <v>75457455</v>
      </c>
      <c r="CS37" s="12">
        <v>74249711</v>
      </c>
      <c r="CT37" s="12">
        <v>86308128</v>
      </c>
      <c r="CU37" s="12">
        <v>85714933</v>
      </c>
      <c r="CV37" s="12">
        <v>84778228</v>
      </c>
      <c r="CW37" s="12">
        <v>76928606</v>
      </c>
      <c r="CX37" s="12">
        <v>81653866</v>
      </c>
      <c r="CY37" s="12">
        <v>85659300</v>
      </c>
      <c r="CZ37" s="12">
        <v>94550229</v>
      </c>
      <c r="DA37" s="12">
        <v>90570284</v>
      </c>
      <c r="DB37" s="12">
        <v>96414551</v>
      </c>
      <c r="DC37" s="12">
        <v>102725892</v>
      </c>
      <c r="DD37" s="12">
        <v>108995273</v>
      </c>
      <c r="DE37" s="12">
        <v>99180896</v>
      </c>
      <c r="DF37" s="12">
        <v>100036092</v>
      </c>
      <c r="DG37" s="12">
        <v>98779202</v>
      </c>
      <c r="DH37" s="12">
        <v>101882811</v>
      </c>
      <c r="DI37" s="12">
        <v>93641114</v>
      </c>
      <c r="DJ37" s="12">
        <v>98272133</v>
      </c>
      <c r="DK37" s="12">
        <v>106109808</v>
      </c>
      <c r="DL37" s="8" t="s">
        <v>137</v>
      </c>
      <c r="DM37" s="12">
        <v>103447821</v>
      </c>
      <c r="DN37" s="12">
        <v>107388514</v>
      </c>
      <c r="DO37" s="12">
        <v>107420822</v>
      </c>
      <c r="DP37" s="12">
        <v>108706172</v>
      </c>
      <c r="DQ37" s="12">
        <v>100282243</v>
      </c>
      <c r="DR37" s="12">
        <v>105025793</v>
      </c>
    </row>
    <row r="38" spans="1:122">
      <c r="A38" s="4" t="s">
        <v>153</v>
      </c>
      <c r="B38" s="9">
        <v>271473</v>
      </c>
      <c r="C38" s="12">
        <v>1259398</v>
      </c>
      <c r="D38" s="12">
        <v>1329895</v>
      </c>
      <c r="E38" s="12">
        <v>1581823</v>
      </c>
      <c r="F38" s="12">
        <v>-4171116</v>
      </c>
      <c r="G38" s="12">
        <v>1379547</v>
      </c>
      <c r="H38" s="12">
        <v>2315299</v>
      </c>
      <c r="I38" s="12">
        <v>1857989</v>
      </c>
      <c r="J38" s="12">
        <v>3424871</v>
      </c>
      <c r="K38" s="12">
        <v>2128568</v>
      </c>
      <c r="L38" s="12">
        <v>2128568</v>
      </c>
      <c r="M38" s="12">
        <v>2626344.5</v>
      </c>
      <c r="N38" s="12">
        <v>4395171.5</v>
      </c>
      <c r="O38" s="12">
        <v>4031000</v>
      </c>
      <c r="P38" s="12">
        <v>5040496</v>
      </c>
      <c r="Q38" s="12">
        <v>4305000</v>
      </c>
      <c r="R38" s="12">
        <v>4617000</v>
      </c>
      <c r="S38" s="12">
        <v>4604000</v>
      </c>
      <c r="T38" s="12">
        <v>4542831</v>
      </c>
      <c r="U38" s="12">
        <v>4385000</v>
      </c>
      <c r="V38" s="12">
        <v>4623000</v>
      </c>
      <c r="W38" s="12">
        <v>4885000</v>
      </c>
      <c r="X38" s="12">
        <v>5367288</v>
      </c>
      <c r="Y38" s="12">
        <v>5249000</v>
      </c>
      <c r="Z38" s="12">
        <v>6038000</v>
      </c>
      <c r="AA38" s="12">
        <v>5949000</v>
      </c>
      <c r="AB38" s="12">
        <v>6351000</v>
      </c>
      <c r="AC38" s="12">
        <v>6068000</v>
      </c>
      <c r="AD38" s="12">
        <v>6100000</v>
      </c>
      <c r="AE38" s="12">
        <v>6649000</v>
      </c>
      <c r="AF38" s="12">
        <v>7358000</v>
      </c>
      <c r="AG38" s="12">
        <v>6631000</v>
      </c>
      <c r="AH38" s="12">
        <v>6618000</v>
      </c>
      <c r="AI38" s="12">
        <v>7063000</v>
      </c>
      <c r="AJ38" s="12">
        <v>7589000</v>
      </c>
      <c r="AK38" s="12">
        <v>7287273</v>
      </c>
      <c r="AL38" s="12">
        <v>7676268</v>
      </c>
      <c r="AM38" s="12">
        <v>8071574</v>
      </c>
      <c r="AN38" s="12">
        <v>8640885</v>
      </c>
      <c r="AO38" s="12">
        <v>8138036</v>
      </c>
      <c r="AP38" s="12">
        <v>8614162</v>
      </c>
      <c r="AQ38" s="12">
        <v>9079232</v>
      </c>
      <c r="AR38" s="12">
        <v>9805570</v>
      </c>
      <c r="AS38" s="12">
        <v>9075979</v>
      </c>
      <c r="AT38" s="12">
        <v>9342156</v>
      </c>
      <c r="AU38" s="12">
        <v>9915701</v>
      </c>
      <c r="AV38" s="12">
        <v>9865164</v>
      </c>
      <c r="AW38" s="12">
        <v>9956252</v>
      </c>
      <c r="AX38" s="12">
        <v>10146423</v>
      </c>
      <c r="AY38" s="12">
        <v>10740909</v>
      </c>
      <c r="AZ38" s="12">
        <v>11180417</v>
      </c>
      <c r="BA38" s="12">
        <v>14478146</v>
      </c>
      <c r="BB38" s="12">
        <v>15208295</v>
      </c>
      <c r="BC38" s="12">
        <v>15779211</v>
      </c>
      <c r="BD38" s="12">
        <v>15954348</v>
      </c>
      <c r="BE38" s="12">
        <v>14818676</v>
      </c>
      <c r="BF38" s="12">
        <v>15447974</v>
      </c>
      <c r="BG38" s="12">
        <v>15787880</v>
      </c>
      <c r="BH38" s="12">
        <v>15791470</v>
      </c>
      <c r="BI38" s="12">
        <v>15013746</v>
      </c>
      <c r="BJ38" s="12">
        <v>15479286</v>
      </c>
      <c r="BK38" s="12">
        <v>16570000</v>
      </c>
      <c r="BL38" s="12">
        <v>21036968</v>
      </c>
      <c r="BM38" s="12">
        <v>20461069</v>
      </c>
      <c r="BN38" s="12">
        <v>22110228</v>
      </c>
      <c r="BO38" s="12">
        <v>21975083</v>
      </c>
      <c r="BP38" s="12">
        <v>23238621</v>
      </c>
      <c r="BQ38" s="12">
        <v>21175735</v>
      </c>
      <c r="BR38" s="12">
        <v>22847517</v>
      </c>
      <c r="BS38" s="12">
        <v>23483826</v>
      </c>
      <c r="BT38" s="12">
        <v>24591922</v>
      </c>
      <c r="BU38" s="12">
        <v>21999074</v>
      </c>
      <c r="BV38" s="12">
        <v>23960755</v>
      </c>
      <c r="BW38" s="12">
        <v>26232254</v>
      </c>
      <c r="BX38" s="12">
        <v>26734228</v>
      </c>
      <c r="BY38" s="12">
        <v>26234240</v>
      </c>
      <c r="BZ38" s="12">
        <v>28390806</v>
      </c>
      <c r="CA38" s="12">
        <v>30570234</v>
      </c>
      <c r="CB38" s="12">
        <v>31569720</v>
      </c>
      <c r="CC38" s="12">
        <v>30638481</v>
      </c>
      <c r="CD38" s="12">
        <v>33136817</v>
      </c>
      <c r="CE38" s="12">
        <v>35275560</v>
      </c>
      <c r="CF38" s="12">
        <v>37092142</v>
      </c>
      <c r="CG38" s="12">
        <v>35473730</v>
      </c>
      <c r="CH38" s="12">
        <v>35213271</v>
      </c>
      <c r="CI38" s="12">
        <v>34649018</v>
      </c>
      <c r="CJ38" s="12">
        <v>37415982</v>
      </c>
      <c r="CK38" s="12">
        <v>35811224</v>
      </c>
      <c r="CL38" s="12">
        <v>38947762</v>
      </c>
      <c r="CM38" s="12">
        <v>38607379</v>
      </c>
      <c r="CN38" s="12">
        <v>40284635</v>
      </c>
      <c r="CO38" s="12">
        <v>36679037</v>
      </c>
      <c r="CP38" s="12">
        <v>38248623</v>
      </c>
      <c r="CQ38" s="12">
        <v>39525593</v>
      </c>
      <c r="CR38" s="12">
        <v>40094746</v>
      </c>
      <c r="CS38" s="12">
        <v>39789237</v>
      </c>
      <c r="CT38" s="12">
        <v>46937055</v>
      </c>
      <c r="CU38" s="12">
        <v>46163699</v>
      </c>
      <c r="CV38" s="12">
        <v>45777875</v>
      </c>
      <c r="CW38" s="12">
        <v>42009930</v>
      </c>
      <c r="CX38" s="12">
        <v>44036577</v>
      </c>
      <c r="CY38" s="12">
        <v>45734483</v>
      </c>
      <c r="CZ38" s="12">
        <v>50008376</v>
      </c>
      <c r="DA38" s="12">
        <v>47307195</v>
      </c>
      <c r="DB38" s="12">
        <v>49686985</v>
      </c>
      <c r="DC38" s="12">
        <v>52570816</v>
      </c>
      <c r="DD38" s="12">
        <v>56409437</v>
      </c>
      <c r="DE38" s="12">
        <v>51080117</v>
      </c>
      <c r="DF38" s="12">
        <v>51084638</v>
      </c>
      <c r="DG38" s="12">
        <v>51016642</v>
      </c>
      <c r="DH38" s="12">
        <v>52978104</v>
      </c>
      <c r="DI38" s="12">
        <v>48979286</v>
      </c>
      <c r="DJ38" s="12">
        <v>51974638</v>
      </c>
      <c r="DK38" s="12">
        <v>56321204</v>
      </c>
      <c r="DL38" s="8" t="s">
        <v>137</v>
      </c>
      <c r="DM38" s="12">
        <v>54686240</v>
      </c>
      <c r="DN38" s="12">
        <v>56667179</v>
      </c>
      <c r="DO38" s="12">
        <v>56190987</v>
      </c>
      <c r="DP38" s="12">
        <v>56697253</v>
      </c>
      <c r="DQ38" s="12">
        <v>53347142</v>
      </c>
      <c r="DR38" s="12">
        <v>55254881</v>
      </c>
    </row>
    <row r="39" spans="1:122">
      <c r="A39" s="4" t="s">
        <v>154</v>
      </c>
      <c r="B39" s="9">
        <v>271505</v>
      </c>
      <c r="C39" s="12">
        <v>-230773</v>
      </c>
      <c r="D39" s="12">
        <v>287310</v>
      </c>
      <c r="E39" s="12">
        <v>111898</v>
      </c>
      <c r="F39" s="12">
        <v>150759</v>
      </c>
      <c r="G39" s="12">
        <v>100034</v>
      </c>
      <c r="H39" s="12">
        <v>228417</v>
      </c>
      <c r="I39" s="12">
        <v>169584</v>
      </c>
      <c r="J39" s="12">
        <v>555324</v>
      </c>
      <c r="K39" s="12">
        <v>164967</v>
      </c>
      <c r="L39" s="12">
        <v>164967</v>
      </c>
      <c r="M39" s="12">
        <v>342973</v>
      </c>
      <c r="N39" s="12">
        <v>531927</v>
      </c>
      <c r="O39" s="12">
        <v>515000</v>
      </c>
      <c r="P39" s="12">
        <v>939579</v>
      </c>
      <c r="Q39" s="12">
        <v>350000</v>
      </c>
      <c r="R39" s="12">
        <v>444000</v>
      </c>
      <c r="S39" s="12">
        <v>310000</v>
      </c>
      <c r="T39" s="12">
        <v>900927</v>
      </c>
      <c r="U39" s="12">
        <v>343000</v>
      </c>
      <c r="V39" s="12">
        <v>384000</v>
      </c>
      <c r="W39" s="12">
        <v>356000</v>
      </c>
      <c r="X39" s="12">
        <v>599025</v>
      </c>
      <c r="Y39" s="12">
        <v>312000</v>
      </c>
      <c r="Z39" s="12">
        <v>62000</v>
      </c>
      <c r="AA39" s="12">
        <v>301000</v>
      </c>
      <c r="AB39" s="12">
        <v>358000</v>
      </c>
      <c r="AC39" s="12">
        <v>101000</v>
      </c>
      <c r="AD39" s="12">
        <v>205000</v>
      </c>
      <c r="AE39" s="12">
        <v>349000</v>
      </c>
      <c r="AF39" s="12">
        <v>637000</v>
      </c>
      <c r="AG39" s="12">
        <v>559000</v>
      </c>
      <c r="AH39" s="12">
        <v>465000</v>
      </c>
      <c r="AI39" s="12">
        <v>872000</v>
      </c>
      <c r="AJ39" s="12">
        <v>270000</v>
      </c>
      <c r="AK39" s="12">
        <v>593742</v>
      </c>
      <c r="AL39" s="12">
        <v>645272</v>
      </c>
      <c r="AM39" s="12">
        <v>779846</v>
      </c>
      <c r="AN39" s="12">
        <v>1043140</v>
      </c>
      <c r="AO39" s="12">
        <v>697550</v>
      </c>
      <c r="AP39" s="12">
        <v>905367</v>
      </c>
      <c r="AQ39" s="12">
        <v>1030657</v>
      </c>
      <c r="AR39" s="12">
        <v>1141426</v>
      </c>
      <c r="AS39" s="12">
        <v>840116</v>
      </c>
      <c r="AT39" s="12">
        <v>854171</v>
      </c>
      <c r="AU39" s="12">
        <v>1283950</v>
      </c>
      <c r="AV39" s="12">
        <v>935763</v>
      </c>
      <c r="AW39" s="12">
        <v>837799</v>
      </c>
      <c r="AX39" s="12">
        <v>856434</v>
      </c>
      <c r="AY39" s="12">
        <v>1427781</v>
      </c>
      <c r="AZ39" s="12">
        <v>1321987</v>
      </c>
      <c r="BA39" s="12">
        <v>1050371</v>
      </c>
      <c r="BB39" s="12">
        <v>1450745</v>
      </c>
      <c r="BC39" s="12">
        <v>1764212</v>
      </c>
      <c r="BD39" s="12">
        <v>1815672</v>
      </c>
      <c r="BE39" s="12">
        <v>1298626</v>
      </c>
      <c r="BF39" s="12">
        <v>1289505</v>
      </c>
      <c r="BG39" s="12">
        <v>1539274</v>
      </c>
      <c r="BH39" s="12">
        <v>1415937</v>
      </c>
      <c r="BI39" s="12">
        <v>1166401</v>
      </c>
      <c r="BJ39" s="12">
        <v>1033219</v>
      </c>
      <c r="BK39" s="12">
        <v>2095985</v>
      </c>
      <c r="BL39" s="12">
        <v>910395</v>
      </c>
      <c r="BM39" s="12">
        <v>687209</v>
      </c>
      <c r="BN39" s="12">
        <v>988751</v>
      </c>
      <c r="BO39" s="12">
        <v>510034</v>
      </c>
      <c r="BP39" s="12">
        <v>245005</v>
      </c>
      <c r="BQ39" s="12">
        <v>648800</v>
      </c>
      <c r="BR39" s="12">
        <v>1056352</v>
      </c>
      <c r="BS39" s="12">
        <v>1689606</v>
      </c>
      <c r="BT39" s="12">
        <v>1383242</v>
      </c>
      <c r="BU39" s="12">
        <v>533102</v>
      </c>
      <c r="BV39" s="12">
        <v>1736757</v>
      </c>
      <c r="BW39" s="12">
        <v>1835873</v>
      </c>
      <c r="BX39" s="12">
        <v>-74732</v>
      </c>
      <c r="BY39" s="12">
        <v>1005324</v>
      </c>
      <c r="BZ39" s="12">
        <v>1940316</v>
      </c>
      <c r="CA39" s="12">
        <v>2407064</v>
      </c>
      <c r="CB39" s="12">
        <v>562294</v>
      </c>
      <c r="CC39" s="12">
        <v>1640415</v>
      </c>
      <c r="CD39" s="12">
        <v>2061528</v>
      </c>
      <c r="CE39" s="12">
        <v>2770294</v>
      </c>
      <c r="CF39" s="12">
        <v>295762</v>
      </c>
      <c r="CG39" s="12">
        <v>1242288</v>
      </c>
      <c r="CH39" s="12">
        <v>1723988</v>
      </c>
      <c r="CI39" s="12">
        <v>1962173</v>
      </c>
      <c r="CJ39" s="12">
        <v>740555</v>
      </c>
      <c r="CK39" s="12">
        <v>1548253</v>
      </c>
      <c r="CL39" s="12">
        <v>460913</v>
      </c>
      <c r="CM39" s="12">
        <v>2063213</v>
      </c>
      <c r="CN39" s="12">
        <v>2738621</v>
      </c>
      <c r="CO39" s="12">
        <v>1588680</v>
      </c>
      <c r="CP39" s="12">
        <v>1502340</v>
      </c>
      <c r="CQ39" s="12">
        <v>2172628</v>
      </c>
      <c r="CR39" s="12">
        <v>2111351</v>
      </c>
      <c r="CS39" s="12">
        <v>315483</v>
      </c>
      <c r="CT39" s="12">
        <v>2884070</v>
      </c>
      <c r="CU39" s="12">
        <v>3887148</v>
      </c>
      <c r="CV39" s="12">
        <v>3464299</v>
      </c>
      <c r="CW39" s="12">
        <v>4000842</v>
      </c>
      <c r="CX39" s="12">
        <v>3000409</v>
      </c>
      <c r="CY39" s="12">
        <v>4039126</v>
      </c>
      <c r="CZ39" s="12">
        <v>5087624</v>
      </c>
      <c r="DA39" s="12">
        <v>4382639</v>
      </c>
      <c r="DB39" s="12">
        <v>6083187</v>
      </c>
      <c r="DC39" s="12">
        <v>6027594</v>
      </c>
      <c r="DD39" s="12">
        <v>15003581</v>
      </c>
      <c r="DE39" s="12">
        <v>4498729</v>
      </c>
      <c r="DF39" s="12">
        <v>4308911</v>
      </c>
      <c r="DG39" s="12">
        <v>4523968</v>
      </c>
      <c r="DH39" s="12">
        <v>3606392</v>
      </c>
      <c r="DI39" s="12">
        <v>2757383</v>
      </c>
      <c r="DJ39" s="12">
        <v>3655934</v>
      </c>
      <c r="DK39" s="12">
        <v>4109631</v>
      </c>
      <c r="DL39" s="8" t="s">
        <v>137</v>
      </c>
      <c r="DM39" s="12">
        <v>2229216</v>
      </c>
      <c r="DN39" s="12">
        <v>3269558</v>
      </c>
      <c r="DO39" s="12">
        <v>3830328</v>
      </c>
      <c r="DP39" s="12">
        <v>3616758</v>
      </c>
      <c r="DQ39" s="12">
        <v>2798509</v>
      </c>
      <c r="DR39" s="12">
        <v>3406005</v>
      </c>
    </row>
    <row r="40" spans="1:122">
      <c r="A40" s="4" t="s">
        <v>155</v>
      </c>
      <c r="B40" s="9">
        <v>271510</v>
      </c>
      <c r="C40" s="12">
        <v>-228065</v>
      </c>
      <c r="D40" s="12">
        <v>281823</v>
      </c>
      <c r="E40" s="12">
        <v>107909</v>
      </c>
      <c r="F40" s="12">
        <v>157527</v>
      </c>
      <c r="G40" s="12">
        <v>95129</v>
      </c>
      <c r="H40" s="12">
        <v>222334</v>
      </c>
      <c r="I40" s="12">
        <v>165800</v>
      </c>
      <c r="J40" s="12">
        <v>550572</v>
      </c>
      <c r="K40" s="12">
        <v>163375</v>
      </c>
      <c r="L40" s="12">
        <v>163375</v>
      </c>
      <c r="M40" s="12">
        <v>333792</v>
      </c>
      <c r="N40" s="12">
        <v>518738</v>
      </c>
      <c r="O40" s="12">
        <v>488000</v>
      </c>
      <c r="P40" s="12">
        <v>921060</v>
      </c>
      <c r="Q40" s="12">
        <v>342000</v>
      </c>
      <c r="R40" s="12">
        <v>444000</v>
      </c>
      <c r="S40" s="12">
        <v>299000</v>
      </c>
      <c r="T40" s="12">
        <v>890752</v>
      </c>
      <c r="U40" s="12">
        <v>340000</v>
      </c>
      <c r="V40" s="12">
        <v>382000</v>
      </c>
      <c r="W40" s="12">
        <v>358000</v>
      </c>
      <c r="X40" s="12">
        <v>573708</v>
      </c>
      <c r="Y40" s="12">
        <v>311000</v>
      </c>
      <c r="Z40" s="12">
        <v>60000</v>
      </c>
      <c r="AA40" s="12">
        <v>288000</v>
      </c>
      <c r="AB40" s="12">
        <v>344000</v>
      </c>
      <c r="AC40" s="12">
        <v>93000</v>
      </c>
      <c r="AD40" s="12">
        <v>200000</v>
      </c>
      <c r="AE40" s="12">
        <v>335000</v>
      </c>
      <c r="AF40" s="12">
        <v>413000</v>
      </c>
      <c r="AG40" s="12">
        <v>544000</v>
      </c>
      <c r="AH40" s="12">
        <v>453000</v>
      </c>
      <c r="AI40" s="12">
        <v>855000</v>
      </c>
      <c r="AJ40" s="12">
        <v>811000</v>
      </c>
      <c r="AK40" s="12">
        <v>579421</v>
      </c>
      <c r="AL40" s="12">
        <v>627314</v>
      </c>
      <c r="AM40" s="12">
        <v>772147</v>
      </c>
      <c r="AN40" s="12">
        <v>996118</v>
      </c>
      <c r="AO40" s="12">
        <v>684080</v>
      </c>
      <c r="AP40" s="12">
        <v>886829</v>
      </c>
      <c r="AQ40" s="12">
        <v>1005420</v>
      </c>
      <c r="AR40" s="12">
        <v>1104671</v>
      </c>
      <c r="AS40" s="12">
        <v>823782</v>
      </c>
      <c r="AT40" s="12">
        <v>833991</v>
      </c>
      <c r="AU40" s="12">
        <v>1251612</v>
      </c>
      <c r="AV40" s="12">
        <v>901615</v>
      </c>
      <c r="AW40" s="12">
        <v>814658</v>
      </c>
      <c r="AX40" s="12">
        <v>839860</v>
      </c>
      <c r="AY40" s="12">
        <v>1390908</v>
      </c>
      <c r="AZ40" s="12">
        <v>1274575</v>
      </c>
      <c r="BA40" s="12">
        <v>1031872</v>
      </c>
      <c r="BB40" s="12">
        <v>1431228</v>
      </c>
      <c r="BC40" s="12">
        <v>1733046</v>
      </c>
      <c r="BD40" s="12">
        <v>1759854</v>
      </c>
      <c r="BE40" s="12">
        <v>1269635</v>
      </c>
      <c r="BF40" s="12">
        <v>1257066</v>
      </c>
      <c r="BG40" s="12">
        <v>1494907</v>
      </c>
      <c r="BH40" s="12">
        <v>1372735</v>
      </c>
      <c r="BI40" s="12">
        <v>1140537</v>
      </c>
      <c r="BJ40" s="12">
        <v>1006535</v>
      </c>
      <c r="BK40" s="12">
        <v>2051028</v>
      </c>
      <c r="BL40" s="12">
        <v>676900</v>
      </c>
      <c r="BM40" s="12">
        <v>600913</v>
      </c>
      <c r="BN40" s="12">
        <v>883141</v>
      </c>
      <c r="BO40" s="12">
        <v>367680</v>
      </c>
      <c r="BP40" s="12">
        <v>176266</v>
      </c>
      <c r="BQ40" s="12">
        <v>569509</v>
      </c>
      <c r="BR40" s="12">
        <v>936882</v>
      </c>
      <c r="BS40" s="12">
        <v>1597187</v>
      </c>
      <c r="BT40" s="12">
        <v>1300422</v>
      </c>
      <c r="BU40" s="12">
        <v>429845</v>
      </c>
      <c r="BV40" s="12">
        <v>1612231</v>
      </c>
      <c r="BW40" s="12">
        <v>1705095</v>
      </c>
      <c r="BX40" s="12">
        <v>-229171</v>
      </c>
      <c r="BY40" s="12">
        <v>870580</v>
      </c>
      <c r="BZ40" s="12">
        <v>1729224</v>
      </c>
      <c r="CA40" s="12">
        <v>2270307</v>
      </c>
      <c r="CB40" s="12">
        <v>300889</v>
      </c>
      <c r="CC40" s="12">
        <v>1428074</v>
      </c>
      <c r="CD40" s="12">
        <v>1847416</v>
      </c>
      <c r="CE40" s="12">
        <v>2537111</v>
      </c>
      <c r="CF40" s="12">
        <v>85398</v>
      </c>
      <c r="CG40" s="12">
        <v>995584</v>
      </c>
      <c r="CH40" s="12">
        <v>1497299</v>
      </c>
      <c r="CI40" s="12">
        <v>1709768</v>
      </c>
      <c r="CJ40" s="12">
        <v>426352</v>
      </c>
      <c r="CK40" s="12">
        <v>1282783</v>
      </c>
      <c r="CL40" s="12">
        <v>195207</v>
      </c>
      <c r="CM40" s="12">
        <v>1814823</v>
      </c>
      <c r="CN40" s="12">
        <v>2515187</v>
      </c>
      <c r="CO40" s="12">
        <v>1321453</v>
      </c>
      <c r="CP40" s="12">
        <v>1241889</v>
      </c>
      <c r="CQ40" s="12">
        <v>1930461</v>
      </c>
      <c r="CR40" s="12">
        <v>1825197</v>
      </c>
      <c r="CS40" s="12">
        <v>34740</v>
      </c>
      <c r="CT40" s="12">
        <v>2584543</v>
      </c>
      <c r="CU40" s="12">
        <v>3601198</v>
      </c>
      <c r="CV40" s="12">
        <v>2890519</v>
      </c>
      <c r="CW40" s="12">
        <v>4041579</v>
      </c>
      <c r="CX40" s="12">
        <v>3027971</v>
      </c>
      <c r="CY40" s="12">
        <v>4020536</v>
      </c>
      <c r="CZ40" s="12">
        <v>4825915</v>
      </c>
      <c r="DA40" s="12">
        <v>4465478</v>
      </c>
      <c r="DB40" s="12">
        <v>6147053</v>
      </c>
      <c r="DC40" s="12">
        <v>6063515</v>
      </c>
      <c r="DD40" s="12">
        <v>30233955</v>
      </c>
      <c r="DE40" s="12">
        <v>4073692</v>
      </c>
      <c r="DF40" s="12">
        <v>3964706</v>
      </c>
      <c r="DG40" s="12">
        <v>4178181</v>
      </c>
      <c r="DH40" s="12">
        <v>3260431</v>
      </c>
      <c r="DI40" s="12">
        <v>2412588</v>
      </c>
      <c r="DJ40" s="12">
        <v>3316518</v>
      </c>
      <c r="DK40" s="12">
        <v>3694729</v>
      </c>
      <c r="DL40" s="8" t="s">
        <v>137</v>
      </c>
      <c r="DM40" s="12">
        <v>1785173</v>
      </c>
      <c r="DN40" s="12">
        <v>2825810</v>
      </c>
      <c r="DO40" s="12">
        <v>3363914</v>
      </c>
      <c r="DP40" s="12">
        <v>3157968</v>
      </c>
      <c r="DQ40" s="12">
        <v>2362396</v>
      </c>
      <c r="DR40" s="12">
        <v>2934922</v>
      </c>
    </row>
    <row r="41" spans="1:122">
      <c r="A41" s="4" t="s">
        <v>156</v>
      </c>
      <c r="B41" s="9">
        <v>271528</v>
      </c>
      <c r="C41" s="12">
        <v>283461</v>
      </c>
      <c r="D41" s="12">
        <v>164736</v>
      </c>
      <c r="E41" s="12">
        <v>321740</v>
      </c>
      <c r="F41" s="12">
        <v>-431687.75</v>
      </c>
      <c r="G41" s="12">
        <v>324574</v>
      </c>
      <c r="H41" s="12">
        <v>586025</v>
      </c>
      <c r="I41" s="12">
        <v>503607</v>
      </c>
      <c r="J41" s="12">
        <v>824147</v>
      </c>
      <c r="K41" s="12">
        <v>576160</v>
      </c>
      <c r="L41" s="12">
        <v>576160</v>
      </c>
      <c r="M41" s="12">
        <v>669844</v>
      </c>
      <c r="N41" s="12">
        <v>1282380</v>
      </c>
      <c r="O41" s="12">
        <v>1103281.25</v>
      </c>
      <c r="P41" s="12">
        <v>1073467.5</v>
      </c>
      <c r="Q41" s="12">
        <v>1004648.5</v>
      </c>
      <c r="R41" s="12">
        <v>1141648.5</v>
      </c>
      <c r="S41" s="12">
        <v>1116648.5</v>
      </c>
      <c r="T41" s="12">
        <v>1192581.75</v>
      </c>
      <c r="U41" s="12">
        <v>1057131.75</v>
      </c>
      <c r="V41" s="12">
        <v>1180131.75</v>
      </c>
      <c r="W41" s="12">
        <v>1254131.75</v>
      </c>
      <c r="X41" s="12">
        <v>1104479</v>
      </c>
      <c r="Y41" s="12">
        <v>1095472</v>
      </c>
      <c r="Z41" s="12">
        <v>1076472</v>
      </c>
      <c r="AA41" s="12">
        <v>1320472</v>
      </c>
      <c r="AB41" s="12">
        <v>882250</v>
      </c>
      <c r="AC41" s="12">
        <v>1055250</v>
      </c>
      <c r="AD41" s="12">
        <v>1081250</v>
      </c>
      <c r="AE41" s="12">
        <v>1463250</v>
      </c>
      <c r="AF41" s="12">
        <v>1464400</v>
      </c>
      <c r="AG41" s="12">
        <v>1239500</v>
      </c>
      <c r="AH41" s="12">
        <v>1341500</v>
      </c>
      <c r="AI41" s="12">
        <v>1710500</v>
      </c>
      <c r="AJ41" s="12">
        <v>1554750</v>
      </c>
      <c r="AK41" s="12">
        <v>1421184</v>
      </c>
      <c r="AL41" s="12">
        <v>1680470</v>
      </c>
      <c r="AM41" s="12">
        <v>1920776</v>
      </c>
      <c r="AN41" s="12">
        <v>1964570</v>
      </c>
      <c r="AO41" s="12">
        <v>1513158</v>
      </c>
      <c r="AP41" s="12">
        <v>1850506</v>
      </c>
      <c r="AQ41" s="12">
        <v>2174830</v>
      </c>
      <c r="AR41" s="12">
        <v>2111506</v>
      </c>
      <c r="AS41" s="12">
        <v>1755719</v>
      </c>
      <c r="AT41" s="12">
        <v>1926290</v>
      </c>
      <c r="AU41" s="12">
        <v>2495063</v>
      </c>
      <c r="AV41" s="12">
        <v>2462556</v>
      </c>
      <c r="AW41" s="12">
        <v>1896035</v>
      </c>
      <c r="AX41" s="12">
        <v>2012431</v>
      </c>
      <c r="AY41" s="12">
        <v>2702452</v>
      </c>
      <c r="AZ41" s="12">
        <v>3218083</v>
      </c>
      <c r="BA41" s="12">
        <v>3038659</v>
      </c>
      <c r="BB41" s="12">
        <v>3558948</v>
      </c>
      <c r="BC41" s="12">
        <v>4225799</v>
      </c>
      <c r="BD41" s="12">
        <v>5013594</v>
      </c>
      <c r="BE41" s="12">
        <v>3571305</v>
      </c>
      <c r="BF41" s="12">
        <v>3601758</v>
      </c>
      <c r="BG41" s="12">
        <v>4292268</v>
      </c>
      <c r="BH41" s="12">
        <v>4021012</v>
      </c>
      <c r="BI41" s="12">
        <v>3094593</v>
      </c>
      <c r="BJ41" s="12">
        <v>3123039</v>
      </c>
      <c r="BK41" s="12">
        <v>4019863</v>
      </c>
      <c r="BL41" s="12">
        <v>3657505</v>
      </c>
      <c r="BM41" s="12">
        <v>3065527</v>
      </c>
      <c r="BN41" s="12">
        <v>3829149</v>
      </c>
      <c r="BO41" s="12">
        <v>4293346</v>
      </c>
      <c r="BP41" s="12">
        <v>4829978</v>
      </c>
      <c r="BQ41" s="12">
        <v>3481143</v>
      </c>
      <c r="BR41" s="12">
        <v>4842877</v>
      </c>
      <c r="BS41" s="12">
        <v>5389527</v>
      </c>
      <c r="BT41" s="12">
        <v>5000453</v>
      </c>
      <c r="BU41" s="12">
        <v>3591948</v>
      </c>
      <c r="BV41" s="12">
        <v>5251646</v>
      </c>
      <c r="BW41" s="12">
        <v>5982101</v>
      </c>
      <c r="BX41" s="12">
        <v>6683305</v>
      </c>
      <c r="BY41" s="12">
        <v>4880405</v>
      </c>
      <c r="BZ41" s="12">
        <v>6068338</v>
      </c>
      <c r="CA41" s="12">
        <v>7005764</v>
      </c>
      <c r="CB41" s="12">
        <v>7431822</v>
      </c>
      <c r="CC41" s="12">
        <v>6018641</v>
      </c>
      <c r="CD41" s="12">
        <v>7449124</v>
      </c>
      <c r="CE41" s="12">
        <v>8446802</v>
      </c>
      <c r="CF41" s="12">
        <v>8949432</v>
      </c>
      <c r="CG41" s="12">
        <v>6533547</v>
      </c>
      <c r="CH41" s="12">
        <v>7387972</v>
      </c>
      <c r="CI41" s="12">
        <v>7832870</v>
      </c>
      <c r="CJ41" s="12">
        <v>8569612</v>
      </c>
      <c r="CK41" s="12">
        <v>7157978</v>
      </c>
      <c r="CL41" s="12">
        <v>8710520</v>
      </c>
      <c r="CM41" s="12">
        <v>9231881</v>
      </c>
      <c r="CN41" s="12">
        <v>9843621</v>
      </c>
      <c r="CO41" s="12">
        <v>7734367</v>
      </c>
      <c r="CP41" s="12">
        <v>8666676</v>
      </c>
      <c r="CQ41" s="12">
        <v>10417386</v>
      </c>
      <c r="CR41" s="12">
        <v>9549571</v>
      </c>
      <c r="CS41" s="12">
        <v>8258783</v>
      </c>
      <c r="CT41" s="12">
        <v>9816900</v>
      </c>
      <c r="CU41" s="12">
        <v>10684359</v>
      </c>
      <c r="CV41" s="12">
        <v>12232007</v>
      </c>
      <c r="CW41" s="12">
        <v>12590159</v>
      </c>
      <c r="CX41" s="12">
        <v>9294441</v>
      </c>
      <c r="CY41" s="12">
        <v>10799764</v>
      </c>
      <c r="CZ41" s="12">
        <v>12856573</v>
      </c>
      <c r="DA41" s="12">
        <v>11380710</v>
      </c>
      <c r="DB41" s="12">
        <v>13388256</v>
      </c>
      <c r="DC41" s="12">
        <v>14332189</v>
      </c>
      <c r="DD41" s="12">
        <v>10985903</v>
      </c>
      <c r="DE41" s="12">
        <v>11529589</v>
      </c>
      <c r="DF41" s="12">
        <v>12730359</v>
      </c>
      <c r="DG41" s="12">
        <v>16709011</v>
      </c>
      <c r="DH41" s="12">
        <v>11018825</v>
      </c>
      <c r="DI41" s="12">
        <v>10579199</v>
      </c>
      <c r="DJ41" s="12">
        <v>12965382</v>
      </c>
      <c r="DK41" s="12">
        <v>14062511</v>
      </c>
      <c r="DL41" s="8" t="s">
        <v>137</v>
      </c>
      <c r="DM41" s="12">
        <v>11269988</v>
      </c>
      <c r="DN41" s="12">
        <v>13189866</v>
      </c>
      <c r="DO41" s="12">
        <v>14047896</v>
      </c>
      <c r="DP41" s="12">
        <v>16307380</v>
      </c>
      <c r="DQ41" s="12">
        <v>14596591</v>
      </c>
      <c r="DR41" s="12">
        <v>13492556</v>
      </c>
    </row>
    <row r="42" spans="1:122">
      <c r="A42" s="4" t="s">
        <v>157</v>
      </c>
      <c r="B42" s="9">
        <v>271530</v>
      </c>
      <c r="C42" s="12">
        <v>176990</v>
      </c>
      <c r="D42" s="12">
        <v>86788</v>
      </c>
      <c r="E42" s="12">
        <v>165951</v>
      </c>
      <c r="F42" s="12">
        <v>-444416</v>
      </c>
      <c r="G42" s="12">
        <v>186634</v>
      </c>
      <c r="H42" s="12">
        <v>396604</v>
      </c>
      <c r="I42" s="12">
        <v>316821</v>
      </c>
      <c r="J42" s="12">
        <v>444241</v>
      </c>
      <c r="K42" s="12">
        <v>363087</v>
      </c>
      <c r="L42" s="12">
        <v>363087</v>
      </c>
      <c r="M42" s="12">
        <v>394555.5</v>
      </c>
      <c r="N42" s="12">
        <v>676398.5</v>
      </c>
      <c r="O42" s="12">
        <v>748000</v>
      </c>
      <c r="P42" s="12">
        <v>737819</v>
      </c>
      <c r="Q42" s="12">
        <v>669000</v>
      </c>
      <c r="R42" s="12">
        <v>806000</v>
      </c>
      <c r="S42" s="12">
        <v>781000</v>
      </c>
      <c r="T42" s="12">
        <v>833450</v>
      </c>
      <c r="U42" s="12">
        <v>698000</v>
      </c>
      <c r="V42" s="12">
        <v>821000</v>
      </c>
      <c r="W42" s="12">
        <v>895000</v>
      </c>
      <c r="X42" s="12">
        <v>712007</v>
      </c>
      <c r="Y42" s="12">
        <v>703000</v>
      </c>
      <c r="Z42" s="12">
        <v>684000</v>
      </c>
      <c r="AA42" s="12">
        <v>928000</v>
      </c>
      <c r="AB42" s="12">
        <v>410000</v>
      </c>
      <c r="AC42" s="12">
        <v>583000</v>
      </c>
      <c r="AD42" s="12">
        <v>609000</v>
      </c>
      <c r="AE42" s="12">
        <v>991000</v>
      </c>
      <c r="AF42" s="12">
        <v>997900</v>
      </c>
      <c r="AG42" s="12">
        <v>773000</v>
      </c>
      <c r="AH42" s="12">
        <v>875000</v>
      </c>
      <c r="AI42" s="12">
        <v>1244000</v>
      </c>
      <c r="AJ42" s="12">
        <v>1031000</v>
      </c>
      <c r="AK42" s="12">
        <v>952886</v>
      </c>
      <c r="AL42" s="12">
        <v>1203085</v>
      </c>
      <c r="AM42" s="12">
        <v>1458087</v>
      </c>
      <c r="AN42" s="12">
        <v>1422942</v>
      </c>
      <c r="AO42" s="12">
        <v>1052977</v>
      </c>
      <c r="AP42" s="12">
        <v>1377131</v>
      </c>
      <c r="AQ42" s="12">
        <v>1679749</v>
      </c>
      <c r="AR42" s="12">
        <v>1525143</v>
      </c>
      <c r="AS42" s="12">
        <v>1232136</v>
      </c>
      <c r="AT42" s="12">
        <v>1383044</v>
      </c>
      <c r="AU42" s="12">
        <v>1919241</v>
      </c>
      <c r="AV42" s="12">
        <v>1873579</v>
      </c>
      <c r="AW42" s="12">
        <v>1315215</v>
      </c>
      <c r="AX42" s="12">
        <v>1410541</v>
      </c>
      <c r="AY42" s="12">
        <v>2098057</v>
      </c>
      <c r="AZ42" s="12">
        <v>2504188</v>
      </c>
      <c r="BA42" s="12">
        <v>2183307</v>
      </c>
      <c r="BB42" s="12">
        <v>2741318</v>
      </c>
      <c r="BC42" s="12">
        <v>3349876</v>
      </c>
      <c r="BD42" s="12">
        <v>3779499</v>
      </c>
      <c r="BE42" s="12">
        <v>2618145</v>
      </c>
      <c r="BF42" s="12">
        <v>2713761</v>
      </c>
      <c r="BG42" s="12">
        <v>3386673</v>
      </c>
      <c r="BH42" s="12">
        <v>2692764</v>
      </c>
      <c r="BI42" s="12">
        <v>2224588</v>
      </c>
      <c r="BJ42" s="12">
        <v>2138350</v>
      </c>
      <c r="BK42" s="12">
        <v>3077369</v>
      </c>
      <c r="BL42" s="12">
        <v>2165693</v>
      </c>
      <c r="BM42" s="12">
        <v>1878897</v>
      </c>
      <c r="BN42" s="12">
        <v>2549727</v>
      </c>
      <c r="BO42" s="12">
        <v>3004337</v>
      </c>
      <c r="BP42" s="12">
        <v>3118039</v>
      </c>
      <c r="BQ42" s="12">
        <v>2244091</v>
      </c>
      <c r="BR42" s="12">
        <v>3598767</v>
      </c>
      <c r="BS42" s="12">
        <v>3989399</v>
      </c>
      <c r="BT42" s="12">
        <v>3634743</v>
      </c>
      <c r="BU42" s="12">
        <v>2224726</v>
      </c>
      <c r="BV42" s="12">
        <v>3945224</v>
      </c>
      <c r="BW42" s="12">
        <v>4474672</v>
      </c>
      <c r="BX42" s="12">
        <v>5033378</v>
      </c>
      <c r="BY42" s="12">
        <v>3246309</v>
      </c>
      <c r="BZ42" s="12">
        <v>4425378</v>
      </c>
      <c r="CA42" s="12">
        <v>5296082</v>
      </c>
      <c r="CB42" s="12">
        <v>5368560</v>
      </c>
      <c r="CC42" s="12">
        <v>4178628</v>
      </c>
      <c r="CD42" s="12">
        <v>5504025</v>
      </c>
      <c r="CE42" s="12">
        <v>6353914</v>
      </c>
      <c r="CF42" s="12">
        <v>6391432</v>
      </c>
      <c r="CG42" s="12">
        <v>4302243</v>
      </c>
      <c r="CH42" s="12">
        <v>5319965</v>
      </c>
      <c r="CI42" s="12">
        <v>5727843</v>
      </c>
      <c r="CJ42" s="12">
        <v>6212950</v>
      </c>
      <c r="CK42" s="12">
        <v>4873046</v>
      </c>
      <c r="CL42" s="12">
        <v>6139705</v>
      </c>
      <c r="CM42" s="12">
        <v>6775105</v>
      </c>
      <c r="CN42" s="12">
        <v>7156144</v>
      </c>
      <c r="CO42" s="12">
        <v>5367830</v>
      </c>
      <c r="CP42" s="12">
        <v>6277731</v>
      </c>
      <c r="CQ42" s="12">
        <v>7661662</v>
      </c>
      <c r="CR42" s="12">
        <v>7223777</v>
      </c>
      <c r="CS42" s="12">
        <v>5906391</v>
      </c>
      <c r="CT42" s="12">
        <v>6887864</v>
      </c>
      <c r="CU42" s="12">
        <v>7959601</v>
      </c>
      <c r="CV42" s="12">
        <v>8936193</v>
      </c>
      <c r="CW42" s="12">
        <v>9996060</v>
      </c>
      <c r="CX42" s="12">
        <v>6608156</v>
      </c>
      <c r="CY42" s="12">
        <v>7996977</v>
      </c>
      <c r="CZ42" s="12">
        <v>8987744</v>
      </c>
      <c r="DA42" s="12">
        <v>8422742</v>
      </c>
      <c r="DB42" s="12">
        <v>10205934</v>
      </c>
      <c r="DC42" s="12">
        <v>11003404</v>
      </c>
      <c r="DD42" s="12">
        <v>6831978</v>
      </c>
      <c r="DE42" s="12">
        <v>8227934</v>
      </c>
      <c r="DF42" s="12">
        <v>9355744</v>
      </c>
      <c r="DG42" s="12">
        <v>9718363</v>
      </c>
      <c r="DH42" s="12">
        <v>10152743</v>
      </c>
      <c r="DI42" s="12">
        <v>6875160</v>
      </c>
      <c r="DJ42" s="12">
        <v>8670528</v>
      </c>
      <c r="DK42" s="12">
        <v>9362141</v>
      </c>
      <c r="DL42" s="8" t="s">
        <v>137</v>
      </c>
      <c r="DM42" s="12">
        <v>6740550</v>
      </c>
      <c r="DN42" s="12">
        <v>8477590</v>
      </c>
      <c r="DO42" s="12">
        <v>9402733</v>
      </c>
      <c r="DP42" s="12">
        <v>11650727</v>
      </c>
      <c r="DQ42" s="12">
        <v>10030819</v>
      </c>
      <c r="DR42" s="12">
        <v>8827462</v>
      </c>
    </row>
    <row r="43" spans="1:122">
      <c r="A43" s="4" t="s">
        <v>158</v>
      </c>
      <c r="B43" s="9">
        <v>274484</v>
      </c>
      <c r="C43" s="13">
        <v>4.3380000000000001</v>
      </c>
      <c r="D43" s="13">
        <v>4.6369999999999996</v>
      </c>
      <c r="E43" s="13">
        <v>4.1959999999999997</v>
      </c>
      <c r="F43" s="8" t="s">
        <v>137</v>
      </c>
      <c r="G43" s="13">
        <v>3.9590000000000001</v>
      </c>
      <c r="H43" s="13">
        <v>6.5650000000000004</v>
      </c>
      <c r="I43" s="13">
        <v>9.8070000000000004</v>
      </c>
      <c r="J43" s="13">
        <v>7.2519999999999998</v>
      </c>
      <c r="K43" s="13">
        <v>9.0500000000000007</v>
      </c>
      <c r="L43" s="13">
        <v>9.0500000000000007</v>
      </c>
      <c r="M43" s="13">
        <v>15.156000000000001</v>
      </c>
      <c r="N43" s="13">
        <v>15.733000000000001</v>
      </c>
      <c r="O43" s="13">
        <v>9.2710000000000008</v>
      </c>
      <c r="P43" s="13">
        <v>9.298</v>
      </c>
      <c r="Q43" s="13">
        <v>19.699000000000002</v>
      </c>
      <c r="R43" s="13">
        <v>25.37</v>
      </c>
      <c r="S43" s="8" t="s">
        <v>137</v>
      </c>
      <c r="T43" s="8" t="s">
        <v>137</v>
      </c>
      <c r="U43" s="8" t="s">
        <v>137</v>
      </c>
      <c r="V43" s="8" t="s">
        <v>137</v>
      </c>
      <c r="W43" s="13">
        <v>22.001999999999999</v>
      </c>
      <c r="X43" s="13">
        <v>7.03</v>
      </c>
      <c r="Y43" s="13">
        <v>18.567</v>
      </c>
      <c r="Z43" s="13">
        <v>3.282</v>
      </c>
      <c r="AA43" s="13">
        <v>4.9829999999999997</v>
      </c>
      <c r="AB43" s="8" t="s">
        <v>137</v>
      </c>
      <c r="AC43" s="13">
        <v>3.923</v>
      </c>
      <c r="AD43" s="13">
        <v>4.08</v>
      </c>
      <c r="AE43" s="13">
        <v>7.069</v>
      </c>
      <c r="AF43" s="13">
        <v>7.4710000000000001</v>
      </c>
      <c r="AG43" s="13">
        <v>7.3780000000000001</v>
      </c>
      <c r="AH43" s="13">
        <v>6.7080000000000002</v>
      </c>
      <c r="AI43" s="13">
        <v>10.304</v>
      </c>
      <c r="AJ43" s="13">
        <v>8.0139999999999993</v>
      </c>
      <c r="AK43" s="13">
        <v>5.1349999999999998</v>
      </c>
      <c r="AL43" s="13">
        <v>8.2759999999999998</v>
      </c>
      <c r="AM43" s="13">
        <v>8.2289999999999992</v>
      </c>
      <c r="AN43" s="13">
        <v>9.8610000000000007</v>
      </c>
      <c r="AO43" s="13">
        <v>6.7510000000000003</v>
      </c>
      <c r="AP43" s="13">
        <v>7.766</v>
      </c>
      <c r="AQ43" s="13">
        <v>9.1259999999999994</v>
      </c>
      <c r="AR43" s="13">
        <v>7.0119999999999996</v>
      </c>
      <c r="AS43" s="13">
        <v>6.98</v>
      </c>
      <c r="AT43" s="13">
        <v>9.9629999999999992</v>
      </c>
      <c r="AU43" s="13">
        <v>14.132</v>
      </c>
      <c r="AV43" s="13">
        <v>9.49</v>
      </c>
      <c r="AW43" s="13">
        <v>10.477</v>
      </c>
      <c r="AX43" s="13">
        <v>10.711</v>
      </c>
      <c r="AY43" s="13">
        <v>18.914000000000001</v>
      </c>
      <c r="AZ43" s="13">
        <v>13.180999999999999</v>
      </c>
      <c r="BA43" s="13">
        <v>4.8470000000000004</v>
      </c>
      <c r="BB43" s="13">
        <v>4.7510000000000003</v>
      </c>
      <c r="BC43" s="13">
        <v>5.7969999999999997</v>
      </c>
      <c r="BD43" s="13">
        <v>8.8019999999999996</v>
      </c>
      <c r="BE43" s="13">
        <v>5.508</v>
      </c>
      <c r="BF43" s="13">
        <v>4.8899999999999997</v>
      </c>
      <c r="BG43" s="13">
        <v>4.2590000000000003</v>
      </c>
      <c r="BH43" s="13">
        <v>5.4459999999999997</v>
      </c>
      <c r="BI43" s="13">
        <v>5.0380000000000003</v>
      </c>
      <c r="BJ43" s="13">
        <v>5.1769999999999996</v>
      </c>
      <c r="BK43" s="13">
        <v>6.9829999999999997</v>
      </c>
      <c r="BL43" s="13">
        <v>3.7829999999999999</v>
      </c>
      <c r="BM43" s="13">
        <v>4.202</v>
      </c>
      <c r="BN43" s="13">
        <v>5.0430000000000001</v>
      </c>
      <c r="BO43" s="13">
        <v>6.1790000000000003</v>
      </c>
      <c r="BP43" s="13">
        <v>4.2110000000000003</v>
      </c>
      <c r="BQ43" s="13">
        <v>4.6040000000000001</v>
      </c>
      <c r="BR43" s="13">
        <v>6.1689999999999996</v>
      </c>
      <c r="BS43" s="13">
        <v>6.6130000000000004</v>
      </c>
      <c r="BT43" s="13">
        <v>6.008</v>
      </c>
      <c r="BU43" s="13">
        <v>4.8410000000000002</v>
      </c>
      <c r="BV43" s="13">
        <v>6.665</v>
      </c>
      <c r="BW43" s="13">
        <v>5.758</v>
      </c>
      <c r="BX43" s="13">
        <v>5.95</v>
      </c>
      <c r="BY43" s="13">
        <v>4.6050000000000004</v>
      </c>
      <c r="BZ43" s="13">
        <v>5.5229999999999997</v>
      </c>
      <c r="CA43" s="13">
        <v>5.82</v>
      </c>
      <c r="CB43" s="13">
        <v>6.1230000000000002</v>
      </c>
      <c r="CC43" s="13">
        <v>4.59</v>
      </c>
      <c r="CD43" s="13">
        <v>5.6559999999999997</v>
      </c>
      <c r="CE43" s="13">
        <v>6.6180000000000003</v>
      </c>
      <c r="CF43" s="13">
        <v>5.66</v>
      </c>
      <c r="CG43" s="13">
        <v>4.585</v>
      </c>
      <c r="CH43" s="13">
        <v>5.5129999999999999</v>
      </c>
      <c r="CI43" s="13">
        <v>5.8879999999999999</v>
      </c>
      <c r="CJ43" s="13">
        <v>4.8239999999999998</v>
      </c>
      <c r="CK43" s="13">
        <v>4.1890000000000001</v>
      </c>
      <c r="CL43" s="13">
        <v>4.181</v>
      </c>
      <c r="CM43" s="13">
        <v>5.0090000000000003</v>
      </c>
      <c r="CN43" s="13">
        <v>4.8419999999999996</v>
      </c>
      <c r="CO43" s="13">
        <v>4.2779999999999996</v>
      </c>
      <c r="CP43" s="13">
        <v>4.8929999999999998</v>
      </c>
      <c r="CQ43" s="13">
        <v>5.8230000000000004</v>
      </c>
      <c r="CR43" s="13">
        <v>4.931</v>
      </c>
      <c r="CS43" s="13">
        <v>4.1550000000000002</v>
      </c>
      <c r="CT43" s="13">
        <v>5.0449999999999999</v>
      </c>
      <c r="CU43" s="13">
        <v>5.2919999999999998</v>
      </c>
      <c r="CV43" s="13">
        <v>6.2279999999999998</v>
      </c>
      <c r="CW43" s="13">
        <v>7.3109999999999999</v>
      </c>
      <c r="CX43" s="13">
        <v>4.8150000000000004</v>
      </c>
      <c r="CY43" s="13">
        <v>6.6909999999999998</v>
      </c>
      <c r="CZ43" s="13">
        <v>7.5359999999999996</v>
      </c>
      <c r="DA43" s="13">
        <v>7.2949999999999999</v>
      </c>
      <c r="DB43" s="13">
        <v>11.632999999999999</v>
      </c>
      <c r="DC43" s="13">
        <v>6.8239999999999998</v>
      </c>
      <c r="DD43" s="13">
        <v>5.53</v>
      </c>
      <c r="DE43" s="13">
        <v>6.92</v>
      </c>
      <c r="DF43" s="13">
        <v>5.7119999999999997</v>
      </c>
      <c r="DG43" s="13">
        <v>6.0060000000000002</v>
      </c>
      <c r="DH43" s="13">
        <v>6.0880000000000001</v>
      </c>
      <c r="DI43" s="13">
        <v>3.7949999999999999</v>
      </c>
      <c r="DJ43" s="13">
        <v>4.4210000000000003</v>
      </c>
      <c r="DK43" s="13">
        <v>4.7060000000000004</v>
      </c>
      <c r="DL43" s="8" t="s">
        <v>137</v>
      </c>
      <c r="DM43" s="13">
        <v>3.6429999999999998</v>
      </c>
      <c r="DN43" s="13">
        <v>4.1360000000000001</v>
      </c>
      <c r="DO43" s="13">
        <v>4.7370000000000001</v>
      </c>
      <c r="DP43" s="13">
        <v>4.3710000000000004</v>
      </c>
      <c r="DQ43" s="13">
        <v>5.8090000000000002</v>
      </c>
      <c r="DR43" s="13">
        <v>3.8260000000000001</v>
      </c>
    </row>
    <row r="44" spans="1:122">
      <c r="A44" s="4" t="s">
        <v>159</v>
      </c>
      <c r="B44" s="9">
        <v>274483</v>
      </c>
      <c r="C44" s="13">
        <v>2.7080000000000002</v>
      </c>
      <c r="D44" s="13">
        <v>2.4430000000000001</v>
      </c>
      <c r="E44" s="13">
        <v>2.1640000000000001</v>
      </c>
      <c r="F44" s="8" t="s">
        <v>137</v>
      </c>
      <c r="G44" s="13">
        <v>2.2759999999999998</v>
      </c>
      <c r="H44" s="13">
        <v>4.4429999999999996</v>
      </c>
      <c r="I44" s="13">
        <v>6.17</v>
      </c>
      <c r="J44" s="13">
        <v>3.9089999999999998</v>
      </c>
      <c r="K44" s="13">
        <v>5.7030000000000003</v>
      </c>
      <c r="L44" s="13">
        <v>5.7030000000000003</v>
      </c>
      <c r="M44" s="13">
        <v>8.9269999999999996</v>
      </c>
      <c r="N44" s="13">
        <v>8.2989999999999995</v>
      </c>
      <c r="O44" s="13">
        <v>6.2859999999999996</v>
      </c>
      <c r="P44" s="13">
        <v>6.391</v>
      </c>
      <c r="Q44" s="13">
        <v>13.118</v>
      </c>
      <c r="R44" s="13">
        <v>17.911000000000001</v>
      </c>
      <c r="S44" s="8" t="s">
        <v>137</v>
      </c>
      <c r="T44" s="8" t="s">
        <v>137</v>
      </c>
      <c r="U44" s="8" t="s">
        <v>137</v>
      </c>
      <c r="V44" s="8" t="s">
        <v>137</v>
      </c>
      <c r="W44" s="13">
        <v>15.702</v>
      </c>
      <c r="X44" s="13">
        <v>4.532</v>
      </c>
      <c r="Y44" s="13">
        <v>11.914999999999999</v>
      </c>
      <c r="Z44" s="13">
        <v>2.085</v>
      </c>
      <c r="AA44" s="13">
        <v>3.5019999999999998</v>
      </c>
      <c r="AB44" s="8" t="s">
        <v>137</v>
      </c>
      <c r="AC44" s="13">
        <v>2.1669999999999998</v>
      </c>
      <c r="AD44" s="13">
        <v>2.298</v>
      </c>
      <c r="AE44" s="13">
        <v>4.7869999999999999</v>
      </c>
      <c r="AF44" s="13">
        <v>5.0910000000000002</v>
      </c>
      <c r="AG44" s="13">
        <v>4.601</v>
      </c>
      <c r="AH44" s="13">
        <v>4.375</v>
      </c>
      <c r="AI44" s="13">
        <v>7.4939999999999998</v>
      </c>
      <c r="AJ44" s="13">
        <v>5.3140000000000001</v>
      </c>
      <c r="AK44" s="13">
        <v>3.4430000000000001</v>
      </c>
      <c r="AL44" s="13">
        <v>5.9249999999999998</v>
      </c>
      <c r="AM44" s="13">
        <v>6.2469999999999999</v>
      </c>
      <c r="AN44" s="13">
        <v>7.1429999999999998</v>
      </c>
      <c r="AO44" s="13">
        <v>4.6980000000000004</v>
      </c>
      <c r="AP44" s="13">
        <v>5.7789999999999999</v>
      </c>
      <c r="AQ44" s="13">
        <v>7.048</v>
      </c>
      <c r="AR44" s="13">
        <v>5.0650000000000004</v>
      </c>
      <c r="AS44" s="13">
        <v>4.899</v>
      </c>
      <c r="AT44" s="13">
        <v>7.1529999999999996</v>
      </c>
      <c r="AU44" s="13">
        <v>10.87</v>
      </c>
      <c r="AV44" s="13">
        <v>7.22</v>
      </c>
      <c r="AW44" s="13">
        <v>7.2670000000000003</v>
      </c>
      <c r="AX44" s="13">
        <v>7.5069999999999997</v>
      </c>
      <c r="AY44" s="13">
        <v>14.683999999999999</v>
      </c>
      <c r="AZ44" s="13">
        <v>10.257</v>
      </c>
      <c r="BA44" s="13">
        <v>3.4830000000000001</v>
      </c>
      <c r="BB44" s="13">
        <v>3.66</v>
      </c>
      <c r="BC44" s="13">
        <v>4.5949999999999998</v>
      </c>
      <c r="BD44" s="13">
        <v>6.6349999999999998</v>
      </c>
      <c r="BE44" s="13">
        <v>4.0380000000000003</v>
      </c>
      <c r="BF44" s="13">
        <v>3.6850000000000001</v>
      </c>
      <c r="BG44" s="13">
        <v>3.36</v>
      </c>
      <c r="BH44" s="13">
        <v>3.6469999999999998</v>
      </c>
      <c r="BI44" s="13">
        <v>3.6219999999999999</v>
      </c>
      <c r="BJ44" s="13">
        <v>3.5449999999999999</v>
      </c>
      <c r="BK44" s="13">
        <v>5.3460000000000001</v>
      </c>
      <c r="BL44" s="13">
        <v>2.2400000000000002</v>
      </c>
      <c r="BM44" s="13">
        <v>2.5750000000000002</v>
      </c>
      <c r="BN44" s="13">
        <v>3.3580000000000001</v>
      </c>
      <c r="BO44" s="13">
        <v>4.3239999999999998</v>
      </c>
      <c r="BP44" s="13">
        <v>2.7189999999999999</v>
      </c>
      <c r="BQ44" s="13">
        <v>2.968</v>
      </c>
      <c r="BR44" s="13">
        <v>4.5839999999999996</v>
      </c>
      <c r="BS44" s="13">
        <v>4.8949999999999996</v>
      </c>
      <c r="BT44" s="13">
        <v>4.367</v>
      </c>
      <c r="BU44" s="13">
        <v>2.9990000000000001</v>
      </c>
      <c r="BV44" s="13">
        <v>5.0069999999999997</v>
      </c>
      <c r="BW44" s="13">
        <v>4.3070000000000004</v>
      </c>
      <c r="BX44" s="13">
        <v>4.4809999999999999</v>
      </c>
      <c r="BY44" s="13">
        <v>3.0630000000000002</v>
      </c>
      <c r="BZ44" s="13">
        <v>4.0279999999999996</v>
      </c>
      <c r="CA44" s="13">
        <v>4.4000000000000004</v>
      </c>
      <c r="CB44" s="13">
        <v>4.423</v>
      </c>
      <c r="CC44" s="13">
        <v>3.1859999999999999</v>
      </c>
      <c r="CD44" s="13">
        <v>4.1790000000000003</v>
      </c>
      <c r="CE44" s="13">
        <v>4.9779999999999998</v>
      </c>
      <c r="CF44" s="13">
        <v>4.0419999999999998</v>
      </c>
      <c r="CG44" s="13">
        <v>3.0190000000000001</v>
      </c>
      <c r="CH44" s="13">
        <v>3.97</v>
      </c>
      <c r="CI44" s="13">
        <v>4.306</v>
      </c>
      <c r="CJ44" s="13">
        <v>3.4969999999999999</v>
      </c>
      <c r="CK44" s="13">
        <v>2.8519999999999999</v>
      </c>
      <c r="CL44" s="13">
        <v>2.9470000000000001</v>
      </c>
      <c r="CM44" s="13">
        <v>3.6760000000000002</v>
      </c>
      <c r="CN44" s="13">
        <v>3.52</v>
      </c>
      <c r="CO44" s="13">
        <v>2.6280000000000001</v>
      </c>
      <c r="CP44" s="13">
        <v>3.1779999999999999</v>
      </c>
      <c r="CQ44" s="13">
        <v>3.895</v>
      </c>
      <c r="CR44" s="13">
        <v>3.2250000000000001</v>
      </c>
      <c r="CS44" s="13">
        <v>2.6110000000000002</v>
      </c>
      <c r="CT44" s="13">
        <v>3.1059999999999999</v>
      </c>
      <c r="CU44" s="13">
        <v>3.5369999999999999</v>
      </c>
      <c r="CV44" s="13">
        <v>4.1399999999999997</v>
      </c>
      <c r="CW44" s="13">
        <v>5.3049999999999997</v>
      </c>
      <c r="CX44" s="13">
        <v>3.423</v>
      </c>
      <c r="CY44" s="13">
        <v>4.4619999999999997</v>
      </c>
      <c r="CZ44" s="13">
        <v>4.9329999999999998</v>
      </c>
      <c r="DA44" s="13">
        <v>4.8620000000000001</v>
      </c>
      <c r="DB44" s="13">
        <v>8.1029999999999998</v>
      </c>
      <c r="DC44" s="13">
        <v>4.8170000000000002</v>
      </c>
      <c r="DD44" s="13">
        <v>3.1840000000000002</v>
      </c>
      <c r="DE44" s="13">
        <v>4.468</v>
      </c>
      <c r="DF44" s="13">
        <v>3.835</v>
      </c>
      <c r="DG44" s="13">
        <v>3.4940000000000002</v>
      </c>
      <c r="DH44" s="13">
        <v>4.0090000000000003</v>
      </c>
      <c r="DI44" s="13">
        <v>2.214</v>
      </c>
      <c r="DJ44" s="13">
        <v>2.6960000000000002</v>
      </c>
      <c r="DK44" s="13">
        <v>2.855</v>
      </c>
      <c r="DL44" s="8" t="s">
        <v>137</v>
      </c>
      <c r="DM44" s="13">
        <v>1.9179999999999999</v>
      </c>
      <c r="DN44" s="13">
        <v>2.3820000000000001</v>
      </c>
      <c r="DO44" s="13">
        <v>2.863</v>
      </c>
      <c r="DP44" s="13">
        <v>2.9529999999999998</v>
      </c>
      <c r="DQ44" s="13">
        <v>3.6280000000000001</v>
      </c>
      <c r="DR44" s="13">
        <v>2.2629999999999999</v>
      </c>
    </row>
    <row r="45" spans="1:122">
      <c r="A45" s="4" t="s">
        <v>160</v>
      </c>
      <c r="B45" s="9">
        <v>274485</v>
      </c>
      <c r="C45" s="8" t="s">
        <v>137</v>
      </c>
      <c r="D45" s="8" t="s">
        <v>137</v>
      </c>
      <c r="E45" s="8" t="s">
        <v>137</v>
      </c>
      <c r="F45" s="8" t="s">
        <v>137</v>
      </c>
      <c r="G45" s="8" t="s">
        <v>137</v>
      </c>
      <c r="H45" s="14">
        <v>6.8339999999999996</v>
      </c>
      <c r="I45" s="14">
        <v>11.18</v>
      </c>
      <c r="J45" s="14">
        <v>7.3010000000000002</v>
      </c>
      <c r="K45" s="8" t="s">
        <v>137</v>
      </c>
      <c r="L45" s="14">
        <v>12.659000000000001</v>
      </c>
      <c r="M45" s="14">
        <v>11.077</v>
      </c>
      <c r="N45" s="14">
        <v>7.6189999999999998</v>
      </c>
      <c r="O45" s="8" t="s">
        <v>137</v>
      </c>
      <c r="P45" s="8" t="s">
        <v>137</v>
      </c>
      <c r="Q45" s="8" t="s">
        <v>137</v>
      </c>
      <c r="R45" s="8" t="s">
        <v>137</v>
      </c>
      <c r="S45" s="8" t="s">
        <v>137</v>
      </c>
      <c r="T45" s="8" t="s">
        <v>137</v>
      </c>
      <c r="U45" s="8" t="s">
        <v>137</v>
      </c>
      <c r="V45" s="8" t="s">
        <v>137</v>
      </c>
      <c r="W45" s="8" t="s">
        <v>137</v>
      </c>
      <c r="X45" s="8" t="s">
        <v>137</v>
      </c>
      <c r="Y45" s="8" t="s">
        <v>137</v>
      </c>
      <c r="Z45" s="8" t="s">
        <v>137</v>
      </c>
      <c r="AA45" s="8" t="s">
        <v>137</v>
      </c>
      <c r="AB45" s="8" t="s">
        <v>137</v>
      </c>
      <c r="AC45" s="8" t="s">
        <v>137</v>
      </c>
      <c r="AD45" s="8" t="s">
        <v>137</v>
      </c>
      <c r="AE45" s="8" t="s">
        <v>137</v>
      </c>
      <c r="AF45" s="8" t="s">
        <v>137</v>
      </c>
      <c r="AG45" s="8" t="s">
        <v>137</v>
      </c>
      <c r="AH45" s="8" t="s">
        <v>137</v>
      </c>
      <c r="AI45" s="8" t="s">
        <v>137</v>
      </c>
      <c r="AJ45" s="8" t="s">
        <v>137</v>
      </c>
      <c r="AK45" s="8" t="s">
        <v>137</v>
      </c>
      <c r="AL45" s="8" t="s">
        <v>137</v>
      </c>
      <c r="AM45" s="8" t="s">
        <v>137</v>
      </c>
      <c r="AN45" s="8" t="s">
        <v>137</v>
      </c>
      <c r="AO45" s="14">
        <v>17.094999999999999</v>
      </c>
      <c r="AP45" s="14">
        <v>17.013999999999999</v>
      </c>
      <c r="AQ45" s="14">
        <v>17.635000000000002</v>
      </c>
      <c r="AR45" s="14">
        <v>17.283999999999999</v>
      </c>
      <c r="AS45" s="14">
        <v>18.759</v>
      </c>
      <c r="AT45" s="14">
        <v>18.748000000000001</v>
      </c>
      <c r="AU45" s="14">
        <v>18.696000000000002</v>
      </c>
      <c r="AV45" s="14">
        <v>19.22</v>
      </c>
      <c r="AW45" s="14">
        <v>18.597999999999999</v>
      </c>
      <c r="AX45" s="14">
        <v>18.341999999999999</v>
      </c>
      <c r="AY45" s="14">
        <v>18.925000000000001</v>
      </c>
      <c r="AZ45" s="14">
        <v>19.632999999999999</v>
      </c>
      <c r="BA45" s="14">
        <v>19.931000000000001</v>
      </c>
      <c r="BB45" s="14">
        <v>22.811</v>
      </c>
      <c r="BC45" s="14">
        <v>21.92</v>
      </c>
      <c r="BD45" s="14">
        <v>21.382000000000001</v>
      </c>
      <c r="BE45" s="14">
        <v>21.628</v>
      </c>
      <c r="BF45" s="14">
        <v>21.559000000000001</v>
      </c>
      <c r="BG45" s="14">
        <v>21.417000000000002</v>
      </c>
      <c r="BH45" s="14">
        <v>21.004999999999999</v>
      </c>
      <c r="BI45" s="14">
        <v>21.81</v>
      </c>
      <c r="BJ45" s="14">
        <v>22.172000000000001</v>
      </c>
      <c r="BK45" s="14">
        <v>22.613</v>
      </c>
      <c r="BL45" s="14">
        <v>22.023</v>
      </c>
      <c r="BM45" s="14">
        <v>25.2</v>
      </c>
      <c r="BN45" s="14">
        <v>24.404</v>
      </c>
      <c r="BO45" s="14">
        <v>24.902000000000001</v>
      </c>
      <c r="BP45" s="14">
        <v>23.018000000000001</v>
      </c>
      <c r="BQ45" s="14">
        <v>23.581</v>
      </c>
      <c r="BR45" s="14">
        <v>22.672999999999998</v>
      </c>
      <c r="BS45" s="14">
        <v>22.864999999999998</v>
      </c>
      <c r="BT45" s="14">
        <v>22.186</v>
      </c>
      <c r="BU45" s="14">
        <v>23.785</v>
      </c>
      <c r="BV45" s="14">
        <v>23.266999999999999</v>
      </c>
      <c r="BW45" s="14">
        <v>23.238</v>
      </c>
      <c r="BX45" s="14">
        <v>23.475000000000001</v>
      </c>
      <c r="BY45" s="14">
        <v>23.347000000000001</v>
      </c>
      <c r="BZ45" s="14">
        <v>22.201000000000001</v>
      </c>
      <c r="CA45" s="14">
        <v>22.335000000000001</v>
      </c>
      <c r="CB45" s="14">
        <v>21.335000000000001</v>
      </c>
      <c r="CC45" s="14">
        <v>21.817</v>
      </c>
      <c r="CD45" s="14">
        <v>22.009</v>
      </c>
      <c r="CE45" s="14">
        <v>22.367999999999999</v>
      </c>
      <c r="CF45" s="14">
        <v>21.896000000000001</v>
      </c>
      <c r="CG45" s="14">
        <v>22.08</v>
      </c>
      <c r="CH45" s="14">
        <v>21.686</v>
      </c>
      <c r="CI45" s="14">
        <v>22.469000000000001</v>
      </c>
      <c r="CJ45" s="14">
        <v>22.093</v>
      </c>
      <c r="CK45" s="14">
        <v>23.756</v>
      </c>
      <c r="CL45" s="14">
        <v>23.427</v>
      </c>
      <c r="CM45" s="14">
        <v>23.888000000000002</v>
      </c>
      <c r="CN45" s="14">
        <v>22.364000000000001</v>
      </c>
      <c r="CO45" s="14">
        <v>24.474</v>
      </c>
      <c r="CP45" s="14">
        <v>23.527000000000001</v>
      </c>
      <c r="CQ45" s="14">
        <v>22.300999999999998</v>
      </c>
      <c r="CR45" s="14">
        <v>21.151</v>
      </c>
      <c r="CS45" s="14">
        <v>23.138999999999999</v>
      </c>
      <c r="CT45" s="14">
        <v>20.849</v>
      </c>
      <c r="CU45" s="14">
        <v>19.837</v>
      </c>
      <c r="CV45" s="14">
        <v>19.46</v>
      </c>
      <c r="CW45" s="14">
        <v>20.145</v>
      </c>
      <c r="CX45" s="14">
        <v>19.222999999999999</v>
      </c>
      <c r="CY45" s="14">
        <v>19.443999999999999</v>
      </c>
      <c r="CZ45" s="14">
        <v>18.596</v>
      </c>
      <c r="DA45" s="14">
        <v>19.315000000000001</v>
      </c>
      <c r="DB45" s="14">
        <v>19.123000000000001</v>
      </c>
      <c r="DC45" s="14">
        <v>18.920999999999999</v>
      </c>
      <c r="DD45" s="14">
        <v>18.157</v>
      </c>
      <c r="DE45" s="14">
        <v>19.683</v>
      </c>
      <c r="DF45" s="14">
        <v>19.564</v>
      </c>
      <c r="DG45" s="14">
        <v>19.998000000000001</v>
      </c>
      <c r="DH45" s="14">
        <v>19.405000000000001</v>
      </c>
      <c r="DI45" s="14">
        <v>20.651</v>
      </c>
      <c r="DJ45" s="14">
        <v>20.283999999999999</v>
      </c>
      <c r="DK45" s="14">
        <v>20.204000000000001</v>
      </c>
      <c r="DL45" s="8" t="s">
        <v>137</v>
      </c>
      <c r="DM45" s="14">
        <v>20.501999999999999</v>
      </c>
      <c r="DN45" s="14">
        <v>20.298999999999999</v>
      </c>
      <c r="DO45" s="14">
        <v>20.675000000000001</v>
      </c>
      <c r="DP45" s="14">
        <v>20.196999999999999</v>
      </c>
      <c r="DQ45" s="14">
        <v>21.318000000000001</v>
      </c>
      <c r="DR45" s="14">
        <v>20.916</v>
      </c>
    </row>
    <row r="46" spans="1:122">
      <c r="A46" s="4" t="s">
        <v>161</v>
      </c>
      <c r="B46" s="9">
        <v>274486</v>
      </c>
      <c r="C46" s="8" t="s">
        <v>137</v>
      </c>
      <c r="D46" s="8" t="s">
        <v>137</v>
      </c>
      <c r="E46" s="8" t="s">
        <v>137</v>
      </c>
      <c r="F46" s="8" t="s">
        <v>137</v>
      </c>
      <c r="G46" s="8" t="s">
        <v>137</v>
      </c>
      <c r="H46" s="14">
        <v>24.01</v>
      </c>
      <c r="I46" s="14">
        <v>32.518000000000001</v>
      </c>
      <c r="J46" s="14">
        <v>22.026</v>
      </c>
      <c r="K46" s="8" t="s">
        <v>137</v>
      </c>
      <c r="L46" s="14">
        <v>45.91</v>
      </c>
      <c r="M46" s="14">
        <v>39.448</v>
      </c>
      <c r="N46" s="14">
        <v>26.401</v>
      </c>
      <c r="O46" s="8" t="s">
        <v>137</v>
      </c>
      <c r="P46" s="8" t="s">
        <v>137</v>
      </c>
      <c r="Q46" s="8" t="s">
        <v>137</v>
      </c>
      <c r="R46" s="8" t="s">
        <v>137</v>
      </c>
      <c r="S46" s="8" t="s">
        <v>137</v>
      </c>
      <c r="T46" s="8" t="s">
        <v>137</v>
      </c>
      <c r="U46" s="8" t="s">
        <v>137</v>
      </c>
      <c r="V46" s="8" t="s">
        <v>137</v>
      </c>
      <c r="W46" s="8" t="s">
        <v>137</v>
      </c>
      <c r="X46" s="8" t="s">
        <v>137</v>
      </c>
      <c r="Y46" s="8" t="s">
        <v>137</v>
      </c>
      <c r="Z46" s="8" t="s">
        <v>137</v>
      </c>
      <c r="AA46" s="8" t="s">
        <v>137</v>
      </c>
      <c r="AB46" s="8" t="s">
        <v>137</v>
      </c>
      <c r="AC46" s="8" t="s">
        <v>137</v>
      </c>
      <c r="AD46" s="8" t="s">
        <v>137</v>
      </c>
      <c r="AE46" s="8" t="s">
        <v>137</v>
      </c>
      <c r="AF46" s="8" t="s">
        <v>137</v>
      </c>
      <c r="AG46" s="8" t="s">
        <v>137</v>
      </c>
      <c r="AH46" s="8" t="s">
        <v>137</v>
      </c>
      <c r="AI46" s="8" t="s">
        <v>137</v>
      </c>
      <c r="AJ46" s="8" t="s">
        <v>137</v>
      </c>
      <c r="AK46" s="8" t="s">
        <v>137</v>
      </c>
      <c r="AL46" s="8" t="s">
        <v>137</v>
      </c>
      <c r="AM46" s="8" t="s">
        <v>137</v>
      </c>
      <c r="AN46" s="8" t="s">
        <v>137</v>
      </c>
      <c r="AO46" s="14">
        <v>19.346</v>
      </c>
      <c r="AP46" s="14">
        <v>20.105</v>
      </c>
      <c r="AQ46" s="14">
        <v>18.893000000000001</v>
      </c>
      <c r="AR46" s="14">
        <v>17.547000000000001</v>
      </c>
      <c r="AS46" s="14">
        <v>18.292000000000002</v>
      </c>
      <c r="AT46" s="14">
        <v>19.065999999999999</v>
      </c>
      <c r="AU46" s="14">
        <v>19.696000000000002</v>
      </c>
      <c r="AV46" s="14">
        <v>19.029</v>
      </c>
      <c r="AW46" s="14">
        <v>18.184000000000001</v>
      </c>
      <c r="AX46" s="14">
        <v>18.669</v>
      </c>
      <c r="AY46" s="14">
        <v>20.326000000000001</v>
      </c>
      <c r="AZ46" s="14">
        <v>20.425999999999998</v>
      </c>
      <c r="BA46" s="14">
        <v>18.817</v>
      </c>
      <c r="BB46" s="14">
        <v>20.696000000000002</v>
      </c>
      <c r="BC46" s="14">
        <v>19.114999999999998</v>
      </c>
      <c r="BD46" s="14">
        <v>18.751999999999999</v>
      </c>
      <c r="BE46" s="14">
        <v>18.347000000000001</v>
      </c>
      <c r="BF46" s="14">
        <v>18.058</v>
      </c>
      <c r="BG46" s="14">
        <v>19.099</v>
      </c>
      <c r="BH46" s="14">
        <v>19.120999999999999</v>
      </c>
      <c r="BI46" s="14">
        <v>18.728000000000002</v>
      </c>
      <c r="BJ46" s="14">
        <v>18.806999999999999</v>
      </c>
      <c r="BK46" s="14">
        <v>20.094000000000001</v>
      </c>
      <c r="BL46" s="14">
        <v>19.407</v>
      </c>
      <c r="BM46" s="14">
        <v>20.518999999999998</v>
      </c>
      <c r="BN46" s="14">
        <v>19.318999999999999</v>
      </c>
      <c r="BO46" s="14">
        <v>19.754999999999999</v>
      </c>
      <c r="BP46" s="14">
        <v>19.059000000000001</v>
      </c>
      <c r="BQ46" s="14">
        <v>19.422000000000001</v>
      </c>
      <c r="BR46" s="14">
        <v>18.701000000000001</v>
      </c>
      <c r="BS46" s="14">
        <v>18.292000000000002</v>
      </c>
      <c r="BT46" s="14">
        <v>18.885999999999999</v>
      </c>
      <c r="BU46" s="14">
        <v>19.864999999999998</v>
      </c>
      <c r="BV46" s="14">
        <v>18.443000000000001</v>
      </c>
      <c r="BW46" s="14">
        <v>18.527000000000001</v>
      </c>
      <c r="BX46" s="14">
        <v>18.335999999999999</v>
      </c>
      <c r="BY46" s="14">
        <v>17.913</v>
      </c>
      <c r="BZ46" s="14">
        <v>17.629000000000001</v>
      </c>
      <c r="CA46" s="14">
        <v>18.715</v>
      </c>
      <c r="CB46" s="14">
        <v>17.876000000000001</v>
      </c>
      <c r="CC46" s="14">
        <v>18.591999999999999</v>
      </c>
      <c r="CD46" s="14">
        <v>19.21</v>
      </c>
      <c r="CE46" s="14">
        <v>20.584</v>
      </c>
      <c r="CF46" s="14">
        <v>20.728000000000002</v>
      </c>
      <c r="CG46" s="14">
        <v>20.893999999999998</v>
      </c>
      <c r="CH46" s="14">
        <v>21.082000000000001</v>
      </c>
      <c r="CI46" s="14">
        <v>21.103000000000002</v>
      </c>
      <c r="CJ46" s="14">
        <v>21.135999999999999</v>
      </c>
      <c r="CK46" s="14">
        <v>23.181999999999999</v>
      </c>
      <c r="CL46" s="14">
        <v>23.172000000000001</v>
      </c>
      <c r="CM46" s="14">
        <v>24.109000000000002</v>
      </c>
      <c r="CN46" s="14">
        <v>22.89</v>
      </c>
      <c r="CO46" s="14">
        <v>25.114000000000001</v>
      </c>
      <c r="CP46" s="14">
        <v>24.733000000000001</v>
      </c>
      <c r="CQ46" s="14">
        <v>24.456</v>
      </c>
      <c r="CR46" s="14">
        <v>24.965</v>
      </c>
      <c r="CS46" s="14">
        <v>27.225000000000001</v>
      </c>
      <c r="CT46" s="14">
        <v>26.280999999999999</v>
      </c>
      <c r="CU46" s="14">
        <v>27.6</v>
      </c>
      <c r="CV46" s="14">
        <v>26.754000000000001</v>
      </c>
      <c r="CW46" s="14">
        <v>28.42</v>
      </c>
      <c r="CX46" s="14">
        <v>28.109000000000002</v>
      </c>
      <c r="CY46" s="14">
        <v>28.998000000000001</v>
      </c>
      <c r="CZ46" s="14">
        <v>27.675999999999998</v>
      </c>
      <c r="DA46" s="14">
        <v>28.553000000000001</v>
      </c>
      <c r="DB46" s="14">
        <v>28.443000000000001</v>
      </c>
      <c r="DC46" s="14">
        <v>28.957000000000001</v>
      </c>
      <c r="DD46" s="14">
        <v>28.948</v>
      </c>
      <c r="DE46" s="14">
        <v>31.815000000000001</v>
      </c>
      <c r="DF46" s="14">
        <v>32.234000000000002</v>
      </c>
      <c r="DG46" s="14">
        <v>33.378</v>
      </c>
      <c r="DH46" s="14">
        <v>31.15</v>
      </c>
      <c r="DI46" s="14">
        <v>32.878</v>
      </c>
      <c r="DJ46" s="14">
        <v>33.747</v>
      </c>
      <c r="DK46" s="14">
        <v>34.156999999999996</v>
      </c>
      <c r="DL46" s="8" t="s">
        <v>137</v>
      </c>
      <c r="DM46" s="14">
        <v>33.771999999999998</v>
      </c>
      <c r="DN46" s="14">
        <v>32.5</v>
      </c>
      <c r="DO46" s="14">
        <v>31.881</v>
      </c>
      <c r="DP46" s="14">
        <v>30.24</v>
      </c>
      <c r="DQ46" s="14">
        <v>32.634999999999998</v>
      </c>
      <c r="DR46" s="14">
        <v>31.077000000000002</v>
      </c>
    </row>
    <row r="47" spans="1:122">
      <c r="A47" s="4" t="s">
        <v>162</v>
      </c>
      <c r="B47" s="9">
        <v>274489</v>
      </c>
      <c r="C47" s="8" t="s">
        <v>137</v>
      </c>
      <c r="D47" s="8" t="s">
        <v>137</v>
      </c>
      <c r="E47" s="8" t="s">
        <v>137</v>
      </c>
      <c r="F47" s="8" t="s">
        <v>137</v>
      </c>
      <c r="G47" s="8" t="s">
        <v>137</v>
      </c>
      <c r="H47" s="13">
        <v>53.264000000000003</v>
      </c>
      <c r="I47" s="13">
        <v>32.914000000000001</v>
      </c>
      <c r="J47" s="13">
        <v>50.401000000000003</v>
      </c>
      <c r="K47" s="8" t="s">
        <v>137</v>
      </c>
      <c r="L47" s="13">
        <v>28.754000000000001</v>
      </c>
      <c r="M47" s="13">
        <v>33.222999999999999</v>
      </c>
      <c r="N47" s="13">
        <v>48.301000000000002</v>
      </c>
      <c r="O47" s="8" t="s">
        <v>137</v>
      </c>
      <c r="P47" s="8" t="s">
        <v>137</v>
      </c>
      <c r="Q47" s="8" t="s">
        <v>137</v>
      </c>
      <c r="R47" s="8" t="s">
        <v>137</v>
      </c>
      <c r="S47" s="8" t="s">
        <v>137</v>
      </c>
      <c r="T47" s="8" t="s">
        <v>137</v>
      </c>
      <c r="U47" s="8" t="s">
        <v>137</v>
      </c>
      <c r="V47" s="8" t="s">
        <v>137</v>
      </c>
      <c r="W47" s="8" t="s">
        <v>137</v>
      </c>
      <c r="X47" s="8" t="s">
        <v>137</v>
      </c>
      <c r="Y47" s="8" t="s">
        <v>137</v>
      </c>
      <c r="Z47" s="8" t="s">
        <v>137</v>
      </c>
      <c r="AA47" s="8" t="s">
        <v>137</v>
      </c>
      <c r="AB47" s="8" t="s">
        <v>137</v>
      </c>
      <c r="AC47" s="8" t="s">
        <v>137</v>
      </c>
      <c r="AD47" s="8" t="s">
        <v>137</v>
      </c>
      <c r="AE47" s="8" t="s">
        <v>137</v>
      </c>
      <c r="AF47" s="8" t="s">
        <v>137</v>
      </c>
      <c r="AG47" s="8" t="s">
        <v>137</v>
      </c>
      <c r="AH47" s="8" t="s">
        <v>137</v>
      </c>
      <c r="AI47" s="8" t="s">
        <v>137</v>
      </c>
      <c r="AJ47" s="8" t="s">
        <v>137</v>
      </c>
      <c r="AK47" s="8" t="s">
        <v>137</v>
      </c>
      <c r="AL47" s="8" t="s">
        <v>137</v>
      </c>
      <c r="AM47" s="8" t="s">
        <v>137</v>
      </c>
      <c r="AN47" s="8" t="s">
        <v>137</v>
      </c>
      <c r="AO47" s="13">
        <v>21.058</v>
      </c>
      <c r="AP47" s="13">
        <v>21.393999999999998</v>
      </c>
      <c r="AQ47" s="13">
        <v>20.867999999999999</v>
      </c>
      <c r="AR47" s="13">
        <v>21.291</v>
      </c>
      <c r="AS47" s="13">
        <v>19.190999999999999</v>
      </c>
      <c r="AT47" s="13">
        <v>19.414999999999999</v>
      </c>
      <c r="AU47" s="13">
        <v>19.683</v>
      </c>
      <c r="AV47" s="13">
        <v>19.146000000000001</v>
      </c>
      <c r="AW47" s="13">
        <v>19.571999999999999</v>
      </c>
      <c r="AX47" s="13">
        <v>19.844999999999999</v>
      </c>
      <c r="AY47" s="13">
        <v>19.445</v>
      </c>
      <c r="AZ47" s="13">
        <v>18.744</v>
      </c>
      <c r="BA47" s="13">
        <v>18.062000000000001</v>
      </c>
      <c r="BB47" s="13">
        <v>15.957000000000001</v>
      </c>
      <c r="BC47" s="13">
        <v>16.788</v>
      </c>
      <c r="BD47" s="13">
        <v>17.210999999999999</v>
      </c>
      <c r="BE47" s="13">
        <v>16.645</v>
      </c>
      <c r="BF47" s="13">
        <v>16.884</v>
      </c>
      <c r="BG47" s="13">
        <v>17.183</v>
      </c>
      <c r="BH47" s="13">
        <v>17.52</v>
      </c>
      <c r="BI47" s="13">
        <v>16.506</v>
      </c>
      <c r="BJ47" s="13">
        <v>16.417000000000002</v>
      </c>
      <c r="BK47" s="13">
        <v>16.274000000000001</v>
      </c>
      <c r="BL47" s="13">
        <v>16.71</v>
      </c>
      <c r="BM47" s="13">
        <v>14.444000000000001</v>
      </c>
      <c r="BN47" s="13">
        <v>14.914999999999999</v>
      </c>
      <c r="BO47" s="13">
        <v>14.778</v>
      </c>
      <c r="BP47" s="13">
        <v>15.988</v>
      </c>
      <c r="BQ47" s="13">
        <v>15.266999999999999</v>
      </c>
      <c r="BR47" s="13">
        <v>16.053999999999998</v>
      </c>
      <c r="BS47" s="13">
        <v>16.094000000000001</v>
      </c>
      <c r="BT47" s="13">
        <v>16.587</v>
      </c>
      <c r="BU47" s="13">
        <v>15.135999999999999</v>
      </c>
      <c r="BV47" s="13">
        <v>15.645</v>
      </c>
      <c r="BW47" s="13">
        <v>15.836</v>
      </c>
      <c r="BX47" s="13">
        <v>15.676</v>
      </c>
      <c r="BY47" s="13">
        <v>15.42</v>
      </c>
      <c r="BZ47" s="13">
        <v>16.396000000000001</v>
      </c>
      <c r="CA47" s="13">
        <v>16.475999999999999</v>
      </c>
      <c r="CB47" s="13">
        <v>17.248000000000001</v>
      </c>
      <c r="CC47" s="13">
        <v>16.684000000000001</v>
      </c>
      <c r="CD47" s="13">
        <v>16.539000000000001</v>
      </c>
      <c r="CE47" s="13">
        <v>16.452000000000002</v>
      </c>
      <c r="CF47" s="13">
        <v>16.806999999999999</v>
      </c>
      <c r="CG47" s="13">
        <v>16.303999999999998</v>
      </c>
      <c r="CH47" s="13">
        <v>16.785</v>
      </c>
      <c r="CI47" s="13">
        <v>16.378</v>
      </c>
      <c r="CJ47" s="13">
        <v>16.657</v>
      </c>
      <c r="CK47" s="13">
        <v>15.154</v>
      </c>
      <c r="CL47" s="13">
        <v>15.537000000000001</v>
      </c>
      <c r="CM47" s="13">
        <v>15.404999999999999</v>
      </c>
      <c r="CN47" s="13">
        <v>16.454999999999998</v>
      </c>
      <c r="CO47" s="13">
        <v>14.709</v>
      </c>
      <c r="CP47" s="13">
        <v>15.472</v>
      </c>
      <c r="CQ47" s="13">
        <v>16.501999999999999</v>
      </c>
      <c r="CR47" s="13">
        <v>17.399000000000001</v>
      </c>
      <c r="CS47" s="13">
        <v>15.731</v>
      </c>
      <c r="CT47" s="13">
        <v>17.457999999999998</v>
      </c>
      <c r="CU47" s="13">
        <v>18.550999999999998</v>
      </c>
      <c r="CV47" s="13">
        <v>18.91</v>
      </c>
      <c r="CW47" s="13">
        <v>17.870999999999999</v>
      </c>
      <c r="CX47" s="13">
        <v>18.936</v>
      </c>
      <c r="CY47" s="13">
        <v>18.925999999999998</v>
      </c>
      <c r="CZ47" s="13">
        <v>19.789000000000001</v>
      </c>
      <c r="DA47" s="13">
        <v>18.638999999999999</v>
      </c>
      <c r="DB47" s="13">
        <v>19.033999999999999</v>
      </c>
      <c r="DC47" s="13">
        <v>19.449000000000002</v>
      </c>
      <c r="DD47" s="13">
        <v>20.268000000000001</v>
      </c>
      <c r="DE47" s="13">
        <v>18.29</v>
      </c>
      <c r="DF47" s="13">
        <v>18.605</v>
      </c>
      <c r="DG47" s="13">
        <v>18.402000000000001</v>
      </c>
      <c r="DH47" s="13">
        <v>18.963999999999999</v>
      </c>
      <c r="DI47" s="13">
        <v>17.626000000000001</v>
      </c>
      <c r="DJ47" s="13">
        <v>17.945</v>
      </c>
      <c r="DK47" s="13">
        <v>18.213999999999999</v>
      </c>
      <c r="DL47" s="8" t="s">
        <v>137</v>
      </c>
      <c r="DM47" s="13">
        <v>17.559000000000001</v>
      </c>
      <c r="DN47" s="13">
        <v>17.931999999999999</v>
      </c>
      <c r="DO47" s="13">
        <v>17.8</v>
      </c>
      <c r="DP47" s="13">
        <v>18.22</v>
      </c>
      <c r="DQ47" s="13">
        <v>16.887</v>
      </c>
      <c r="DR47" s="13">
        <v>17.402999999999999</v>
      </c>
    </row>
    <row r="48" spans="1:122">
      <c r="A48" s="4" t="s">
        <v>163</v>
      </c>
      <c r="B48" s="9">
        <v>274490</v>
      </c>
      <c r="C48" s="8" t="s">
        <v>137</v>
      </c>
      <c r="D48" s="8" t="s">
        <v>137</v>
      </c>
      <c r="E48" s="8" t="s">
        <v>137</v>
      </c>
      <c r="F48" s="8" t="s">
        <v>137</v>
      </c>
      <c r="G48" s="8" t="s">
        <v>137</v>
      </c>
      <c r="H48" s="13">
        <v>15.16</v>
      </c>
      <c r="I48" s="13">
        <v>11.317</v>
      </c>
      <c r="J48" s="13">
        <v>16.707000000000001</v>
      </c>
      <c r="K48" s="8" t="s">
        <v>137</v>
      </c>
      <c r="L48" s="13">
        <v>7.9290000000000003</v>
      </c>
      <c r="M48" s="13">
        <v>9.3290000000000006</v>
      </c>
      <c r="N48" s="13">
        <v>13.939</v>
      </c>
      <c r="O48" s="8" t="s">
        <v>137</v>
      </c>
      <c r="P48" s="8" t="s">
        <v>137</v>
      </c>
      <c r="Q48" s="8" t="s">
        <v>137</v>
      </c>
      <c r="R48" s="8" t="s">
        <v>137</v>
      </c>
      <c r="S48" s="8" t="s">
        <v>137</v>
      </c>
      <c r="T48" s="8" t="s">
        <v>137</v>
      </c>
      <c r="U48" s="8" t="s">
        <v>137</v>
      </c>
      <c r="V48" s="8" t="s">
        <v>137</v>
      </c>
      <c r="W48" s="8" t="s">
        <v>137</v>
      </c>
      <c r="X48" s="8" t="s">
        <v>137</v>
      </c>
      <c r="Y48" s="8" t="s">
        <v>137</v>
      </c>
      <c r="Z48" s="8" t="s">
        <v>137</v>
      </c>
      <c r="AA48" s="8" t="s">
        <v>137</v>
      </c>
      <c r="AB48" s="8" t="s">
        <v>137</v>
      </c>
      <c r="AC48" s="8" t="s">
        <v>137</v>
      </c>
      <c r="AD48" s="8" t="s">
        <v>137</v>
      </c>
      <c r="AE48" s="8" t="s">
        <v>137</v>
      </c>
      <c r="AF48" s="8" t="s">
        <v>137</v>
      </c>
      <c r="AG48" s="8" t="s">
        <v>137</v>
      </c>
      <c r="AH48" s="8" t="s">
        <v>137</v>
      </c>
      <c r="AI48" s="8" t="s">
        <v>137</v>
      </c>
      <c r="AJ48" s="8" t="s">
        <v>137</v>
      </c>
      <c r="AK48" s="8" t="s">
        <v>137</v>
      </c>
      <c r="AL48" s="8" t="s">
        <v>137</v>
      </c>
      <c r="AM48" s="8" t="s">
        <v>137</v>
      </c>
      <c r="AN48" s="8" t="s">
        <v>137</v>
      </c>
      <c r="AO48" s="13">
        <v>18.609000000000002</v>
      </c>
      <c r="AP48" s="13">
        <v>18.103999999999999</v>
      </c>
      <c r="AQ48" s="13">
        <v>19.478999999999999</v>
      </c>
      <c r="AR48" s="13">
        <v>20.972000000000001</v>
      </c>
      <c r="AS48" s="13">
        <v>19.681000000000001</v>
      </c>
      <c r="AT48" s="13">
        <v>19.091000000000001</v>
      </c>
      <c r="AU48" s="13">
        <v>18.684000000000001</v>
      </c>
      <c r="AV48" s="13">
        <v>19.338999999999999</v>
      </c>
      <c r="AW48" s="13">
        <v>20.016999999999999</v>
      </c>
      <c r="AX48" s="13">
        <v>19.498000000000001</v>
      </c>
      <c r="AY48" s="13">
        <v>18.105</v>
      </c>
      <c r="AZ48" s="13">
        <v>18.015999999999998</v>
      </c>
      <c r="BA48" s="13">
        <v>19.132000000000001</v>
      </c>
      <c r="BB48" s="13">
        <v>17.588000000000001</v>
      </c>
      <c r="BC48" s="13">
        <v>19.251999999999999</v>
      </c>
      <c r="BD48" s="13">
        <v>19.623999999999999</v>
      </c>
      <c r="BE48" s="13">
        <v>19.622</v>
      </c>
      <c r="BF48" s="13">
        <v>20.157</v>
      </c>
      <c r="BG48" s="13">
        <v>19.268000000000001</v>
      </c>
      <c r="BH48" s="13">
        <v>19.245000000000001</v>
      </c>
      <c r="BI48" s="13">
        <v>19.222999999999999</v>
      </c>
      <c r="BJ48" s="13">
        <v>19.355</v>
      </c>
      <c r="BK48" s="13">
        <v>18.314</v>
      </c>
      <c r="BL48" s="13">
        <v>18.962</v>
      </c>
      <c r="BM48" s="13">
        <v>17.739999999999998</v>
      </c>
      <c r="BN48" s="13">
        <v>18.841000000000001</v>
      </c>
      <c r="BO48" s="13">
        <v>18.628</v>
      </c>
      <c r="BP48" s="13">
        <v>19.309000000000001</v>
      </c>
      <c r="BQ48" s="13">
        <v>18.536000000000001</v>
      </c>
      <c r="BR48" s="13">
        <v>19.465</v>
      </c>
      <c r="BS48" s="13">
        <v>20.117999999999999</v>
      </c>
      <c r="BT48" s="13">
        <v>19.484999999999999</v>
      </c>
      <c r="BU48" s="13">
        <v>18.122</v>
      </c>
      <c r="BV48" s="13">
        <v>19.736999999999998</v>
      </c>
      <c r="BW48" s="13">
        <v>19.863</v>
      </c>
      <c r="BX48" s="13">
        <v>20.07</v>
      </c>
      <c r="BY48" s="13">
        <v>20.097000000000001</v>
      </c>
      <c r="BZ48" s="13">
        <v>20.646999999999998</v>
      </c>
      <c r="CA48" s="13">
        <v>19.663</v>
      </c>
      <c r="CB48" s="13">
        <v>20.585999999999999</v>
      </c>
      <c r="CC48" s="13">
        <v>19.577999999999999</v>
      </c>
      <c r="CD48" s="13">
        <v>18.949000000000002</v>
      </c>
      <c r="CE48" s="13">
        <v>17.878</v>
      </c>
      <c r="CF48" s="13">
        <v>17.754000000000001</v>
      </c>
      <c r="CG48" s="13">
        <v>17.228999999999999</v>
      </c>
      <c r="CH48" s="13">
        <v>17.265999999999998</v>
      </c>
      <c r="CI48" s="13">
        <v>17.439</v>
      </c>
      <c r="CJ48" s="13">
        <v>17.411000000000001</v>
      </c>
      <c r="CK48" s="13">
        <v>15.529</v>
      </c>
      <c r="CL48" s="13">
        <v>15.709</v>
      </c>
      <c r="CM48" s="13">
        <v>15.263999999999999</v>
      </c>
      <c r="CN48" s="13">
        <v>16.077000000000002</v>
      </c>
      <c r="CO48" s="13">
        <v>14.335000000000001</v>
      </c>
      <c r="CP48" s="13">
        <v>14.717000000000001</v>
      </c>
      <c r="CQ48" s="13">
        <v>15.047000000000001</v>
      </c>
      <c r="CR48" s="13">
        <v>14.741</v>
      </c>
      <c r="CS48" s="13">
        <v>13.37</v>
      </c>
      <c r="CT48" s="13">
        <v>13.85</v>
      </c>
      <c r="CU48" s="13">
        <v>13.333</v>
      </c>
      <c r="CV48" s="13">
        <v>13.755000000000001</v>
      </c>
      <c r="CW48" s="13">
        <v>12.667</v>
      </c>
      <c r="CX48" s="13">
        <v>12.949</v>
      </c>
      <c r="CY48" s="13">
        <v>12.691000000000001</v>
      </c>
      <c r="CZ48" s="13">
        <v>13.297000000000001</v>
      </c>
      <c r="DA48" s="13">
        <v>12.608000000000001</v>
      </c>
      <c r="DB48" s="13">
        <v>12.798</v>
      </c>
      <c r="DC48" s="13">
        <v>12.709</v>
      </c>
      <c r="DD48" s="13">
        <v>12.712999999999999</v>
      </c>
      <c r="DE48" s="13">
        <v>11.315</v>
      </c>
      <c r="DF48" s="13">
        <v>11.292</v>
      </c>
      <c r="DG48" s="13">
        <v>11.025</v>
      </c>
      <c r="DH48" s="13">
        <v>11.814</v>
      </c>
      <c r="DI48" s="13">
        <v>11.071</v>
      </c>
      <c r="DJ48" s="13">
        <v>10.786</v>
      </c>
      <c r="DK48" s="13">
        <v>10.773999999999999</v>
      </c>
      <c r="DL48" s="8" t="s">
        <v>137</v>
      </c>
      <c r="DM48" s="13">
        <v>10.66</v>
      </c>
      <c r="DN48" s="13">
        <v>11.2</v>
      </c>
      <c r="DO48" s="13">
        <v>11.542999999999999</v>
      </c>
      <c r="DP48" s="13">
        <v>12.169</v>
      </c>
      <c r="DQ48" s="13">
        <v>11.031000000000001</v>
      </c>
      <c r="DR48" s="13">
        <v>11.712999999999999</v>
      </c>
    </row>
    <row r="49" spans="1:122">
      <c r="A49" s="4" t="s">
        <v>164</v>
      </c>
      <c r="B49" s="9">
        <v>274488</v>
      </c>
      <c r="C49" s="8" t="s">
        <v>137</v>
      </c>
      <c r="D49" s="8" t="s">
        <v>137</v>
      </c>
      <c r="E49" s="8" t="s">
        <v>137</v>
      </c>
      <c r="F49" s="8" t="s">
        <v>137</v>
      </c>
      <c r="G49" s="8" t="s">
        <v>137</v>
      </c>
      <c r="H49" s="13">
        <v>2.831</v>
      </c>
      <c r="I49" s="13">
        <v>2.1429999999999998</v>
      </c>
      <c r="J49" s="13">
        <v>3.3170000000000002</v>
      </c>
      <c r="K49" s="13">
        <v>3.7959999999999998</v>
      </c>
      <c r="L49" s="13">
        <v>1.915</v>
      </c>
      <c r="M49" s="13">
        <v>2.23</v>
      </c>
      <c r="N49" s="13">
        <v>3.2629999999999999</v>
      </c>
      <c r="O49" s="8" t="s">
        <v>137</v>
      </c>
      <c r="P49" s="8" t="s">
        <v>137</v>
      </c>
      <c r="Q49" s="8" t="s">
        <v>137</v>
      </c>
      <c r="R49" s="8" t="s">
        <v>137</v>
      </c>
      <c r="S49" s="8" t="s">
        <v>137</v>
      </c>
      <c r="T49" s="13">
        <v>2.3740000000000001</v>
      </c>
      <c r="U49" s="13">
        <v>2.3919999999999999</v>
      </c>
      <c r="V49" s="13">
        <v>2.4710000000000001</v>
      </c>
      <c r="W49" s="13">
        <v>2.5569999999999999</v>
      </c>
      <c r="X49" s="13">
        <v>2.7440000000000002</v>
      </c>
      <c r="Y49" s="13">
        <v>2.6469999999999998</v>
      </c>
      <c r="Z49" s="13">
        <v>3.0009999999999999</v>
      </c>
      <c r="AA49" s="13">
        <v>2.907</v>
      </c>
      <c r="AB49" s="13">
        <v>3.1480000000000001</v>
      </c>
      <c r="AC49" s="13">
        <v>2.8460000000000001</v>
      </c>
      <c r="AD49" s="13">
        <v>2.9209999999999998</v>
      </c>
      <c r="AE49" s="13">
        <v>3.125</v>
      </c>
      <c r="AF49" s="13">
        <v>3.3780000000000001</v>
      </c>
      <c r="AG49" s="13">
        <v>3.0670000000000002</v>
      </c>
      <c r="AH49" s="13">
        <v>3.13</v>
      </c>
      <c r="AI49" s="13">
        <v>3.2389999999999999</v>
      </c>
      <c r="AJ49" s="13">
        <v>3.3610000000000002</v>
      </c>
      <c r="AK49" s="13">
        <v>3.214</v>
      </c>
      <c r="AL49" s="13">
        <v>3.3809999999999998</v>
      </c>
      <c r="AM49" s="13">
        <v>3.43</v>
      </c>
      <c r="AN49" s="13">
        <v>3.4580000000000002</v>
      </c>
      <c r="AO49" s="13">
        <v>3.2429999999999999</v>
      </c>
      <c r="AP49" s="13">
        <v>3.4039999999999999</v>
      </c>
      <c r="AQ49" s="13">
        <v>3.4529999999999998</v>
      </c>
      <c r="AR49" s="13">
        <v>3.5870000000000002</v>
      </c>
      <c r="AS49" s="13">
        <v>3.2869999999999999</v>
      </c>
      <c r="AT49" s="13">
        <v>3.3029999999999999</v>
      </c>
      <c r="AU49" s="13">
        <v>3.34</v>
      </c>
      <c r="AV49" s="13">
        <v>3.2709999999999999</v>
      </c>
      <c r="AW49" s="13">
        <v>3.274</v>
      </c>
      <c r="AX49" s="13">
        <v>3.3420000000000001</v>
      </c>
      <c r="AY49" s="13">
        <v>3.4529999999999998</v>
      </c>
      <c r="AZ49" s="13">
        <v>3.54</v>
      </c>
      <c r="BA49" s="13">
        <v>3.802</v>
      </c>
      <c r="BB49" s="13">
        <v>3.472</v>
      </c>
      <c r="BC49" s="13">
        <v>3.5819999999999999</v>
      </c>
      <c r="BD49" s="13">
        <v>3.641</v>
      </c>
      <c r="BE49" s="13">
        <v>3.5489999999999999</v>
      </c>
      <c r="BF49" s="13">
        <v>3.6949999999999998</v>
      </c>
      <c r="BG49" s="13">
        <v>3.7679999999999998</v>
      </c>
      <c r="BH49" s="13">
        <v>3.8340000000000001</v>
      </c>
      <c r="BI49" s="13">
        <v>3.7029999999999998</v>
      </c>
      <c r="BJ49" s="13">
        <v>3.7789999999999999</v>
      </c>
      <c r="BK49" s="13">
        <v>3.88</v>
      </c>
      <c r="BL49" s="13">
        <v>4.3310000000000004</v>
      </c>
      <c r="BM49" s="13">
        <v>3.859</v>
      </c>
      <c r="BN49" s="13">
        <v>4.1230000000000002</v>
      </c>
      <c r="BO49" s="13">
        <v>4.1219999999999999</v>
      </c>
      <c r="BP49" s="13">
        <v>4.3209999999999997</v>
      </c>
      <c r="BQ49" s="13">
        <v>4.0380000000000003</v>
      </c>
      <c r="BR49" s="13">
        <v>4.266</v>
      </c>
      <c r="BS49" s="13">
        <v>4.3259999999999996</v>
      </c>
      <c r="BT49" s="13">
        <v>4.3970000000000002</v>
      </c>
      <c r="BU49" s="13">
        <v>3.9169999999999998</v>
      </c>
      <c r="BV49" s="13">
        <v>4.0259999999999998</v>
      </c>
      <c r="BW49" s="13">
        <v>4.1710000000000003</v>
      </c>
      <c r="BX49" s="13">
        <v>4.0830000000000002</v>
      </c>
      <c r="BY49" s="13">
        <v>3.819</v>
      </c>
      <c r="BZ49" s="13">
        <v>4</v>
      </c>
      <c r="CA49" s="13">
        <v>4.0650000000000004</v>
      </c>
      <c r="CB49" s="13">
        <v>4.1470000000000002</v>
      </c>
      <c r="CC49" s="13">
        <v>3.9</v>
      </c>
      <c r="CD49" s="13">
        <v>3.9590000000000001</v>
      </c>
      <c r="CE49" s="13">
        <v>3.8740000000000001</v>
      </c>
      <c r="CF49" s="13">
        <v>3.8039999999999998</v>
      </c>
      <c r="CG49" s="13">
        <v>3.6030000000000002</v>
      </c>
      <c r="CH49" s="13">
        <v>3.6739999999999999</v>
      </c>
      <c r="CI49" s="13">
        <v>3.6930000000000001</v>
      </c>
      <c r="CJ49" s="13">
        <v>3.6619999999999999</v>
      </c>
      <c r="CK49" s="13">
        <v>3.3069999999999999</v>
      </c>
      <c r="CL49" s="13">
        <v>3.51</v>
      </c>
      <c r="CM49" s="13">
        <v>3.4670000000000001</v>
      </c>
      <c r="CN49" s="13">
        <v>3.6030000000000002</v>
      </c>
      <c r="CO49" s="13">
        <v>2.85</v>
      </c>
      <c r="CP49" s="13">
        <v>2.661</v>
      </c>
      <c r="CQ49" s="13">
        <v>2.74</v>
      </c>
      <c r="CR49" s="13">
        <v>2.7490000000000001</v>
      </c>
      <c r="CS49" s="13">
        <v>2.5209999999999999</v>
      </c>
      <c r="CT49" s="13">
        <v>2.7530000000000001</v>
      </c>
      <c r="CU49" s="13">
        <v>2.7410000000000001</v>
      </c>
      <c r="CV49" s="13">
        <v>2.762</v>
      </c>
      <c r="CW49" s="13">
        <v>2.532</v>
      </c>
      <c r="CX49" s="13">
        <v>2.6659999999999999</v>
      </c>
      <c r="CY49" s="13">
        <v>2.7610000000000001</v>
      </c>
      <c r="CZ49" s="13">
        <v>2.9039999999999999</v>
      </c>
      <c r="DA49" s="13">
        <v>2.7189999999999999</v>
      </c>
      <c r="DB49" s="13">
        <v>2.907</v>
      </c>
      <c r="DC49" s="13">
        <v>3.0310000000000001</v>
      </c>
      <c r="DD49" s="13">
        <v>3.1190000000000002</v>
      </c>
      <c r="DE49" s="13">
        <v>2.8210000000000002</v>
      </c>
      <c r="DF49" s="13">
        <v>2.8730000000000002</v>
      </c>
      <c r="DG49" s="13">
        <v>2.7559999999999998</v>
      </c>
      <c r="DH49" s="13">
        <v>2.6930000000000001</v>
      </c>
      <c r="DI49" s="13">
        <v>2.4060000000000001</v>
      </c>
      <c r="DJ49" s="13">
        <v>2.4140000000000001</v>
      </c>
      <c r="DK49" s="13">
        <v>2.4180000000000001</v>
      </c>
      <c r="DL49" s="8" t="s">
        <v>137</v>
      </c>
      <c r="DM49" s="13">
        <v>2.161</v>
      </c>
      <c r="DN49" s="13">
        <v>2.246</v>
      </c>
      <c r="DO49" s="13">
        <v>2.278</v>
      </c>
      <c r="DP49" s="13">
        <v>2.3010000000000002</v>
      </c>
      <c r="DQ49" s="13">
        <v>2.1160000000000001</v>
      </c>
      <c r="DR49" s="13">
        <v>2.2490000000000001</v>
      </c>
    </row>
    <row r="50" spans="1:122">
      <c r="A50" s="4" t="s">
        <v>165</v>
      </c>
      <c r="B50" s="9">
        <v>274487</v>
      </c>
      <c r="C50" s="8" t="s">
        <v>137</v>
      </c>
      <c r="D50" s="8" t="s">
        <v>137</v>
      </c>
      <c r="E50" s="8" t="s">
        <v>137</v>
      </c>
      <c r="F50" s="8" t="s">
        <v>137</v>
      </c>
      <c r="G50" s="8" t="s">
        <v>137</v>
      </c>
      <c r="H50" s="13">
        <v>1.966</v>
      </c>
      <c r="I50" s="13">
        <v>1.498</v>
      </c>
      <c r="J50" s="13">
        <v>2.3260000000000001</v>
      </c>
      <c r="K50" s="13">
        <v>1.4770000000000001</v>
      </c>
      <c r="L50" s="13">
        <v>1.3380000000000001</v>
      </c>
      <c r="M50" s="13">
        <v>1.55</v>
      </c>
      <c r="N50" s="13">
        <v>2.2589999999999999</v>
      </c>
      <c r="O50" s="8" t="s">
        <v>137</v>
      </c>
      <c r="P50" s="8" t="s">
        <v>137</v>
      </c>
      <c r="Q50" s="8" t="s">
        <v>137</v>
      </c>
      <c r="R50" s="8" t="s">
        <v>137</v>
      </c>
      <c r="S50" s="8" t="s">
        <v>137</v>
      </c>
      <c r="T50" s="13">
        <v>1.3009999999999999</v>
      </c>
      <c r="U50" s="13">
        <v>1.2949999999999999</v>
      </c>
      <c r="V50" s="13">
        <v>1.3620000000000001</v>
      </c>
      <c r="W50" s="13">
        <v>1.5029999999999999</v>
      </c>
      <c r="X50" s="13">
        <v>1.6859999999999999</v>
      </c>
      <c r="Y50" s="13">
        <v>1.484</v>
      </c>
      <c r="Z50" s="13">
        <v>1.5369999999999999</v>
      </c>
      <c r="AA50" s="13">
        <v>1.4430000000000001</v>
      </c>
      <c r="AB50" s="13">
        <v>1.5209999999999999</v>
      </c>
      <c r="AC50" s="13">
        <v>1.393</v>
      </c>
      <c r="AD50" s="13">
        <v>1.468</v>
      </c>
      <c r="AE50" s="13">
        <v>1.571</v>
      </c>
      <c r="AF50" s="13">
        <v>1.68</v>
      </c>
      <c r="AG50" s="13">
        <v>1.5580000000000001</v>
      </c>
      <c r="AH50" s="13">
        <v>1.629</v>
      </c>
      <c r="AI50" s="13">
        <v>1.6679999999999999</v>
      </c>
      <c r="AJ50" s="13">
        <v>1.6870000000000001</v>
      </c>
      <c r="AK50" s="13">
        <v>1.5820000000000001</v>
      </c>
      <c r="AL50" s="13">
        <v>1.663</v>
      </c>
      <c r="AM50" s="13">
        <v>1.6859999999999999</v>
      </c>
      <c r="AN50" s="13">
        <v>1.7050000000000001</v>
      </c>
      <c r="AO50" s="13">
        <v>1.591</v>
      </c>
      <c r="AP50" s="13">
        <v>1.63</v>
      </c>
      <c r="AQ50" s="13">
        <v>1.631</v>
      </c>
      <c r="AR50" s="13">
        <v>1.7230000000000001</v>
      </c>
      <c r="AS50" s="13">
        <v>1.601</v>
      </c>
      <c r="AT50" s="13">
        <v>1.663</v>
      </c>
      <c r="AU50" s="13">
        <v>1.734</v>
      </c>
      <c r="AV50" s="13">
        <v>1.6910000000000001</v>
      </c>
      <c r="AW50" s="13">
        <v>1.6819999999999999</v>
      </c>
      <c r="AX50" s="13">
        <v>1.6970000000000001</v>
      </c>
      <c r="AY50" s="13">
        <v>1.663</v>
      </c>
      <c r="AZ50" s="13">
        <v>1.5980000000000001</v>
      </c>
      <c r="BA50" s="13">
        <v>1.425</v>
      </c>
      <c r="BB50" s="13">
        <v>1.1579999999999999</v>
      </c>
      <c r="BC50" s="13">
        <v>1.18</v>
      </c>
      <c r="BD50" s="13">
        <v>1.1910000000000001</v>
      </c>
      <c r="BE50" s="13">
        <v>1.167</v>
      </c>
      <c r="BF50" s="13">
        <v>1.143</v>
      </c>
      <c r="BG50" s="13">
        <v>1.161</v>
      </c>
      <c r="BH50" s="13">
        <v>1.2450000000000001</v>
      </c>
      <c r="BI50" s="13">
        <v>1.1910000000000001</v>
      </c>
      <c r="BJ50" s="13">
        <v>1.1739999999999999</v>
      </c>
      <c r="BK50" s="13">
        <v>1.161</v>
      </c>
      <c r="BL50" s="13">
        <v>1.2829999999999999</v>
      </c>
      <c r="BM50" s="13">
        <v>1.2030000000000001</v>
      </c>
      <c r="BN50" s="13">
        <v>1.2869999999999999</v>
      </c>
      <c r="BO50" s="13">
        <v>1.278</v>
      </c>
      <c r="BP50" s="13">
        <v>1.3340000000000001</v>
      </c>
      <c r="BQ50" s="13">
        <v>1.238</v>
      </c>
      <c r="BR50" s="13">
        <v>1.3009999999999999</v>
      </c>
      <c r="BS50" s="13">
        <v>1.3169999999999999</v>
      </c>
      <c r="BT50" s="13">
        <v>1.3680000000000001</v>
      </c>
      <c r="BU50" s="13">
        <v>1.236</v>
      </c>
      <c r="BV50" s="13">
        <v>1.212</v>
      </c>
      <c r="BW50" s="13">
        <v>1.212</v>
      </c>
      <c r="BX50" s="13">
        <v>1.1970000000000001</v>
      </c>
      <c r="BY50" s="13">
        <v>1.121</v>
      </c>
      <c r="BZ50" s="13">
        <v>1.171</v>
      </c>
      <c r="CA50" s="13">
        <v>1.171</v>
      </c>
      <c r="CB50" s="13">
        <v>1.19</v>
      </c>
      <c r="CC50" s="13">
        <v>1.1279999999999999</v>
      </c>
      <c r="CD50" s="13">
        <v>1.149</v>
      </c>
      <c r="CE50" s="13">
        <v>1.1399999999999999</v>
      </c>
      <c r="CF50" s="13">
        <v>1.141</v>
      </c>
      <c r="CG50" s="13">
        <v>1.1140000000000001</v>
      </c>
      <c r="CH50" s="13">
        <v>1.1619999999999999</v>
      </c>
      <c r="CI50" s="13">
        <v>1.1779999999999999</v>
      </c>
      <c r="CJ50" s="13">
        <v>1.171</v>
      </c>
      <c r="CK50" s="13">
        <v>1.0720000000000001</v>
      </c>
      <c r="CL50" s="13">
        <v>1.135</v>
      </c>
      <c r="CM50" s="13">
        <v>1.113</v>
      </c>
      <c r="CN50" s="13">
        <v>1.18</v>
      </c>
      <c r="CO50" s="13">
        <v>1.0189999999999999</v>
      </c>
      <c r="CP50" s="13">
        <v>1.022</v>
      </c>
      <c r="CQ50" s="13">
        <v>1.0329999999999999</v>
      </c>
      <c r="CR50" s="13">
        <v>1.046</v>
      </c>
      <c r="CS50" s="13">
        <v>0.93799999999999994</v>
      </c>
      <c r="CT50" s="13">
        <v>1.006</v>
      </c>
      <c r="CU50" s="13">
        <v>1.034</v>
      </c>
      <c r="CV50" s="13">
        <v>1.0609999999999999</v>
      </c>
      <c r="CW50" s="13">
        <v>0.98699999999999999</v>
      </c>
      <c r="CX50" s="13">
        <v>1.04</v>
      </c>
      <c r="CY50" s="13">
        <v>1.073</v>
      </c>
      <c r="CZ50" s="13">
        <v>1.1399999999999999</v>
      </c>
      <c r="DA50" s="13">
        <v>1.073</v>
      </c>
      <c r="DB50" s="13">
        <v>1.1399999999999999</v>
      </c>
      <c r="DC50" s="13">
        <v>1.1859999999999999</v>
      </c>
      <c r="DD50" s="13">
        <v>1.2430000000000001</v>
      </c>
      <c r="DE50" s="13">
        <v>1.157</v>
      </c>
      <c r="DF50" s="13">
        <v>1.1919999999999999</v>
      </c>
      <c r="DG50" s="13">
        <v>1.163</v>
      </c>
      <c r="DH50" s="13">
        <v>1.1739999999999999</v>
      </c>
      <c r="DI50" s="13">
        <v>1.0529999999999999</v>
      </c>
      <c r="DJ50" s="13">
        <v>1.0569999999999999</v>
      </c>
      <c r="DK50" s="13">
        <v>1.0760000000000001</v>
      </c>
      <c r="DL50" s="8" t="s">
        <v>137</v>
      </c>
      <c r="DM50" s="13">
        <v>0.97799999999999998</v>
      </c>
      <c r="DN50" s="13">
        <v>1.018</v>
      </c>
      <c r="DO50" s="13">
        <v>1.036</v>
      </c>
      <c r="DP50" s="13">
        <v>1.0549999999999999</v>
      </c>
      <c r="DQ50" s="13">
        <v>0.96799999999999997</v>
      </c>
      <c r="DR50" s="13">
        <v>1.0149999999999999</v>
      </c>
    </row>
    <row r="51" spans="1:122">
      <c r="A51" s="4" t="s">
        <v>134</v>
      </c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>
      <c r="A52" s="11" t="s">
        <v>166</v>
      </c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>
      <c r="A53" s="4" t="s">
        <v>167</v>
      </c>
      <c r="B53" s="9">
        <v>272591</v>
      </c>
      <c r="C53" s="12">
        <v>772511</v>
      </c>
      <c r="D53" s="12">
        <v>-823632</v>
      </c>
      <c r="E53" s="12">
        <v>533712</v>
      </c>
      <c r="F53" s="12">
        <v>454882</v>
      </c>
      <c r="G53" s="12">
        <v>481495</v>
      </c>
      <c r="H53" s="12">
        <v>229814</v>
      </c>
      <c r="I53" s="12">
        <v>374601</v>
      </c>
      <c r="J53" s="12">
        <v>927749</v>
      </c>
      <c r="K53" s="12">
        <v>239039</v>
      </c>
      <c r="L53" s="12">
        <v>239039</v>
      </c>
      <c r="M53" s="12">
        <v>777987</v>
      </c>
      <c r="N53" s="12">
        <v>1305344</v>
      </c>
      <c r="O53" s="8" t="s">
        <v>137</v>
      </c>
      <c r="P53" s="12">
        <v>831761</v>
      </c>
      <c r="Q53" s="12">
        <v>584000</v>
      </c>
      <c r="R53" s="12">
        <v>1015000</v>
      </c>
      <c r="S53" s="12">
        <v>747000</v>
      </c>
      <c r="T53" s="12">
        <v>1408749</v>
      </c>
      <c r="U53" s="12">
        <v>277000</v>
      </c>
      <c r="V53" s="12">
        <v>324000</v>
      </c>
      <c r="W53" s="12">
        <v>916000</v>
      </c>
      <c r="X53" s="12">
        <v>522676</v>
      </c>
      <c r="Y53" s="12">
        <v>-113000</v>
      </c>
      <c r="Z53" s="12">
        <v>-220000</v>
      </c>
      <c r="AA53" s="12">
        <v>1598000</v>
      </c>
      <c r="AB53" s="12">
        <v>2271000</v>
      </c>
      <c r="AC53" s="12">
        <v>-271000</v>
      </c>
      <c r="AD53" s="12">
        <v>1160000</v>
      </c>
      <c r="AE53" s="12">
        <v>2162000</v>
      </c>
      <c r="AF53" s="12">
        <v>616000</v>
      </c>
      <c r="AG53" s="12">
        <v>1077000</v>
      </c>
      <c r="AH53" s="12">
        <v>1212000</v>
      </c>
      <c r="AI53" s="12">
        <v>1746000</v>
      </c>
      <c r="AJ53" s="12">
        <v>1777000</v>
      </c>
      <c r="AK53" s="12">
        <v>1105009</v>
      </c>
      <c r="AL53" s="12">
        <v>1382614</v>
      </c>
      <c r="AM53" s="12">
        <v>1268834</v>
      </c>
      <c r="AN53" s="12">
        <v>2022543</v>
      </c>
      <c r="AO53" s="12">
        <v>971890</v>
      </c>
      <c r="AP53" s="12">
        <v>1344562</v>
      </c>
      <c r="AQ53" s="12">
        <v>1407281</v>
      </c>
      <c r="AR53" s="12">
        <v>2139267</v>
      </c>
      <c r="AS53" s="12">
        <v>978231</v>
      </c>
      <c r="AT53" s="12">
        <v>1046773</v>
      </c>
      <c r="AU53" s="12">
        <v>2269476</v>
      </c>
      <c r="AV53" s="12">
        <v>1735520</v>
      </c>
      <c r="AW53" s="12">
        <v>1155748</v>
      </c>
      <c r="AX53" s="12">
        <v>2220515</v>
      </c>
      <c r="AY53" s="12">
        <v>1690630</v>
      </c>
      <c r="AZ53" s="12">
        <v>3783107</v>
      </c>
      <c r="BA53" s="12">
        <v>1329255</v>
      </c>
      <c r="BB53" s="12">
        <v>3743254</v>
      </c>
      <c r="BC53" s="12">
        <v>4233235</v>
      </c>
      <c r="BD53" s="12">
        <v>4143256</v>
      </c>
      <c r="BE53" s="12">
        <v>1575824</v>
      </c>
      <c r="BF53" s="12">
        <v>2684167</v>
      </c>
      <c r="BG53" s="12">
        <v>2757414</v>
      </c>
      <c r="BH53" s="12">
        <v>3940595</v>
      </c>
      <c r="BI53" s="12">
        <v>2630515</v>
      </c>
      <c r="BJ53" s="12">
        <v>8150037</v>
      </c>
      <c r="BK53" s="12">
        <v>3512855</v>
      </c>
      <c r="BL53" s="12">
        <v>456593</v>
      </c>
      <c r="BM53" s="12">
        <v>6346591</v>
      </c>
      <c r="BN53" s="12">
        <v>4705982</v>
      </c>
      <c r="BO53" s="12">
        <v>2034865</v>
      </c>
      <c r="BP53" s="12">
        <v>882562</v>
      </c>
      <c r="BQ53" s="12">
        <v>2456109</v>
      </c>
      <c r="BR53" s="12">
        <v>3805191</v>
      </c>
      <c r="BS53" s="12">
        <v>1071768</v>
      </c>
      <c r="BT53" s="12">
        <v>4060932</v>
      </c>
      <c r="BU53" s="12">
        <v>5052894</v>
      </c>
      <c r="BV53" s="12">
        <v>3232474</v>
      </c>
      <c r="BW53" s="12">
        <v>3295317</v>
      </c>
      <c r="BX53" s="12">
        <v>6738315</v>
      </c>
      <c r="BY53" s="12">
        <v>326351</v>
      </c>
      <c r="BZ53" s="12">
        <v>7320821</v>
      </c>
      <c r="CA53" s="12">
        <v>4623544</v>
      </c>
      <c r="CB53" s="12">
        <v>5845284</v>
      </c>
      <c r="CC53" s="12">
        <v>4272599</v>
      </c>
      <c r="CD53" s="12">
        <v>5131035</v>
      </c>
      <c r="CE53" s="12">
        <v>7839366</v>
      </c>
      <c r="CF53" s="12">
        <v>5834000</v>
      </c>
      <c r="CG53" s="12">
        <v>4529834</v>
      </c>
      <c r="CH53" s="12">
        <v>6214597</v>
      </c>
      <c r="CI53" s="12">
        <v>5092747</v>
      </c>
      <c r="CJ53" s="12">
        <v>5332822</v>
      </c>
      <c r="CK53" s="12">
        <v>2443566</v>
      </c>
      <c r="CL53" s="12">
        <v>4958896</v>
      </c>
      <c r="CM53" s="12">
        <v>5991379</v>
      </c>
      <c r="CN53" s="12">
        <v>7588159</v>
      </c>
      <c r="CO53" s="12">
        <v>2707619</v>
      </c>
      <c r="CP53" s="12">
        <v>7954293</v>
      </c>
      <c r="CQ53" s="12">
        <v>7599684</v>
      </c>
      <c r="CR53" s="12">
        <v>10258404</v>
      </c>
      <c r="CS53" s="12">
        <v>6883916</v>
      </c>
      <c r="CT53" s="12">
        <v>13489308</v>
      </c>
      <c r="CU53" s="12">
        <v>12477346</v>
      </c>
      <c r="CV53" s="12">
        <v>11026430</v>
      </c>
      <c r="CW53" s="12">
        <v>9340042</v>
      </c>
      <c r="CX53" s="8" t="s">
        <v>137</v>
      </c>
      <c r="CY53" s="12">
        <v>10810029</v>
      </c>
      <c r="CZ53" s="12">
        <v>12942908</v>
      </c>
      <c r="DA53" s="12">
        <v>6979190</v>
      </c>
      <c r="DB53" s="12">
        <v>9105318</v>
      </c>
      <c r="DC53" s="12">
        <v>15414360</v>
      </c>
      <c r="DD53" s="12">
        <v>7352132</v>
      </c>
      <c r="DE53" s="12">
        <v>2568091</v>
      </c>
      <c r="DF53" s="12">
        <v>5891797</v>
      </c>
      <c r="DG53" s="12">
        <v>10718853</v>
      </c>
      <c r="DH53" s="12">
        <v>12232259</v>
      </c>
      <c r="DI53" s="12">
        <v>8181021</v>
      </c>
      <c r="DJ53" s="12">
        <v>7410184</v>
      </c>
      <c r="DK53" s="12">
        <v>11397172</v>
      </c>
      <c r="DL53" s="8" t="s">
        <v>137</v>
      </c>
      <c r="DM53" s="12">
        <v>10591165</v>
      </c>
      <c r="DN53" s="12">
        <v>10562506</v>
      </c>
      <c r="DO53" s="12">
        <v>13308749</v>
      </c>
      <c r="DP53" s="12">
        <v>13290580</v>
      </c>
      <c r="DQ53" s="12">
        <v>15111057</v>
      </c>
      <c r="DR53" s="12">
        <v>10075348</v>
      </c>
    </row>
    <row r="54" spans="1:122">
      <c r="A54" s="4" t="s">
        <v>168</v>
      </c>
      <c r="B54" s="9">
        <v>272601</v>
      </c>
      <c r="C54" s="12">
        <v>-1184971</v>
      </c>
      <c r="D54" s="12">
        <v>654530</v>
      </c>
      <c r="E54" s="12">
        <v>-390890</v>
      </c>
      <c r="F54" s="12">
        <v>-953768</v>
      </c>
      <c r="G54" s="12">
        <v>-529953</v>
      </c>
      <c r="H54" s="12">
        <v>-134396</v>
      </c>
      <c r="I54" s="12">
        <v>-366345</v>
      </c>
      <c r="J54" s="12">
        <v>-1154996</v>
      </c>
      <c r="K54" s="12">
        <v>-61770</v>
      </c>
      <c r="L54" s="12">
        <v>-61770</v>
      </c>
      <c r="M54" s="12">
        <v>-506248.5</v>
      </c>
      <c r="N54" s="12">
        <v>-866573.5</v>
      </c>
      <c r="O54" s="8" t="s">
        <v>137</v>
      </c>
      <c r="P54" s="12">
        <v>-77168</v>
      </c>
      <c r="Q54" s="12">
        <v>-193000</v>
      </c>
      <c r="R54" s="12">
        <v>389000</v>
      </c>
      <c r="S54" s="12">
        <v>21000</v>
      </c>
      <c r="T54" s="12">
        <v>-1070687</v>
      </c>
      <c r="U54" s="12">
        <v>-554000</v>
      </c>
      <c r="V54" s="12">
        <v>-515000</v>
      </c>
      <c r="W54" s="12">
        <v>-131000</v>
      </c>
      <c r="X54" s="12">
        <v>-819573</v>
      </c>
      <c r="Y54" s="12">
        <v>-5593000</v>
      </c>
      <c r="Z54" s="12">
        <v>-138000</v>
      </c>
      <c r="AA54" s="12">
        <v>-1112000</v>
      </c>
      <c r="AB54" s="12">
        <v>-1699000</v>
      </c>
      <c r="AC54" s="12">
        <v>-443000</v>
      </c>
      <c r="AD54" s="12">
        <v>-69000</v>
      </c>
      <c r="AE54" s="12">
        <v>-593000</v>
      </c>
      <c r="AF54" s="12">
        <v>634000</v>
      </c>
      <c r="AG54" s="12">
        <v>-394000</v>
      </c>
      <c r="AH54" s="12">
        <v>-148000</v>
      </c>
      <c r="AI54" s="12">
        <v>-608000</v>
      </c>
      <c r="AJ54" s="12">
        <v>-572000</v>
      </c>
      <c r="AK54" s="12">
        <v>-439687</v>
      </c>
      <c r="AL54" s="12">
        <v>-584001</v>
      </c>
      <c r="AM54" s="12">
        <v>-2094639</v>
      </c>
      <c r="AN54" s="12">
        <v>-1060673</v>
      </c>
      <c r="AO54" s="12">
        <v>-271230</v>
      </c>
      <c r="AP54" s="12">
        <v>-858113</v>
      </c>
      <c r="AQ54" s="12">
        <v>-453839</v>
      </c>
      <c r="AR54" s="12">
        <v>-1830818</v>
      </c>
      <c r="AS54" s="12">
        <v>-729933</v>
      </c>
      <c r="AT54" s="12">
        <v>-758252</v>
      </c>
      <c r="AU54" s="12">
        <v>-1508017</v>
      </c>
      <c r="AV54" s="12">
        <v>-1809798</v>
      </c>
      <c r="AW54" s="12">
        <v>-1081372</v>
      </c>
      <c r="AX54" s="12">
        <v>-3124510</v>
      </c>
      <c r="AY54" s="12">
        <v>-544214</v>
      </c>
      <c r="AZ54" s="12">
        <v>-2409904</v>
      </c>
      <c r="BA54" s="12">
        <v>-36484883</v>
      </c>
      <c r="BB54" s="12">
        <v>322877</v>
      </c>
      <c r="BC54" s="12">
        <v>-1241269</v>
      </c>
      <c r="BD54" s="12">
        <v>-994725</v>
      </c>
      <c r="BE54" s="12">
        <v>-287677</v>
      </c>
      <c r="BF54" s="12">
        <v>-1035030</v>
      </c>
      <c r="BG54" s="12">
        <v>-672977</v>
      </c>
      <c r="BH54" s="12">
        <v>-3518316</v>
      </c>
      <c r="BI54" s="12">
        <v>-991058</v>
      </c>
      <c r="BJ54" s="12">
        <v>-2097452</v>
      </c>
      <c r="BK54" s="12">
        <v>-3203569</v>
      </c>
      <c r="BL54" s="12">
        <v>-13121921</v>
      </c>
      <c r="BM54" s="12">
        <v>-1073234</v>
      </c>
      <c r="BN54" s="12">
        <v>-2943084</v>
      </c>
      <c r="BO54" s="12">
        <v>-163075</v>
      </c>
      <c r="BP54" s="12">
        <v>-2774607</v>
      </c>
      <c r="BQ54" s="12">
        <v>-1037022</v>
      </c>
      <c r="BR54" s="12">
        <v>-1503778</v>
      </c>
      <c r="BS54" s="12">
        <v>-2333128</v>
      </c>
      <c r="BT54" s="12">
        <v>-747072</v>
      </c>
      <c r="BU54" s="12">
        <v>-1022740</v>
      </c>
      <c r="BV54" s="12">
        <v>-23040911</v>
      </c>
      <c r="BW54" s="12">
        <v>-2657645</v>
      </c>
      <c r="BX54" s="12">
        <v>-4310704</v>
      </c>
      <c r="BY54" s="12">
        <v>-3015676</v>
      </c>
      <c r="BZ54" s="12">
        <v>-1654725</v>
      </c>
      <c r="CA54" s="12">
        <v>-2311052</v>
      </c>
      <c r="CB54" s="12">
        <v>-4422547</v>
      </c>
      <c r="CC54" s="12">
        <v>-1434089</v>
      </c>
      <c r="CD54" s="12">
        <v>-3135341</v>
      </c>
      <c r="CE54" s="12">
        <v>-7252570</v>
      </c>
      <c r="CF54" s="12">
        <v>-4493000</v>
      </c>
      <c r="CG54" s="12">
        <v>-3220494</v>
      </c>
      <c r="CH54" s="12">
        <v>-3871782</v>
      </c>
      <c r="CI54" s="12">
        <v>-3244724</v>
      </c>
      <c r="CJ54" s="12">
        <v>-16733000</v>
      </c>
      <c r="CK54" s="12">
        <v>-3371035</v>
      </c>
      <c r="CL54" s="12">
        <v>-6773794</v>
      </c>
      <c r="CM54" s="12">
        <v>-2347158</v>
      </c>
      <c r="CN54" s="12">
        <v>-5899013</v>
      </c>
      <c r="CO54" s="12">
        <v>-1660746</v>
      </c>
      <c r="CP54" s="12">
        <v>-3798143</v>
      </c>
      <c r="CQ54" s="12">
        <v>-2760915</v>
      </c>
      <c r="CR54" s="12">
        <v>-4422196</v>
      </c>
      <c r="CS54" s="12">
        <v>-3052135</v>
      </c>
      <c r="CT54" s="12">
        <v>-5257837</v>
      </c>
      <c r="CU54" s="12">
        <v>-2623602</v>
      </c>
      <c r="CV54" s="12">
        <v>-5754426</v>
      </c>
      <c r="CW54" s="12">
        <v>-4243000</v>
      </c>
      <c r="CX54" s="8" t="s">
        <v>137</v>
      </c>
      <c r="CY54" s="12">
        <v>-9921969</v>
      </c>
      <c r="CZ54" s="12">
        <v>-12924620</v>
      </c>
      <c r="DA54" s="12">
        <v>-3392294</v>
      </c>
      <c r="DB54" s="12">
        <v>-6424270</v>
      </c>
      <c r="DC54" s="12">
        <v>-15457686</v>
      </c>
      <c r="DD54" s="12">
        <v>16152250</v>
      </c>
      <c r="DE54" s="12">
        <v>-9626220</v>
      </c>
      <c r="DF54" s="12">
        <v>-8675439</v>
      </c>
      <c r="DG54" s="12">
        <v>-10264099</v>
      </c>
      <c r="DH54" s="12">
        <v>-13874242</v>
      </c>
      <c r="DI54" s="12">
        <v>-9794090</v>
      </c>
      <c r="DJ54" s="12">
        <v>-8370141</v>
      </c>
      <c r="DK54" s="12">
        <v>-8049787</v>
      </c>
      <c r="DL54" s="8" t="s">
        <v>137</v>
      </c>
      <c r="DM54" s="12">
        <v>-4997768</v>
      </c>
      <c r="DN54" s="12">
        <v>-14003724</v>
      </c>
      <c r="DO54" s="12">
        <v>-4361912</v>
      </c>
      <c r="DP54" s="12">
        <v>-11288596</v>
      </c>
      <c r="DQ54" s="12">
        <v>-2141600</v>
      </c>
      <c r="DR54" s="12">
        <v>-2727075</v>
      </c>
    </row>
    <row r="55" spans="1:122">
      <c r="A55" s="4" t="s">
        <v>169</v>
      </c>
      <c r="B55" s="9">
        <v>272618</v>
      </c>
      <c r="C55" s="12">
        <v>648162</v>
      </c>
      <c r="D55" s="12">
        <v>-270908</v>
      </c>
      <c r="E55" s="12">
        <v>-52603</v>
      </c>
      <c r="F55" s="12">
        <v>567147</v>
      </c>
      <c r="G55" s="12">
        <v>-25991</v>
      </c>
      <c r="H55" s="12">
        <v>-149451</v>
      </c>
      <c r="I55" s="12">
        <v>-129157</v>
      </c>
      <c r="J55" s="12">
        <v>464583</v>
      </c>
      <c r="K55" s="12">
        <v>-283052</v>
      </c>
      <c r="L55" s="12">
        <v>-283052</v>
      </c>
      <c r="M55" s="12">
        <v>-38775.5</v>
      </c>
      <c r="N55" s="12">
        <v>-158496.5</v>
      </c>
      <c r="O55" s="8" t="s">
        <v>137</v>
      </c>
      <c r="P55" s="12">
        <v>-41732</v>
      </c>
      <c r="Q55" s="12">
        <v>-421000</v>
      </c>
      <c r="R55" s="12">
        <v>73000</v>
      </c>
      <c r="S55" s="12">
        <v>-534000</v>
      </c>
      <c r="T55" s="12">
        <v>-98687</v>
      </c>
      <c r="U55" s="12">
        <v>-176000</v>
      </c>
      <c r="V55" s="12">
        <v>-630000</v>
      </c>
      <c r="W55" s="12">
        <v>-2972000</v>
      </c>
      <c r="X55" s="12">
        <v>-185906</v>
      </c>
      <c r="Y55" s="12">
        <v>6197000</v>
      </c>
      <c r="Z55" s="12">
        <v>1000</v>
      </c>
      <c r="AA55" s="12">
        <v>368000</v>
      </c>
      <c r="AB55" s="12">
        <v>56000</v>
      </c>
      <c r="AC55" s="12">
        <v>-303000</v>
      </c>
      <c r="AD55" s="12">
        <v>-696000</v>
      </c>
      <c r="AE55" s="12">
        <v>-519000</v>
      </c>
      <c r="AF55" s="12">
        <v>-2402000</v>
      </c>
      <c r="AG55" s="12">
        <v>-124000</v>
      </c>
      <c r="AH55" s="12">
        <v>-613000</v>
      </c>
      <c r="AI55" s="12">
        <v>125000</v>
      </c>
      <c r="AJ55" s="12">
        <v>-1478000</v>
      </c>
      <c r="AK55" s="12">
        <v>-127559</v>
      </c>
      <c r="AL55" s="12">
        <v>-427705</v>
      </c>
      <c r="AM55" s="12">
        <v>-52465</v>
      </c>
      <c r="AN55" s="12">
        <v>-770271</v>
      </c>
      <c r="AO55" s="12">
        <v>25123</v>
      </c>
      <c r="AP55" s="12">
        <v>-289129</v>
      </c>
      <c r="AQ55" s="12">
        <v>54367</v>
      </c>
      <c r="AR55" s="12">
        <v>-1004361</v>
      </c>
      <c r="AS55" s="12">
        <v>-38688</v>
      </c>
      <c r="AT55" s="12">
        <v>-3158758</v>
      </c>
      <c r="AU55" s="12">
        <v>12501</v>
      </c>
      <c r="AV55" s="12">
        <v>172945</v>
      </c>
      <c r="AW55" s="12">
        <v>-44815</v>
      </c>
      <c r="AX55" s="12">
        <v>-445175</v>
      </c>
      <c r="AY55" s="12">
        <v>2851054</v>
      </c>
      <c r="AZ55" s="12">
        <v>-627064</v>
      </c>
      <c r="BA55" s="12">
        <v>32504641</v>
      </c>
      <c r="BB55" s="12">
        <v>-2584726</v>
      </c>
      <c r="BC55" s="12">
        <v>-108165</v>
      </c>
      <c r="BD55" s="12">
        <v>-7205750</v>
      </c>
      <c r="BE55" s="12">
        <v>-1340235</v>
      </c>
      <c r="BF55" s="12">
        <v>8950191</v>
      </c>
      <c r="BG55" s="12">
        <v>-12691700</v>
      </c>
      <c r="BH55" s="12">
        <v>-1944256</v>
      </c>
      <c r="BI55" s="12">
        <v>-184433</v>
      </c>
      <c r="BJ55" s="12">
        <v>-474714</v>
      </c>
      <c r="BK55" s="12">
        <v>2665877</v>
      </c>
      <c r="BL55" s="12">
        <v>3158270</v>
      </c>
      <c r="BM55" s="12">
        <v>-5421681</v>
      </c>
      <c r="BN55" s="12">
        <v>-2318832</v>
      </c>
      <c r="BO55" s="12">
        <v>-823805</v>
      </c>
      <c r="BP55" s="12">
        <v>1805318</v>
      </c>
      <c r="BQ55" s="12">
        <v>-984390</v>
      </c>
      <c r="BR55" s="12">
        <v>-2581297</v>
      </c>
      <c r="BS55" s="12">
        <v>988409</v>
      </c>
      <c r="BT55" s="12">
        <v>-4724722</v>
      </c>
      <c r="BU55" s="12">
        <v>-3083591</v>
      </c>
      <c r="BV55" s="12">
        <v>22193823</v>
      </c>
      <c r="BW55" s="12">
        <v>-3127660</v>
      </c>
      <c r="BX55" s="12">
        <v>-2664572</v>
      </c>
      <c r="BY55" s="12">
        <v>2268305</v>
      </c>
      <c r="BZ55" s="12">
        <v>-4511829</v>
      </c>
      <c r="CA55" s="12">
        <v>-1723439</v>
      </c>
      <c r="CB55" s="12">
        <v>-1667037</v>
      </c>
      <c r="CC55" s="12">
        <v>-346769</v>
      </c>
      <c r="CD55" s="12">
        <v>-4065474</v>
      </c>
      <c r="CE55" s="12">
        <v>3955243</v>
      </c>
      <c r="CF55" s="12">
        <v>-3876000</v>
      </c>
      <c r="CG55" s="12">
        <v>41764</v>
      </c>
      <c r="CH55" s="12">
        <v>-4025578</v>
      </c>
      <c r="CI55" s="12">
        <v>-1782363</v>
      </c>
      <c r="CJ55" s="12">
        <v>12258177</v>
      </c>
      <c r="CK55" s="12">
        <v>-997684</v>
      </c>
      <c r="CL55" s="12">
        <v>4444657</v>
      </c>
      <c r="CM55" s="12">
        <v>-3357601</v>
      </c>
      <c r="CN55" s="12">
        <v>-2411372</v>
      </c>
      <c r="CO55" s="12">
        <v>-1435675</v>
      </c>
      <c r="CP55" s="12">
        <v>-5532199</v>
      </c>
      <c r="CQ55" s="12">
        <v>6473717</v>
      </c>
      <c r="CR55" s="12">
        <v>-16338843</v>
      </c>
      <c r="CS55" s="12">
        <v>13245972</v>
      </c>
      <c r="CT55" s="12">
        <v>-22617399</v>
      </c>
      <c r="CU55" s="12">
        <v>-8057958</v>
      </c>
      <c r="CV55" s="12">
        <v>-6733615</v>
      </c>
      <c r="CW55" s="12">
        <v>-3268923</v>
      </c>
      <c r="CX55" s="8" t="s">
        <v>137</v>
      </c>
      <c r="CY55" s="12">
        <v>-1833250</v>
      </c>
      <c r="CZ55" s="12">
        <v>-2607770</v>
      </c>
      <c r="DA55" s="12">
        <v>-3085449</v>
      </c>
      <c r="DB55" s="12">
        <v>-5028668</v>
      </c>
      <c r="DC55" s="12">
        <v>617745</v>
      </c>
      <c r="DD55" s="12">
        <v>-18195628</v>
      </c>
      <c r="DE55" s="12">
        <v>852399</v>
      </c>
      <c r="DF55" s="12">
        <v>3867045</v>
      </c>
      <c r="DG55" s="12">
        <v>-765340</v>
      </c>
      <c r="DH55" s="12">
        <v>1949896</v>
      </c>
      <c r="DI55" s="12">
        <v>13143650</v>
      </c>
      <c r="DJ55" s="12">
        <v>-9594259</v>
      </c>
      <c r="DK55" s="12">
        <v>-2975472</v>
      </c>
      <c r="DL55" s="8" t="s">
        <v>137</v>
      </c>
      <c r="DM55" s="12">
        <v>4023602</v>
      </c>
      <c r="DN55" s="12">
        <v>-6396155</v>
      </c>
      <c r="DO55" s="12">
        <v>-2664802</v>
      </c>
      <c r="DP55" s="12">
        <v>-6870645</v>
      </c>
      <c r="DQ55" s="12">
        <v>-2112851</v>
      </c>
      <c r="DR55" s="12">
        <v>-9996091</v>
      </c>
    </row>
    <row r="56" spans="1:122">
      <c r="A56" s="4" t="s">
        <v>170</v>
      </c>
      <c r="B56" s="9">
        <v>272619</v>
      </c>
      <c r="C56" s="8" t="s">
        <v>137</v>
      </c>
      <c r="D56" s="8" t="s">
        <v>137</v>
      </c>
      <c r="E56" s="8" t="s">
        <v>137</v>
      </c>
      <c r="F56" s="8" t="s">
        <v>137</v>
      </c>
      <c r="G56" s="8" t="s">
        <v>137</v>
      </c>
      <c r="H56" s="8" t="s">
        <v>137</v>
      </c>
      <c r="I56" s="8" t="s">
        <v>137</v>
      </c>
      <c r="J56" s="8" t="s">
        <v>137</v>
      </c>
      <c r="K56" s="8" t="s">
        <v>137</v>
      </c>
      <c r="L56" s="8" t="s">
        <v>137</v>
      </c>
      <c r="M56" s="8" t="s">
        <v>137</v>
      </c>
      <c r="N56" s="8" t="s">
        <v>137</v>
      </c>
      <c r="O56" s="8" t="s">
        <v>137</v>
      </c>
      <c r="P56" s="8" t="s">
        <v>137</v>
      </c>
      <c r="Q56" s="8" t="s">
        <v>137</v>
      </c>
      <c r="R56" s="8" t="s">
        <v>137</v>
      </c>
      <c r="S56" s="8" t="s">
        <v>137</v>
      </c>
      <c r="T56" s="8" t="s">
        <v>137</v>
      </c>
      <c r="U56" s="8" t="s">
        <v>137</v>
      </c>
      <c r="V56" s="8" t="s">
        <v>137</v>
      </c>
      <c r="W56" s="8" t="s">
        <v>137</v>
      </c>
      <c r="X56" s="8" t="s">
        <v>137</v>
      </c>
      <c r="Y56" s="8" t="s">
        <v>137</v>
      </c>
      <c r="Z56" s="8" t="s">
        <v>137</v>
      </c>
      <c r="AA56" s="8" t="s">
        <v>137</v>
      </c>
      <c r="AB56" s="8" t="s">
        <v>137</v>
      </c>
      <c r="AC56" s="8" t="s">
        <v>137</v>
      </c>
      <c r="AD56" s="8" t="s">
        <v>137</v>
      </c>
      <c r="AE56" s="8" t="s">
        <v>137</v>
      </c>
      <c r="AF56" s="8" t="s">
        <v>137</v>
      </c>
      <c r="AG56" s="8" t="s">
        <v>137</v>
      </c>
      <c r="AH56" s="8" t="s">
        <v>137</v>
      </c>
      <c r="AI56" s="8" t="s">
        <v>137</v>
      </c>
      <c r="AJ56" s="8" t="s">
        <v>137</v>
      </c>
      <c r="AK56" s="8" t="s">
        <v>137</v>
      </c>
      <c r="AL56" s="8" t="s">
        <v>137</v>
      </c>
      <c r="AM56" s="8" t="s">
        <v>137</v>
      </c>
      <c r="AN56" s="8" t="s">
        <v>137</v>
      </c>
      <c r="AO56" s="8" t="s">
        <v>137</v>
      </c>
      <c r="AP56" s="8" t="s">
        <v>137</v>
      </c>
      <c r="AQ56" s="8" t="s">
        <v>137</v>
      </c>
      <c r="AR56" s="8" t="s">
        <v>137</v>
      </c>
      <c r="AS56" s="8" t="s">
        <v>137</v>
      </c>
      <c r="AT56" s="8" t="s">
        <v>137</v>
      </c>
      <c r="AU56" s="8" t="s">
        <v>137</v>
      </c>
      <c r="AV56" s="8" t="s">
        <v>137</v>
      </c>
      <c r="AW56" s="12">
        <v>-12510</v>
      </c>
      <c r="AX56" s="12">
        <v>-15269</v>
      </c>
      <c r="AY56" s="12">
        <v>129019</v>
      </c>
      <c r="AZ56" s="12">
        <v>-81240</v>
      </c>
      <c r="BA56" s="12">
        <v>7383</v>
      </c>
      <c r="BB56" s="12">
        <v>970280</v>
      </c>
      <c r="BC56" s="12">
        <v>-949567</v>
      </c>
      <c r="BD56" s="12">
        <v>-43096</v>
      </c>
      <c r="BE56" s="12">
        <v>28370</v>
      </c>
      <c r="BF56" s="12">
        <v>-11996</v>
      </c>
      <c r="BG56" s="12">
        <v>-3695</v>
      </c>
      <c r="BH56" s="12">
        <v>-86679</v>
      </c>
      <c r="BI56" s="8" t="s">
        <v>137</v>
      </c>
      <c r="BJ56" s="8" t="s">
        <v>137</v>
      </c>
      <c r="BK56" s="12">
        <v>40302</v>
      </c>
      <c r="BL56" s="12">
        <v>99698</v>
      </c>
      <c r="BM56" s="8" t="s">
        <v>137</v>
      </c>
      <c r="BN56" s="8" t="s">
        <v>137</v>
      </c>
      <c r="BO56" s="8" t="s">
        <v>137</v>
      </c>
      <c r="BP56" s="12">
        <v>55000</v>
      </c>
      <c r="BQ56" s="12">
        <v>59588</v>
      </c>
      <c r="BR56" s="12">
        <v>681014</v>
      </c>
      <c r="BS56" s="12">
        <v>0</v>
      </c>
      <c r="BT56" s="12">
        <v>-985602</v>
      </c>
      <c r="BU56" s="12">
        <v>24503</v>
      </c>
      <c r="BV56" s="12">
        <v>20505</v>
      </c>
      <c r="BW56" s="12">
        <v>-6010</v>
      </c>
      <c r="BX56" s="12">
        <v>-575998</v>
      </c>
      <c r="BY56" s="12">
        <v>207577</v>
      </c>
      <c r="BZ56" s="12">
        <v>1</v>
      </c>
      <c r="CA56" s="12">
        <v>-19453</v>
      </c>
      <c r="CB56" s="12">
        <v>-13125</v>
      </c>
      <c r="CC56" s="12">
        <v>189318</v>
      </c>
      <c r="CD56" s="12">
        <v>498376</v>
      </c>
      <c r="CE56" s="12">
        <v>-279432</v>
      </c>
      <c r="CF56" s="12">
        <v>151738</v>
      </c>
      <c r="CG56" s="12">
        <v>-380927</v>
      </c>
      <c r="CH56" s="12">
        <v>-472369</v>
      </c>
      <c r="CI56" s="12">
        <v>-10095</v>
      </c>
      <c r="CJ56" s="12">
        <v>673391</v>
      </c>
      <c r="CK56" s="12">
        <v>-274323</v>
      </c>
      <c r="CL56" s="12">
        <v>429584</v>
      </c>
      <c r="CM56" s="12">
        <v>-388977</v>
      </c>
      <c r="CN56" s="12">
        <v>332716</v>
      </c>
      <c r="CO56" s="12">
        <v>-90117</v>
      </c>
      <c r="CP56" s="12">
        <v>-40042</v>
      </c>
      <c r="CQ56" s="12">
        <v>58901</v>
      </c>
      <c r="CR56" s="12">
        <v>-306742</v>
      </c>
      <c r="CS56" s="12">
        <v>2101143</v>
      </c>
      <c r="CT56" s="12">
        <v>-708143</v>
      </c>
      <c r="CU56" s="12">
        <v>-100153</v>
      </c>
      <c r="CV56" s="12">
        <v>-1301847</v>
      </c>
      <c r="CW56" s="12">
        <v>222166</v>
      </c>
      <c r="CX56" s="8" t="s">
        <v>137</v>
      </c>
      <c r="CY56" s="12">
        <v>185362</v>
      </c>
      <c r="CZ56" s="12">
        <v>183509</v>
      </c>
      <c r="DA56" s="12">
        <v>-150040</v>
      </c>
      <c r="DB56" s="12">
        <v>21424</v>
      </c>
      <c r="DC56" s="12">
        <v>-20057</v>
      </c>
      <c r="DD56" s="12">
        <v>-323327</v>
      </c>
      <c r="DE56" s="12">
        <v>-126245</v>
      </c>
      <c r="DF56" s="12">
        <v>-578779</v>
      </c>
      <c r="DG56" s="12">
        <v>74087</v>
      </c>
      <c r="DH56" s="12">
        <v>-204063</v>
      </c>
      <c r="DI56" s="12">
        <v>-316093</v>
      </c>
      <c r="DJ56" s="12">
        <v>602224</v>
      </c>
      <c r="DK56" s="12">
        <v>446784</v>
      </c>
      <c r="DL56" s="8" t="s">
        <v>137</v>
      </c>
      <c r="DM56" s="12">
        <v>104903</v>
      </c>
      <c r="DN56" s="12">
        <v>-447800</v>
      </c>
      <c r="DO56" s="12">
        <v>-159048</v>
      </c>
      <c r="DP56" s="12">
        <v>-213055</v>
      </c>
      <c r="DQ56" s="12">
        <v>182312</v>
      </c>
      <c r="DR56" s="12">
        <v>-363162</v>
      </c>
    </row>
    <row r="57" spans="1:122">
      <c r="A57" s="4" t="s">
        <v>171</v>
      </c>
      <c r="B57" s="9">
        <v>272620</v>
      </c>
      <c r="C57" s="8" t="s">
        <v>137</v>
      </c>
      <c r="D57" s="8" t="s">
        <v>137</v>
      </c>
      <c r="E57" s="8" t="s">
        <v>137</v>
      </c>
      <c r="F57" s="8" t="s">
        <v>137</v>
      </c>
      <c r="G57" s="8" t="s">
        <v>137</v>
      </c>
      <c r="H57" s="8" t="s">
        <v>137</v>
      </c>
      <c r="I57" s="8" t="s">
        <v>137</v>
      </c>
      <c r="J57" s="8" t="s">
        <v>137</v>
      </c>
      <c r="K57" s="8" t="s">
        <v>137</v>
      </c>
      <c r="L57" s="8" t="s">
        <v>137</v>
      </c>
      <c r="M57" s="8" t="s">
        <v>137</v>
      </c>
      <c r="N57" s="8" t="s">
        <v>137</v>
      </c>
      <c r="O57" s="8" t="s">
        <v>137</v>
      </c>
      <c r="P57" s="8" t="s">
        <v>137</v>
      </c>
      <c r="Q57" s="8" t="s">
        <v>137</v>
      </c>
      <c r="R57" s="8" t="s">
        <v>137</v>
      </c>
      <c r="S57" s="12">
        <v>1000</v>
      </c>
      <c r="T57" s="12">
        <v>-1000</v>
      </c>
      <c r="U57" s="12">
        <v>-1000</v>
      </c>
      <c r="V57" s="12">
        <v>1000</v>
      </c>
      <c r="W57" s="8" t="s">
        <v>137</v>
      </c>
      <c r="X57" s="8" t="s">
        <v>137</v>
      </c>
      <c r="Y57" s="12">
        <v>-1000</v>
      </c>
      <c r="Z57" s="12">
        <v>1000</v>
      </c>
      <c r="AA57" s="8" t="s">
        <v>137</v>
      </c>
      <c r="AB57" s="8" t="s">
        <v>137</v>
      </c>
      <c r="AC57" s="8" t="s">
        <v>137</v>
      </c>
      <c r="AD57" s="8" t="s">
        <v>137</v>
      </c>
      <c r="AE57" s="8" t="s">
        <v>137</v>
      </c>
      <c r="AF57" s="8" t="s">
        <v>137</v>
      </c>
      <c r="AG57" s="8" t="s">
        <v>137</v>
      </c>
      <c r="AH57" s="8" t="s">
        <v>137</v>
      </c>
      <c r="AI57" s="8" t="s">
        <v>137</v>
      </c>
      <c r="AJ57" s="8" t="s">
        <v>137</v>
      </c>
      <c r="AK57" s="8" t="s">
        <v>137</v>
      </c>
      <c r="AL57" s="8" t="s">
        <v>137</v>
      </c>
      <c r="AM57" s="8" t="s">
        <v>137</v>
      </c>
      <c r="AN57" s="8" t="s">
        <v>137</v>
      </c>
      <c r="AO57" s="8" t="s">
        <v>137</v>
      </c>
      <c r="AP57" s="8" t="s">
        <v>137</v>
      </c>
      <c r="AQ57" s="8" t="s">
        <v>137</v>
      </c>
      <c r="AR57" s="8" t="s">
        <v>137</v>
      </c>
      <c r="AS57" s="8" t="s">
        <v>137</v>
      </c>
      <c r="AT57" s="8" t="s">
        <v>137</v>
      </c>
      <c r="AU57" s="8" t="s">
        <v>137</v>
      </c>
      <c r="AV57" s="8" t="s">
        <v>137</v>
      </c>
      <c r="AW57" s="8" t="s">
        <v>137</v>
      </c>
      <c r="AX57" s="8" t="s">
        <v>137</v>
      </c>
      <c r="AY57" s="8" t="s">
        <v>137</v>
      </c>
      <c r="AZ57" s="12">
        <v>-7000</v>
      </c>
      <c r="BA57" s="8" t="s">
        <v>137</v>
      </c>
      <c r="BB57" s="8" t="s">
        <v>137</v>
      </c>
      <c r="BC57" s="8" t="s">
        <v>137</v>
      </c>
      <c r="BD57" s="8" t="s">
        <v>137</v>
      </c>
      <c r="BE57" s="8" t="s">
        <v>137</v>
      </c>
      <c r="BF57" s="8" t="s">
        <v>137</v>
      </c>
      <c r="BG57" s="8" t="s">
        <v>137</v>
      </c>
      <c r="BH57" s="8" t="s">
        <v>137</v>
      </c>
      <c r="BI57" s="8" t="s">
        <v>137</v>
      </c>
      <c r="BJ57" s="8" t="s">
        <v>137</v>
      </c>
      <c r="BK57" s="8" t="s">
        <v>137</v>
      </c>
      <c r="BL57" s="8" t="s">
        <v>137</v>
      </c>
      <c r="BM57" s="8" t="s">
        <v>137</v>
      </c>
      <c r="BN57" s="8" t="s">
        <v>137</v>
      </c>
      <c r="BO57" s="8" t="s">
        <v>137</v>
      </c>
      <c r="BP57" s="8" t="s">
        <v>137</v>
      </c>
      <c r="BQ57" s="8" t="s">
        <v>137</v>
      </c>
      <c r="BR57" s="8" t="s">
        <v>137</v>
      </c>
      <c r="BS57" s="8" t="s">
        <v>137</v>
      </c>
      <c r="BT57" s="8" t="s">
        <v>137</v>
      </c>
      <c r="BU57" s="8" t="s">
        <v>137</v>
      </c>
      <c r="BV57" s="8" t="s">
        <v>137</v>
      </c>
      <c r="BW57" s="8" t="s">
        <v>137</v>
      </c>
      <c r="BX57" s="8" t="s">
        <v>137</v>
      </c>
      <c r="BY57" s="8" t="s">
        <v>137</v>
      </c>
      <c r="BZ57" s="8" t="s">
        <v>137</v>
      </c>
      <c r="CA57" s="8" t="s">
        <v>137</v>
      </c>
      <c r="CB57" s="8" t="s">
        <v>137</v>
      </c>
      <c r="CC57" s="8" t="s">
        <v>137</v>
      </c>
      <c r="CD57" s="8" t="s">
        <v>137</v>
      </c>
      <c r="CE57" s="8" t="s">
        <v>137</v>
      </c>
      <c r="CF57" s="8" t="s">
        <v>137</v>
      </c>
      <c r="CG57" s="8" t="s">
        <v>137</v>
      </c>
      <c r="CH57" s="8" t="s">
        <v>137</v>
      </c>
      <c r="CI57" s="8" t="s">
        <v>137</v>
      </c>
      <c r="CJ57" s="8" t="s">
        <v>137</v>
      </c>
      <c r="CK57" s="8" t="s">
        <v>137</v>
      </c>
      <c r="CL57" s="8" t="s">
        <v>137</v>
      </c>
      <c r="CM57" s="8" t="s">
        <v>137</v>
      </c>
      <c r="CN57" s="8" t="s">
        <v>137</v>
      </c>
      <c r="CO57" s="8" t="s">
        <v>137</v>
      </c>
      <c r="CP57" s="8" t="s">
        <v>137</v>
      </c>
      <c r="CQ57" s="8" t="s">
        <v>137</v>
      </c>
      <c r="CR57" s="8" t="s">
        <v>137</v>
      </c>
      <c r="CS57" s="8" t="s">
        <v>137</v>
      </c>
      <c r="CT57" s="8" t="s">
        <v>137</v>
      </c>
      <c r="CU57" s="8" t="s">
        <v>137</v>
      </c>
      <c r="CV57" s="8" t="s">
        <v>137</v>
      </c>
      <c r="CW57" s="8" t="s">
        <v>137</v>
      </c>
      <c r="CX57" s="8" t="s">
        <v>137</v>
      </c>
      <c r="CY57" s="8" t="s">
        <v>137</v>
      </c>
      <c r="CZ57" s="8" t="s">
        <v>137</v>
      </c>
      <c r="DA57" s="8" t="s">
        <v>137</v>
      </c>
      <c r="DB57" s="8" t="s">
        <v>137</v>
      </c>
      <c r="DC57" s="8" t="s">
        <v>137</v>
      </c>
      <c r="DD57" s="8" t="s">
        <v>137</v>
      </c>
      <c r="DE57" s="8" t="s">
        <v>137</v>
      </c>
      <c r="DF57" s="8" t="s">
        <v>137</v>
      </c>
      <c r="DG57" s="8" t="s">
        <v>137</v>
      </c>
      <c r="DH57" s="8" t="s">
        <v>137</v>
      </c>
      <c r="DI57" s="8" t="s">
        <v>137</v>
      </c>
      <c r="DJ57" s="8" t="s">
        <v>137</v>
      </c>
      <c r="DK57" s="8" t="s">
        <v>137</v>
      </c>
      <c r="DL57" s="8" t="s">
        <v>137</v>
      </c>
      <c r="DM57" s="8" t="s">
        <v>137</v>
      </c>
      <c r="DN57" s="8" t="s">
        <v>137</v>
      </c>
      <c r="DO57" s="8" t="s">
        <v>137</v>
      </c>
      <c r="DP57" s="8" t="s">
        <v>137</v>
      </c>
      <c r="DQ57" s="8" t="s">
        <v>137</v>
      </c>
      <c r="DR57" s="8" t="s">
        <v>137</v>
      </c>
    </row>
    <row r="58" spans="1:122">
      <c r="A58" s="4" t="s">
        <v>172</v>
      </c>
      <c r="B58" s="9">
        <v>272621</v>
      </c>
      <c r="C58" s="12">
        <v>235702</v>
      </c>
      <c r="D58" s="12">
        <v>-440010</v>
      </c>
      <c r="E58" s="12">
        <v>90219</v>
      </c>
      <c r="F58" s="12">
        <v>68261</v>
      </c>
      <c r="G58" s="12">
        <v>-74449</v>
      </c>
      <c r="H58" s="12">
        <v>-54033</v>
      </c>
      <c r="I58" s="12">
        <v>-120901</v>
      </c>
      <c r="J58" s="12">
        <v>237336</v>
      </c>
      <c r="K58" s="12">
        <v>-105783</v>
      </c>
      <c r="L58" s="12">
        <v>-105783</v>
      </c>
      <c r="M58" s="12">
        <v>232963</v>
      </c>
      <c r="N58" s="12">
        <v>280274</v>
      </c>
      <c r="O58" s="8" t="s">
        <v>137</v>
      </c>
      <c r="P58" s="12">
        <v>712861</v>
      </c>
      <c r="Q58" s="12">
        <v>-30000</v>
      </c>
      <c r="R58" s="12">
        <v>1477000</v>
      </c>
      <c r="S58" s="12">
        <v>235000</v>
      </c>
      <c r="T58" s="12">
        <v>238375</v>
      </c>
      <c r="U58" s="12">
        <v>-454000</v>
      </c>
      <c r="V58" s="12">
        <v>-820000</v>
      </c>
      <c r="W58" s="12">
        <v>-2187000</v>
      </c>
      <c r="X58" s="12">
        <v>-482803</v>
      </c>
      <c r="Y58" s="12">
        <v>490000</v>
      </c>
      <c r="Z58" s="12">
        <v>-356000</v>
      </c>
      <c r="AA58" s="12">
        <v>854000</v>
      </c>
      <c r="AB58" s="12">
        <v>628000</v>
      </c>
      <c r="AC58" s="12">
        <v>-1017000</v>
      </c>
      <c r="AD58" s="12">
        <v>395000</v>
      </c>
      <c r="AE58" s="12">
        <v>1050000</v>
      </c>
      <c r="AF58" s="12">
        <v>-1152000</v>
      </c>
      <c r="AG58" s="12">
        <v>559000</v>
      </c>
      <c r="AH58" s="12">
        <v>451000</v>
      </c>
      <c r="AI58" s="12">
        <v>1263000</v>
      </c>
      <c r="AJ58" s="12">
        <v>-273000</v>
      </c>
      <c r="AK58" s="12">
        <v>537763</v>
      </c>
      <c r="AL58" s="12">
        <v>370908</v>
      </c>
      <c r="AM58" s="12">
        <v>-878270</v>
      </c>
      <c r="AN58" s="12">
        <v>191599</v>
      </c>
      <c r="AO58" s="12">
        <v>725783</v>
      </c>
      <c r="AP58" s="12">
        <v>197320</v>
      </c>
      <c r="AQ58" s="12">
        <v>1007809</v>
      </c>
      <c r="AR58" s="12">
        <v>-695912</v>
      </c>
      <c r="AS58" s="12">
        <v>209610</v>
      </c>
      <c r="AT58" s="12">
        <v>-2870237</v>
      </c>
      <c r="AU58" s="12">
        <v>773960</v>
      </c>
      <c r="AV58" s="12">
        <v>98667</v>
      </c>
      <c r="AW58" s="12">
        <v>17051</v>
      </c>
      <c r="AX58" s="12">
        <v>-1364439</v>
      </c>
      <c r="AY58" s="12">
        <v>4126489</v>
      </c>
      <c r="AZ58" s="12">
        <v>657899</v>
      </c>
      <c r="BA58" s="12">
        <v>-2643604</v>
      </c>
      <c r="BB58" s="12">
        <v>2451685</v>
      </c>
      <c r="BC58" s="12">
        <v>1934234</v>
      </c>
      <c r="BD58" s="12">
        <v>-4100315</v>
      </c>
      <c r="BE58" s="12">
        <v>-23718</v>
      </c>
      <c r="BF58" s="12">
        <v>10587332</v>
      </c>
      <c r="BG58" s="12">
        <v>-10610958</v>
      </c>
      <c r="BH58" s="12">
        <v>-1608656</v>
      </c>
      <c r="BI58" s="12">
        <v>1455024</v>
      </c>
      <c r="BJ58" s="12">
        <v>5577871</v>
      </c>
      <c r="BK58" s="12">
        <v>3015465</v>
      </c>
      <c r="BL58" s="12">
        <v>-9407360</v>
      </c>
      <c r="BM58" s="12">
        <v>-148324</v>
      </c>
      <c r="BN58" s="12">
        <v>-555934</v>
      </c>
      <c r="BO58" s="12">
        <v>1047985</v>
      </c>
      <c r="BP58" s="12">
        <v>-31727</v>
      </c>
      <c r="BQ58" s="12">
        <v>494285</v>
      </c>
      <c r="BR58" s="12">
        <v>401130</v>
      </c>
      <c r="BS58" s="12">
        <v>-272951</v>
      </c>
      <c r="BT58" s="12">
        <v>-2396464</v>
      </c>
      <c r="BU58" s="12">
        <v>971066</v>
      </c>
      <c r="BV58" s="12">
        <v>2405891</v>
      </c>
      <c r="BW58" s="12">
        <v>-2495998</v>
      </c>
      <c r="BX58" s="12">
        <v>-812959</v>
      </c>
      <c r="BY58" s="12">
        <v>-213443</v>
      </c>
      <c r="BZ58" s="12">
        <v>1154268</v>
      </c>
      <c r="CA58" s="12">
        <v>569600</v>
      </c>
      <c r="CB58" s="12">
        <v>-257425</v>
      </c>
      <c r="CC58" s="12">
        <v>2681059</v>
      </c>
      <c r="CD58" s="12">
        <v>-1571404</v>
      </c>
      <c r="CE58" s="12">
        <v>4262607</v>
      </c>
      <c r="CF58" s="12">
        <v>-2383262</v>
      </c>
      <c r="CG58" s="12">
        <v>970177</v>
      </c>
      <c r="CH58" s="12">
        <v>-2155132</v>
      </c>
      <c r="CI58" s="12">
        <v>55565</v>
      </c>
      <c r="CJ58" s="12">
        <v>1531390</v>
      </c>
      <c r="CK58" s="12">
        <v>-2199476</v>
      </c>
      <c r="CL58" s="12">
        <v>3059343</v>
      </c>
      <c r="CM58" s="12">
        <v>-102357</v>
      </c>
      <c r="CN58" s="12">
        <v>-389510</v>
      </c>
      <c r="CO58" s="12">
        <v>-478919</v>
      </c>
      <c r="CP58" s="12">
        <v>-1416091</v>
      </c>
      <c r="CQ58" s="12">
        <v>11371387</v>
      </c>
      <c r="CR58" s="12">
        <v>-10809377</v>
      </c>
      <c r="CS58" s="12">
        <v>19178896</v>
      </c>
      <c r="CT58" s="12">
        <v>-15094071</v>
      </c>
      <c r="CU58" s="12">
        <v>1695633</v>
      </c>
      <c r="CV58" s="12">
        <v>-2763458</v>
      </c>
      <c r="CW58" s="12">
        <v>2050285</v>
      </c>
      <c r="CX58" s="8" t="s">
        <v>137</v>
      </c>
      <c r="CY58" s="12">
        <v>-759828</v>
      </c>
      <c r="CZ58" s="12">
        <v>-2405973</v>
      </c>
      <c r="DA58" s="12">
        <v>351407</v>
      </c>
      <c r="DB58" s="12">
        <v>-2326196</v>
      </c>
      <c r="DC58" s="12">
        <v>554362</v>
      </c>
      <c r="DD58" s="12">
        <v>4985427</v>
      </c>
      <c r="DE58" s="12">
        <v>-6331975</v>
      </c>
      <c r="DF58" s="12">
        <v>504624</v>
      </c>
      <c r="DG58" s="12">
        <v>-236499</v>
      </c>
      <c r="DH58" s="12">
        <v>103850</v>
      </c>
      <c r="DI58" s="12">
        <v>11214488</v>
      </c>
      <c r="DJ58" s="12">
        <v>-9951992</v>
      </c>
      <c r="DK58" s="12">
        <v>818697</v>
      </c>
      <c r="DL58" s="8" t="s">
        <v>137</v>
      </c>
      <c r="DM58" s="12">
        <v>9721902</v>
      </c>
      <c r="DN58" s="12">
        <v>-10285173</v>
      </c>
      <c r="DO58" s="12">
        <v>6122987</v>
      </c>
      <c r="DP58" s="12">
        <v>-5081716</v>
      </c>
      <c r="DQ58" s="12">
        <v>11038918</v>
      </c>
      <c r="DR58" s="12">
        <v>-3010980</v>
      </c>
    </row>
    <row r="59" spans="1:122">
      <c r="A59" s="4" t="s">
        <v>173</v>
      </c>
      <c r="B59" s="9">
        <v>272592</v>
      </c>
      <c r="C59" s="12">
        <v>-422589</v>
      </c>
      <c r="D59" s="12">
        <v>-251623</v>
      </c>
      <c r="E59" s="12">
        <v>-243272</v>
      </c>
      <c r="F59" s="12">
        <v>917484</v>
      </c>
      <c r="G59" s="12">
        <v>-49742</v>
      </c>
      <c r="H59" s="12">
        <v>-314020</v>
      </c>
      <c r="I59" s="12">
        <v>-405591</v>
      </c>
      <c r="J59" s="12">
        <v>-1230632</v>
      </c>
      <c r="K59" s="12">
        <v>-58793.5</v>
      </c>
      <c r="L59" s="12">
        <v>-58793.5</v>
      </c>
      <c r="M59" s="12">
        <v>-468090.5</v>
      </c>
      <c r="N59" s="12">
        <v>-852547.5</v>
      </c>
      <c r="O59" s="8" t="s">
        <v>137</v>
      </c>
      <c r="P59" s="12">
        <v>-1959864</v>
      </c>
      <c r="Q59" s="8" t="s">
        <v>137</v>
      </c>
      <c r="R59" s="8" t="s">
        <v>137</v>
      </c>
      <c r="S59" s="8" t="s">
        <v>137</v>
      </c>
      <c r="T59" s="12">
        <v>-1111634</v>
      </c>
      <c r="U59" s="8" t="s">
        <v>137</v>
      </c>
      <c r="V59" s="8" t="s">
        <v>137</v>
      </c>
      <c r="W59" s="8" t="s">
        <v>137</v>
      </c>
      <c r="X59" s="12">
        <v>-1577935</v>
      </c>
      <c r="Y59" s="8" t="s">
        <v>137</v>
      </c>
      <c r="Z59" s="8" t="s">
        <v>137</v>
      </c>
      <c r="AA59" s="8" t="s">
        <v>137</v>
      </c>
      <c r="AB59" s="12">
        <v>-927000</v>
      </c>
      <c r="AC59" s="8" t="s">
        <v>137</v>
      </c>
      <c r="AD59" s="8" t="s">
        <v>137</v>
      </c>
      <c r="AE59" s="8" t="s">
        <v>137</v>
      </c>
      <c r="AF59" s="12">
        <v>-713000</v>
      </c>
      <c r="AG59" s="8" t="s">
        <v>137</v>
      </c>
      <c r="AH59" s="8" t="s">
        <v>137</v>
      </c>
      <c r="AI59" s="8" t="s">
        <v>137</v>
      </c>
      <c r="AJ59" s="12">
        <v>-1735000</v>
      </c>
      <c r="AK59" s="12">
        <v>-443669</v>
      </c>
      <c r="AL59" s="12">
        <v>-607506</v>
      </c>
      <c r="AM59" s="12">
        <v>-562543</v>
      </c>
      <c r="AN59" s="12">
        <v>-1530282</v>
      </c>
      <c r="AO59" s="12">
        <v>-368294</v>
      </c>
      <c r="AP59" s="12">
        <v>-625850</v>
      </c>
      <c r="AQ59" s="12">
        <v>-605236</v>
      </c>
      <c r="AR59" s="12">
        <v>-1348620</v>
      </c>
      <c r="AS59" s="12">
        <v>-709597</v>
      </c>
      <c r="AT59" s="12">
        <v>-939938</v>
      </c>
      <c r="AU59" s="12">
        <v>-844657</v>
      </c>
      <c r="AV59" s="12">
        <v>-1835808</v>
      </c>
      <c r="AW59" s="12">
        <v>-623292</v>
      </c>
      <c r="AX59" s="12">
        <v>-903987</v>
      </c>
      <c r="AY59" s="12">
        <v>-570535</v>
      </c>
      <c r="AZ59" s="12">
        <v>-1891186</v>
      </c>
      <c r="BA59" s="12">
        <v>-373605</v>
      </c>
      <c r="BB59" s="12">
        <v>31003</v>
      </c>
      <c r="BC59" s="12">
        <v>-1166507</v>
      </c>
      <c r="BD59" s="12">
        <v>-2103891</v>
      </c>
      <c r="BE59" s="12">
        <v>-290593</v>
      </c>
      <c r="BF59" s="12">
        <v>-1036681</v>
      </c>
      <c r="BG59" s="12">
        <v>-673492</v>
      </c>
      <c r="BH59" s="12">
        <v>-2090234</v>
      </c>
      <c r="BI59" s="12">
        <v>-991058</v>
      </c>
      <c r="BJ59" s="12">
        <v>-2027827</v>
      </c>
      <c r="BK59" s="12">
        <v>-1448787</v>
      </c>
      <c r="BL59" s="12">
        <v>-1957328</v>
      </c>
      <c r="BM59" s="12">
        <v>-1073234</v>
      </c>
      <c r="BN59" s="12">
        <v>-2955382</v>
      </c>
      <c r="BO59" s="12">
        <v>239601</v>
      </c>
      <c r="BP59" s="12">
        <v>-3006985</v>
      </c>
      <c r="BQ59" s="12">
        <v>-1037022</v>
      </c>
      <c r="BR59" s="12">
        <v>-1503778</v>
      </c>
      <c r="BS59" s="12">
        <v>-1762969</v>
      </c>
      <c r="BT59" s="12">
        <v>-2462231</v>
      </c>
      <c r="BU59" s="12">
        <v>-1022740</v>
      </c>
      <c r="BV59" s="12">
        <v>-1309354</v>
      </c>
      <c r="BW59" s="12">
        <v>-1805150</v>
      </c>
      <c r="BX59" s="12">
        <v>-2691756</v>
      </c>
      <c r="BY59" s="12">
        <v>-1380000</v>
      </c>
      <c r="BZ59" s="12">
        <v>-2030378</v>
      </c>
      <c r="CA59" s="12">
        <v>-2280537</v>
      </c>
      <c r="CB59" s="12">
        <v>-3913085</v>
      </c>
      <c r="CC59" s="12">
        <v>-1853392</v>
      </c>
      <c r="CD59" s="12">
        <v>-3212844</v>
      </c>
      <c r="CE59" s="12">
        <v>-2871764</v>
      </c>
      <c r="CF59" s="12">
        <v>-5215000</v>
      </c>
      <c r="CG59" s="12">
        <v>-2839422</v>
      </c>
      <c r="CH59" s="12">
        <v>-2684978</v>
      </c>
      <c r="CI59" s="12">
        <v>-2789818</v>
      </c>
      <c r="CJ59" s="12">
        <v>-5131782</v>
      </c>
      <c r="CK59" s="12">
        <v>-3503078</v>
      </c>
      <c r="CL59" s="12">
        <v>-3622902</v>
      </c>
      <c r="CM59" s="12">
        <v>-3245416</v>
      </c>
      <c r="CN59" s="12">
        <v>-4695604</v>
      </c>
      <c r="CO59" s="12">
        <v>-1937356</v>
      </c>
      <c r="CP59" s="12">
        <v>-3683029</v>
      </c>
      <c r="CQ59" s="12">
        <v>-2985160</v>
      </c>
      <c r="CR59" s="12">
        <v>-4511455</v>
      </c>
      <c r="CS59" s="12">
        <v>-2372940</v>
      </c>
      <c r="CT59" s="12">
        <v>-2871191</v>
      </c>
      <c r="CU59" s="12">
        <v>-2702428</v>
      </c>
      <c r="CV59" s="12">
        <v>-5271441</v>
      </c>
      <c r="CW59" s="12">
        <v>-2785986</v>
      </c>
      <c r="CX59" s="8" t="s">
        <v>137</v>
      </c>
      <c r="CY59" s="12">
        <v>-4506820</v>
      </c>
      <c r="CZ59" s="12">
        <v>-8775001</v>
      </c>
      <c r="DA59" s="12">
        <v>-3769840</v>
      </c>
      <c r="DB59" s="12">
        <v>-6376995</v>
      </c>
      <c r="DC59" s="12">
        <v>-7089334</v>
      </c>
      <c r="DD59" s="12">
        <v>-11432831</v>
      </c>
      <c r="DE59" s="12">
        <v>-5265356</v>
      </c>
      <c r="DF59" s="12">
        <v>-7489018</v>
      </c>
      <c r="DG59" s="12">
        <v>-8722788</v>
      </c>
      <c r="DH59" s="12">
        <v>-13276838</v>
      </c>
      <c r="DI59" s="12">
        <v>-5466321</v>
      </c>
      <c r="DJ59" s="12">
        <v>-6761900</v>
      </c>
      <c r="DK59" s="12">
        <v>-6867993</v>
      </c>
      <c r="DL59" s="8" t="s">
        <v>137</v>
      </c>
      <c r="DM59" s="12">
        <v>-5297519</v>
      </c>
      <c r="DN59" s="12">
        <v>-4545751</v>
      </c>
      <c r="DO59" s="12">
        <v>-4365924</v>
      </c>
      <c r="DP59" s="12">
        <v>-8320806</v>
      </c>
      <c r="DQ59" s="12">
        <v>-2730210</v>
      </c>
      <c r="DR59" s="12">
        <v>-4162163</v>
      </c>
    </row>
    <row r="60" spans="1:122">
      <c r="A60" s="4" t="s">
        <v>174</v>
      </c>
      <c r="B60" s="9">
        <v>272627</v>
      </c>
      <c r="C60" s="8" t="s">
        <v>137</v>
      </c>
      <c r="D60" s="8" t="s">
        <v>137</v>
      </c>
      <c r="E60" s="8" t="s">
        <v>137</v>
      </c>
      <c r="F60" s="8" t="s">
        <v>137</v>
      </c>
      <c r="G60" s="8" t="s">
        <v>137</v>
      </c>
      <c r="H60" s="12">
        <v>-2151</v>
      </c>
      <c r="I60" s="12">
        <v>-192556</v>
      </c>
      <c r="J60" s="12">
        <v>492945</v>
      </c>
      <c r="K60" s="12">
        <v>857561</v>
      </c>
      <c r="L60" s="12">
        <v>0</v>
      </c>
      <c r="M60" s="12">
        <v>-111680</v>
      </c>
      <c r="N60" s="12">
        <v>106314</v>
      </c>
      <c r="O60" s="8" t="s">
        <v>137</v>
      </c>
      <c r="P60" s="8" t="s">
        <v>137</v>
      </c>
      <c r="Q60" s="8" t="s">
        <v>137</v>
      </c>
      <c r="R60" s="8" t="s">
        <v>137</v>
      </c>
      <c r="S60" s="8" t="s">
        <v>137</v>
      </c>
      <c r="T60" s="12">
        <v>-7168481</v>
      </c>
      <c r="U60" s="12">
        <v>8005481</v>
      </c>
      <c r="V60" s="12">
        <v>-1005000</v>
      </c>
      <c r="W60" s="12">
        <v>-1943000</v>
      </c>
      <c r="X60" s="12">
        <v>-4348864</v>
      </c>
      <c r="Y60" s="12">
        <v>5140864</v>
      </c>
      <c r="Z60" s="12">
        <v>519000</v>
      </c>
      <c r="AA60" s="12">
        <v>199000</v>
      </c>
      <c r="AB60" s="12">
        <v>-6228000</v>
      </c>
      <c r="AC60" s="12">
        <v>6681000</v>
      </c>
      <c r="AD60" s="12">
        <v>-549000</v>
      </c>
      <c r="AE60" s="12">
        <v>815000</v>
      </c>
      <c r="AF60" s="12">
        <v>-6251000</v>
      </c>
      <c r="AG60" s="12">
        <v>6813000</v>
      </c>
      <c r="AH60" s="12">
        <v>-50000</v>
      </c>
      <c r="AI60" s="12">
        <v>1349000</v>
      </c>
      <c r="AJ60" s="12">
        <v>-9496000</v>
      </c>
      <c r="AK60" s="12">
        <v>7338000</v>
      </c>
      <c r="AL60" s="12">
        <v>-2174000</v>
      </c>
      <c r="AM60" s="12">
        <v>559000</v>
      </c>
      <c r="AN60" s="12">
        <v>-6193000</v>
      </c>
      <c r="AO60" s="12">
        <v>-510235</v>
      </c>
      <c r="AP60" s="12">
        <v>192174</v>
      </c>
      <c r="AQ60" s="12">
        <v>-353134</v>
      </c>
      <c r="AR60" s="12">
        <v>547195</v>
      </c>
      <c r="AS60" s="12">
        <v>-278396</v>
      </c>
      <c r="AT60" s="12">
        <v>121131</v>
      </c>
      <c r="AU60" s="12">
        <v>-639471</v>
      </c>
      <c r="AV60" s="12">
        <v>983736</v>
      </c>
      <c r="AW60" s="12">
        <v>328224</v>
      </c>
      <c r="AX60" s="12">
        <v>-1148667</v>
      </c>
      <c r="AY60" s="12">
        <v>558119</v>
      </c>
      <c r="AZ60" s="12">
        <v>1611324</v>
      </c>
      <c r="BA60" s="12">
        <v>1877698</v>
      </c>
      <c r="BB60" s="12">
        <v>-1848904</v>
      </c>
      <c r="BC60" s="12">
        <v>-1616177</v>
      </c>
      <c r="BD60" s="12">
        <v>1225383</v>
      </c>
      <c r="BE60" s="12">
        <v>852292</v>
      </c>
      <c r="BF60" s="12">
        <v>195010</v>
      </c>
      <c r="BG60" s="12">
        <v>-605275</v>
      </c>
      <c r="BH60" s="12">
        <v>1762973</v>
      </c>
      <c r="BI60" s="12">
        <v>696956</v>
      </c>
      <c r="BJ60" s="12">
        <v>-1399518</v>
      </c>
      <c r="BK60" s="12">
        <v>-1694682</v>
      </c>
      <c r="BL60" s="12">
        <v>2284244</v>
      </c>
      <c r="BM60" s="12">
        <v>-1640934</v>
      </c>
      <c r="BN60" s="12">
        <v>545588</v>
      </c>
      <c r="BO60" s="12">
        <v>247932</v>
      </c>
      <c r="BP60" s="12">
        <v>-1817586</v>
      </c>
      <c r="BQ60" s="12">
        <v>-479014</v>
      </c>
      <c r="BR60" s="12">
        <v>-2583841</v>
      </c>
      <c r="BS60" s="12">
        <v>-125787</v>
      </c>
      <c r="BT60" s="12">
        <v>2403642</v>
      </c>
      <c r="BU60" s="12">
        <v>-2315247</v>
      </c>
      <c r="BV60" s="12">
        <v>-1020526</v>
      </c>
      <c r="BW60" s="12">
        <v>298289</v>
      </c>
      <c r="BX60" s="12">
        <v>140484</v>
      </c>
      <c r="BY60" s="12">
        <v>700217</v>
      </c>
      <c r="BZ60" s="12">
        <v>-1747347</v>
      </c>
      <c r="CA60" s="12">
        <v>786570</v>
      </c>
      <c r="CB60" s="12">
        <v>-181440</v>
      </c>
      <c r="CC60" s="12">
        <v>640565</v>
      </c>
      <c r="CD60" s="12">
        <v>-1127637</v>
      </c>
      <c r="CE60" s="12">
        <v>-2049387</v>
      </c>
      <c r="CF60" s="12">
        <v>-676541</v>
      </c>
      <c r="CG60" s="12">
        <v>56628</v>
      </c>
      <c r="CH60" s="12">
        <v>472386</v>
      </c>
      <c r="CI60" s="12">
        <v>-1148008</v>
      </c>
      <c r="CJ60" s="12">
        <v>-228006</v>
      </c>
      <c r="CK60" s="12">
        <v>1978421</v>
      </c>
      <c r="CL60" s="12">
        <v>-1511109</v>
      </c>
      <c r="CM60" s="12">
        <v>-345034</v>
      </c>
      <c r="CN60" s="12">
        <v>-694278</v>
      </c>
      <c r="CO60" s="12">
        <v>3180072</v>
      </c>
      <c r="CP60" s="12">
        <v>69332</v>
      </c>
      <c r="CQ60" s="12">
        <v>-630960</v>
      </c>
      <c r="CR60" s="12">
        <v>146556</v>
      </c>
      <c r="CS60" s="12">
        <v>-48817</v>
      </c>
      <c r="CT60" s="12">
        <v>-3987486</v>
      </c>
      <c r="CU60" s="12">
        <v>-3990355</v>
      </c>
      <c r="CV60" s="12">
        <v>516658</v>
      </c>
      <c r="CW60" s="12">
        <v>-264481</v>
      </c>
      <c r="CX60" s="12">
        <v>-2701935</v>
      </c>
      <c r="CY60" s="12">
        <v>-276801</v>
      </c>
      <c r="CZ60" s="12">
        <v>-2258783</v>
      </c>
      <c r="DA60" s="12">
        <v>6119768</v>
      </c>
      <c r="DB60" s="12">
        <v>-1340666</v>
      </c>
      <c r="DC60" s="12">
        <v>-3981781</v>
      </c>
      <c r="DD60" s="12">
        <v>-7330321</v>
      </c>
      <c r="DE60" s="12">
        <v>7385732</v>
      </c>
      <c r="DF60" s="12">
        <v>3604687</v>
      </c>
      <c r="DG60" s="12">
        <v>680258</v>
      </c>
      <c r="DH60" s="12">
        <v>-505677</v>
      </c>
      <c r="DI60" s="12">
        <v>2426675</v>
      </c>
      <c r="DJ60" s="12">
        <v>986577</v>
      </c>
      <c r="DK60" s="12">
        <v>-629974</v>
      </c>
      <c r="DL60" s="12">
        <v>-1766278</v>
      </c>
      <c r="DM60" s="12">
        <v>-1152064</v>
      </c>
      <c r="DN60" s="12">
        <v>2325514</v>
      </c>
      <c r="DO60" s="12">
        <v>-1934419</v>
      </c>
      <c r="DP60" s="12">
        <v>64969</v>
      </c>
      <c r="DQ60" s="12">
        <v>-1690163</v>
      </c>
      <c r="DR60" s="12">
        <v>-837917</v>
      </c>
    </row>
    <row r="61" spans="1:122">
      <c r="A61" s="4" t="s">
        <v>175</v>
      </c>
      <c r="B61" s="9">
        <v>272626</v>
      </c>
      <c r="C61" s="8" t="s">
        <v>137</v>
      </c>
      <c r="D61" s="8" t="s">
        <v>137</v>
      </c>
      <c r="E61" s="8" t="s">
        <v>137</v>
      </c>
      <c r="F61" s="8" t="s">
        <v>137</v>
      </c>
      <c r="G61" s="8" t="s">
        <v>137</v>
      </c>
      <c r="H61" s="12">
        <v>125429.5</v>
      </c>
      <c r="I61" s="12">
        <v>171764.125</v>
      </c>
      <c r="J61" s="12">
        <v>-1066020.375</v>
      </c>
      <c r="K61" s="12">
        <v>-476352.125</v>
      </c>
      <c r="L61" s="12">
        <v>381208.875</v>
      </c>
      <c r="M61" s="12">
        <v>165475.18799999999</v>
      </c>
      <c r="N61" s="12">
        <v>69869.062999999995</v>
      </c>
      <c r="O61" s="8" t="s">
        <v>137</v>
      </c>
      <c r="P61" s="8" t="s">
        <v>137</v>
      </c>
      <c r="Q61" s="8" t="s">
        <v>137</v>
      </c>
      <c r="R61" s="8" t="s">
        <v>137</v>
      </c>
      <c r="S61" s="8" t="s">
        <v>137</v>
      </c>
      <c r="T61" s="12">
        <v>8014280.25</v>
      </c>
      <c r="U61" s="12">
        <v>-7569231</v>
      </c>
      <c r="V61" s="12">
        <v>1518125</v>
      </c>
      <c r="W61" s="12">
        <v>2502375</v>
      </c>
      <c r="X61" s="12">
        <v>4785821.375</v>
      </c>
      <c r="Y61" s="12">
        <v>-4701489</v>
      </c>
      <c r="Z61" s="12">
        <v>-91500</v>
      </c>
      <c r="AA61" s="12">
        <v>381000</v>
      </c>
      <c r="AB61" s="12">
        <v>7446250</v>
      </c>
      <c r="AC61" s="12">
        <v>-6316625</v>
      </c>
      <c r="AD61" s="12">
        <v>929625</v>
      </c>
      <c r="AE61" s="12">
        <v>-195625</v>
      </c>
      <c r="AF61" s="12">
        <v>8027687.5</v>
      </c>
      <c r="AG61" s="12">
        <v>-6329875</v>
      </c>
      <c r="AH61" s="12">
        <v>596875</v>
      </c>
      <c r="AI61" s="12">
        <v>-571500</v>
      </c>
      <c r="AJ61" s="12">
        <v>10500375</v>
      </c>
      <c r="AK61" s="12">
        <v>-6717817.25</v>
      </c>
      <c r="AL61" s="12">
        <v>2795807.125</v>
      </c>
      <c r="AM61" s="12">
        <v>252450.375</v>
      </c>
      <c r="AN61" s="12">
        <v>5561684.75</v>
      </c>
      <c r="AO61" s="12">
        <v>1260232.625</v>
      </c>
      <c r="AP61" s="12">
        <v>516057.875</v>
      </c>
      <c r="AQ61" s="12">
        <v>1292822.125</v>
      </c>
      <c r="AR61" s="12">
        <v>-477237.625</v>
      </c>
      <c r="AS61" s="12">
        <v>862467</v>
      </c>
      <c r="AT61" s="12">
        <v>-720249.5</v>
      </c>
      <c r="AU61" s="12">
        <v>2644362.625</v>
      </c>
      <c r="AV61" s="12">
        <v>-1155580.125</v>
      </c>
      <c r="AW61" s="12">
        <v>457112.375</v>
      </c>
      <c r="AX61" s="12">
        <v>1722359.125</v>
      </c>
      <c r="AY61" s="12">
        <v>-1089816.375</v>
      </c>
      <c r="AZ61" s="12">
        <v>264345.5</v>
      </c>
      <c r="BA61" s="12">
        <v>-78720.125</v>
      </c>
      <c r="BB61" s="12">
        <v>4399042.75</v>
      </c>
      <c r="BC61" s="12">
        <v>3399495.5</v>
      </c>
      <c r="BD61" s="12">
        <v>262931.875</v>
      </c>
      <c r="BE61" s="12">
        <v>1446571.625</v>
      </c>
      <c r="BF61" s="12">
        <v>1352450.625</v>
      </c>
      <c r="BG61" s="12">
        <v>2954361.625</v>
      </c>
      <c r="BH61" s="12">
        <v>-842294.5</v>
      </c>
      <c r="BI61" s="12">
        <v>572358.5</v>
      </c>
      <c r="BJ61" s="12">
        <v>1692848.75</v>
      </c>
      <c r="BK61" s="12">
        <v>3087911.625</v>
      </c>
      <c r="BL61" s="12">
        <v>-1380368.875</v>
      </c>
      <c r="BM61" s="12">
        <v>2928640.625</v>
      </c>
      <c r="BN61" s="12">
        <v>-627968.625</v>
      </c>
      <c r="BO61" s="12">
        <v>3158388.625</v>
      </c>
      <c r="BP61" s="12">
        <v>2044314.375</v>
      </c>
      <c r="BQ61" s="12">
        <v>2081600.875</v>
      </c>
      <c r="BR61" s="12">
        <v>4573402.375</v>
      </c>
      <c r="BS61" s="12">
        <v>2256320.375</v>
      </c>
      <c r="BT61" s="12">
        <v>-1725448.625</v>
      </c>
      <c r="BU61" s="12">
        <v>4050182.75</v>
      </c>
      <c r="BV61" s="12">
        <v>3483359</v>
      </c>
      <c r="BW61" s="12">
        <v>2200660</v>
      </c>
      <c r="BX61" s="12">
        <v>548548.25</v>
      </c>
      <c r="BY61" s="12">
        <v>1582822.125</v>
      </c>
      <c r="BZ61" s="12">
        <v>4125790.25</v>
      </c>
      <c r="CA61" s="12">
        <v>1952626.25</v>
      </c>
      <c r="CB61" s="12">
        <v>626967</v>
      </c>
      <c r="CC61" s="12">
        <v>1957698.5</v>
      </c>
      <c r="CD61" s="12">
        <v>3299907.625</v>
      </c>
      <c r="CE61" s="12">
        <v>5241707.25</v>
      </c>
      <c r="CF61" s="12">
        <v>1969186</v>
      </c>
      <c r="CG61" s="12">
        <v>2024155.875</v>
      </c>
      <c r="CH61" s="12">
        <v>2235621.125</v>
      </c>
      <c r="CI61" s="12">
        <v>4043118.875</v>
      </c>
      <c r="CJ61" s="12">
        <v>812979.75</v>
      </c>
      <c r="CK61" s="12">
        <v>-150913.25</v>
      </c>
      <c r="CL61" s="12">
        <v>3923649.625</v>
      </c>
      <c r="CM61" s="12">
        <v>3766165.625</v>
      </c>
      <c r="CN61" s="12">
        <v>2616098</v>
      </c>
      <c r="CO61" s="12">
        <v>1608809.75</v>
      </c>
      <c r="CP61" s="12">
        <v>3558354.875</v>
      </c>
      <c r="CQ61" s="12">
        <v>6176560.75</v>
      </c>
      <c r="CR61" s="12">
        <v>3333149.625</v>
      </c>
      <c r="CS61" s="12">
        <v>4700217.375</v>
      </c>
      <c r="CT61" s="12">
        <v>9665463</v>
      </c>
      <c r="CU61" s="12">
        <v>10165492.625</v>
      </c>
      <c r="CV61" s="12">
        <v>3689107.625</v>
      </c>
      <c r="CW61" s="12">
        <v>7322170.5</v>
      </c>
      <c r="CX61" s="8" t="s">
        <v>137</v>
      </c>
      <c r="CY61" s="12">
        <v>4606018.625</v>
      </c>
      <c r="CZ61" s="12">
        <v>3457376</v>
      </c>
      <c r="DA61" s="12">
        <v>-447182.25</v>
      </c>
      <c r="DB61" s="12">
        <v>5671327.75</v>
      </c>
      <c r="DC61" s="12">
        <v>8069871.5</v>
      </c>
      <c r="DD61" s="12">
        <v>4847019.25</v>
      </c>
      <c r="DE61" s="12">
        <v>-3380823.25</v>
      </c>
      <c r="DF61" s="12">
        <v>-874752</v>
      </c>
      <c r="DG61" s="12">
        <v>1079895.875</v>
      </c>
      <c r="DH61" s="12">
        <v>-1452080.625</v>
      </c>
      <c r="DI61" s="12">
        <v>1214696</v>
      </c>
      <c r="DJ61" s="12">
        <v>3010055</v>
      </c>
      <c r="DK61" s="12">
        <v>5616087.125</v>
      </c>
      <c r="DL61" s="8" t="s">
        <v>137</v>
      </c>
      <c r="DM61" s="12">
        <v>6065813.75</v>
      </c>
      <c r="DN61" s="12">
        <v>4613346.75</v>
      </c>
      <c r="DO61" s="12">
        <v>9456312.125</v>
      </c>
      <c r="DP61" s="12">
        <v>5163804.375</v>
      </c>
      <c r="DQ61" s="12">
        <v>11244608.875</v>
      </c>
      <c r="DR61" s="12">
        <v>8252417.75</v>
      </c>
    </row>
    <row r="62" spans="1:122">
      <c r="A62" s="4" t="s">
        <v>176</v>
      </c>
      <c r="B62" s="9">
        <v>272625</v>
      </c>
      <c r="C62" s="8" t="s">
        <v>137</v>
      </c>
      <c r="D62" s="8" t="s">
        <v>137</v>
      </c>
      <c r="E62" s="8" t="s">
        <v>137</v>
      </c>
      <c r="F62" s="8" t="s">
        <v>137</v>
      </c>
      <c r="G62" s="8" t="s">
        <v>137</v>
      </c>
      <c r="H62" s="12">
        <v>69642.625</v>
      </c>
      <c r="I62" s="12">
        <v>139669.125</v>
      </c>
      <c r="J62" s="12">
        <v>-1137049.125</v>
      </c>
      <c r="K62" s="12">
        <v>-516141.18699999998</v>
      </c>
      <c r="L62" s="12">
        <v>341419.81300000002</v>
      </c>
      <c r="M62" s="12">
        <v>137851.43799999999</v>
      </c>
      <c r="N62" s="12">
        <v>18926.562999999998</v>
      </c>
      <c r="O62" s="8" t="s">
        <v>137</v>
      </c>
      <c r="P62" s="8" t="s">
        <v>137</v>
      </c>
      <c r="Q62" s="8" t="s">
        <v>137</v>
      </c>
      <c r="R62" s="8" t="s">
        <v>137</v>
      </c>
      <c r="S62" s="8" t="s">
        <v>137</v>
      </c>
      <c r="T62" s="12">
        <v>8014280.25</v>
      </c>
      <c r="U62" s="12">
        <v>-7569231</v>
      </c>
      <c r="V62" s="12">
        <v>1518125</v>
      </c>
      <c r="W62" s="12">
        <v>2466750</v>
      </c>
      <c r="X62" s="12">
        <v>4687628.25</v>
      </c>
      <c r="Y62" s="12">
        <v>-4738364</v>
      </c>
      <c r="Z62" s="12">
        <v>-296500</v>
      </c>
      <c r="AA62" s="12">
        <v>215375</v>
      </c>
      <c r="AB62" s="12">
        <v>7446250</v>
      </c>
      <c r="AC62" s="12">
        <v>-6484750</v>
      </c>
      <c r="AD62" s="12">
        <v>764000</v>
      </c>
      <c r="AE62" s="12">
        <v>-325000</v>
      </c>
      <c r="AF62" s="12">
        <v>7905187.5</v>
      </c>
      <c r="AG62" s="12">
        <v>-6434875</v>
      </c>
      <c r="AH62" s="12">
        <v>471875</v>
      </c>
      <c r="AI62" s="12">
        <v>-675250</v>
      </c>
      <c r="AJ62" s="12">
        <v>10379125</v>
      </c>
      <c r="AK62" s="12">
        <v>-6890784.125</v>
      </c>
      <c r="AL62" s="12">
        <v>2668898.375</v>
      </c>
      <c r="AM62" s="12">
        <v>106571</v>
      </c>
      <c r="AN62" s="12">
        <v>5437171.625</v>
      </c>
      <c r="AO62" s="12">
        <v>1120141.375</v>
      </c>
      <c r="AP62" s="12">
        <v>367122.25</v>
      </c>
      <c r="AQ62" s="12">
        <v>1143875.875</v>
      </c>
      <c r="AR62" s="12">
        <v>-665435.125</v>
      </c>
      <c r="AS62" s="12">
        <v>705263.25</v>
      </c>
      <c r="AT62" s="12">
        <v>-841090.75</v>
      </c>
      <c r="AU62" s="12">
        <v>2534015.75</v>
      </c>
      <c r="AV62" s="12">
        <v>-1317768.25</v>
      </c>
      <c r="AW62" s="12">
        <v>344001.125</v>
      </c>
      <c r="AX62" s="12">
        <v>1604929.75</v>
      </c>
      <c r="AY62" s="12">
        <v>-1179117</v>
      </c>
      <c r="AZ62" s="12">
        <v>111758.625</v>
      </c>
      <c r="BA62" s="12">
        <v>-470522.625</v>
      </c>
      <c r="BB62" s="12">
        <v>3930879.625</v>
      </c>
      <c r="BC62" s="12">
        <v>2943894.875</v>
      </c>
      <c r="BD62" s="12">
        <v>-93063.75</v>
      </c>
      <c r="BE62" s="12">
        <v>1041366</v>
      </c>
      <c r="BF62" s="12">
        <v>892135.625</v>
      </c>
      <c r="BG62" s="12">
        <v>2324481</v>
      </c>
      <c r="BH62" s="12">
        <v>-1303767.625</v>
      </c>
      <c r="BI62" s="12">
        <v>188473.5</v>
      </c>
      <c r="BJ62" s="12">
        <v>1315813.125</v>
      </c>
      <c r="BK62" s="12">
        <v>2728116</v>
      </c>
      <c r="BL62" s="12">
        <v>-1984652.625</v>
      </c>
      <c r="BM62" s="12">
        <v>2472668.75</v>
      </c>
      <c r="BN62" s="12">
        <v>-1102489.25</v>
      </c>
      <c r="BO62" s="12">
        <v>2724153.625</v>
      </c>
      <c r="BP62" s="12">
        <v>1327485</v>
      </c>
      <c r="BQ62" s="12">
        <v>1608986.5</v>
      </c>
      <c r="BR62" s="12">
        <v>4082733</v>
      </c>
      <c r="BS62" s="12">
        <v>1746961.625</v>
      </c>
      <c r="BT62" s="12">
        <v>-2245626.125</v>
      </c>
      <c r="BU62" s="12">
        <v>3586475.25</v>
      </c>
      <c r="BV62" s="12">
        <v>2990917.75</v>
      </c>
      <c r="BW62" s="12">
        <v>1551293.125</v>
      </c>
      <c r="BX62" s="12">
        <v>-153435.5</v>
      </c>
      <c r="BY62" s="12">
        <v>920445.25</v>
      </c>
      <c r="BZ62" s="12">
        <v>3439090.25</v>
      </c>
      <c r="CA62" s="12">
        <v>1200297.5</v>
      </c>
      <c r="CB62" s="12">
        <v>-131626.75</v>
      </c>
      <c r="CC62" s="12">
        <v>1138097.25</v>
      </c>
      <c r="CD62" s="12">
        <v>2476728.25</v>
      </c>
      <c r="CE62" s="12">
        <v>4444027.25</v>
      </c>
      <c r="CF62" s="12">
        <v>980896.625</v>
      </c>
      <c r="CG62" s="12">
        <v>1133519.625</v>
      </c>
      <c r="CH62" s="12">
        <v>1398048.625</v>
      </c>
      <c r="CI62" s="12">
        <v>3211709.5</v>
      </c>
      <c r="CJ62" s="12">
        <v>-297402.125</v>
      </c>
      <c r="CK62" s="12">
        <v>-1218918.875</v>
      </c>
      <c r="CL62" s="12">
        <v>2621557.125</v>
      </c>
      <c r="CM62" s="12">
        <v>2614319.375</v>
      </c>
      <c r="CN62" s="12">
        <v>1345542.375</v>
      </c>
      <c r="CO62" s="12">
        <v>332161.625</v>
      </c>
      <c r="CP62" s="12">
        <v>2323925.5</v>
      </c>
      <c r="CQ62" s="12">
        <v>4947015.125</v>
      </c>
      <c r="CR62" s="12">
        <v>1933147.125</v>
      </c>
      <c r="CS62" s="12">
        <v>3286265.5</v>
      </c>
      <c r="CT62" s="12">
        <v>8279386.75</v>
      </c>
      <c r="CU62" s="12">
        <v>8759045.75</v>
      </c>
      <c r="CV62" s="12">
        <v>2339957.625</v>
      </c>
      <c r="CW62" s="12">
        <v>6144560.5</v>
      </c>
      <c r="CX62" s="8" t="s">
        <v>137</v>
      </c>
      <c r="CY62" s="12">
        <v>3485812.375</v>
      </c>
      <c r="CZ62" s="12">
        <v>2318581.625</v>
      </c>
      <c r="DA62" s="12">
        <v>-1529914.125</v>
      </c>
      <c r="DB62" s="12">
        <v>4884089</v>
      </c>
      <c r="DC62" s="12">
        <v>6642069</v>
      </c>
      <c r="DD62" s="12">
        <v>3506043</v>
      </c>
      <c r="DE62" s="12">
        <v>-4531872</v>
      </c>
      <c r="DF62" s="12">
        <v>-2399317.625</v>
      </c>
      <c r="DG62" s="12">
        <v>-658747.875</v>
      </c>
      <c r="DH62" s="12">
        <v>-3034697.5</v>
      </c>
      <c r="DI62" s="12">
        <v>-726319</v>
      </c>
      <c r="DJ62" s="12">
        <v>1000302.5</v>
      </c>
      <c r="DK62" s="12">
        <v>3566518.375</v>
      </c>
      <c r="DL62" s="8" t="s">
        <v>137</v>
      </c>
      <c r="DM62" s="12">
        <v>3869060.625</v>
      </c>
      <c r="DN62" s="12">
        <v>2389418</v>
      </c>
      <c r="DO62" s="12">
        <v>7403970.25</v>
      </c>
      <c r="DP62" s="12">
        <v>2698126.25</v>
      </c>
      <c r="DQ62" s="12">
        <v>9516701.375</v>
      </c>
      <c r="DR62" s="12">
        <v>5814551.5</v>
      </c>
    </row>
    <row r="63" spans="1:122">
      <c r="A63" s="4" t="s">
        <v>177</v>
      </c>
      <c r="B63" s="9">
        <v>274482</v>
      </c>
      <c r="C63" s="8" t="s">
        <v>137</v>
      </c>
      <c r="D63" s="8" t="s">
        <v>137</v>
      </c>
      <c r="E63" s="8" t="s">
        <v>137</v>
      </c>
      <c r="F63" s="13">
        <v>1.2689999999999999</v>
      </c>
      <c r="G63" s="13">
        <v>1.2529999999999999</v>
      </c>
      <c r="H63" s="13">
        <v>0.48299999999999998</v>
      </c>
      <c r="I63" s="13">
        <v>0.70099999999999996</v>
      </c>
      <c r="J63" s="13">
        <v>1.361</v>
      </c>
      <c r="K63" s="13">
        <v>0.38700000000000001</v>
      </c>
      <c r="L63" s="13">
        <v>0.38700000000000001</v>
      </c>
      <c r="M63" s="13">
        <v>1.486</v>
      </c>
      <c r="N63" s="13">
        <v>2.1019999999999999</v>
      </c>
      <c r="O63" s="8" t="s">
        <v>137</v>
      </c>
      <c r="P63" s="13">
        <v>0.82</v>
      </c>
      <c r="Q63" s="8" t="s">
        <v>137</v>
      </c>
      <c r="R63" s="8" t="s">
        <v>137</v>
      </c>
      <c r="S63" s="13">
        <v>2.3450000000000002</v>
      </c>
      <c r="T63" s="13">
        <v>1.1539999999999999</v>
      </c>
      <c r="U63" s="13">
        <v>0.68899999999999995</v>
      </c>
      <c r="V63" s="13">
        <v>0.88500000000000001</v>
      </c>
      <c r="W63" s="13">
        <v>1.1739999999999999</v>
      </c>
      <c r="X63" s="13">
        <v>0.51900000000000002</v>
      </c>
      <c r="Y63" s="8" t="s">
        <v>150</v>
      </c>
      <c r="Z63" s="8" t="s">
        <v>150</v>
      </c>
      <c r="AA63" s="13">
        <v>17.137</v>
      </c>
      <c r="AB63" s="13">
        <v>1.712</v>
      </c>
      <c r="AC63" s="8" t="s">
        <v>150</v>
      </c>
      <c r="AD63" s="13">
        <v>9.7479999999999993</v>
      </c>
      <c r="AE63" s="13">
        <v>18.439</v>
      </c>
      <c r="AF63" s="13">
        <v>0.433</v>
      </c>
      <c r="AG63" s="13">
        <v>7.2530000000000001</v>
      </c>
      <c r="AH63" s="13">
        <v>20.116</v>
      </c>
      <c r="AI63" s="13">
        <v>20.010999999999999</v>
      </c>
      <c r="AJ63" s="13">
        <v>1.1930000000000001</v>
      </c>
      <c r="AK63" s="13">
        <v>22.210999999999999</v>
      </c>
      <c r="AL63" s="13">
        <v>35.225999999999999</v>
      </c>
      <c r="AM63" s="13">
        <v>27.140999999999998</v>
      </c>
      <c r="AN63" s="13">
        <v>1.2010000000000001</v>
      </c>
      <c r="AO63" s="13">
        <v>0.50600000000000001</v>
      </c>
      <c r="AP63" s="13">
        <v>0.496</v>
      </c>
      <c r="AQ63" s="13">
        <v>0.48399999999999999</v>
      </c>
      <c r="AR63" s="13">
        <v>0.77900000000000003</v>
      </c>
      <c r="AS63" s="13">
        <v>0.34300000000000003</v>
      </c>
      <c r="AT63" s="13">
        <v>0.47199999999999998</v>
      </c>
      <c r="AU63" s="13">
        <v>0.80100000000000005</v>
      </c>
      <c r="AV63" s="13">
        <v>0.63600000000000001</v>
      </c>
      <c r="AW63" s="13">
        <v>0.41199999999999998</v>
      </c>
      <c r="AX63" s="13">
        <v>0.68600000000000005</v>
      </c>
      <c r="AY63" s="13">
        <v>0.53800000000000003</v>
      </c>
      <c r="AZ63" s="13">
        <v>1.276</v>
      </c>
      <c r="BA63" s="13">
        <v>0.217</v>
      </c>
      <c r="BB63" s="13">
        <v>0.90500000000000003</v>
      </c>
      <c r="BC63" s="13">
        <v>0.66600000000000004</v>
      </c>
      <c r="BD63" s="13">
        <v>0.81100000000000005</v>
      </c>
      <c r="BE63" s="13">
        <v>0.38800000000000001</v>
      </c>
      <c r="BF63" s="13">
        <v>0.621</v>
      </c>
      <c r="BG63" s="13">
        <v>0.73</v>
      </c>
      <c r="BH63" s="13">
        <v>0.98399999999999999</v>
      </c>
      <c r="BI63" s="13">
        <v>0.70099999999999996</v>
      </c>
      <c r="BJ63" s="13">
        <v>1.831</v>
      </c>
      <c r="BK63" s="13">
        <v>0.70599999999999996</v>
      </c>
      <c r="BL63" s="13">
        <v>7.0000000000000007E-2</v>
      </c>
      <c r="BM63" s="13">
        <v>1.0660000000000001</v>
      </c>
      <c r="BN63" s="13">
        <v>0.77</v>
      </c>
      <c r="BO63" s="13">
        <v>0.34699999999999998</v>
      </c>
      <c r="BP63" s="13">
        <v>0.13800000000000001</v>
      </c>
      <c r="BQ63" s="13">
        <v>0.42</v>
      </c>
      <c r="BR63" s="13">
        <v>0.47099999999999997</v>
      </c>
      <c r="BS63" s="13">
        <v>0.126</v>
      </c>
      <c r="BT63" s="13">
        <v>0.48799999999999999</v>
      </c>
      <c r="BU63" s="13">
        <v>0.626</v>
      </c>
      <c r="BV63" s="13">
        <v>0.42499999999999999</v>
      </c>
      <c r="BW63" s="13">
        <v>0.41199999999999998</v>
      </c>
      <c r="BX63" s="13">
        <v>0.84499999999999997</v>
      </c>
      <c r="BY63" s="13">
        <v>3.9E-2</v>
      </c>
      <c r="BZ63" s="13">
        <v>0.70299999999999996</v>
      </c>
      <c r="CA63" s="13">
        <v>0.39800000000000002</v>
      </c>
      <c r="CB63" s="13">
        <v>0.54300000000000004</v>
      </c>
      <c r="CC63" s="13">
        <v>0.39</v>
      </c>
      <c r="CD63" s="13">
        <v>0.51600000000000001</v>
      </c>
      <c r="CE63" s="13">
        <v>0.71799999999999997</v>
      </c>
      <c r="CF63" s="13">
        <v>0.52400000000000002</v>
      </c>
      <c r="CG63" s="13">
        <v>0.41799999999999998</v>
      </c>
      <c r="CH63" s="13">
        <v>0.59699999999999998</v>
      </c>
      <c r="CI63" s="13">
        <v>0.41499999999999998</v>
      </c>
      <c r="CJ63" s="13">
        <v>0.45500000000000002</v>
      </c>
      <c r="CK63" s="13">
        <v>0.21199999999999999</v>
      </c>
      <c r="CL63" s="13">
        <v>0.39800000000000002</v>
      </c>
      <c r="CM63" s="13">
        <v>0.497</v>
      </c>
      <c r="CN63" s="13">
        <v>0.623</v>
      </c>
      <c r="CO63" s="13">
        <v>0.21099999999999999</v>
      </c>
      <c r="CP63" s="13">
        <v>0.46400000000000002</v>
      </c>
      <c r="CQ63" s="13">
        <v>0.435</v>
      </c>
      <c r="CR63" s="13">
        <v>0.751</v>
      </c>
      <c r="CS63" s="13">
        <v>0.42099999999999999</v>
      </c>
      <c r="CT63" s="13">
        <v>0.89700000000000002</v>
      </c>
      <c r="CU63" s="13">
        <v>0.78200000000000003</v>
      </c>
      <c r="CV63" s="13">
        <v>0.72</v>
      </c>
      <c r="CW63" s="13">
        <v>0.47599999999999998</v>
      </c>
      <c r="CX63" s="8" t="s">
        <v>137</v>
      </c>
      <c r="CY63" s="13">
        <v>0.56499999999999995</v>
      </c>
      <c r="CZ63" s="13">
        <v>0.64100000000000001</v>
      </c>
      <c r="DA63" s="13">
        <v>0.35399999999999998</v>
      </c>
      <c r="DB63" s="13">
        <v>0.42</v>
      </c>
      <c r="DC63" s="13">
        <v>0.68899999999999995</v>
      </c>
      <c r="DD63" s="13">
        <v>0.32800000000000001</v>
      </c>
      <c r="DE63" s="13">
        <v>0.108</v>
      </c>
      <c r="DF63" s="13">
        <v>0.249</v>
      </c>
      <c r="DG63" s="13">
        <v>0.438</v>
      </c>
      <c r="DH63" s="13">
        <v>0.56100000000000005</v>
      </c>
      <c r="DI63" s="13">
        <v>0.4</v>
      </c>
      <c r="DJ63" s="13">
        <v>0.38600000000000001</v>
      </c>
      <c r="DK63" s="13">
        <v>0.54700000000000004</v>
      </c>
      <c r="DL63" s="8" t="s">
        <v>137</v>
      </c>
      <c r="DM63" s="13">
        <v>0.51300000000000001</v>
      </c>
      <c r="DN63" s="13">
        <v>0.51900000000000002</v>
      </c>
      <c r="DO63" s="13">
        <v>0.58099999999999996</v>
      </c>
      <c r="DP63" s="13">
        <v>0.58699999999999997</v>
      </c>
      <c r="DQ63" s="13">
        <v>0.71299999999999997</v>
      </c>
      <c r="DR63" s="13">
        <v>0.45</v>
      </c>
    </row>
    <row r="64" spans="1:122">
      <c r="A64" s="4" t="s">
        <v>134</v>
      </c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>
      <c r="A65" s="11" t="s">
        <v>178</v>
      </c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>
      <c r="A66" s="4" t="s">
        <v>179</v>
      </c>
      <c r="B66" s="9">
        <v>274473</v>
      </c>
      <c r="C66" s="8" t="s">
        <v>137</v>
      </c>
      <c r="D66" s="8" t="s">
        <v>137</v>
      </c>
      <c r="E66" s="8" t="s">
        <v>137</v>
      </c>
      <c r="F66" s="8" t="s">
        <v>137</v>
      </c>
      <c r="G66" s="8" t="s">
        <v>137</v>
      </c>
      <c r="H66" s="13">
        <v>10.016</v>
      </c>
      <c r="I66" s="13">
        <v>7.6859999999999999</v>
      </c>
      <c r="J66" s="13">
        <v>9.1379999999999999</v>
      </c>
      <c r="K66" s="13">
        <v>8.0239999999999991</v>
      </c>
      <c r="L66" s="13">
        <v>7.2690000000000001</v>
      </c>
      <c r="M66" s="13">
        <v>7.4859999999999998</v>
      </c>
      <c r="N66" s="13">
        <v>11.157999999999999</v>
      </c>
      <c r="O66" s="8" t="s">
        <v>137</v>
      </c>
      <c r="P66" s="8" t="s">
        <v>137</v>
      </c>
      <c r="Q66" s="8" t="s">
        <v>137</v>
      </c>
      <c r="R66" s="8" t="s">
        <v>137</v>
      </c>
      <c r="S66" s="8" t="s">
        <v>137</v>
      </c>
      <c r="T66" s="13">
        <v>8.5419999999999998</v>
      </c>
      <c r="U66" s="13">
        <v>6.9130000000000003</v>
      </c>
      <c r="V66" s="13">
        <v>8.3010000000000002</v>
      </c>
      <c r="W66" s="13">
        <v>9.6839999999999993</v>
      </c>
      <c r="X66" s="13">
        <v>7.742</v>
      </c>
      <c r="Y66" s="13">
        <v>6.72</v>
      </c>
      <c r="Z66" s="13">
        <v>5.8620000000000001</v>
      </c>
      <c r="AA66" s="13">
        <v>7.6020000000000003</v>
      </c>
      <c r="AB66" s="13">
        <v>3.1339999999999999</v>
      </c>
      <c r="AC66" s="13">
        <v>4.4240000000000004</v>
      </c>
      <c r="AD66" s="13">
        <v>4.867</v>
      </c>
      <c r="AE66" s="13">
        <v>7.8710000000000004</v>
      </c>
      <c r="AF66" s="13">
        <v>7.6040000000000001</v>
      </c>
      <c r="AG66" s="13">
        <v>6.0209999999999999</v>
      </c>
      <c r="AH66" s="13">
        <v>7.0830000000000002</v>
      </c>
      <c r="AI66" s="13">
        <v>9.7539999999999996</v>
      </c>
      <c r="AJ66" s="13">
        <v>7.6559999999999997</v>
      </c>
      <c r="AK66" s="13">
        <v>6.8810000000000002</v>
      </c>
      <c r="AL66" s="13">
        <v>8.7539999999999996</v>
      </c>
      <c r="AM66" s="13">
        <v>10.409000000000001</v>
      </c>
      <c r="AN66" s="13">
        <v>9.5340000000000007</v>
      </c>
      <c r="AO66" s="13">
        <v>6.7910000000000004</v>
      </c>
      <c r="AP66" s="13">
        <v>8.6929999999999996</v>
      </c>
      <c r="AQ66" s="13">
        <v>10.202999999999999</v>
      </c>
      <c r="AR66" s="13">
        <v>8.8829999999999991</v>
      </c>
      <c r="AS66" s="13">
        <v>7.0270000000000001</v>
      </c>
      <c r="AT66" s="13">
        <v>8.1340000000000003</v>
      </c>
      <c r="AU66" s="13">
        <v>11.335000000000001</v>
      </c>
      <c r="AV66" s="13">
        <v>10.571999999999999</v>
      </c>
      <c r="AW66" s="13">
        <v>7.1470000000000002</v>
      </c>
      <c r="AX66" s="13">
        <v>7.4820000000000002</v>
      </c>
      <c r="AY66" s="13">
        <v>10.486000000000001</v>
      </c>
      <c r="AZ66" s="13">
        <v>11.273999999999999</v>
      </c>
      <c r="BA66" s="13">
        <v>6.8570000000000002</v>
      </c>
      <c r="BB66" s="13">
        <v>6.9180000000000001</v>
      </c>
      <c r="BC66" s="13">
        <v>8.4139999999999997</v>
      </c>
      <c r="BD66" s="13">
        <v>9.3879999999999999</v>
      </c>
      <c r="BE66" s="13">
        <v>6.7389999999999999</v>
      </c>
      <c r="BF66" s="13">
        <v>6.7220000000000004</v>
      </c>
      <c r="BG66" s="13">
        <v>8.3089999999999993</v>
      </c>
      <c r="BH66" s="13">
        <v>6.883</v>
      </c>
      <c r="BI66" s="13">
        <v>5.6109999999999998</v>
      </c>
      <c r="BJ66" s="13">
        <v>5.2030000000000003</v>
      </c>
      <c r="BK66" s="13">
        <v>6.923</v>
      </c>
      <c r="BL66" s="13">
        <v>4.1779999999999999</v>
      </c>
      <c r="BM66" s="13">
        <v>3.444</v>
      </c>
      <c r="BN66" s="13">
        <v>4.734</v>
      </c>
      <c r="BO66" s="13">
        <v>5.516</v>
      </c>
      <c r="BP66" s="13">
        <v>5.742</v>
      </c>
      <c r="BQ66" s="13">
        <v>4.1870000000000003</v>
      </c>
      <c r="BR66" s="13">
        <v>6.76</v>
      </c>
      <c r="BS66" s="13">
        <v>7.3239999999999998</v>
      </c>
      <c r="BT66" s="13">
        <v>6.6879999999999997</v>
      </c>
      <c r="BU66" s="13">
        <v>4.1340000000000003</v>
      </c>
      <c r="BV66" s="13">
        <v>6.6509999999999998</v>
      </c>
      <c r="BW66" s="13">
        <v>6.8570000000000002</v>
      </c>
      <c r="BX66" s="13">
        <v>7.3630000000000004</v>
      </c>
      <c r="BY66" s="13">
        <v>4.5430000000000001</v>
      </c>
      <c r="BZ66" s="13">
        <v>6.0789999999999997</v>
      </c>
      <c r="CA66" s="13">
        <v>6.8810000000000002</v>
      </c>
      <c r="CB66" s="13">
        <v>6.7110000000000003</v>
      </c>
      <c r="CC66" s="13">
        <v>5.16</v>
      </c>
      <c r="CD66" s="13">
        <v>6.4740000000000002</v>
      </c>
      <c r="CE66" s="13">
        <v>6.9470000000000001</v>
      </c>
      <c r="CF66" s="13">
        <v>6.6210000000000004</v>
      </c>
      <c r="CG66" s="13">
        <v>4.5330000000000004</v>
      </c>
      <c r="CH66" s="13">
        <v>5.9349999999999996</v>
      </c>
      <c r="CI66" s="13">
        <v>6.4489999999999998</v>
      </c>
      <c r="CJ66" s="13">
        <v>6.4109999999999996</v>
      </c>
      <c r="CK66" s="13">
        <v>4.8339999999999996</v>
      </c>
      <c r="CL66" s="13">
        <v>6.0060000000000002</v>
      </c>
      <c r="CM66" s="13">
        <v>6.4880000000000004</v>
      </c>
      <c r="CN66" s="13">
        <v>6.8929999999999998</v>
      </c>
      <c r="CO66" s="13">
        <v>4.9169999999999998</v>
      </c>
      <c r="CP66" s="13">
        <v>5.5620000000000003</v>
      </c>
      <c r="CQ66" s="13">
        <v>6.6070000000000002</v>
      </c>
      <c r="CR66" s="13">
        <v>6.2590000000000003</v>
      </c>
      <c r="CS66" s="13">
        <v>4.6619999999999999</v>
      </c>
      <c r="CT66" s="13">
        <v>5.0190000000000001</v>
      </c>
      <c r="CU66" s="13">
        <v>6.0010000000000003</v>
      </c>
      <c r="CV66" s="13">
        <v>6.992</v>
      </c>
      <c r="CW66" s="13">
        <v>8.02</v>
      </c>
      <c r="CX66" s="13">
        <v>5.258</v>
      </c>
      <c r="CY66" s="13">
        <v>6.26</v>
      </c>
      <c r="CZ66" s="13">
        <v>6.7720000000000002</v>
      </c>
      <c r="DA66" s="13">
        <v>6.2350000000000003</v>
      </c>
      <c r="DB66" s="13">
        <v>7.5389999999999997</v>
      </c>
      <c r="DC66" s="13">
        <v>7.94</v>
      </c>
      <c r="DD66" s="13">
        <v>4.8680000000000003</v>
      </c>
      <c r="DE66" s="13">
        <v>5.9969999999999999</v>
      </c>
      <c r="DF66" s="13">
        <v>6.9660000000000002</v>
      </c>
      <c r="DG66" s="13">
        <v>7.1509999999999998</v>
      </c>
      <c r="DH66" s="13">
        <v>7.3120000000000003</v>
      </c>
      <c r="DI66" s="13">
        <v>4.83</v>
      </c>
      <c r="DJ66" s="13">
        <v>5.83</v>
      </c>
      <c r="DK66" s="13">
        <v>5.9340000000000002</v>
      </c>
      <c r="DL66" s="8" t="s">
        <v>137</v>
      </c>
      <c r="DM66" s="13">
        <v>3.984</v>
      </c>
      <c r="DN66" s="13">
        <v>5.024</v>
      </c>
      <c r="DO66" s="13">
        <v>5.6680000000000001</v>
      </c>
      <c r="DP66" s="13">
        <v>7.0640000000000001</v>
      </c>
      <c r="DQ66" s="13">
        <v>6.0519999999999996</v>
      </c>
      <c r="DR66" s="13">
        <v>5.33</v>
      </c>
    </row>
    <row r="67" spans="1:122">
      <c r="A67" s="4" t="s">
        <v>180</v>
      </c>
      <c r="B67" s="9">
        <v>274474</v>
      </c>
      <c r="C67" s="8" t="s">
        <v>137</v>
      </c>
      <c r="D67" s="8" t="s">
        <v>137</v>
      </c>
      <c r="E67" s="8" t="s">
        <v>137</v>
      </c>
      <c r="F67" s="8" t="s">
        <v>137</v>
      </c>
      <c r="G67" s="8" t="s">
        <v>137</v>
      </c>
      <c r="H67" s="13">
        <v>11.465</v>
      </c>
      <c r="I67" s="13">
        <v>8.9629999999999992</v>
      </c>
      <c r="J67" s="13">
        <v>10.551</v>
      </c>
      <c r="K67" s="13">
        <v>8.7680000000000007</v>
      </c>
      <c r="L67" s="13">
        <v>8.4480000000000004</v>
      </c>
      <c r="M67" s="13">
        <v>8.6129999999999995</v>
      </c>
      <c r="N67" s="13">
        <v>12.724</v>
      </c>
      <c r="O67" s="8" t="s">
        <v>137</v>
      </c>
      <c r="P67" s="8" t="s">
        <v>137</v>
      </c>
      <c r="Q67" s="13">
        <v>7.9859999999999998</v>
      </c>
      <c r="R67" s="8" t="s">
        <v>137</v>
      </c>
      <c r="S67" s="8" t="s">
        <v>137</v>
      </c>
      <c r="T67" s="13">
        <v>10.816000000000001</v>
      </c>
      <c r="U67" s="13">
        <v>8.6210000000000004</v>
      </c>
      <c r="V67" s="13">
        <v>10.291</v>
      </c>
      <c r="W67" s="13">
        <v>12.244</v>
      </c>
      <c r="X67" s="13">
        <v>9.9770000000000003</v>
      </c>
      <c r="Y67" s="13">
        <v>8.33</v>
      </c>
      <c r="Z67" s="13">
        <v>7.1020000000000003</v>
      </c>
      <c r="AA67" s="13">
        <v>9.4</v>
      </c>
      <c r="AB67" s="13">
        <v>3.927</v>
      </c>
      <c r="AC67" s="13">
        <v>5.4770000000000003</v>
      </c>
      <c r="AD67" s="13">
        <v>5.9669999999999996</v>
      </c>
      <c r="AE67" s="13">
        <v>9.7669999999999995</v>
      </c>
      <c r="AF67" s="13">
        <v>9.69</v>
      </c>
      <c r="AG67" s="13">
        <v>7.5910000000000002</v>
      </c>
      <c r="AH67" s="13">
        <v>8.7629999999999999</v>
      </c>
      <c r="AI67" s="13">
        <v>12.164</v>
      </c>
      <c r="AJ67" s="13">
        <v>9.8049999999999997</v>
      </c>
      <c r="AK67" s="13">
        <v>9.0440000000000005</v>
      </c>
      <c r="AL67" s="13">
        <v>11.488</v>
      </c>
      <c r="AM67" s="13">
        <v>13.749000000000001</v>
      </c>
      <c r="AN67" s="13">
        <v>12.602</v>
      </c>
      <c r="AO67" s="13">
        <v>8.9610000000000003</v>
      </c>
      <c r="AP67" s="13">
        <v>11.539</v>
      </c>
      <c r="AQ67" s="13">
        <v>13.504</v>
      </c>
      <c r="AR67" s="13">
        <v>11.645</v>
      </c>
      <c r="AS67" s="13">
        <v>9.1809999999999992</v>
      </c>
      <c r="AT67" s="13">
        <v>10.776</v>
      </c>
      <c r="AU67" s="13">
        <v>15.176</v>
      </c>
      <c r="AV67" s="13">
        <v>14</v>
      </c>
      <c r="AW67" s="13">
        <v>9.41</v>
      </c>
      <c r="AX67" s="13">
        <v>10.066000000000001</v>
      </c>
      <c r="AY67" s="13">
        <v>14.071999999999999</v>
      </c>
      <c r="AZ67" s="13">
        <v>14.558</v>
      </c>
      <c r="BA67" s="13">
        <v>8.5730000000000004</v>
      </c>
      <c r="BB67" s="13">
        <v>8.59</v>
      </c>
      <c r="BC67" s="13">
        <v>10.52</v>
      </c>
      <c r="BD67" s="13">
        <v>11.914999999999999</v>
      </c>
      <c r="BE67" s="13">
        <v>8.5239999999999991</v>
      </c>
      <c r="BF67" s="13">
        <v>8.3209999999999997</v>
      </c>
      <c r="BG67" s="13">
        <v>10.364000000000001</v>
      </c>
      <c r="BH67" s="13">
        <v>8.7379999999999995</v>
      </c>
      <c r="BI67" s="13">
        <v>7.1020000000000003</v>
      </c>
      <c r="BJ67" s="13">
        <v>6.6150000000000002</v>
      </c>
      <c r="BK67" s="13">
        <v>8.9019999999999992</v>
      </c>
      <c r="BL67" s="13">
        <v>5.8040000000000003</v>
      </c>
      <c r="BM67" s="13">
        <v>4.9240000000000004</v>
      </c>
      <c r="BN67" s="13">
        <v>6.758</v>
      </c>
      <c r="BO67" s="13">
        <v>7.9509999999999996</v>
      </c>
      <c r="BP67" s="13">
        <v>8.5459999999999994</v>
      </c>
      <c r="BQ67" s="13">
        <v>6.4210000000000003</v>
      </c>
      <c r="BR67" s="13">
        <v>10.465999999999999</v>
      </c>
      <c r="BS67" s="13">
        <v>11.442</v>
      </c>
      <c r="BT67" s="13">
        <v>10.317</v>
      </c>
      <c r="BU67" s="13">
        <v>6.3040000000000003</v>
      </c>
      <c r="BV67" s="13">
        <v>9.9260000000000002</v>
      </c>
      <c r="BW67" s="13">
        <v>10.064</v>
      </c>
      <c r="BX67" s="13">
        <v>11.018000000000001</v>
      </c>
      <c r="BY67" s="13">
        <v>6.8680000000000003</v>
      </c>
      <c r="BZ67" s="13">
        <v>9.2050000000000001</v>
      </c>
      <c r="CA67" s="13">
        <v>10.427</v>
      </c>
      <c r="CB67" s="13">
        <v>10.096</v>
      </c>
      <c r="CC67" s="13">
        <v>7.7110000000000003</v>
      </c>
      <c r="CD67" s="13">
        <v>9.6940000000000008</v>
      </c>
      <c r="CE67" s="13">
        <v>10.426</v>
      </c>
      <c r="CF67" s="13">
        <v>10.005000000000001</v>
      </c>
      <c r="CG67" s="13">
        <v>6.9160000000000004</v>
      </c>
      <c r="CH67" s="13">
        <v>9.1240000000000006</v>
      </c>
      <c r="CI67" s="13">
        <v>9.9960000000000004</v>
      </c>
      <c r="CJ67" s="13">
        <v>9.8460000000000001</v>
      </c>
      <c r="CK67" s="13">
        <v>7.3259999999999996</v>
      </c>
      <c r="CL67" s="13">
        <v>9.06</v>
      </c>
      <c r="CM67" s="13">
        <v>9.8309999999999995</v>
      </c>
      <c r="CN67" s="13">
        <v>10.382999999999999</v>
      </c>
      <c r="CO67" s="13">
        <v>7.1779999999999999</v>
      </c>
      <c r="CP67" s="13">
        <v>8.048</v>
      </c>
      <c r="CQ67" s="13">
        <v>9.57</v>
      </c>
      <c r="CR67" s="13">
        <v>9.0830000000000002</v>
      </c>
      <c r="CS67" s="13">
        <v>6.7380000000000004</v>
      </c>
      <c r="CT67" s="13">
        <v>7.3079999999999998</v>
      </c>
      <c r="CU67" s="13">
        <v>8.9610000000000003</v>
      </c>
      <c r="CV67" s="13">
        <v>10.569000000000001</v>
      </c>
      <c r="CW67" s="13">
        <v>12.026999999999999</v>
      </c>
      <c r="CX67" s="13">
        <v>7.8680000000000003</v>
      </c>
      <c r="CY67" s="13">
        <v>9.4480000000000004</v>
      </c>
      <c r="CZ67" s="13">
        <v>10.163</v>
      </c>
      <c r="DA67" s="13">
        <v>9.3049999999999997</v>
      </c>
      <c r="DB67" s="13">
        <v>11.228</v>
      </c>
      <c r="DC67" s="13">
        <v>11.852</v>
      </c>
      <c r="DD67" s="13">
        <v>7.1449999999999996</v>
      </c>
      <c r="DE67" s="13">
        <v>8.6340000000000003</v>
      </c>
      <c r="DF67" s="13">
        <v>9.9540000000000006</v>
      </c>
      <c r="DG67" s="13">
        <v>10.058999999999999</v>
      </c>
      <c r="DH67" s="13">
        <v>10.164999999999999</v>
      </c>
      <c r="DI67" s="13">
        <v>6.6189999999999998</v>
      </c>
      <c r="DJ67" s="13">
        <v>7.8579999999999997</v>
      </c>
      <c r="DK67" s="13">
        <v>7.9180000000000001</v>
      </c>
      <c r="DL67" s="8" t="s">
        <v>137</v>
      </c>
      <c r="DM67" s="13">
        <v>5.2409999999999997</v>
      </c>
      <c r="DN67" s="13">
        <v>6.5970000000000004</v>
      </c>
      <c r="DO67" s="13">
        <v>7.4889999999999999</v>
      </c>
      <c r="DP67" s="13">
        <v>9.3320000000000007</v>
      </c>
      <c r="DQ67" s="13">
        <v>7.9820000000000002</v>
      </c>
      <c r="DR67" s="13">
        <v>7.085</v>
      </c>
    </row>
    <row r="68" spans="1:122">
      <c r="A68" s="4" t="s">
        <v>181</v>
      </c>
      <c r="B68" s="9">
        <v>274475</v>
      </c>
      <c r="C68" s="8" t="s">
        <v>137</v>
      </c>
      <c r="D68" s="8" t="s">
        <v>137</v>
      </c>
      <c r="E68" s="8" t="s">
        <v>137</v>
      </c>
      <c r="F68" s="8" t="s">
        <v>137</v>
      </c>
      <c r="G68" s="8" t="s">
        <v>137</v>
      </c>
      <c r="H68" s="13">
        <v>13.59</v>
      </c>
      <c r="I68" s="13">
        <v>9.8829999999999991</v>
      </c>
      <c r="J68" s="13">
        <v>27.478000000000002</v>
      </c>
      <c r="K68" s="13">
        <v>8.1440000000000001</v>
      </c>
      <c r="L68" s="13">
        <v>7.8179999999999996</v>
      </c>
      <c r="M68" s="13">
        <v>15.028</v>
      </c>
      <c r="N68" s="13">
        <v>19.827000000000002</v>
      </c>
      <c r="O68" s="8" t="s">
        <v>137</v>
      </c>
      <c r="P68" s="8" t="s">
        <v>137</v>
      </c>
      <c r="Q68" s="13">
        <v>8.625</v>
      </c>
      <c r="R68" s="8" t="s">
        <v>137</v>
      </c>
      <c r="S68" s="8" t="s">
        <v>137</v>
      </c>
      <c r="T68" s="13">
        <v>23.783999999999999</v>
      </c>
      <c r="U68" s="13">
        <v>8.4740000000000002</v>
      </c>
      <c r="V68" s="13">
        <v>9.4870000000000001</v>
      </c>
      <c r="W68" s="13">
        <v>10.081</v>
      </c>
      <c r="X68" s="13">
        <v>18.658000000000001</v>
      </c>
      <c r="Y68" s="13">
        <v>9.5609999999999999</v>
      </c>
      <c r="Z68" s="13">
        <v>1.927</v>
      </c>
      <c r="AA68" s="13">
        <v>9.2080000000000002</v>
      </c>
      <c r="AB68" s="13">
        <v>10.198</v>
      </c>
      <c r="AC68" s="13">
        <v>2.766</v>
      </c>
      <c r="AD68" s="13">
        <v>5.7569999999999997</v>
      </c>
      <c r="AE68" s="13">
        <v>9.5579999999999998</v>
      </c>
      <c r="AF68" s="13">
        <v>16.143000000000001</v>
      </c>
      <c r="AG68" s="13">
        <v>13.645</v>
      </c>
      <c r="AH68" s="13">
        <v>11.4</v>
      </c>
      <c r="AI68" s="13">
        <v>20.591999999999999</v>
      </c>
      <c r="AJ68" s="13">
        <v>6.1520000000000001</v>
      </c>
      <c r="AK68" s="13">
        <v>13.371</v>
      </c>
      <c r="AL68" s="13">
        <v>14.455</v>
      </c>
      <c r="AM68" s="13">
        <v>17.114000000000001</v>
      </c>
      <c r="AN68" s="13">
        <v>21.206</v>
      </c>
      <c r="AO68" s="13">
        <v>13.409000000000001</v>
      </c>
      <c r="AP68" s="13">
        <v>16.923999999999999</v>
      </c>
      <c r="AQ68" s="13">
        <v>18.356000000000002</v>
      </c>
      <c r="AR68" s="13">
        <v>19.045000000000002</v>
      </c>
      <c r="AS68" s="13">
        <v>13.462999999999999</v>
      </c>
      <c r="AT68" s="13">
        <v>13.638</v>
      </c>
      <c r="AU68" s="13">
        <v>19.811</v>
      </c>
      <c r="AV68" s="13">
        <v>13.564</v>
      </c>
      <c r="AW68" s="13">
        <v>11.55</v>
      </c>
      <c r="AX68" s="13">
        <v>11.73</v>
      </c>
      <c r="AY68" s="13">
        <v>19.22</v>
      </c>
      <c r="AZ68" s="13">
        <v>16.14</v>
      </c>
      <c r="BA68" s="13">
        <v>11.702</v>
      </c>
      <c r="BB68" s="13">
        <v>15.911</v>
      </c>
      <c r="BC68" s="13">
        <v>18.745999999999999</v>
      </c>
      <c r="BD68" s="13">
        <v>18.126000000000001</v>
      </c>
      <c r="BE68" s="13">
        <v>12.733000000000001</v>
      </c>
      <c r="BF68" s="13">
        <v>12.557</v>
      </c>
      <c r="BG68" s="13">
        <v>14.509</v>
      </c>
      <c r="BH68" s="13">
        <v>12.888</v>
      </c>
      <c r="BI68" s="13">
        <v>10.379</v>
      </c>
      <c r="BJ68" s="13">
        <v>9.0790000000000006</v>
      </c>
      <c r="BK68" s="13">
        <v>17.928000000000001</v>
      </c>
      <c r="BL68" s="13">
        <v>7.5430000000000001</v>
      </c>
      <c r="BM68" s="13">
        <v>5.5570000000000004</v>
      </c>
      <c r="BN68" s="13">
        <v>7.9050000000000002</v>
      </c>
      <c r="BO68" s="13">
        <v>4.03</v>
      </c>
      <c r="BP68" s="13">
        <v>2.0259999999999998</v>
      </c>
      <c r="BQ68" s="13">
        <v>5.6950000000000003</v>
      </c>
      <c r="BR68" s="13">
        <v>9.3859999999999992</v>
      </c>
      <c r="BS68" s="13">
        <v>14.593</v>
      </c>
      <c r="BT68" s="13">
        <v>11.715</v>
      </c>
      <c r="BU68" s="13">
        <v>4.4169999999999998</v>
      </c>
      <c r="BV68" s="13">
        <v>14.02</v>
      </c>
      <c r="BW68" s="13">
        <v>14.548999999999999</v>
      </c>
      <c r="BX68" s="13">
        <v>-0.57399999999999995</v>
      </c>
      <c r="BY68" s="13">
        <v>7.6130000000000004</v>
      </c>
      <c r="BZ68" s="13">
        <v>14.532</v>
      </c>
      <c r="CA68" s="13">
        <v>16.684999999999999</v>
      </c>
      <c r="CB68" s="13">
        <v>3.6720000000000002</v>
      </c>
      <c r="CC68" s="13">
        <v>10.339</v>
      </c>
      <c r="CD68" s="13">
        <v>12.217000000000001</v>
      </c>
      <c r="CE68" s="13">
        <v>15.374000000000001</v>
      </c>
      <c r="CF68" s="13">
        <v>1.5840000000000001</v>
      </c>
      <c r="CG68" s="13">
        <v>6.8440000000000003</v>
      </c>
      <c r="CH68" s="13">
        <v>10.106</v>
      </c>
      <c r="CI68" s="13">
        <v>11.558</v>
      </c>
      <c r="CJ68" s="13">
        <v>4.0439999999999996</v>
      </c>
      <c r="CK68" s="13">
        <v>8.282</v>
      </c>
      <c r="CL68" s="13">
        <v>2.3570000000000002</v>
      </c>
      <c r="CM68" s="13">
        <v>10.077999999999999</v>
      </c>
      <c r="CN68" s="13">
        <v>13.324</v>
      </c>
      <c r="CO68" s="13">
        <v>7.5359999999999996</v>
      </c>
      <c r="CP68" s="13">
        <v>7.2610000000000001</v>
      </c>
      <c r="CQ68" s="13">
        <v>10.65</v>
      </c>
      <c r="CR68" s="13">
        <v>10.552</v>
      </c>
      <c r="CS68" s="13">
        <v>1.444</v>
      </c>
      <c r="CT68" s="13">
        <v>12.315</v>
      </c>
      <c r="CU68" s="13">
        <v>16.861999999999998</v>
      </c>
      <c r="CV68" s="13">
        <v>15.269</v>
      </c>
      <c r="CW68" s="13">
        <v>17.442</v>
      </c>
      <c r="CX68" s="13">
        <v>12.962</v>
      </c>
      <c r="CY68" s="13">
        <v>17.369</v>
      </c>
      <c r="CZ68" s="13">
        <v>20.56</v>
      </c>
      <c r="DA68" s="13">
        <v>16.969000000000001</v>
      </c>
      <c r="DB68" s="13">
        <v>23.338000000000001</v>
      </c>
      <c r="DC68" s="13">
        <v>22.983000000000001</v>
      </c>
      <c r="DD68" s="13">
        <v>51.314999999999998</v>
      </c>
      <c r="DE68" s="13">
        <v>14.942</v>
      </c>
      <c r="DF68" s="13">
        <v>15.677</v>
      </c>
      <c r="DG68" s="13">
        <v>16.498000000000001</v>
      </c>
      <c r="DH68" s="13">
        <v>12.859</v>
      </c>
      <c r="DI68" s="13">
        <v>9.9250000000000007</v>
      </c>
      <c r="DJ68" s="13">
        <v>12.868</v>
      </c>
      <c r="DK68" s="13">
        <v>13.452999999999999</v>
      </c>
      <c r="DL68" s="8" t="s">
        <v>137</v>
      </c>
      <c r="DM68" s="13">
        <v>6.94</v>
      </c>
      <c r="DN68" s="13">
        <v>10.513</v>
      </c>
      <c r="DO68" s="13">
        <v>12.914999999999999</v>
      </c>
      <c r="DP68" s="13">
        <v>12.157</v>
      </c>
      <c r="DQ68" s="13">
        <v>9.1850000000000005</v>
      </c>
      <c r="DR68" s="13">
        <v>11.378</v>
      </c>
    </row>
    <row r="69" spans="1:122">
      <c r="A69" s="4" t="s">
        <v>182</v>
      </c>
      <c r="B69" s="9">
        <v>274476</v>
      </c>
      <c r="C69" s="8" t="s">
        <v>137</v>
      </c>
      <c r="D69" s="8" t="s">
        <v>137</v>
      </c>
      <c r="E69" s="8" t="s">
        <v>137</v>
      </c>
      <c r="F69" s="8" t="s">
        <v>137</v>
      </c>
      <c r="G69" s="8" t="s">
        <v>137</v>
      </c>
      <c r="H69" s="13">
        <v>13.629</v>
      </c>
      <c r="I69" s="13">
        <v>9.9290000000000003</v>
      </c>
      <c r="J69" s="13">
        <v>28.023</v>
      </c>
      <c r="K69" s="13">
        <v>8.2420000000000009</v>
      </c>
      <c r="L69" s="13">
        <v>8.0749999999999993</v>
      </c>
      <c r="M69" s="13">
        <v>15.287000000000001</v>
      </c>
      <c r="N69" s="13">
        <v>20.25</v>
      </c>
      <c r="O69" s="8" t="s">
        <v>137</v>
      </c>
      <c r="P69" s="8" t="s">
        <v>137</v>
      </c>
      <c r="Q69" s="13">
        <v>8.6300000000000008</v>
      </c>
      <c r="R69" s="8" t="s">
        <v>137</v>
      </c>
      <c r="S69" s="8" t="s">
        <v>137</v>
      </c>
      <c r="T69" s="13">
        <v>23.748999999999999</v>
      </c>
      <c r="U69" s="13">
        <v>8.4779999999999998</v>
      </c>
      <c r="V69" s="13">
        <v>9.4380000000000006</v>
      </c>
      <c r="W69" s="13">
        <v>10.138</v>
      </c>
      <c r="X69" s="13">
        <v>18.067</v>
      </c>
      <c r="Y69" s="13">
        <v>9.6340000000000003</v>
      </c>
      <c r="Z69" s="13">
        <v>1.865</v>
      </c>
      <c r="AA69" s="13">
        <v>8.8109999999999999</v>
      </c>
      <c r="AB69" s="13">
        <v>9.9320000000000004</v>
      </c>
      <c r="AC69" s="13">
        <v>2.5790000000000002</v>
      </c>
      <c r="AD69" s="13">
        <v>5.6159999999999997</v>
      </c>
      <c r="AE69" s="13">
        <v>9.1739999999999995</v>
      </c>
      <c r="AF69" s="13">
        <v>16.100000000000001</v>
      </c>
      <c r="AG69" s="13">
        <v>13.448</v>
      </c>
      <c r="AH69" s="13">
        <v>11.106</v>
      </c>
      <c r="AI69" s="13">
        <v>20.190999999999999</v>
      </c>
      <c r="AJ69" s="13">
        <v>5.766</v>
      </c>
      <c r="AK69" s="13">
        <v>13.208</v>
      </c>
      <c r="AL69" s="13">
        <v>14.052</v>
      </c>
      <c r="AM69" s="13">
        <v>16.742000000000001</v>
      </c>
      <c r="AN69" s="13">
        <v>20.878</v>
      </c>
      <c r="AO69" s="13">
        <v>13.478999999999999</v>
      </c>
      <c r="AP69" s="13">
        <v>17.001999999999999</v>
      </c>
      <c r="AQ69" s="13">
        <v>18.356000000000002</v>
      </c>
      <c r="AR69" s="13">
        <v>18.861000000000001</v>
      </c>
      <c r="AS69" s="13">
        <v>13.49</v>
      </c>
      <c r="AT69" s="13">
        <v>13.596</v>
      </c>
      <c r="AU69" s="13">
        <v>19.704999999999998</v>
      </c>
      <c r="AV69" s="13">
        <v>13.339</v>
      </c>
      <c r="AW69" s="13">
        <v>11.468</v>
      </c>
      <c r="AX69" s="13">
        <v>11.742000000000001</v>
      </c>
      <c r="AY69" s="13">
        <v>19.097999999999999</v>
      </c>
      <c r="AZ69" s="13">
        <v>15.878</v>
      </c>
      <c r="BA69" s="13">
        <v>11.757</v>
      </c>
      <c r="BB69" s="13">
        <v>16.077000000000002</v>
      </c>
      <c r="BC69" s="13">
        <v>18.841999999999999</v>
      </c>
      <c r="BD69" s="13">
        <v>17.954999999999998</v>
      </c>
      <c r="BE69" s="13">
        <v>12.717000000000001</v>
      </c>
      <c r="BF69" s="13">
        <v>12.488</v>
      </c>
      <c r="BG69" s="13">
        <v>14.358000000000001</v>
      </c>
      <c r="BH69" s="13">
        <v>12.734</v>
      </c>
      <c r="BI69" s="13">
        <v>10.342000000000001</v>
      </c>
      <c r="BJ69" s="13">
        <v>9.0039999999999996</v>
      </c>
      <c r="BK69" s="13">
        <v>17.853000000000002</v>
      </c>
      <c r="BL69" s="13">
        <v>5.782</v>
      </c>
      <c r="BM69" s="13">
        <v>5.1139999999999999</v>
      </c>
      <c r="BN69" s="13">
        <v>7.49</v>
      </c>
      <c r="BO69" s="13">
        <v>3.0840000000000001</v>
      </c>
      <c r="BP69" s="13">
        <v>1.542</v>
      </c>
      <c r="BQ69" s="13">
        <v>5.2489999999999997</v>
      </c>
      <c r="BR69" s="13">
        <v>8.7040000000000006</v>
      </c>
      <c r="BS69" s="13">
        <v>14.403</v>
      </c>
      <c r="BT69" s="13">
        <v>11.522</v>
      </c>
      <c r="BU69" s="13">
        <v>3.73</v>
      </c>
      <c r="BV69" s="13">
        <v>13.648999999999999</v>
      </c>
      <c r="BW69" s="13">
        <v>14.073</v>
      </c>
      <c r="BX69" s="13">
        <v>-1.8340000000000001</v>
      </c>
      <c r="BY69" s="13">
        <v>6.9470000000000001</v>
      </c>
      <c r="BZ69" s="13">
        <v>13.709</v>
      </c>
      <c r="CA69" s="13">
        <v>16.645</v>
      </c>
      <c r="CB69" s="13">
        <v>2.0670000000000002</v>
      </c>
      <c r="CC69" s="13">
        <v>9.452</v>
      </c>
      <c r="CD69" s="13">
        <v>11.481999999999999</v>
      </c>
      <c r="CE69" s="13">
        <v>14.744999999999999</v>
      </c>
      <c r="CF69" s="13">
        <v>0.48</v>
      </c>
      <c r="CG69" s="13">
        <v>5.7770000000000001</v>
      </c>
      <c r="CH69" s="13">
        <v>9.2520000000000007</v>
      </c>
      <c r="CI69" s="13">
        <v>10.63</v>
      </c>
      <c r="CJ69" s="13">
        <v>2.464</v>
      </c>
      <c r="CK69" s="13">
        <v>7.274</v>
      </c>
      <c r="CL69" s="13">
        <v>1.056</v>
      </c>
      <c r="CM69" s="13">
        <v>9.3780000000000001</v>
      </c>
      <c r="CN69" s="13">
        <v>12.988</v>
      </c>
      <c r="CO69" s="13">
        <v>6.6509999999999998</v>
      </c>
      <c r="CP69" s="13">
        <v>6.367</v>
      </c>
      <c r="CQ69" s="13">
        <v>10.044</v>
      </c>
      <c r="CR69" s="13">
        <v>9.6880000000000006</v>
      </c>
      <c r="CS69" s="13">
        <v>0.16900000000000001</v>
      </c>
      <c r="CT69" s="13">
        <v>11.661</v>
      </c>
      <c r="CU69" s="13">
        <v>16.428999999999998</v>
      </c>
      <c r="CV69" s="13">
        <v>13.394</v>
      </c>
      <c r="CW69" s="13">
        <v>16.997</v>
      </c>
      <c r="CX69" s="13">
        <v>12.282999999999999</v>
      </c>
      <c r="CY69" s="13">
        <v>16.774999999999999</v>
      </c>
      <c r="CZ69" s="13">
        <v>19.23</v>
      </c>
      <c r="DA69" s="13">
        <v>16.23</v>
      </c>
      <c r="DB69" s="13">
        <v>22.911999999999999</v>
      </c>
      <c r="DC69" s="13">
        <v>22.33</v>
      </c>
      <c r="DD69" s="13">
        <v>52.935000000000002</v>
      </c>
      <c r="DE69" s="13">
        <v>14.029</v>
      </c>
      <c r="DF69" s="13">
        <v>14.814</v>
      </c>
      <c r="DG69" s="13">
        <v>15.689</v>
      </c>
      <c r="DH69" s="13">
        <v>11.981</v>
      </c>
      <c r="DI69" s="13">
        <v>8.9450000000000003</v>
      </c>
      <c r="DJ69" s="13">
        <v>11.986000000000001</v>
      </c>
      <c r="DK69" s="13">
        <v>12.362</v>
      </c>
      <c r="DL69" s="8" t="s">
        <v>137</v>
      </c>
      <c r="DM69" s="13">
        <v>5.63</v>
      </c>
      <c r="DN69" s="13">
        <v>9.1769999999999996</v>
      </c>
      <c r="DO69" s="13">
        <v>11.433999999999999</v>
      </c>
      <c r="DP69" s="13">
        <v>10.694000000000001</v>
      </c>
      <c r="DQ69" s="13">
        <v>7.8070000000000004</v>
      </c>
      <c r="DR69" s="13">
        <v>9.8719999999999999</v>
      </c>
    </row>
    <row r="70" spans="1:122">
      <c r="A70" s="4" t="s">
        <v>183</v>
      </c>
      <c r="B70" s="9">
        <v>274477</v>
      </c>
      <c r="C70" s="13">
        <v>52.546999999999997</v>
      </c>
      <c r="D70" s="13">
        <v>47.765000000000001</v>
      </c>
      <c r="E70" s="13">
        <v>46.802999999999997</v>
      </c>
      <c r="F70" s="13">
        <v>48.723999999999997</v>
      </c>
      <c r="G70" s="13">
        <v>46.326000000000001</v>
      </c>
      <c r="H70" s="13">
        <v>47.594000000000001</v>
      </c>
      <c r="I70" s="13">
        <v>48.136000000000003</v>
      </c>
      <c r="J70" s="13">
        <v>48.472999999999999</v>
      </c>
      <c r="K70" s="13">
        <v>50.970999999999997</v>
      </c>
      <c r="L70" s="13">
        <v>50.970999999999997</v>
      </c>
      <c r="M70" s="13">
        <v>51.442</v>
      </c>
      <c r="N70" s="13">
        <v>51.356999999999999</v>
      </c>
      <c r="O70" s="13">
        <v>54.829000000000001</v>
      </c>
      <c r="P70" s="13">
        <v>56.363</v>
      </c>
      <c r="Q70" s="13">
        <v>55.283999999999999</v>
      </c>
      <c r="R70" s="13">
        <v>56.685000000000002</v>
      </c>
      <c r="S70" s="13">
        <v>56.56</v>
      </c>
      <c r="T70" s="13">
        <v>57.244999999999997</v>
      </c>
      <c r="U70" s="13">
        <v>53.652000000000001</v>
      </c>
      <c r="V70" s="13">
        <v>54.905000000000001</v>
      </c>
      <c r="W70" s="13">
        <v>56.271999999999998</v>
      </c>
      <c r="X70" s="13">
        <v>55.366999999999997</v>
      </c>
      <c r="Y70" s="13">
        <v>54.107999999999997</v>
      </c>
      <c r="Z70" s="13">
        <v>53.881999999999998</v>
      </c>
      <c r="AA70" s="13">
        <v>54.052</v>
      </c>
      <c r="AB70" s="13">
        <v>51.064999999999998</v>
      </c>
      <c r="AC70" s="13">
        <v>52.893999999999998</v>
      </c>
      <c r="AD70" s="13">
        <v>53.127000000000002</v>
      </c>
      <c r="AE70" s="13">
        <v>53.773000000000003</v>
      </c>
      <c r="AF70" s="13">
        <v>53.392000000000003</v>
      </c>
      <c r="AG70" s="13">
        <v>53.048000000000002</v>
      </c>
      <c r="AH70" s="13">
        <v>52.603000000000002</v>
      </c>
      <c r="AI70" s="13">
        <v>53.121000000000002</v>
      </c>
      <c r="AJ70" s="13">
        <v>53.459000000000003</v>
      </c>
      <c r="AK70" s="13">
        <v>53.220999999999997</v>
      </c>
      <c r="AL70" s="13">
        <v>53.744</v>
      </c>
      <c r="AM70" s="13">
        <v>54.673000000000002</v>
      </c>
      <c r="AN70" s="13">
        <v>54.331000000000003</v>
      </c>
      <c r="AO70" s="13">
        <v>52.777999999999999</v>
      </c>
      <c r="AP70" s="13">
        <v>53.37</v>
      </c>
      <c r="AQ70" s="13">
        <v>54.093000000000004</v>
      </c>
      <c r="AR70" s="13">
        <v>53.027000000000001</v>
      </c>
      <c r="AS70" s="13">
        <v>51.732999999999997</v>
      </c>
      <c r="AT70" s="13">
        <v>52.875999999999998</v>
      </c>
      <c r="AU70" s="13">
        <v>54.027999999999999</v>
      </c>
      <c r="AV70" s="13">
        <v>52.673000000000002</v>
      </c>
      <c r="AW70" s="13">
        <v>51.46</v>
      </c>
      <c r="AX70" s="13">
        <v>50.743000000000002</v>
      </c>
      <c r="AY70" s="13">
        <v>51.648000000000003</v>
      </c>
      <c r="AZ70" s="13">
        <v>50.412999999999997</v>
      </c>
      <c r="BA70" s="13">
        <v>51.057000000000002</v>
      </c>
      <c r="BB70" s="13">
        <v>53.015999999999998</v>
      </c>
      <c r="BC70" s="13">
        <v>53.759</v>
      </c>
      <c r="BD70" s="13">
        <v>53.255000000000003</v>
      </c>
      <c r="BE70" s="13">
        <v>52.301000000000002</v>
      </c>
      <c r="BF70" s="13">
        <v>53.587000000000003</v>
      </c>
      <c r="BG70" s="13">
        <v>53.390999999999998</v>
      </c>
      <c r="BH70" s="13">
        <v>51.893000000000001</v>
      </c>
      <c r="BI70" s="13">
        <v>50.893999999999998</v>
      </c>
      <c r="BJ70" s="13">
        <v>51.317999999999998</v>
      </c>
      <c r="BK70" s="13">
        <v>51.359000000000002</v>
      </c>
      <c r="BL70" s="13">
        <v>50.606999999999999</v>
      </c>
      <c r="BM70" s="13">
        <v>49.871000000000002</v>
      </c>
      <c r="BN70" s="13">
        <v>51.040999999999997</v>
      </c>
      <c r="BO70" s="13">
        <v>50.5</v>
      </c>
      <c r="BP70" s="13">
        <v>51.325000000000003</v>
      </c>
      <c r="BQ70" s="13">
        <v>51.082000000000001</v>
      </c>
      <c r="BR70" s="13">
        <v>52.795999999999999</v>
      </c>
      <c r="BS70" s="13">
        <v>52.378</v>
      </c>
      <c r="BT70" s="13">
        <v>52.912999999999997</v>
      </c>
      <c r="BU70" s="13">
        <v>52.935000000000002</v>
      </c>
      <c r="BV70" s="13">
        <v>53.316000000000003</v>
      </c>
      <c r="BW70" s="13">
        <v>53.07</v>
      </c>
      <c r="BX70" s="13">
        <v>52.292999999999999</v>
      </c>
      <c r="BY70" s="13">
        <v>52.417999999999999</v>
      </c>
      <c r="BZ70" s="13">
        <v>53.298999999999999</v>
      </c>
      <c r="CA70" s="13">
        <v>54.249000000000002</v>
      </c>
      <c r="CB70" s="13">
        <v>53.042000000000002</v>
      </c>
      <c r="CC70" s="13">
        <v>53.680999999999997</v>
      </c>
      <c r="CD70" s="13">
        <v>54.286999999999999</v>
      </c>
      <c r="CE70" s="13">
        <v>54.134</v>
      </c>
      <c r="CF70" s="13">
        <v>53.865000000000002</v>
      </c>
      <c r="CG70" s="13">
        <v>53.683</v>
      </c>
      <c r="CH70" s="13">
        <v>54.079000000000001</v>
      </c>
      <c r="CI70" s="13">
        <v>52.988</v>
      </c>
      <c r="CJ70" s="13">
        <v>52.75</v>
      </c>
      <c r="CK70" s="13">
        <v>53.008000000000003</v>
      </c>
      <c r="CL70" s="13">
        <v>53.703000000000003</v>
      </c>
      <c r="CM70" s="13">
        <v>53.143999999999998</v>
      </c>
      <c r="CN70" s="13">
        <v>52.597000000000001</v>
      </c>
      <c r="CO70" s="13">
        <v>52.758000000000003</v>
      </c>
      <c r="CP70" s="13">
        <v>53.054000000000002</v>
      </c>
      <c r="CQ70" s="13">
        <v>52.805999999999997</v>
      </c>
      <c r="CR70" s="13">
        <v>53.136000000000003</v>
      </c>
      <c r="CS70" s="13">
        <v>53.588000000000001</v>
      </c>
      <c r="CT70" s="13">
        <v>54.383000000000003</v>
      </c>
      <c r="CU70" s="13">
        <v>53.856999999999999</v>
      </c>
      <c r="CV70" s="13">
        <v>53.997</v>
      </c>
      <c r="CW70" s="13">
        <v>54.609000000000002</v>
      </c>
      <c r="CX70" s="13">
        <v>53.930999999999997</v>
      </c>
      <c r="CY70" s="13">
        <v>53.390999999999998</v>
      </c>
      <c r="CZ70" s="13">
        <v>52.890999999999998</v>
      </c>
      <c r="DA70" s="13">
        <v>52.232999999999997</v>
      </c>
      <c r="DB70" s="13">
        <v>51.534999999999997</v>
      </c>
      <c r="DC70" s="13">
        <v>51.176000000000002</v>
      </c>
      <c r="DD70" s="13">
        <v>51.753999999999998</v>
      </c>
      <c r="DE70" s="13">
        <v>51.502000000000002</v>
      </c>
      <c r="DF70" s="13">
        <v>51.066000000000003</v>
      </c>
      <c r="DG70" s="13">
        <v>51.646999999999998</v>
      </c>
      <c r="DH70" s="13">
        <v>51.999000000000002</v>
      </c>
      <c r="DI70" s="13">
        <v>52.305</v>
      </c>
      <c r="DJ70" s="13">
        <v>52.887999999999998</v>
      </c>
      <c r="DK70" s="13">
        <v>53.078000000000003</v>
      </c>
      <c r="DL70" s="8" t="s">
        <v>137</v>
      </c>
      <c r="DM70" s="13">
        <v>52.863999999999997</v>
      </c>
      <c r="DN70" s="13">
        <v>52.768000000000001</v>
      </c>
      <c r="DO70" s="13">
        <v>52.308999999999997</v>
      </c>
      <c r="DP70" s="13">
        <v>52.155999999999999</v>
      </c>
      <c r="DQ70" s="13">
        <v>53.197000000000003</v>
      </c>
      <c r="DR70" s="13">
        <v>52.610999999999997</v>
      </c>
    </row>
    <row r="71" spans="1:122">
      <c r="A71" s="4" t="s">
        <v>184</v>
      </c>
      <c r="B71" s="9">
        <v>274478</v>
      </c>
      <c r="C71" s="13">
        <v>-9.516</v>
      </c>
      <c r="D71" s="13">
        <v>10.122</v>
      </c>
      <c r="E71" s="13">
        <v>3.1930000000000001</v>
      </c>
      <c r="F71" s="13">
        <v>-1.84</v>
      </c>
      <c r="G71" s="13">
        <v>3.1949999999999998</v>
      </c>
      <c r="H71" s="13">
        <v>4.57</v>
      </c>
      <c r="I71" s="13">
        <v>4.2949999999999999</v>
      </c>
      <c r="J71" s="13">
        <v>7.7919999999999998</v>
      </c>
      <c r="K71" s="13">
        <v>3.9119999999999999</v>
      </c>
      <c r="L71" s="13">
        <v>3.9119999999999999</v>
      </c>
      <c r="M71" s="13">
        <v>6.5380000000000003</v>
      </c>
      <c r="N71" s="13">
        <v>6.0609999999999999</v>
      </c>
      <c r="O71" s="13">
        <v>6.6379999999999999</v>
      </c>
      <c r="P71" s="13">
        <v>10.298999999999999</v>
      </c>
      <c r="Q71" s="13">
        <v>4.3920000000000003</v>
      </c>
      <c r="R71" s="13">
        <v>5.4509999999999996</v>
      </c>
      <c r="S71" s="13">
        <v>3.673</v>
      </c>
      <c r="T71" s="13">
        <v>11.224</v>
      </c>
      <c r="U71" s="13">
        <v>4.16</v>
      </c>
      <c r="V71" s="13">
        <v>4.5369999999999999</v>
      </c>
      <c r="W71" s="13">
        <v>4.1239999999999997</v>
      </c>
      <c r="X71" s="13">
        <v>5.9180000000000001</v>
      </c>
      <c r="Y71" s="13">
        <v>3.206</v>
      </c>
      <c r="Z71" s="13">
        <v>0.53500000000000003</v>
      </c>
      <c r="AA71" s="13">
        <v>2.617</v>
      </c>
      <c r="AB71" s="13">
        <v>2.766</v>
      </c>
      <c r="AC71" s="13">
        <v>0.81100000000000005</v>
      </c>
      <c r="AD71" s="13">
        <v>1.742</v>
      </c>
      <c r="AE71" s="13">
        <v>2.7090000000000001</v>
      </c>
      <c r="AF71" s="13">
        <v>2.9969999999999999</v>
      </c>
      <c r="AG71" s="13">
        <v>4.3520000000000003</v>
      </c>
      <c r="AH71" s="13">
        <v>3.601</v>
      </c>
      <c r="AI71" s="13">
        <v>6.431</v>
      </c>
      <c r="AJ71" s="13">
        <v>5.7130000000000001</v>
      </c>
      <c r="AK71" s="13">
        <v>4.2320000000000002</v>
      </c>
      <c r="AL71" s="13">
        <v>4.3920000000000003</v>
      </c>
      <c r="AM71" s="13">
        <v>5.23</v>
      </c>
      <c r="AN71" s="13">
        <v>6.2629999999999999</v>
      </c>
      <c r="AO71" s="13">
        <v>4.4359999999999999</v>
      </c>
      <c r="AP71" s="13">
        <v>5.4939999999999998</v>
      </c>
      <c r="AQ71" s="13">
        <v>5.99</v>
      </c>
      <c r="AR71" s="13">
        <v>5.9740000000000002</v>
      </c>
      <c r="AS71" s="13">
        <v>4.6959999999999997</v>
      </c>
      <c r="AT71" s="13">
        <v>4.72</v>
      </c>
      <c r="AU71" s="13">
        <v>6.82</v>
      </c>
      <c r="AV71" s="13">
        <v>4.8140000000000001</v>
      </c>
      <c r="AW71" s="13">
        <v>4.2110000000000003</v>
      </c>
      <c r="AX71" s="13">
        <v>4.2</v>
      </c>
      <c r="AY71" s="13">
        <v>6.6879999999999997</v>
      </c>
      <c r="AZ71" s="13">
        <v>5.7469999999999999</v>
      </c>
      <c r="BA71" s="13">
        <v>3.6389999999999998</v>
      </c>
      <c r="BB71" s="13">
        <v>4.9889999999999999</v>
      </c>
      <c r="BC71" s="13">
        <v>5.9039999999999999</v>
      </c>
      <c r="BD71" s="13">
        <v>5.8739999999999997</v>
      </c>
      <c r="BE71" s="13">
        <v>4.4809999999999999</v>
      </c>
      <c r="BF71" s="13">
        <v>4.3609999999999998</v>
      </c>
      <c r="BG71" s="13">
        <v>5.0549999999999997</v>
      </c>
      <c r="BH71" s="13">
        <v>4.5110000000000001</v>
      </c>
      <c r="BI71" s="13">
        <v>3.8660000000000001</v>
      </c>
      <c r="BJ71" s="13">
        <v>3.3370000000000002</v>
      </c>
      <c r="BK71" s="13">
        <v>6.3570000000000002</v>
      </c>
      <c r="BL71" s="13">
        <v>1.6279999999999999</v>
      </c>
      <c r="BM71" s="13">
        <v>1.4650000000000001</v>
      </c>
      <c r="BN71" s="13">
        <v>2.0390000000000001</v>
      </c>
      <c r="BO71" s="13">
        <v>0.84499999999999997</v>
      </c>
      <c r="BP71" s="13">
        <v>0.38900000000000001</v>
      </c>
      <c r="BQ71" s="13">
        <v>1.3740000000000001</v>
      </c>
      <c r="BR71" s="13">
        <v>2.165</v>
      </c>
      <c r="BS71" s="13">
        <v>3.5619999999999998</v>
      </c>
      <c r="BT71" s="13">
        <v>2.798</v>
      </c>
      <c r="BU71" s="13">
        <v>1.034</v>
      </c>
      <c r="BV71" s="13">
        <v>3.5870000000000002</v>
      </c>
      <c r="BW71" s="13">
        <v>3.45</v>
      </c>
      <c r="BX71" s="13">
        <v>-0.44800000000000001</v>
      </c>
      <c r="BY71" s="13">
        <v>1.7390000000000001</v>
      </c>
      <c r="BZ71" s="13">
        <v>3.246</v>
      </c>
      <c r="CA71" s="13">
        <v>4.0289999999999999</v>
      </c>
      <c r="CB71" s="13">
        <v>0.50600000000000001</v>
      </c>
      <c r="CC71" s="13">
        <v>2.5019999999999998</v>
      </c>
      <c r="CD71" s="13">
        <v>3.0270000000000001</v>
      </c>
      <c r="CE71" s="13">
        <v>3.8929999999999998</v>
      </c>
      <c r="CF71" s="13">
        <v>0.124</v>
      </c>
      <c r="CG71" s="13">
        <v>1.5069999999999999</v>
      </c>
      <c r="CH71" s="13">
        <v>2.2989999999999999</v>
      </c>
      <c r="CI71" s="13">
        <v>2.6150000000000002</v>
      </c>
      <c r="CJ71" s="13">
        <v>0.60099999999999998</v>
      </c>
      <c r="CK71" s="13">
        <v>1.899</v>
      </c>
      <c r="CL71" s="13">
        <v>0.26900000000000002</v>
      </c>
      <c r="CM71" s="13">
        <v>2.4980000000000002</v>
      </c>
      <c r="CN71" s="13">
        <v>3.2839999999999998</v>
      </c>
      <c r="CO71" s="13">
        <v>1.901</v>
      </c>
      <c r="CP71" s="13">
        <v>1.7230000000000001</v>
      </c>
      <c r="CQ71" s="13">
        <v>2.5790000000000002</v>
      </c>
      <c r="CR71" s="13">
        <v>2.419</v>
      </c>
      <c r="CS71" s="13">
        <v>4.7E-2</v>
      </c>
      <c r="CT71" s="13">
        <v>2.9950000000000001</v>
      </c>
      <c r="CU71" s="13">
        <v>4.2009999999999996</v>
      </c>
      <c r="CV71" s="13">
        <v>3.41</v>
      </c>
      <c r="CW71" s="13">
        <v>5.2539999999999996</v>
      </c>
      <c r="CX71" s="13">
        <v>3.7080000000000002</v>
      </c>
      <c r="CY71" s="13">
        <v>4.694</v>
      </c>
      <c r="CZ71" s="13">
        <v>5.1040000000000001</v>
      </c>
      <c r="DA71" s="13">
        <v>4.93</v>
      </c>
      <c r="DB71" s="13">
        <v>6.3760000000000003</v>
      </c>
      <c r="DC71" s="13">
        <v>5.9029999999999996</v>
      </c>
      <c r="DD71" s="13">
        <v>27.739000000000001</v>
      </c>
      <c r="DE71" s="13">
        <v>4.1070000000000002</v>
      </c>
      <c r="DF71" s="13">
        <v>3.9630000000000001</v>
      </c>
      <c r="DG71" s="13">
        <v>4.2300000000000004</v>
      </c>
      <c r="DH71" s="13">
        <v>3.2</v>
      </c>
      <c r="DI71" s="13">
        <v>2.5760000000000001</v>
      </c>
      <c r="DJ71" s="13">
        <v>3.375</v>
      </c>
      <c r="DK71" s="13">
        <v>3.4820000000000002</v>
      </c>
      <c r="DL71" s="8" t="s">
        <v>137</v>
      </c>
      <c r="DM71" s="13">
        <v>1.726</v>
      </c>
      <c r="DN71" s="13">
        <v>2.6309999999999998</v>
      </c>
      <c r="DO71" s="13">
        <v>3.1320000000000001</v>
      </c>
      <c r="DP71" s="13">
        <v>2.9049999999999998</v>
      </c>
      <c r="DQ71" s="13">
        <v>2.3559999999999999</v>
      </c>
      <c r="DR71" s="13">
        <v>2.794</v>
      </c>
    </row>
    <row r="72" spans="1:122">
      <c r="A72" s="4" t="s">
        <v>185</v>
      </c>
      <c r="B72" s="9">
        <v>274479</v>
      </c>
      <c r="C72" s="13">
        <v>-9.6289999999999996</v>
      </c>
      <c r="D72" s="13">
        <v>10.319000000000001</v>
      </c>
      <c r="E72" s="13">
        <v>3.3109999999999999</v>
      </c>
      <c r="F72" s="13">
        <v>-1.7609999999999999</v>
      </c>
      <c r="G72" s="13">
        <v>3.359</v>
      </c>
      <c r="H72" s="13">
        <v>4.6950000000000003</v>
      </c>
      <c r="I72" s="13">
        <v>4.3929999999999998</v>
      </c>
      <c r="J72" s="13">
        <v>7.86</v>
      </c>
      <c r="K72" s="13">
        <v>3.95</v>
      </c>
      <c r="L72" s="13">
        <v>3.95</v>
      </c>
      <c r="M72" s="13">
        <v>6.718</v>
      </c>
      <c r="N72" s="13">
        <v>6.2149999999999999</v>
      </c>
      <c r="O72" s="13">
        <v>7.0049999999999999</v>
      </c>
      <c r="P72" s="13">
        <v>10.506</v>
      </c>
      <c r="Q72" s="13">
        <v>4.4950000000000001</v>
      </c>
      <c r="R72" s="13">
        <v>5.4509999999999996</v>
      </c>
      <c r="S72" s="13">
        <v>3.8079999999999998</v>
      </c>
      <c r="T72" s="13">
        <v>11.353</v>
      </c>
      <c r="U72" s="13">
        <v>4.1970000000000001</v>
      </c>
      <c r="V72" s="13">
        <v>4.5609999999999999</v>
      </c>
      <c r="W72" s="13">
        <v>4.101</v>
      </c>
      <c r="X72" s="13">
        <v>6.1790000000000003</v>
      </c>
      <c r="Y72" s="13">
        <v>3.2160000000000002</v>
      </c>
      <c r="Z72" s="13">
        <v>0.55300000000000005</v>
      </c>
      <c r="AA72" s="13">
        <v>2.7349999999999999</v>
      </c>
      <c r="AB72" s="13">
        <v>2.879</v>
      </c>
      <c r="AC72" s="13">
        <v>0.88</v>
      </c>
      <c r="AD72" s="13">
        <v>1.7849999999999999</v>
      </c>
      <c r="AE72" s="13">
        <v>2.8220000000000001</v>
      </c>
      <c r="AF72" s="13">
        <v>4.6219999999999999</v>
      </c>
      <c r="AG72" s="13">
        <v>4.4720000000000004</v>
      </c>
      <c r="AH72" s="13">
        <v>3.6960000000000002</v>
      </c>
      <c r="AI72" s="13">
        <v>6.5579999999999998</v>
      </c>
      <c r="AJ72" s="13">
        <v>1.9019999999999999</v>
      </c>
      <c r="AK72" s="13">
        <v>4.3360000000000003</v>
      </c>
      <c r="AL72" s="13">
        <v>4.5179999999999998</v>
      </c>
      <c r="AM72" s="13">
        <v>5.282</v>
      </c>
      <c r="AN72" s="13">
        <v>6.5590000000000002</v>
      </c>
      <c r="AO72" s="13">
        <v>4.524</v>
      </c>
      <c r="AP72" s="13">
        <v>5.609</v>
      </c>
      <c r="AQ72" s="13">
        <v>6.14</v>
      </c>
      <c r="AR72" s="13">
        <v>6.173</v>
      </c>
      <c r="AS72" s="13">
        <v>4.7889999999999997</v>
      </c>
      <c r="AT72" s="13">
        <v>4.835</v>
      </c>
      <c r="AU72" s="13">
        <v>6.9960000000000004</v>
      </c>
      <c r="AV72" s="13">
        <v>4.9960000000000004</v>
      </c>
      <c r="AW72" s="13">
        <v>4.33</v>
      </c>
      <c r="AX72" s="13">
        <v>4.2830000000000004</v>
      </c>
      <c r="AY72" s="13">
        <v>6.8659999999999997</v>
      </c>
      <c r="AZ72" s="13">
        <v>5.9610000000000003</v>
      </c>
      <c r="BA72" s="13">
        <v>3.7040000000000002</v>
      </c>
      <c r="BB72" s="13">
        <v>5.0570000000000004</v>
      </c>
      <c r="BC72" s="13">
        <v>6.0110000000000001</v>
      </c>
      <c r="BD72" s="13">
        <v>6.0609999999999999</v>
      </c>
      <c r="BE72" s="13">
        <v>4.5830000000000002</v>
      </c>
      <c r="BF72" s="13">
        <v>4.4729999999999999</v>
      </c>
      <c r="BG72" s="13">
        <v>5.2050000000000001</v>
      </c>
      <c r="BH72" s="13">
        <v>4.6529999999999996</v>
      </c>
      <c r="BI72" s="13">
        <v>3.9540000000000002</v>
      </c>
      <c r="BJ72" s="13">
        <v>3.4249999999999998</v>
      </c>
      <c r="BK72" s="13">
        <v>6.4969999999999999</v>
      </c>
      <c r="BL72" s="13">
        <v>2.19</v>
      </c>
      <c r="BM72" s="13">
        <v>1.675</v>
      </c>
      <c r="BN72" s="13">
        <v>2.2829999999999999</v>
      </c>
      <c r="BO72" s="13">
        <v>1.1719999999999999</v>
      </c>
      <c r="BP72" s="13">
        <v>0.54100000000000004</v>
      </c>
      <c r="BQ72" s="13">
        <v>1.5649999999999999</v>
      </c>
      <c r="BR72" s="13">
        <v>2.4409999999999998</v>
      </c>
      <c r="BS72" s="13">
        <v>3.7679999999999998</v>
      </c>
      <c r="BT72" s="13">
        <v>2.976</v>
      </c>
      <c r="BU72" s="13">
        <v>1.2829999999999999</v>
      </c>
      <c r="BV72" s="13">
        <v>3.8650000000000002</v>
      </c>
      <c r="BW72" s="13">
        <v>3.714</v>
      </c>
      <c r="BX72" s="13">
        <v>-0.14599999999999999</v>
      </c>
      <c r="BY72" s="13">
        <v>2.0089999999999999</v>
      </c>
      <c r="BZ72" s="13">
        <v>3.6429999999999998</v>
      </c>
      <c r="CA72" s="13">
        <v>4.2709999999999999</v>
      </c>
      <c r="CB72" s="13">
        <v>0.94499999999999995</v>
      </c>
      <c r="CC72" s="13">
        <v>2.8740000000000001</v>
      </c>
      <c r="CD72" s="13">
        <v>3.3769999999999998</v>
      </c>
      <c r="CE72" s="13">
        <v>4.2510000000000003</v>
      </c>
      <c r="CF72" s="13">
        <v>0.43</v>
      </c>
      <c r="CG72" s="13">
        <v>1.88</v>
      </c>
      <c r="CH72" s="13">
        <v>2.6480000000000001</v>
      </c>
      <c r="CI72" s="13">
        <v>3.0009999999999999</v>
      </c>
      <c r="CJ72" s="13">
        <v>1.044</v>
      </c>
      <c r="CK72" s="13">
        <v>2.2919999999999998</v>
      </c>
      <c r="CL72" s="13">
        <v>0.63600000000000001</v>
      </c>
      <c r="CM72" s="13">
        <v>2.84</v>
      </c>
      <c r="CN72" s="13">
        <v>3.5760000000000001</v>
      </c>
      <c r="CO72" s="13">
        <v>2.2850000000000001</v>
      </c>
      <c r="CP72" s="13">
        <v>2.0840000000000001</v>
      </c>
      <c r="CQ72" s="13">
        <v>2.903</v>
      </c>
      <c r="CR72" s="13">
        <v>2.798</v>
      </c>
      <c r="CS72" s="13">
        <v>0.42499999999999999</v>
      </c>
      <c r="CT72" s="13">
        <v>3.3420000000000001</v>
      </c>
      <c r="CU72" s="13">
        <v>4.5350000000000001</v>
      </c>
      <c r="CV72" s="13">
        <v>4.0860000000000003</v>
      </c>
      <c r="CW72" s="13">
        <v>5.2009999999999996</v>
      </c>
      <c r="CX72" s="13">
        <v>3.6749999999999998</v>
      </c>
      <c r="CY72" s="13">
        <v>4.7149999999999999</v>
      </c>
      <c r="CZ72" s="13">
        <v>5.3810000000000002</v>
      </c>
      <c r="DA72" s="13">
        <v>4.8390000000000004</v>
      </c>
      <c r="DB72" s="13">
        <v>6.3090000000000002</v>
      </c>
      <c r="DC72" s="13">
        <v>5.8680000000000003</v>
      </c>
      <c r="DD72" s="13">
        <v>13.765000000000001</v>
      </c>
      <c r="DE72" s="13">
        <v>4.5359999999999996</v>
      </c>
      <c r="DF72" s="13">
        <v>4.3070000000000004</v>
      </c>
      <c r="DG72" s="13">
        <v>4.58</v>
      </c>
      <c r="DH72" s="13">
        <v>3.54</v>
      </c>
      <c r="DI72" s="13">
        <v>2.9449999999999998</v>
      </c>
      <c r="DJ72" s="13">
        <v>3.72</v>
      </c>
      <c r="DK72" s="13">
        <v>3.8730000000000002</v>
      </c>
      <c r="DL72" s="8" t="s">
        <v>137</v>
      </c>
      <c r="DM72" s="13">
        <v>2.1549999999999998</v>
      </c>
      <c r="DN72" s="13">
        <v>3.0449999999999999</v>
      </c>
      <c r="DO72" s="13">
        <v>3.5659999999999998</v>
      </c>
      <c r="DP72" s="13">
        <v>3.327</v>
      </c>
      <c r="DQ72" s="13">
        <v>2.7909999999999999</v>
      </c>
      <c r="DR72" s="13">
        <v>3.2429999999999999</v>
      </c>
    </row>
    <row r="73" spans="1:122">
      <c r="A73" s="4" t="s">
        <v>186</v>
      </c>
      <c r="B73" s="9">
        <v>274480</v>
      </c>
      <c r="C73" s="13">
        <v>11.827</v>
      </c>
      <c r="D73" s="13">
        <v>5.9169999999999998</v>
      </c>
      <c r="E73" s="13">
        <v>9.52</v>
      </c>
      <c r="F73" s="13">
        <v>5.0430000000000001</v>
      </c>
      <c r="G73" s="13">
        <v>10.898999999999999</v>
      </c>
      <c r="H73" s="13">
        <v>12.047000000000001</v>
      </c>
      <c r="I73" s="13">
        <v>13.047000000000001</v>
      </c>
      <c r="J73" s="13">
        <v>11.664</v>
      </c>
      <c r="K73" s="13">
        <v>13.797000000000001</v>
      </c>
      <c r="L73" s="13">
        <v>13.797000000000001</v>
      </c>
      <c r="M73" s="13">
        <v>13.12</v>
      </c>
      <c r="N73" s="13">
        <v>14.984</v>
      </c>
      <c r="O73" s="13">
        <v>15.007</v>
      </c>
      <c r="P73" s="13">
        <v>12.004</v>
      </c>
      <c r="Q73" s="13">
        <v>12.901999999999999</v>
      </c>
      <c r="R73" s="13">
        <v>14.016999999999999</v>
      </c>
      <c r="S73" s="13">
        <v>13.718</v>
      </c>
      <c r="T73" s="13">
        <v>15.028</v>
      </c>
      <c r="U73" s="13">
        <v>12.933999999999999</v>
      </c>
      <c r="V73" s="13">
        <v>14.016</v>
      </c>
      <c r="W73" s="13">
        <v>14.446999999999999</v>
      </c>
      <c r="X73" s="13">
        <v>11.393000000000001</v>
      </c>
      <c r="Y73" s="13">
        <v>11.292</v>
      </c>
      <c r="Z73" s="13">
        <v>9.6059999999999999</v>
      </c>
      <c r="AA73" s="13">
        <v>11.997999999999999</v>
      </c>
      <c r="AB73" s="13">
        <v>7.0940000000000003</v>
      </c>
      <c r="AC73" s="13">
        <v>9.1980000000000004</v>
      </c>
      <c r="AD73" s="13">
        <v>9.4169999999999998</v>
      </c>
      <c r="AE73" s="13">
        <v>11.834</v>
      </c>
      <c r="AF73" s="13">
        <v>10.625999999999999</v>
      </c>
      <c r="AG73" s="13">
        <v>9.9160000000000004</v>
      </c>
      <c r="AH73" s="13">
        <v>10.663</v>
      </c>
      <c r="AI73" s="13">
        <v>12.865</v>
      </c>
      <c r="AJ73" s="13">
        <v>10.952</v>
      </c>
      <c r="AK73" s="13">
        <v>10.379</v>
      </c>
      <c r="AL73" s="13">
        <v>11.766</v>
      </c>
      <c r="AM73" s="13">
        <v>13.01</v>
      </c>
      <c r="AN73" s="13">
        <v>12.352</v>
      </c>
      <c r="AO73" s="13">
        <v>9.8130000000000006</v>
      </c>
      <c r="AP73" s="13">
        <v>11.465</v>
      </c>
      <c r="AQ73" s="13">
        <v>12.957000000000001</v>
      </c>
      <c r="AR73" s="13">
        <v>11.419</v>
      </c>
      <c r="AS73" s="13">
        <v>10.007999999999999</v>
      </c>
      <c r="AT73" s="13">
        <v>10.903</v>
      </c>
      <c r="AU73" s="13">
        <v>13.595000000000001</v>
      </c>
      <c r="AV73" s="13">
        <v>13.148</v>
      </c>
      <c r="AW73" s="13">
        <v>9.8000000000000007</v>
      </c>
      <c r="AX73" s="13">
        <v>10.064</v>
      </c>
      <c r="AY73" s="13">
        <v>12.994999999999999</v>
      </c>
      <c r="AZ73" s="13">
        <v>14.510999999999999</v>
      </c>
      <c r="BA73" s="13">
        <v>10.715999999999999</v>
      </c>
      <c r="BB73" s="13">
        <v>12.406000000000001</v>
      </c>
      <c r="BC73" s="13">
        <v>14.397</v>
      </c>
      <c r="BD73" s="13">
        <v>16.734999999999999</v>
      </c>
      <c r="BE73" s="13">
        <v>12.603999999999999</v>
      </c>
      <c r="BF73" s="13">
        <v>12.494</v>
      </c>
      <c r="BG73" s="13">
        <v>14.515000000000001</v>
      </c>
      <c r="BH73" s="13">
        <v>13.214</v>
      </c>
      <c r="BI73" s="13">
        <v>10.49</v>
      </c>
      <c r="BJ73" s="13">
        <v>10.353999999999999</v>
      </c>
      <c r="BK73" s="13">
        <v>12.46</v>
      </c>
      <c r="BL73" s="13">
        <v>8.7989999999999995</v>
      </c>
      <c r="BM73" s="13">
        <v>7.4720000000000004</v>
      </c>
      <c r="BN73" s="13">
        <v>8.84</v>
      </c>
      <c r="BO73" s="13">
        <v>9.8659999999999997</v>
      </c>
      <c r="BP73" s="13">
        <v>10.667</v>
      </c>
      <c r="BQ73" s="13">
        <v>8.3979999999999997</v>
      </c>
      <c r="BR73" s="13">
        <v>11.191000000000001</v>
      </c>
      <c r="BS73" s="13">
        <v>12.021000000000001</v>
      </c>
      <c r="BT73" s="13">
        <v>10.759</v>
      </c>
      <c r="BU73" s="13">
        <v>8.6430000000000007</v>
      </c>
      <c r="BV73" s="13">
        <v>11.686</v>
      </c>
      <c r="BW73" s="13">
        <v>12.102</v>
      </c>
      <c r="BX73" s="13">
        <v>13.073</v>
      </c>
      <c r="BY73" s="13">
        <v>9.7509999999999994</v>
      </c>
      <c r="BZ73" s="13">
        <v>11.391999999999999</v>
      </c>
      <c r="CA73" s="13">
        <v>12.432</v>
      </c>
      <c r="CB73" s="13">
        <v>12.487</v>
      </c>
      <c r="CC73" s="13">
        <v>10.545</v>
      </c>
      <c r="CD73" s="13">
        <v>12.204000000000001</v>
      </c>
      <c r="CE73" s="13">
        <v>12.962</v>
      </c>
      <c r="CF73" s="13">
        <v>12.996</v>
      </c>
      <c r="CG73" s="13">
        <v>9.8870000000000005</v>
      </c>
      <c r="CH73" s="13">
        <v>11.346</v>
      </c>
      <c r="CI73" s="13">
        <v>11.978999999999999</v>
      </c>
      <c r="CJ73" s="13">
        <v>12.082000000000001</v>
      </c>
      <c r="CK73" s="13">
        <v>10.595000000000001</v>
      </c>
      <c r="CL73" s="13">
        <v>12.01</v>
      </c>
      <c r="CM73" s="13">
        <v>12.708</v>
      </c>
      <c r="CN73" s="13">
        <v>12.852</v>
      </c>
      <c r="CO73" s="13">
        <v>11.125</v>
      </c>
      <c r="CP73" s="13">
        <v>12.021000000000001</v>
      </c>
      <c r="CQ73" s="13">
        <v>13.917999999999999</v>
      </c>
      <c r="CR73" s="13">
        <v>12.656000000000001</v>
      </c>
      <c r="CS73" s="13">
        <v>11.122999999999999</v>
      </c>
      <c r="CT73" s="13">
        <v>11.374000000000001</v>
      </c>
      <c r="CU73" s="13">
        <v>12.465</v>
      </c>
      <c r="CV73" s="13">
        <v>14.428000000000001</v>
      </c>
      <c r="CW73" s="13">
        <v>16.366</v>
      </c>
      <c r="CX73" s="13">
        <v>11.382999999999999</v>
      </c>
      <c r="CY73" s="13">
        <v>12.608000000000001</v>
      </c>
      <c r="CZ73" s="13">
        <v>13.598000000000001</v>
      </c>
      <c r="DA73" s="13">
        <v>12.566000000000001</v>
      </c>
      <c r="DB73" s="13">
        <v>13.885999999999999</v>
      </c>
      <c r="DC73" s="13">
        <v>13.952</v>
      </c>
      <c r="DD73" s="13">
        <v>10.079000000000001</v>
      </c>
      <c r="DE73" s="13">
        <v>11.625</v>
      </c>
      <c r="DF73" s="13">
        <v>12.726000000000001</v>
      </c>
      <c r="DG73" s="13">
        <v>16.916</v>
      </c>
      <c r="DH73" s="13">
        <v>10.815</v>
      </c>
      <c r="DI73" s="13">
        <v>11.298</v>
      </c>
      <c r="DJ73" s="13">
        <v>13.193</v>
      </c>
      <c r="DK73" s="13">
        <v>13.253</v>
      </c>
      <c r="DL73" s="8" t="s">
        <v>137</v>
      </c>
      <c r="DM73" s="13">
        <v>10.894</v>
      </c>
      <c r="DN73" s="13">
        <v>12.282</v>
      </c>
      <c r="DO73" s="13">
        <v>13.077</v>
      </c>
      <c r="DP73" s="13">
        <v>15.000999999999999</v>
      </c>
      <c r="DQ73" s="13">
        <v>14.555999999999999</v>
      </c>
      <c r="DR73" s="13">
        <v>12.847</v>
      </c>
    </row>
    <row r="74" spans="1:122">
      <c r="A74" s="4" t="s">
        <v>187</v>
      </c>
      <c r="B74" s="9">
        <v>274481</v>
      </c>
      <c r="C74" s="13">
        <v>7.3849999999999998</v>
      </c>
      <c r="D74" s="13">
        <v>3.117</v>
      </c>
      <c r="E74" s="13">
        <v>4.91</v>
      </c>
      <c r="F74" s="13">
        <v>5.1909999999999998</v>
      </c>
      <c r="G74" s="13">
        <v>6.2670000000000003</v>
      </c>
      <c r="H74" s="13">
        <v>8.1530000000000005</v>
      </c>
      <c r="I74" s="13">
        <v>8.2080000000000002</v>
      </c>
      <c r="J74" s="13">
        <v>6.2869999999999999</v>
      </c>
      <c r="K74" s="13">
        <v>8.6940000000000008</v>
      </c>
      <c r="L74" s="13">
        <v>8.6940000000000008</v>
      </c>
      <c r="M74" s="13">
        <v>7.7279999999999998</v>
      </c>
      <c r="N74" s="13">
        <v>7.9039999999999999</v>
      </c>
      <c r="O74" s="13">
        <v>10.173999999999999</v>
      </c>
      <c r="P74" s="13">
        <v>8.25</v>
      </c>
      <c r="Q74" s="13">
        <v>8.5909999999999993</v>
      </c>
      <c r="R74" s="13">
        <v>9.8960000000000008</v>
      </c>
      <c r="S74" s="13">
        <v>9.5950000000000006</v>
      </c>
      <c r="T74" s="13">
        <v>10.502000000000001</v>
      </c>
      <c r="U74" s="13">
        <v>8.5399999999999991</v>
      </c>
      <c r="V74" s="13">
        <v>9.7509999999999994</v>
      </c>
      <c r="W74" s="13">
        <v>10.31</v>
      </c>
      <c r="X74" s="13">
        <v>7.3449999999999998</v>
      </c>
      <c r="Y74" s="13">
        <v>7.2469999999999999</v>
      </c>
      <c r="Z74" s="13">
        <v>6.1040000000000001</v>
      </c>
      <c r="AA74" s="13">
        <v>8.4320000000000004</v>
      </c>
      <c r="AB74" s="13">
        <v>3.2970000000000002</v>
      </c>
      <c r="AC74" s="13">
        <v>5.0819999999999999</v>
      </c>
      <c r="AD74" s="13">
        <v>5.3040000000000003</v>
      </c>
      <c r="AE74" s="13">
        <v>8.0150000000000006</v>
      </c>
      <c r="AF74" s="13">
        <v>7.2409999999999997</v>
      </c>
      <c r="AG74" s="13">
        <v>6.1840000000000002</v>
      </c>
      <c r="AH74" s="13">
        <v>6.9550000000000001</v>
      </c>
      <c r="AI74" s="13">
        <v>9.3559999999999999</v>
      </c>
      <c r="AJ74" s="13">
        <v>7.2629999999999999</v>
      </c>
      <c r="AK74" s="13">
        <v>6.9589999999999996</v>
      </c>
      <c r="AL74" s="13">
        <v>8.423</v>
      </c>
      <c r="AM74" s="13">
        <v>9.8759999999999994</v>
      </c>
      <c r="AN74" s="13">
        <v>8.9469999999999992</v>
      </c>
      <c r="AO74" s="13">
        <v>6.8289999999999997</v>
      </c>
      <c r="AP74" s="13">
        <v>8.532</v>
      </c>
      <c r="AQ74" s="13">
        <v>10.007999999999999</v>
      </c>
      <c r="AR74" s="13">
        <v>8.2479999999999993</v>
      </c>
      <c r="AS74" s="13">
        <v>7.0229999999999997</v>
      </c>
      <c r="AT74" s="13">
        <v>7.8280000000000003</v>
      </c>
      <c r="AU74" s="13">
        <v>10.457000000000001</v>
      </c>
      <c r="AV74" s="13">
        <v>10.004</v>
      </c>
      <c r="AW74" s="13">
        <v>6.798</v>
      </c>
      <c r="AX74" s="13">
        <v>7.0540000000000003</v>
      </c>
      <c r="AY74" s="13">
        <v>10.089</v>
      </c>
      <c r="AZ74" s="13">
        <v>11.292</v>
      </c>
      <c r="BA74" s="13">
        <v>7.6989999999999998</v>
      </c>
      <c r="BB74" s="13">
        <v>9.5559999999999992</v>
      </c>
      <c r="BC74" s="13">
        <v>11.413</v>
      </c>
      <c r="BD74" s="13">
        <v>12.616</v>
      </c>
      <c r="BE74" s="13">
        <v>9.24</v>
      </c>
      <c r="BF74" s="13">
        <v>9.4139999999999997</v>
      </c>
      <c r="BG74" s="13">
        <v>11.452999999999999</v>
      </c>
      <c r="BH74" s="13">
        <v>8.8490000000000002</v>
      </c>
      <c r="BI74" s="13">
        <v>7.5410000000000004</v>
      </c>
      <c r="BJ74" s="13">
        <v>7.0890000000000004</v>
      </c>
      <c r="BK74" s="13">
        <v>9.5380000000000003</v>
      </c>
      <c r="BL74" s="13">
        <v>5.21</v>
      </c>
      <c r="BM74" s="13">
        <v>4.58</v>
      </c>
      <c r="BN74" s="13">
        <v>5.8860000000000001</v>
      </c>
      <c r="BO74" s="13">
        <v>6.9039999999999999</v>
      </c>
      <c r="BP74" s="13">
        <v>6.8860000000000001</v>
      </c>
      <c r="BQ74" s="13">
        <v>5.4130000000000003</v>
      </c>
      <c r="BR74" s="13">
        <v>8.3160000000000007</v>
      </c>
      <c r="BS74" s="13">
        <v>8.8979999999999997</v>
      </c>
      <c r="BT74" s="13">
        <v>7.8209999999999997</v>
      </c>
      <c r="BU74" s="13">
        <v>5.3529999999999998</v>
      </c>
      <c r="BV74" s="13">
        <v>8.7789999999999999</v>
      </c>
      <c r="BW74" s="13">
        <v>9.0530000000000008</v>
      </c>
      <c r="BX74" s="13">
        <v>9.8450000000000006</v>
      </c>
      <c r="BY74" s="13">
        <v>6.4859999999999998</v>
      </c>
      <c r="BZ74" s="13">
        <v>8.3079999999999998</v>
      </c>
      <c r="CA74" s="13">
        <v>9.3979999999999997</v>
      </c>
      <c r="CB74" s="13">
        <v>9.02</v>
      </c>
      <c r="CC74" s="13">
        <v>7.3209999999999997</v>
      </c>
      <c r="CD74" s="13">
        <v>9.0169999999999995</v>
      </c>
      <c r="CE74" s="13">
        <v>9.7509999999999994</v>
      </c>
      <c r="CF74" s="13">
        <v>9.282</v>
      </c>
      <c r="CG74" s="13">
        <v>6.5110000000000001</v>
      </c>
      <c r="CH74" s="13">
        <v>8.17</v>
      </c>
      <c r="CI74" s="13">
        <v>8.76</v>
      </c>
      <c r="CJ74" s="13">
        <v>8.7590000000000003</v>
      </c>
      <c r="CK74" s="13">
        <v>7.2130000000000001</v>
      </c>
      <c r="CL74" s="13">
        <v>8.4659999999999993</v>
      </c>
      <c r="CM74" s="13">
        <v>9.3260000000000005</v>
      </c>
      <c r="CN74" s="13">
        <v>9.343</v>
      </c>
      <c r="CO74" s="13">
        <v>7.7210000000000001</v>
      </c>
      <c r="CP74" s="13">
        <v>8.7080000000000002</v>
      </c>
      <c r="CQ74" s="13">
        <v>10.236000000000001</v>
      </c>
      <c r="CR74" s="13">
        <v>9.5730000000000004</v>
      </c>
      <c r="CS74" s="13">
        <v>7.9550000000000001</v>
      </c>
      <c r="CT74" s="13">
        <v>7.9809999999999999</v>
      </c>
      <c r="CU74" s="13">
        <v>9.2859999999999996</v>
      </c>
      <c r="CV74" s="13">
        <v>10.541</v>
      </c>
      <c r="CW74" s="13">
        <v>12.994</v>
      </c>
      <c r="CX74" s="13">
        <v>8.093</v>
      </c>
      <c r="CY74" s="13">
        <v>9.3360000000000003</v>
      </c>
      <c r="CZ74" s="13">
        <v>9.5060000000000002</v>
      </c>
      <c r="DA74" s="13">
        <v>9.3000000000000007</v>
      </c>
      <c r="DB74" s="13">
        <v>10.585000000000001</v>
      </c>
      <c r="DC74" s="13">
        <v>10.711</v>
      </c>
      <c r="DD74" s="13">
        <v>6.2679999999999998</v>
      </c>
      <c r="DE74" s="13">
        <v>8.2959999999999994</v>
      </c>
      <c r="DF74" s="13">
        <v>9.3520000000000003</v>
      </c>
      <c r="DG74" s="13">
        <v>9.8379999999999992</v>
      </c>
      <c r="DH74" s="13">
        <v>9.9649999999999999</v>
      </c>
      <c r="DI74" s="13">
        <v>7.3419999999999996</v>
      </c>
      <c r="DJ74" s="13">
        <v>8.8230000000000004</v>
      </c>
      <c r="DK74" s="13">
        <v>8.8230000000000004</v>
      </c>
      <c r="DL74" s="8" t="s">
        <v>137</v>
      </c>
      <c r="DM74" s="13">
        <v>6.516</v>
      </c>
      <c r="DN74" s="13">
        <v>7.8940000000000001</v>
      </c>
      <c r="DO74" s="13">
        <v>8.7530000000000001</v>
      </c>
      <c r="DP74" s="13">
        <v>10.718</v>
      </c>
      <c r="DQ74" s="13">
        <v>10.003</v>
      </c>
      <c r="DR74" s="13">
        <v>8.4049999999999994</v>
      </c>
    </row>
    <row r="75" spans="1:122">
      <c r="A75" s="4" t="s">
        <v>134</v>
      </c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>
      <c r="A76" s="11" t="s">
        <v>188</v>
      </c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>
      <c r="A77" s="4" t="s">
        <v>189</v>
      </c>
      <c r="B77" s="9">
        <v>271522</v>
      </c>
      <c r="C77" s="8" t="s">
        <v>137</v>
      </c>
      <c r="D77" s="8" t="s">
        <v>137</v>
      </c>
      <c r="E77" s="8" t="s">
        <v>137</v>
      </c>
      <c r="F77" s="13">
        <v>1.6E-2</v>
      </c>
      <c r="G77" s="8" t="s">
        <v>137</v>
      </c>
      <c r="H77" s="8" t="s">
        <v>137</v>
      </c>
      <c r="I77" s="8" t="s">
        <v>137</v>
      </c>
      <c r="J77" s="13">
        <v>7.4999999999999997E-2</v>
      </c>
      <c r="K77" s="8" t="s">
        <v>137</v>
      </c>
      <c r="L77" s="8" t="s">
        <v>137</v>
      </c>
      <c r="M77" s="8" t="s">
        <v>137</v>
      </c>
      <c r="N77" s="13">
        <v>7.4999999999999997E-2</v>
      </c>
      <c r="O77" s="8" t="s">
        <v>137</v>
      </c>
      <c r="P77" s="13">
        <v>3.7999999999999999E-2</v>
      </c>
      <c r="Q77" s="8" t="s">
        <v>137</v>
      </c>
      <c r="R77" s="8" t="s">
        <v>137</v>
      </c>
      <c r="S77" s="8" t="s">
        <v>137</v>
      </c>
      <c r="T77" s="13">
        <v>4.2999999999999997E-2</v>
      </c>
      <c r="U77" s="8" t="s">
        <v>137</v>
      </c>
      <c r="V77" s="8" t="s">
        <v>137</v>
      </c>
      <c r="W77" s="8" t="s">
        <v>137</v>
      </c>
      <c r="X77" s="13">
        <v>5.2999999999999999E-2</v>
      </c>
      <c r="Y77" s="8" t="s">
        <v>137</v>
      </c>
      <c r="Z77" s="8" t="s">
        <v>137</v>
      </c>
      <c r="AA77" s="8" t="s">
        <v>137</v>
      </c>
      <c r="AB77" s="13">
        <v>5.2999999999999999E-2</v>
      </c>
      <c r="AC77" s="8" t="s">
        <v>137</v>
      </c>
      <c r="AD77" s="8" t="s">
        <v>137</v>
      </c>
      <c r="AE77" s="8" t="s">
        <v>137</v>
      </c>
      <c r="AF77" s="13">
        <v>0.06</v>
      </c>
      <c r="AG77" s="8" t="s">
        <v>137</v>
      </c>
      <c r="AH77" s="8" t="s">
        <v>137</v>
      </c>
      <c r="AI77" s="8" t="s">
        <v>137</v>
      </c>
      <c r="AJ77" s="13">
        <v>7.0000000000000007E-2</v>
      </c>
      <c r="AK77" s="8" t="s">
        <v>137</v>
      </c>
      <c r="AL77" s="8" t="s">
        <v>137</v>
      </c>
      <c r="AM77" s="8" t="s">
        <v>137</v>
      </c>
      <c r="AN77" s="13">
        <v>7.8E-2</v>
      </c>
      <c r="AO77" s="8" t="s">
        <v>137</v>
      </c>
      <c r="AP77" s="8" t="s">
        <v>137</v>
      </c>
      <c r="AQ77" s="8" t="s">
        <v>137</v>
      </c>
      <c r="AR77" s="13">
        <v>0.1</v>
      </c>
      <c r="AS77" s="8" t="s">
        <v>137</v>
      </c>
      <c r="AT77" s="8" t="s">
        <v>137</v>
      </c>
      <c r="AU77" s="8" t="s">
        <v>137</v>
      </c>
      <c r="AV77" s="13">
        <v>0.115</v>
      </c>
      <c r="AW77" s="8" t="s">
        <v>137</v>
      </c>
      <c r="AX77" s="8" t="s">
        <v>137</v>
      </c>
      <c r="AY77" s="8" t="s">
        <v>137</v>
      </c>
      <c r="AZ77" s="13">
        <v>0.115</v>
      </c>
      <c r="BA77" s="8" t="s">
        <v>137</v>
      </c>
      <c r="BB77" s="8" t="s">
        <v>137</v>
      </c>
      <c r="BC77" s="8" t="s">
        <v>137</v>
      </c>
      <c r="BD77" s="13">
        <v>0.125</v>
      </c>
      <c r="BE77" s="8" t="s">
        <v>137</v>
      </c>
      <c r="BF77" s="8" t="s">
        <v>137</v>
      </c>
      <c r="BG77" s="8" t="s">
        <v>137</v>
      </c>
      <c r="BH77" s="13">
        <v>0.13700000000000001</v>
      </c>
      <c r="BI77" s="8" t="s">
        <v>137</v>
      </c>
      <c r="BJ77" s="8" t="s">
        <v>137</v>
      </c>
      <c r="BK77" s="8" t="s">
        <v>137</v>
      </c>
      <c r="BL77" s="13">
        <v>0.15</v>
      </c>
      <c r="BM77" s="8" t="s">
        <v>137</v>
      </c>
      <c r="BN77" s="8" t="s">
        <v>137</v>
      </c>
      <c r="BO77" s="8" t="s">
        <v>137</v>
      </c>
      <c r="BP77" s="13">
        <v>0.17</v>
      </c>
      <c r="BQ77" s="8" t="s">
        <v>137</v>
      </c>
      <c r="BR77" s="13">
        <v>0.35</v>
      </c>
      <c r="BS77" s="13">
        <v>0</v>
      </c>
      <c r="BT77" s="13">
        <v>0</v>
      </c>
      <c r="BU77" s="8" t="s">
        <v>137</v>
      </c>
      <c r="BV77" s="8" t="s">
        <v>137</v>
      </c>
      <c r="BW77" s="8" t="s">
        <v>137</v>
      </c>
      <c r="BX77" s="8" t="s">
        <v>137</v>
      </c>
      <c r="BY77" s="8" t="s">
        <v>137</v>
      </c>
      <c r="BZ77" s="8" t="s">
        <v>137</v>
      </c>
      <c r="CA77" s="8" t="s">
        <v>137</v>
      </c>
      <c r="CB77" s="13">
        <v>0.24</v>
      </c>
      <c r="CC77" s="8" t="s">
        <v>137</v>
      </c>
      <c r="CD77" s="8" t="s">
        <v>137</v>
      </c>
      <c r="CE77" s="8" t="s">
        <v>137</v>
      </c>
      <c r="CF77" s="13">
        <v>0.28999999999999998</v>
      </c>
      <c r="CG77" s="8" t="s">
        <v>137</v>
      </c>
      <c r="CH77" s="8" t="s">
        <v>137</v>
      </c>
      <c r="CI77" s="8" t="s">
        <v>137</v>
      </c>
      <c r="CJ77" s="13">
        <v>0.35</v>
      </c>
      <c r="CK77" s="8" t="s">
        <v>137</v>
      </c>
      <c r="CL77" s="8" t="s">
        <v>137</v>
      </c>
      <c r="CM77" s="8" t="s">
        <v>137</v>
      </c>
      <c r="CN77" s="13">
        <v>0.45</v>
      </c>
      <c r="CO77" s="8" t="s">
        <v>137</v>
      </c>
      <c r="CP77" s="8" t="s">
        <v>137</v>
      </c>
      <c r="CQ77" s="8" t="s">
        <v>137</v>
      </c>
      <c r="CR77" s="13">
        <v>0.5</v>
      </c>
      <c r="CS77" s="8" t="s">
        <v>137</v>
      </c>
      <c r="CT77" s="8" t="s">
        <v>137</v>
      </c>
      <c r="CU77" s="8" t="s">
        <v>137</v>
      </c>
      <c r="CV77" s="13">
        <v>1</v>
      </c>
      <c r="CW77" s="8" t="s">
        <v>137</v>
      </c>
      <c r="CX77" s="8" t="s">
        <v>137</v>
      </c>
      <c r="CY77" s="8" t="s">
        <v>137</v>
      </c>
      <c r="CZ77" s="13">
        <v>0.65</v>
      </c>
      <c r="DA77" s="8" t="s">
        <v>137</v>
      </c>
      <c r="DB77" s="13">
        <v>0.65</v>
      </c>
      <c r="DC77" s="13">
        <v>0</v>
      </c>
      <c r="DD77" s="13">
        <v>0.78</v>
      </c>
      <c r="DE77" s="8" t="s">
        <v>137</v>
      </c>
      <c r="DF77" s="8" t="s">
        <v>137</v>
      </c>
      <c r="DG77" s="8" t="s">
        <v>137</v>
      </c>
      <c r="DH77" s="13">
        <v>0.94</v>
      </c>
      <c r="DI77" s="8" t="s">
        <v>137</v>
      </c>
      <c r="DJ77" s="8" t="s">
        <v>137</v>
      </c>
      <c r="DK77" s="8" t="s">
        <v>137</v>
      </c>
      <c r="DL77" s="8" t="s">
        <v>137</v>
      </c>
      <c r="DM77" s="8" t="s">
        <v>137</v>
      </c>
      <c r="DN77" s="8" t="s">
        <v>137</v>
      </c>
      <c r="DO77" s="8" t="s">
        <v>137</v>
      </c>
      <c r="DP77" s="13">
        <v>1.075</v>
      </c>
      <c r="DQ77" s="8" t="s">
        <v>137</v>
      </c>
      <c r="DR77" s="8" t="s">
        <v>137</v>
      </c>
    </row>
    <row r="78" spans="1:122">
      <c r="A78" s="4" t="s">
        <v>190</v>
      </c>
      <c r="B78" s="9">
        <v>271515</v>
      </c>
      <c r="C78" s="8" t="s">
        <v>137</v>
      </c>
      <c r="D78" s="8" t="s">
        <v>137</v>
      </c>
      <c r="E78" s="8" t="s">
        <v>137</v>
      </c>
      <c r="F78" s="13">
        <v>2.9000000000000001E-2</v>
      </c>
      <c r="G78" s="13">
        <v>1.7999999999999999E-2</v>
      </c>
      <c r="H78" s="13">
        <v>4.1000000000000002E-2</v>
      </c>
      <c r="I78" s="13">
        <v>3.1E-2</v>
      </c>
      <c r="J78" s="13">
        <v>0.41099999999999998</v>
      </c>
      <c r="K78" s="13">
        <v>0.03</v>
      </c>
      <c r="L78" s="13">
        <v>0.03</v>
      </c>
      <c r="M78" s="13">
        <v>0.249</v>
      </c>
      <c r="N78" s="13">
        <v>0.38700000000000001</v>
      </c>
      <c r="O78" s="8" t="s">
        <v>137</v>
      </c>
      <c r="P78" s="13">
        <v>0.16200000000000001</v>
      </c>
      <c r="Q78" s="8" t="s">
        <v>137</v>
      </c>
      <c r="R78" s="8" t="s">
        <v>137</v>
      </c>
      <c r="S78" s="8" t="s">
        <v>137</v>
      </c>
      <c r="T78" s="13">
        <v>0.157</v>
      </c>
      <c r="U78" s="8" t="s">
        <v>137</v>
      </c>
      <c r="V78" s="8" t="s">
        <v>137</v>
      </c>
      <c r="W78" s="8" t="s">
        <v>137</v>
      </c>
      <c r="X78" s="13">
        <v>0.122</v>
      </c>
      <c r="Y78" s="8" t="s">
        <v>137</v>
      </c>
      <c r="Z78" s="8" t="s">
        <v>137</v>
      </c>
      <c r="AA78" s="8" t="s">
        <v>137</v>
      </c>
      <c r="AB78" s="13">
        <v>7.2999999999999995E-2</v>
      </c>
      <c r="AC78" s="8" t="s">
        <v>137</v>
      </c>
      <c r="AD78" s="8" t="s">
        <v>137</v>
      </c>
      <c r="AE78" s="8" t="s">
        <v>137</v>
      </c>
      <c r="AF78" s="13">
        <v>0.13300000000000001</v>
      </c>
      <c r="AG78" s="8" t="s">
        <v>137</v>
      </c>
      <c r="AH78" s="8" t="s">
        <v>137</v>
      </c>
      <c r="AI78" s="8" t="s">
        <v>137</v>
      </c>
      <c r="AJ78" s="13">
        <v>5.2999999999999999E-2</v>
      </c>
      <c r="AK78" s="8" t="s">
        <v>137</v>
      </c>
      <c r="AL78" s="8" t="s">
        <v>137</v>
      </c>
      <c r="AM78" s="13">
        <v>0.16200000000000001</v>
      </c>
      <c r="AN78" s="13">
        <v>0.216</v>
      </c>
      <c r="AO78" s="13">
        <v>0.14499999999999999</v>
      </c>
      <c r="AP78" s="13">
        <v>0.189</v>
      </c>
      <c r="AQ78" s="13">
        <v>0.214</v>
      </c>
      <c r="AR78" s="13">
        <v>0.23499999999999999</v>
      </c>
      <c r="AS78" s="13">
        <v>0.17499999999999999</v>
      </c>
      <c r="AT78" s="13">
        <v>0.17699999999999999</v>
      </c>
      <c r="AU78" s="13">
        <v>0.26600000000000001</v>
      </c>
      <c r="AV78" s="13">
        <v>0.192</v>
      </c>
      <c r="AW78" s="13">
        <v>0.17299999999999999</v>
      </c>
      <c r="AX78" s="13">
        <v>0.17899999999999999</v>
      </c>
      <c r="AY78" s="13">
        <v>0.29599999999999999</v>
      </c>
      <c r="AZ78" s="13">
        <v>0.27100000000000002</v>
      </c>
      <c r="BA78" s="13">
        <v>0.219</v>
      </c>
      <c r="BB78" s="13">
        <v>0.30399999999999999</v>
      </c>
      <c r="BC78" s="13">
        <v>0.36799999999999999</v>
      </c>
      <c r="BD78" s="13">
        <v>0.374</v>
      </c>
      <c r="BE78" s="13">
        <v>0.27</v>
      </c>
      <c r="BF78" s="13">
        <v>0.26700000000000002</v>
      </c>
      <c r="BG78" s="13">
        <v>0.318</v>
      </c>
      <c r="BH78" s="13">
        <v>0.29199999999999998</v>
      </c>
      <c r="BI78" s="13">
        <v>0.24299999999999999</v>
      </c>
      <c r="BJ78" s="13">
        <v>0.214</v>
      </c>
      <c r="BK78" s="13">
        <v>0.436</v>
      </c>
      <c r="BL78" s="13">
        <v>0.14399999999999999</v>
      </c>
      <c r="BM78" s="13">
        <v>0.13</v>
      </c>
      <c r="BN78" s="13">
        <v>0.21</v>
      </c>
      <c r="BO78" s="13">
        <v>0.08</v>
      </c>
      <c r="BP78" s="13">
        <v>3.9E-2</v>
      </c>
      <c r="BQ78" s="13">
        <v>0.12</v>
      </c>
      <c r="BR78" s="13">
        <v>0.2</v>
      </c>
      <c r="BS78" s="13">
        <v>0.34</v>
      </c>
      <c r="BT78" s="13">
        <v>0.27600000000000002</v>
      </c>
      <c r="BU78" s="13">
        <v>0.09</v>
      </c>
      <c r="BV78" s="13">
        <v>0.34</v>
      </c>
      <c r="BW78" s="13">
        <v>0.38</v>
      </c>
      <c r="BX78" s="13">
        <v>-0.05</v>
      </c>
      <c r="BY78" s="13">
        <v>0.19</v>
      </c>
      <c r="BZ78" s="13">
        <v>0.36799999999999999</v>
      </c>
      <c r="CA78" s="13">
        <v>0.48</v>
      </c>
      <c r="CB78" s="13">
        <v>6.3E-2</v>
      </c>
      <c r="CC78" s="13">
        <v>0.3</v>
      </c>
      <c r="CD78" s="13">
        <v>0.39</v>
      </c>
      <c r="CE78" s="13">
        <v>0.54</v>
      </c>
      <c r="CF78" s="13">
        <v>0.02</v>
      </c>
      <c r="CG78" s="13">
        <v>0.21</v>
      </c>
      <c r="CH78" s="13">
        <v>0.32</v>
      </c>
      <c r="CI78" s="13">
        <v>0.36</v>
      </c>
      <c r="CJ78" s="13">
        <v>0.09</v>
      </c>
      <c r="CK78" s="13">
        <v>0.27800000000000002</v>
      </c>
      <c r="CL78" s="13">
        <v>0.04</v>
      </c>
      <c r="CM78" s="13">
        <v>0.39</v>
      </c>
      <c r="CN78" s="13">
        <v>0.54</v>
      </c>
      <c r="CO78" s="13">
        <v>0.28000000000000003</v>
      </c>
      <c r="CP78" s="13">
        <v>0.27</v>
      </c>
      <c r="CQ78" s="13">
        <v>0.41</v>
      </c>
      <c r="CR78" s="13">
        <v>0.39</v>
      </c>
      <c r="CS78" s="13">
        <v>0.01</v>
      </c>
      <c r="CT78" s="13">
        <v>0.56999999999999995</v>
      </c>
      <c r="CU78" s="13">
        <v>0.79</v>
      </c>
      <c r="CV78" s="13">
        <v>0.64</v>
      </c>
      <c r="CW78" s="13">
        <v>0.82699999999999996</v>
      </c>
      <c r="CX78" s="13">
        <v>0.59899999999999998</v>
      </c>
      <c r="CY78" s="13">
        <v>0.83399999999999996</v>
      </c>
      <c r="CZ78" s="13">
        <v>1.018</v>
      </c>
      <c r="DA78" s="13">
        <v>0.89700000000000002</v>
      </c>
      <c r="DB78" s="13">
        <v>1.2829999999999999</v>
      </c>
      <c r="DC78" s="13">
        <v>1.27</v>
      </c>
      <c r="DD78" s="13">
        <v>3.38</v>
      </c>
      <c r="DE78" s="13">
        <v>0.92600000000000005</v>
      </c>
      <c r="DF78" s="13">
        <v>0.88700000000000001</v>
      </c>
      <c r="DG78" s="13">
        <v>0.95</v>
      </c>
      <c r="DH78" s="13">
        <v>0.74</v>
      </c>
      <c r="DI78" s="13">
        <v>0.55000000000000004</v>
      </c>
      <c r="DJ78" s="13">
        <v>1.3</v>
      </c>
      <c r="DK78" s="13">
        <v>0.85</v>
      </c>
      <c r="DL78" s="8" t="s">
        <v>137</v>
      </c>
      <c r="DM78" s="13">
        <v>0.41</v>
      </c>
      <c r="DN78" s="13">
        <v>0.65</v>
      </c>
      <c r="DO78" s="13">
        <v>0.78</v>
      </c>
      <c r="DP78" s="13">
        <v>0.73</v>
      </c>
      <c r="DQ78" s="13">
        <v>0.55000000000000004</v>
      </c>
      <c r="DR78" s="13">
        <v>0.68</v>
      </c>
    </row>
    <row r="79" spans="1:122">
      <c r="A79" s="4" t="s">
        <v>191</v>
      </c>
      <c r="B79" s="9">
        <v>271514</v>
      </c>
      <c r="C79" s="8" t="s">
        <v>137</v>
      </c>
      <c r="D79" s="8" t="s">
        <v>137</v>
      </c>
      <c r="E79" s="8" t="s">
        <v>137</v>
      </c>
      <c r="F79" s="13">
        <v>2.9000000000000001E-2</v>
      </c>
      <c r="G79" s="13">
        <v>1.7999999999999999E-2</v>
      </c>
      <c r="H79" s="13">
        <v>4.1000000000000002E-2</v>
      </c>
      <c r="I79" s="13">
        <v>3.1E-2</v>
      </c>
      <c r="J79" s="13">
        <v>0.41099999999999998</v>
      </c>
      <c r="K79" s="13">
        <v>0.03</v>
      </c>
      <c r="L79" s="13">
        <v>0.03</v>
      </c>
      <c r="M79" s="13">
        <v>0.249</v>
      </c>
      <c r="N79" s="13">
        <v>0.38700000000000001</v>
      </c>
      <c r="O79" s="8" t="s">
        <v>137</v>
      </c>
      <c r="P79" s="13">
        <v>0.16200000000000001</v>
      </c>
      <c r="Q79" s="8" t="s">
        <v>137</v>
      </c>
      <c r="R79" s="8" t="s">
        <v>137</v>
      </c>
      <c r="S79" s="8" t="s">
        <v>137</v>
      </c>
      <c r="T79" s="13">
        <v>0.157</v>
      </c>
      <c r="U79" s="8" t="s">
        <v>137</v>
      </c>
      <c r="V79" s="8" t="s">
        <v>137</v>
      </c>
      <c r="W79" s="8" t="s">
        <v>137</v>
      </c>
      <c r="X79" s="13">
        <v>0.122</v>
      </c>
      <c r="Y79" s="8" t="s">
        <v>137</v>
      </c>
      <c r="Z79" s="8" t="s">
        <v>137</v>
      </c>
      <c r="AA79" s="8" t="s">
        <v>137</v>
      </c>
      <c r="AB79" s="13">
        <v>7.2999999999999995E-2</v>
      </c>
      <c r="AC79" s="8" t="s">
        <v>137</v>
      </c>
      <c r="AD79" s="8" t="s">
        <v>137</v>
      </c>
      <c r="AE79" s="8" t="s">
        <v>137</v>
      </c>
      <c r="AF79" s="13">
        <v>8.7999999999999995E-2</v>
      </c>
      <c r="AG79" s="8" t="s">
        <v>137</v>
      </c>
      <c r="AH79" s="8" t="s">
        <v>137</v>
      </c>
      <c r="AI79" s="8" t="s">
        <v>137</v>
      </c>
      <c r="AJ79" s="13">
        <v>0.17199999999999999</v>
      </c>
      <c r="AK79" s="8" t="s">
        <v>137</v>
      </c>
      <c r="AL79" s="8" t="s">
        <v>137</v>
      </c>
      <c r="AM79" s="13">
        <v>0.16400000000000001</v>
      </c>
      <c r="AN79" s="13">
        <v>0.21199999999999999</v>
      </c>
      <c r="AO79" s="13">
        <v>0.14499999999999999</v>
      </c>
      <c r="AP79" s="13">
        <v>0.189</v>
      </c>
      <c r="AQ79" s="13">
        <v>0.214</v>
      </c>
      <c r="AR79" s="13">
        <v>0.23499999999999999</v>
      </c>
      <c r="AS79" s="13">
        <v>0.17499999999999999</v>
      </c>
      <c r="AT79" s="13">
        <v>0.17699999999999999</v>
      </c>
      <c r="AU79" s="13">
        <v>0.26600000000000001</v>
      </c>
      <c r="AV79" s="13">
        <v>0.192</v>
      </c>
      <c r="AW79" s="13">
        <v>0.17299999999999999</v>
      </c>
      <c r="AX79" s="13">
        <v>0.17899999999999999</v>
      </c>
      <c r="AY79" s="13">
        <v>0.29599999999999999</v>
      </c>
      <c r="AZ79" s="13">
        <v>0.27100000000000002</v>
      </c>
      <c r="BA79" s="13">
        <v>0.219</v>
      </c>
      <c r="BB79" s="13">
        <v>0.30399999999999999</v>
      </c>
      <c r="BC79" s="13">
        <v>0.36799999999999999</v>
      </c>
      <c r="BD79" s="13">
        <v>0.374</v>
      </c>
      <c r="BE79" s="13">
        <v>0.27</v>
      </c>
      <c r="BF79" s="13">
        <v>0.26700000000000002</v>
      </c>
      <c r="BG79" s="13">
        <v>0.318</v>
      </c>
      <c r="BH79" s="13">
        <v>0.29199999999999998</v>
      </c>
      <c r="BI79" s="13">
        <v>0.24299999999999999</v>
      </c>
      <c r="BJ79" s="13">
        <v>0.214</v>
      </c>
      <c r="BK79" s="13">
        <v>0.436</v>
      </c>
      <c r="BL79" s="13">
        <v>0.14399999999999999</v>
      </c>
      <c r="BM79" s="13">
        <v>0.13</v>
      </c>
      <c r="BN79" s="13">
        <v>0.21</v>
      </c>
      <c r="BO79" s="13">
        <v>0.08</v>
      </c>
      <c r="BP79" s="13">
        <v>3.9E-2</v>
      </c>
      <c r="BQ79" s="13">
        <v>0.12</v>
      </c>
      <c r="BR79" s="13">
        <v>0.2</v>
      </c>
      <c r="BS79" s="13">
        <v>0.34</v>
      </c>
      <c r="BT79" s="13">
        <v>0.27600000000000002</v>
      </c>
      <c r="BU79" s="13">
        <v>0.09</v>
      </c>
      <c r="BV79" s="13">
        <v>0.34</v>
      </c>
      <c r="BW79" s="13">
        <v>0.38</v>
      </c>
      <c r="BX79" s="13">
        <v>-0.05</v>
      </c>
      <c r="BY79" s="13">
        <v>0.19</v>
      </c>
      <c r="BZ79" s="13">
        <v>0.36799999999999999</v>
      </c>
      <c r="CA79" s="13">
        <v>0.48</v>
      </c>
      <c r="CB79" s="13">
        <v>6.3E-2</v>
      </c>
      <c r="CC79" s="13">
        <v>0.3</v>
      </c>
      <c r="CD79" s="13">
        <v>0.39</v>
      </c>
      <c r="CE79" s="13">
        <v>0.54</v>
      </c>
      <c r="CF79" s="13">
        <v>0.02</v>
      </c>
      <c r="CG79" s="13">
        <v>0.21</v>
      </c>
      <c r="CH79" s="13">
        <v>0.32</v>
      </c>
      <c r="CI79" s="13">
        <v>0.36</v>
      </c>
      <c r="CJ79" s="13">
        <v>0.09</v>
      </c>
      <c r="CK79" s="13">
        <v>0.27800000000000002</v>
      </c>
      <c r="CL79" s="13">
        <v>0.04</v>
      </c>
      <c r="CM79" s="13">
        <v>0.39</v>
      </c>
      <c r="CN79" s="13">
        <v>0.54</v>
      </c>
      <c r="CO79" s="13">
        <v>0.28000000000000003</v>
      </c>
      <c r="CP79" s="13">
        <v>0.27</v>
      </c>
      <c r="CQ79" s="13">
        <v>0.41</v>
      </c>
      <c r="CR79" s="13">
        <v>0.39</v>
      </c>
      <c r="CS79" s="13">
        <v>0.01</v>
      </c>
      <c r="CT79" s="13">
        <v>0.56999999999999995</v>
      </c>
      <c r="CU79" s="13">
        <v>0.79</v>
      </c>
      <c r="CV79" s="13">
        <v>0.64</v>
      </c>
      <c r="CW79" s="13">
        <v>0.90100000000000002</v>
      </c>
      <c r="CX79" s="13">
        <v>0.67</v>
      </c>
      <c r="CY79" s="13">
        <v>0.9</v>
      </c>
      <c r="CZ79" s="13">
        <v>1.08</v>
      </c>
      <c r="DA79" s="13">
        <v>1</v>
      </c>
      <c r="DB79" s="13">
        <v>1.38</v>
      </c>
      <c r="DC79" s="13">
        <v>1.37</v>
      </c>
      <c r="DD79" s="13">
        <v>6.82</v>
      </c>
      <c r="DE79" s="13">
        <v>0.92</v>
      </c>
      <c r="DF79" s="13">
        <v>0.89</v>
      </c>
      <c r="DG79" s="13">
        <v>0.95</v>
      </c>
      <c r="DH79" s="13">
        <v>0.74</v>
      </c>
      <c r="DI79" s="13">
        <v>0.55000000000000004</v>
      </c>
      <c r="DJ79" s="13">
        <v>1.3</v>
      </c>
      <c r="DK79" s="13">
        <v>0.85</v>
      </c>
      <c r="DL79" s="8" t="s">
        <v>137</v>
      </c>
      <c r="DM79" s="13">
        <v>0.41</v>
      </c>
      <c r="DN79" s="13">
        <v>0.65</v>
      </c>
      <c r="DO79" s="13">
        <v>0.78</v>
      </c>
      <c r="DP79" s="13">
        <v>0.73</v>
      </c>
      <c r="DQ79" s="13">
        <v>0.55000000000000004</v>
      </c>
      <c r="DR79" s="13">
        <v>0.68</v>
      </c>
    </row>
    <row r="80" spans="1:122">
      <c r="A80" s="4" t="s">
        <v>192</v>
      </c>
      <c r="B80" s="9">
        <v>271518</v>
      </c>
      <c r="C80" s="8" t="s">
        <v>137</v>
      </c>
      <c r="D80" s="8" t="s">
        <v>137</v>
      </c>
      <c r="E80" s="8" t="s">
        <v>137</v>
      </c>
      <c r="F80" s="13">
        <v>2.9000000000000001E-2</v>
      </c>
      <c r="G80" s="13">
        <v>1.7999999999999999E-2</v>
      </c>
      <c r="H80" s="13">
        <v>4.1000000000000002E-2</v>
      </c>
      <c r="I80" s="13">
        <v>3.1E-2</v>
      </c>
      <c r="J80" s="13">
        <v>0.41099999999999998</v>
      </c>
      <c r="K80" s="13">
        <v>0.03</v>
      </c>
      <c r="L80" s="13">
        <v>0.03</v>
      </c>
      <c r="M80" s="13">
        <v>0.249</v>
      </c>
      <c r="N80" s="13">
        <v>0.38700000000000001</v>
      </c>
      <c r="O80" s="8" t="s">
        <v>137</v>
      </c>
      <c r="P80" s="13">
        <v>0.16200000000000001</v>
      </c>
      <c r="Q80" s="8" t="s">
        <v>137</v>
      </c>
      <c r="R80" s="8" t="s">
        <v>137</v>
      </c>
      <c r="S80" s="8" t="s">
        <v>137</v>
      </c>
      <c r="T80" s="13">
        <v>0.157</v>
      </c>
      <c r="U80" s="8" t="s">
        <v>137</v>
      </c>
      <c r="V80" s="8" t="s">
        <v>137</v>
      </c>
      <c r="W80" s="8" t="s">
        <v>137</v>
      </c>
      <c r="X80" s="13">
        <v>0.122</v>
      </c>
      <c r="Y80" s="8" t="s">
        <v>137</v>
      </c>
      <c r="Z80" s="8" t="s">
        <v>137</v>
      </c>
      <c r="AA80" s="8" t="s">
        <v>137</v>
      </c>
      <c r="AB80" s="13">
        <v>7.2999999999999995E-2</v>
      </c>
      <c r="AC80" s="8" t="s">
        <v>137</v>
      </c>
      <c r="AD80" s="8" t="s">
        <v>137</v>
      </c>
      <c r="AE80" s="8" t="s">
        <v>137</v>
      </c>
      <c r="AF80" s="13">
        <v>0.13300000000000001</v>
      </c>
      <c r="AG80" s="8" t="s">
        <v>137</v>
      </c>
      <c r="AH80" s="8" t="s">
        <v>137</v>
      </c>
      <c r="AI80" s="8" t="s">
        <v>137</v>
      </c>
      <c r="AJ80" s="13">
        <v>5.2999999999999999E-2</v>
      </c>
      <c r="AK80" s="8" t="s">
        <v>137</v>
      </c>
      <c r="AL80" s="8" t="s">
        <v>137</v>
      </c>
      <c r="AM80" s="13">
        <v>0.16200000000000001</v>
      </c>
      <c r="AN80" s="13">
        <v>0.216</v>
      </c>
      <c r="AO80" s="13">
        <v>0.14499999999999999</v>
      </c>
      <c r="AP80" s="13">
        <v>0.189</v>
      </c>
      <c r="AQ80" s="13">
        <v>0.214</v>
      </c>
      <c r="AR80" s="13">
        <v>0.23499999999999999</v>
      </c>
      <c r="AS80" s="13">
        <v>0.17499999999999999</v>
      </c>
      <c r="AT80" s="13">
        <v>0.17699999999999999</v>
      </c>
      <c r="AU80" s="13">
        <v>0.26600000000000001</v>
      </c>
      <c r="AV80" s="13">
        <v>0.192</v>
      </c>
      <c r="AW80" s="13">
        <v>0.17299999999999999</v>
      </c>
      <c r="AX80" s="13">
        <v>0.17899999999999999</v>
      </c>
      <c r="AY80" s="13">
        <v>0.29599999999999999</v>
      </c>
      <c r="AZ80" s="13">
        <v>0.27100000000000002</v>
      </c>
      <c r="BA80" s="13">
        <v>0.219</v>
      </c>
      <c r="BB80" s="13">
        <v>0.30399999999999999</v>
      </c>
      <c r="BC80" s="13">
        <v>0.36799999999999999</v>
      </c>
      <c r="BD80" s="13">
        <v>0.374</v>
      </c>
      <c r="BE80" s="13">
        <v>0.27</v>
      </c>
      <c r="BF80" s="13">
        <v>0.26700000000000002</v>
      </c>
      <c r="BG80" s="13">
        <v>0.318</v>
      </c>
      <c r="BH80" s="13">
        <v>0.29199999999999998</v>
      </c>
      <c r="BI80" s="13">
        <v>0.24299999999999999</v>
      </c>
      <c r="BJ80" s="13">
        <v>0.214</v>
      </c>
      <c r="BK80" s="13">
        <v>0.436</v>
      </c>
      <c r="BL80" s="13">
        <v>0.14399999999999999</v>
      </c>
      <c r="BM80" s="13">
        <v>0.13</v>
      </c>
      <c r="BN80" s="13">
        <v>0.21</v>
      </c>
      <c r="BO80" s="13">
        <v>0.08</v>
      </c>
      <c r="BP80" s="13">
        <v>3.9E-2</v>
      </c>
      <c r="BQ80" s="13">
        <v>0.12</v>
      </c>
      <c r="BR80" s="13">
        <v>0.2</v>
      </c>
      <c r="BS80" s="13">
        <v>0.34</v>
      </c>
      <c r="BT80" s="13">
        <v>0.27600000000000002</v>
      </c>
      <c r="BU80" s="13">
        <v>0.09</v>
      </c>
      <c r="BV80" s="13">
        <v>0.34</v>
      </c>
      <c r="BW80" s="13">
        <v>0.38</v>
      </c>
      <c r="BX80" s="13">
        <v>-0.05</v>
      </c>
      <c r="BY80" s="13">
        <v>0.19</v>
      </c>
      <c r="BZ80" s="13">
        <v>0.36799999999999999</v>
      </c>
      <c r="CA80" s="13">
        <v>0.48</v>
      </c>
      <c r="CB80" s="13">
        <v>6.3E-2</v>
      </c>
      <c r="CC80" s="13">
        <v>0.3</v>
      </c>
      <c r="CD80" s="13">
        <v>0.39</v>
      </c>
      <c r="CE80" s="13">
        <v>0.54</v>
      </c>
      <c r="CF80" s="13">
        <v>0.02</v>
      </c>
      <c r="CG80" s="13">
        <v>0.21</v>
      </c>
      <c r="CH80" s="13">
        <v>0.32</v>
      </c>
      <c r="CI80" s="13">
        <v>0.36</v>
      </c>
      <c r="CJ80" s="13">
        <v>0.09</v>
      </c>
      <c r="CK80" s="13">
        <v>0.27800000000000002</v>
      </c>
      <c r="CL80" s="13">
        <v>0.04</v>
      </c>
      <c r="CM80" s="13">
        <v>0.39</v>
      </c>
      <c r="CN80" s="13">
        <v>0.54</v>
      </c>
      <c r="CO80" s="13">
        <v>0.28000000000000003</v>
      </c>
      <c r="CP80" s="13">
        <v>0.27</v>
      </c>
      <c r="CQ80" s="13">
        <v>0.41</v>
      </c>
      <c r="CR80" s="13">
        <v>0.39</v>
      </c>
      <c r="CS80" s="13">
        <v>0.01</v>
      </c>
      <c r="CT80" s="13">
        <v>0.56999999999999995</v>
      </c>
      <c r="CU80" s="13">
        <v>0.79</v>
      </c>
      <c r="CV80" s="13">
        <v>0.64</v>
      </c>
      <c r="CW80" s="13">
        <v>0.82699999999999996</v>
      </c>
      <c r="CX80" s="13">
        <v>0.59899999999999998</v>
      </c>
      <c r="CY80" s="13">
        <v>0.83399999999999996</v>
      </c>
      <c r="CZ80" s="13">
        <v>1.018</v>
      </c>
      <c r="DA80" s="13">
        <v>0.89700000000000002</v>
      </c>
      <c r="DB80" s="13">
        <v>1.2829999999999999</v>
      </c>
      <c r="DC80" s="13">
        <v>1.27</v>
      </c>
      <c r="DD80" s="13">
        <v>3.38</v>
      </c>
      <c r="DE80" s="13">
        <v>0.92600000000000005</v>
      </c>
      <c r="DF80" s="13">
        <v>0.88700000000000001</v>
      </c>
      <c r="DG80" s="13">
        <v>0.95</v>
      </c>
      <c r="DH80" s="13">
        <v>0.74</v>
      </c>
      <c r="DI80" s="13">
        <v>0.55000000000000004</v>
      </c>
      <c r="DJ80" s="13">
        <v>1.3</v>
      </c>
      <c r="DK80" s="13">
        <v>0.85</v>
      </c>
      <c r="DL80" s="8" t="s">
        <v>137</v>
      </c>
      <c r="DM80" s="13">
        <v>0.41</v>
      </c>
      <c r="DN80" s="13">
        <v>0.65</v>
      </c>
      <c r="DO80" s="13">
        <v>0.78</v>
      </c>
      <c r="DP80" s="13">
        <v>0.73</v>
      </c>
      <c r="DQ80" s="13">
        <v>0.55000000000000004</v>
      </c>
      <c r="DR80" s="13">
        <v>0.68</v>
      </c>
    </row>
    <row r="81" spans="1:122">
      <c r="A81" s="4" t="s">
        <v>193</v>
      </c>
      <c r="B81" s="9">
        <v>271517</v>
      </c>
      <c r="C81" s="8" t="s">
        <v>137</v>
      </c>
      <c r="D81" s="8" t="s">
        <v>137</v>
      </c>
      <c r="E81" s="8" t="s">
        <v>137</v>
      </c>
      <c r="F81" s="13">
        <v>2.9000000000000001E-2</v>
      </c>
      <c r="G81" s="13">
        <v>1.7999999999999999E-2</v>
      </c>
      <c r="H81" s="13">
        <v>4.1000000000000002E-2</v>
      </c>
      <c r="I81" s="13">
        <v>3.1E-2</v>
      </c>
      <c r="J81" s="13">
        <v>0.41099999999999998</v>
      </c>
      <c r="K81" s="13">
        <v>0.03</v>
      </c>
      <c r="L81" s="13">
        <v>0.03</v>
      </c>
      <c r="M81" s="13">
        <v>0.249</v>
      </c>
      <c r="N81" s="13">
        <v>0.38700000000000001</v>
      </c>
      <c r="O81" s="8" t="s">
        <v>137</v>
      </c>
      <c r="P81" s="13">
        <v>0.16200000000000001</v>
      </c>
      <c r="Q81" s="8" t="s">
        <v>137</v>
      </c>
      <c r="R81" s="8" t="s">
        <v>137</v>
      </c>
      <c r="S81" s="8" t="s">
        <v>137</v>
      </c>
      <c r="T81" s="13">
        <v>0.157</v>
      </c>
      <c r="U81" s="8" t="s">
        <v>137</v>
      </c>
      <c r="V81" s="8" t="s">
        <v>137</v>
      </c>
      <c r="W81" s="8" t="s">
        <v>137</v>
      </c>
      <c r="X81" s="13">
        <v>0.122</v>
      </c>
      <c r="Y81" s="8" t="s">
        <v>137</v>
      </c>
      <c r="Z81" s="8" t="s">
        <v>137</v>
      </c>
      <c r="AA81" s="8" t="s">
        <v>137</v>
      </c>
      <c r="AB81" s="13">
        <v>7.2999999999999995E-2</v>
      </c>
      <c r="AC81" s="8" t="s">
        <v>137</v>
      </c>
      <c r="AD81" s="8" t="s">
        <v>137</v>
      </c>
      <c r="AE81" s="8" t="s">
        <v>137</v>
      </c>
      <c r="AF81" s="13">
        <v>8.7999999999999995E-2</v>
      </c>
      <c r="AG81" s="8" t="s">
        <v>137</v>
      </c>
      <c r="AH81" s="8" t="s">
        <v>137</v>
      </c>
      <c r="AI81" s="8" t="s">
        <v>137</v>
      </c>
      <c r="AJ81" s="13">
        <v>0.17199999999999999</v>
      </c>
      <c r="AK81" s="8" t="s">
        <v>137</v>
      </c>
      <c r="AL81" s="8" t="s">
        <v>137</v>
      </c>
      <c r="AM81" s="13">
        <v>0.16400000000000001</v>
      </c>
      <c r="AN81" s="13">
        <v>0.21199999999999999</v>
      </c>
      <c r="AO81" s="13">
        <v>0.14499999999999999</v>
      </c>
      <c r="AP81" s="13">
        <v>0.189</v>
      </c>
      <c r="AQ81" s="13">
        <v>0.214</v>
      </c>
      <c r="AR81" s="13">
        <v>0.23499999999999999</v>
      </c>
      <c r="AS81" s="13">
        <v>0.17499999999999999</v>
      </c>
      <c r="AT81" s="13">
        <v>0.17699999999999999</v>
      </c>
      <c r="AU81" s="13">
        <v>0.26600000000000001</v>
      </c>
      <c r="AV81" s="13">
        <v>0.192</v>
      </c>
      <c r="AW81" s="13">
        <v>0.17299999999999999</v>
      </c>
      <c r="AX81" s="13">
        <v>0.17899999999999999</v>
      </c>
      <c r="AY81" s="13">
        <v>0.29599999999999999</v>
      </c>
      <c r="AZ81" s="13">
        <v>0.27100000000000002</v>
      </c>
      <c r="BA81" s="13">
        <v>0.219</v>
      </c>
      <c r="BB81" s="13">
        <v>0.30399999999999999</v>
      </c>
      <c r="BC81" s="13">
        <v>0.36799999999999999</v>
      </c>
      <c r="BD81" s="13">
        <v>0.374</v>
      </c>
      <c r="BE81" s="13">
        <v>0.27</v>
      </c>
      <c r="BF81" s="13">
        <v>0.26700000000000002</v>
      </c>
      <c r="BG81" s="13">
        <v>0.318</v>
      </c>
      <c r="BH81" s="13">
        <v>0.29199999999999998</v>
      </c>
      <c r="BI81" s="13">
        <v>0.24299999999999999</v>
      </c>
      <c r="BJ81" s="13">
        <v>0.214</v>
      </c>
      <c r="BK81" s="13">
        <v>0.436</v>
      </c>
      <c r="BL81" s="13">
        <v>0.14399999999999999</v>
      </c>
      <c r="BM81" s="13">
        <v>0.13</v>
      </c>
      <c r="BN81" s="13">
        <v>0.21</v>
      </c>
      <c r="BO81" s="13">
        <v>0.08</v>
      </c>
      <c r="BP81" s="13">
        <v>3.9E-2</v>
      </c>
      <c r="BQ81" s="13">
        <v>0.12</v>
      </c>
      <c r="BR81" s="13">
        <v>0.2</v>
      </c>
      <c r="BS81" s="13">
        <v>0.34</v>
      </c>
      <c r="BT81" s="13">
        <v>0.27600000000000002</v>
      </c>
      <c r="BU81" s="13">
        <v>0.09</v>
      </c>
      <c r="BV81" s="13">
        <v>0.34</v>
      </c>
      <c r="BW81" s="13">
        <v>0.38</v>
      </c>
      <c r="BX81" s="13">
        <v>-0.05</v>
      </c>
      <c r="BY81" s="13">
        <v>0.19</v>
      </c>
      <c r="BZ81" s="13">
        <v>0.36799999999999999</v>
      </c>
      <c r="CA81" s="13">
        <v>0.48</v>
      </c>
      <c r="CB81" s="13">
        <v>6.3E-2</v>
      </c>
      <c r="CC81" s="13">
        <v>0.3</v>
      </c>
      <c r="CD81" s="13">
        <v>0.39</v>
      </c>
      <c r="CE81" s="13">
        <v>0.54</v>
      </c>
      <c r="CF81" s="13">
        <v>0.02</v>
      </c>
      <c r="CG81" s="13">
        <v>0.21</v>
      </c>
      <c r="CH81" s="13">
        <v>0.32</v>
      </c>
      <c r="CI81" s="13">
        <v>0.36</v>
      </c>
      <c r="CJ81" s="13">
        <v>0.09</v>
      </c>
      <c r="CK81" s="13">
        <v>0.27800000000000002</v>
      </c>
      <c r="CL81" s="13">
        <v>0.04</v>
      </c>
      <c r="CM81" s="13">
        <v>0.39</v>
      </c>
      <c r="CN81" s="13">
        <v>0.54</v>
      </c>
      <c r="CO81" s="13">
        <v>0.28000000000000003</v>
      </c>
      <c r="CP81" s="13">
        <v>0.27</v>
      </c>
      <c r="CQ81" s="13">
        <v>0.41</v>
      </c>
      <c r="CR81" s="13">
        <v>0.39</v>
      </c>
      <c r="CS81" s="13">
        <v>0.01</v>
      </c>
      <c r="CT81" s="13">
        <v>0.56999999999999995</v>
      </c>
      <c r="CU81" s="13">
        <v>0.79</v>
      </c>
      <c r="CV81" s="13">
        <v>0.64</v>
      </c>
      <c r="CW81" s="13">
        <v>0.90100000000000002</v>
      </c>
      <c r="CX81" s="13">
        <v>0.67</v>
      </c>
      <c r="CY81" s="13">
        <v>0.9</v>
      </c>
      <c r="CZ81" s="13">
        <v>1.08</v>
      </c>
      <c r="DA81" s="13">
        <v>1</v>
      </c>
      <c r="DB81" s="13">
        <v>1.38</v>
      </c>
      <c r="DC81" s="13">
        <v>1.37</v>
      </c>
      <c r="DD81" s="13">
        <v>6.82</v>
      </c>
      <c r="DE81" s="13">
        <v>0.92</v>
      </c>
      <c r="DF81" s="13">
        <v>0.89</v>
      </c>
      <c r="DG81" s="13">
        <v>0.95</v>
      </c>
      <c r="DH81" s="13">
        <v>0.74</v>
      </c>
      <c r="DI81" s="13">
        <v>0.55000000000000004</v>
      </c>
      <c r="DJ81" s="13">
        <v>1.3</v>
      </c>
      <c r="DK81" s="13">
        <v>0.85</v>
      </c>
      <c r="DL81" s="8" t="s">
        <v>137</v>
      </c>
      <c r="DM81" s="13">
        <v>0.41</v>
      </c>
      <c r="DN81" s="13">
        <v>0.65</v>
      </c>
      <c r="DO81" s="13">
        <v>0.78</v>
      </c>
      <c r="DP81" s="13">
        <v>0.73</v>
      </c>
      <c r="DQ81" s="13">
        <v>0.55000000000000004</v>
      </c>
      <c r="DR81" s="13">
        <v>0.68</v>
      </c>
    </row>
    <row r="82" spans="1:122">
      <c r="A82" s="4" t="s">
        <v>194</v>
      </c>
      <c r="B82" s="9">
        <v>271516</v>
      </c>
      <c r="C82" s="8" t="s">
        <v>137</v>
      </c>
      <c r="D82" s="8" t="s">
        <v>137</v>
      </c>
      <c r="E82" s="8" t="s">
        <v>137</v>
      </c>
      <c r="F82" s="12">
        <v>5360000000</v>
      </c>
      <c r="G82" s="12">
        <v>5360000000</v>
      </c>
      <c r="H82" s="12">
        <v>5360000000</v>
      </c>
      <c r="I82" s="12">
        <v>5360000000</v>
      </c>
      <c r="J82" s="12">
        <v>1340000000</v>
      </c>
      <c r="K82" s="12">
        <v>5360000000</v>
      </c>
      <c r="L82" s="12">
        <v>5360000000</v>
      </c>
      <c r="M82" s="12">
        <v>1340000000</v>
      </c>
      <c r="N82" s="12">
        <v>1340000000</v>
      </c>
      <c r="O82" s="8" t="s">
        <v>137</v>
      </c>
      <c r="P82" s="12">
        <v>5686400000</v>
      </c>
      <c r="Q82" s="8" t="s">
        <v>137</v>
      </c>
      <c r="R82" s="8" t="s">
        <v>137</v>
      </c>
      <c r="S82" s="8" t="s">
        <v>137</v>
      </c>
      <c r="T82" s="12">
        <v>5671740000</v>
      </c>
      <c r="U82" s="8" t="s">
        <v>137</v>
      </c>
      <c r="V82" s="8" t="s">
        <v>137</v>
      </c>
      <c r="W82" s="8" t="s">
        <v>137</v>
      </c>
      <c r="X82" s="12">
        <v>4703556276</v>
      </c>
      <c r="Y82" s="8" t="s">
        <v>137</v>
      </c>
      <c r="Z82" s="8" t="s">
        <v>137</v>
      </c>
      <c r="AA82" s="8" t="s">
        <v>137</v>
      </c>
      <c r="AB82" s="12">
        <v>4703200000</v>
      </c>
      <c r="AC82" s="8" t="s">
        <v>137</v>
      </c>
      <c r="AD82" s="8" t="s">
        <v>137</v>
      </c>
      <c r="AE82" s="8" t="s">
        <v>137</v>
      </c>
      <c r="AF82" s="12">
        <v>4703200000</v>
      </c>
      <c r="AG82" s="8" t="s">
        <v>137</v>
      </c>
      <c r="AH82" s="8" t="s">
        <v>137</v>
      </c>
      <c r="AI82" s="8" t="s">
        <v>137</v>
      </c>
      <c r="AJ82" s="12">
        <v>4703200000</v>
      </c>
      <c r="AK82" s="8" t="s">
        <v>137</v>
      </c>
      <c r="AL82" s="8" t="s">
        <v>137</v>
      </c>
      <c r="AM82" s="12">
        <v>4703200000</v>
      </c>
      <c r="AN82" s="12">
        <v>4703200000</v>
      </c>
      <c r="AO82" s="12">
        <v>4703200000</v>
      </c>
      <c r="AP82" s="12">
        <v>4703200000</v>
      </c>
      <c r="AQ82" s="12">
        <v>4703200000</v>
      </c>
      <c r="AR82" s="12">
        <v>4703200000</v>
      </c>
      <c r="AS82" s="12">
        <v>4703200000</v>
      </c>
      <c r="AT82" s="12">
        <v>4703200000</v>
      </c>
      <c r="AU82" s="12">
        <v>4703200000</v>
      </c>
      <c r="AV82" s="12">
        <v>4703200000</v>
      </c>
      <c r="AW82" s="12">
        <v>4703200000</v>
      </c>
      <c r="AX82" s="12">
        <v>4703200000</v>
      </c>
      <c r="AY82" s="12">
        <v>4703200000</v>
      </c>
      <c r="AZ82" s="12">
        <v>4703200000</v>
      </c>
      <c r="BA82" s="12">
        <v>4703200000</v>
      </c>
      <c r="BB82" s="12">
        <v>4703200000</v>
      </c>
      <c r="BC82" s="12">
        <v>4703200000</v>
      </c>
      <c r="BD82" s="12">
        <v>4703200000</v>
      </c>
      <c r="BE82" s="12">
        <v>4703200000</v>
      </c>
      <c r="BF82" s="12">
        <v>4703200000</v>
      </c>
      <c r="BG82" s="12">
        <v>4703200000</v>
      </c>
      <c r="BH82" s="12">
        <v>4703200000</v>
      </c>
      <c r="BI82" s="12">
        <v>4703141600</v>
      </c>
      <c r="BJ82" s="12">
        <v>4703200000</v>
      </c>
      <c r="BK82" s="12">
        <v>4703090600</v>
      </c>
      <c r="BL82" s="12">
        <v>4703200000</v>
      </c>
      <c r="BM82" s="12">
        <v>4622407692</v>
      </c>
      <c r="BN82" s="12">
        <v>4205433333</v>
      </c>
      <c r="BO82" s="12">
        <v>4596000000</v>
      </c>
      <c r="BP82" s="12">
        <v>4568692309</v>
      </c>
      <c r="BQ82" s="12">
        <v>4745908333</v>
      </c>
      <c r="BR82" s="12">
        <v>4684410000</v>
      </c>
      <c r="BS82" s="12">
        <v>4697608823</v>
      </c>
      <c r="BT82" s="12">
        <v>4705627273</v>
      </c>
      <c r="BU82" s="12">
        <v>4776055555</v>
      </c>
      <c r="BV82" s="12">
        <v>4741855882</v>
      </c>
      <c r="BW82" s="12">
        <v>4487092105</v>
      </c>
      <c r="BX82" s="12">
        <v>4603000000</v>
      </c>
      <c r="BY82" s="12">
        <v>4582000000</v>
      </c>
      <c r="BZ82" s="12">
        <v>4703200000</v>
      </c>
      <c r="CA82" s="12">
        <v>4729806250</v>
      </c>
      <c r="CB82" s="12">
        <v>4764402886</v>
      </c>
      <c r="CC82" s="12">
        <v>4760246666</v>
      </c>
      <c r="CD82" s="12">
        <v>4736964102</v>
      </c>
      <c r="CE82" s="12">
        <v>4698353703</v>
      </c>
      <c r="CF82" s="12">
        <v>4309500000</v>
      </c>
      <c r="CG82" s="12">
        <v>4740876190</v>
      </c>
      <c r="CH82" s="12">
        <v>4679059375</v>
      </c>
      <c r="CI82" s="12">
        <v>4749355555</v>
      </c>
      <c r="CJ82" s="12">
        <v>4744077777</v>
      </c>
      <c r="CK82" s="12">
        <v>4619546875</v>
      </c>
      <c r="CL82" s="12">
        <v>4839116531</v>
      </c>
      <c r="CM82" s="12">
        <v>4653392307</v>
      </c>
      <c r="CN82" s="12">
        <v>4657146296</v>
      </c>
      <c r="CO82" s="12">
        <v>4719475000</v>
      </c>
      <c r="CP82" s="12">
        <v>4599588888</v>
      </c>
      <c r="CQ82" s="12">
        <v>4708441463</v>
      </c>
      <c r="CR82" s="12">
        <v>4679289743</v>
      </c>
      <c r="CS82" s="12">
        <v>3474000000</v>
      </c>
      <c r="CT82" s="12">
        <v>4534285964</v>
      </c>
      <c r="CU82" s="12">
        <v>4558478481</v>
      </c>
      <c r="CV82" s="12">
        <v>4515612500</v>
      </c>
      <c r="CW82" s="12">
        <v>4486436477</v>
      </c>
      <c r="CX82" s="12">
        <v>4519359701</v>
      </c>
      <c r="CY82" s="12">
        <v>4467262222</v>
      </c>
      <c r="CZ82" s="12">
        <v>4467085185</v>
      </c>
      <c r="DA82" s="12">
        <v>4465478000</v>
      </c>
      <c r="DB82" s="12">
        <v>4454386231</v>
      </c>
      <c r="DC82" s="12">
        <v>4425923357</v>
      </c>
      <c r="DD82" s="12">
        <v>4433152785</v>
      </c>
      <c r="DE82" s="12">
        <v>4427926086</v>
      </c>
      <c r="DF82" s="12">
        <v>4454725842</v>
      </c>
      <c r="DG82" s="12">
        <v>4398085263</v>
      </c>
      <c r="DH82" s="12">
        <v>4405833783</v>
      </c>
      <c r="DI82" s="12">
        <v>4386523636</v>
      </c>
      <c r="DJ82" s="12">
        <v>2551167692</v>
      </c>
      <c r="DK82" s="12">
        <v>4346740000</v>
      </c>
      <c r="DL82" s="8" t="s">
        <v>137</v>
      </c>
      <c r="DM82" s="12">
        <v>4354080487</v>
      </c>
      <c r="DN82" s="12">
        <v>4347400000</v>
      </c>
      <c r="DO82" s="12">
        <v>4312710256</v>
      </c>
      <c r="DP82" s="12">
        <v>4325789041</v>
      </c>
      <c r="DQ82" s="12">
        <v>4297463438</v>
      </c>
      <c r="DR82" s="12">
        <v>4316061764</v>
      </c>
    </row>
    <row r="83" spans="1:122">
      <c r="A83" s="4" t="s">
        <v>195</v>
      </c>
      <c r="B83" s="9">
        <v>271519</v>
      </c>
      <c r="C83" s="8" t="s">
        <v>137</v>
      </c>
      <c r="D83" s="8" t="s">
        <v>137</v>
      </c>
      <c r="E83" s="8" t="s">
        <v>137</v>
      </c>
      <c r="F83" s="12">
        <v>5360000000</v>
      </c>
      <c r="G83" s="12">
        <v>5360000000</v>
      </c>
      <c r="H83" s="12">
        <v>5360000000</v>
      </c>
      <c r="I83" s="12">
        <v>5360000000</v>
      </c>
      <c r="J83" s="12">
        <v>1340000000</v>
      </c>
      <c r="K83" s="12">
        <v>5360000000</v>
      </c>
      <c r="L83" s="12">
        <v>5360000000</v>
      </c>
      <c r="M83" s="12">
        <v>1340000000</v>
      </c>
      <c r="N83" s="12">
        <v>1340000000</v>
      </c>
      <c r="O83" s="8" t="s">
        <v>137</v>
      </c>
      <c r="P83" s="12">
        <v>5686400000</v>
      </c>
      <c r="Q83" s="8" t="s">
        <v>137</v>
      </c>
      <c r="R83" s="8" t="s">
        <v>137</v>
      </c>
      <c r="S83" s="8" t="s">
        <v>137</v>
      </c>
      <c r="T83" s="12">
        <v>5671740000</v>
      </c>
      <c r="U83" s="8" t="s">
        <v>137</v>
      </c>
      <c r="V83" s="8" t="s">
        <v>137</v>
      </c>
      <c r="W83" s="8" t="s">
        <v>137</v>
      </c>
      <c r="X83" s="12">
        <v>4703556276</v>
      </c>
      <c r="Y83" s="8" t="s">
        <v>137</v>
      </c>
      <c r="Z83" s="8" t="s">
        <v>137</v>
      </c>
      <c r="AA83" s="8" t="s">
        <v>137</v>
      </c>
      <c r="AB83" s="12">
        <v>4703200000</v>
      </c>
      <c r="AC83" s="8" t="s">
        <v>137</v>
      </c>
      <c r="AD83" s="8" t="s">
        <v>137</v>
      </c>
      <c r="AE83" s="8" t="s">
        <v>137</v>
      </c>
      <c r="AF83" s="12">
        <v>4703200000</v>
      </c>
      <c r="AG83" s="8" t="s">
        <v>137</v>
      </c>
      <c r="AH83" s="8" t="s">
        <v>137</v>
      </c>
      <c r="AI83" s="8" t="s">
        <v>137</v>
      </c>
      <c r="AJ83" s="12">
        <v>4703200000</v>
      </c>
      <c r="AK83" s="8" t="s">
        <v>137</v>
      </c>
      <c r="AL83" s="8" t="s">
        <v>137</v>
      </c>
      <c r="AM83" s="12">
        <v>4703200000</v>
      </c>
      <c r="AN83" s="12">
        <v>4703200000</v>
      </c>
      <c r="AO83" s="12">
        <v>4703200000</v>
      </c>
      <c r="AP83" s="12">
        <v>4703200000</v>
      </c>
      <c r="AQ83" s="12">
        <v>4703200000</v>
      </c>
      <c r="AR83" s="12">
        <v>4703200000</v>
      </c>
      <c r="AS83" s="12">
        <v>4703200000</v>
      </c>
      <c r="AT83" s="12">
        <v>4703200000</v>
      </c>
      <c r="AU83" s="12">
        <v>4703200000</v>
      </c>
      <c r="AV83" s="12">
        <v>4703200000</v>
      </c>
      <c r="AW83" s="12">
        <v>4703200000</v>
      </c>
      <c r="AX83" s="12">
        <v>4703200000</v>
      </c>
      <c r="AY83" s="12">
        <v>4703200000</v>
      </c>
      <c r="AZ83" s="12">
        <v>4703200000</v>
      </c>
      <c r="BA83" s="12">
        <v>4703200000</v>
      </c>
      <c r="BB83" s="12">
        <v>4703200000</v>
      </c>
      <c r="BC83" s="12">
        <v>4703200000</v>
      </c>
      <c r="BD83" s="12">
        <v>4703200000</v>
      </c>
      <c r="BE83" s="12">
        <v>4703200000</v>
      </c>
      <c r="BF83" s="12">
        <v>4703200000</v>
      </c>
      <c r="BG83" s="12">
        <v>4703200000</v>
      </c>
      <c r="BH83" s="12">
        <v>4703200000</v>
      </c>
      <c r="BI83" s="12">
        <v>4703141600</v>
      </c>
      <c r="BJ83" s="12">
        <v>4703200000</v>
      </c>
      <c r="BK83" s="12">
        <v>4703090600</v>
      </c>
      <c r="BL83" s="12">
        <v>4703200000</v>
      </c>
      <c r="BM83" s="12">
        <v>4622407692</v>
      </c>
      <c r="BN83" s="12">
        <v>4205433333</v>
      </c>
      <c r="BO83" s="12">
        <v>4596000000</v>
      </c>
      <c r="BP83" s="12">
        <v>4568692309</v>
      </c>
      <c r="BQ83" s="12">
        <v>4745908333</v>
      </c>
      <c r="BR83" s="12">
        <v>4684410000</v>
      </c>
      <c r="BS83" s="12">
        <v>4697608823</v>
      </c>
      <c r="BT83" s="12">
        <v>4705627273</v>
      </c>
      <c r="BU83" s="12">
        <v>4776055555</v>
      </c>
      <c r="BV83" s="12">
        <v>4741855882</v>
      </c>
      <c r="BW83" s="12">
        <v>4487092105</v>
      </c>
      <c r="BX83" s="12">
        <v>4603000000</v>
      </c>
      <c r="BY83" s="12">
        <v>4582000000</v>
      </c>
      <c r="BZ83" s="12">
        <v>4703200000</v>
      </c>
      <c r="CA83" s="12">
        <v>4729806250</v>
      </c>
      <c r="CB83" s="12">
        <v>4764402886</v>
      </c>
      <c r="CC83" s="12">
        <v>4760246666</v>
      </c>
      <c r="CD83" s="12">
        <v>4736964102</v>
      </c>
      <c r="CE83" s="12">
        <v>4698353703</v>
      </c>
      <c r="CF83" s="12">
        <v>4309500000</v>
      </c>
      <c r="CG83" s="12">
        <v>4740876190</v>
      </c>
      <c r="CH83" s="12">
        <v>4679059375</v>
      </c>
      <c r="CI83" s="12">
        <v>4749355555</v>
      </c>
      <c r="CJ83" s="12">
        <v>4744077777</v>
      </c>
      <c r="CK83" s="12">
        <v>4619546875</v>
      </c>
      <c r="CL83" s="12">
        <v>4839116531</v>
      </c>
      <c r="CM83" s="12">
        <v>4653392307</v>
      </c>
      <c r="CN83" s="12">
        <v>4657146296</v>
      </c>
      <c r="CO83" s="12">
        <v>4719475000</v>
      </c>
      <c r="CP83" s="12">
        <v>4599588888</v>
      </c>
      <c r="CQ83" s="12">
        <v>4708441463</v>
      </c>
      <c r="CR83" s="12">
        <v>4679289743</v>
      </c>
      <c r="CS83" s="12">
        <v>3474000000</v>
      </c>
      <c r="CT83" s="12">
        <v>4534285964</v>
      </c>
      <c r="CU83" s="12">
        <v>4558478481</v>
      </c>
      <c r="CV83" s="12">
        <v>4515612500</v>
      </c>
      <c r="CW83" s="12">
        <v>4486436477</v>
      </c>
      <c r="CX83" s="12">
        <v>4519359701</v>
      </c>
      <c r="CY83" s="12">
        <v>4467262222</v>
      </c>
      <c r="CZ83" s="12">
        <v>4467085185</v>
      </c>
      <c r="DA83" s="12">
        <v>4465478000</v>
      </c>
      <c r="DB83" s="12">
        <v>4454386231</v>
      </c>
      <c r="DC83" s="12">
        <v>4425923357</v>
      </c>
      <c r="DD83" s="12">
        <v>4433152785</v>
      </c>
      <c r="DE83" s="12">
        <v>4427926086</v>
      </c>
      <c r="DF83" s="12">
        <v>4454725842</v>
      </c>
      <c r="DG83" s="12">
        <v>4398085263</v>
      </c>
      <c r="DH83" s="12">
        <v>4405833783</v>
      </c>
      <c r="DI83" s="12">
        <v>4386523636</v>
      </c>
      <c r="DJ83" s="12">
        <v>2551167692</v>
      </c>
      <c r="DK83" s="12">
        <v>4346740000</v>
      </c>
      <c r="DL83" s="8" t="s">
        <v>137</v>
      </c>
      <c r="DM83" s="12">
        <v>4354080487</v>
      </c>
      <c r="DN83" s="12">
        <v>4347400000</v>
      </c>
      <c r="DO83" s="12">
        <v>4312710256</v>
      </c>
      <c r="DP83" s="12">
        <v>4325789041</v>
      </c>
      <c r="DQ83" s="12">
        <v>4297463438</v>
      </c>
      <c r="DR83" s="12">
        <v>4316061764</v>
      </c>
    </row>
    <row r="84" spans="1:122">
      <c r="A84" s="5"/>
    </row>
  </sheetData>
  <mergeCells count="3">
    <mergeCell ref="A1:D1"/>
    <mergeCell ref="A12:DR12"/>
    <mergeCell ref="A2:DR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2026-10-06T06:07:25Z</dcterms:created>
  <dcterms:modified xsi:type="dcterms:W3CDTF">2026-10-06T06:07:25Z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