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53a236970bf34480" Type="http://schemas.openxmlformats.org/officeDocument/2006/relationships/officeDocument" Target="/xl/workbook.xml" /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Firm Ownership Summary" sheetId="2" r:id="rId2"/>
    <sheet name="Data" sheetId="3" r:id="rId3"/>
  </sheets>
  <calcPr fullPrecision="1" calcMode="auto" calcId="125725"/>
</workbook>
</file>

<file path=xl/sharedStrings.xml><?xml version="1.0" encoding="utf-8"?>
<sst xmlns="http://schemas.openxmlformats.org/spreadsheetml/2006/main" uniqueCount="171">
  <si>
    <t>Firm Ownership Summary</t>
  </si>
  <si>
    <t>Grupo Bimbo SAB de CV (BIMBOA.MX)</t>
  </si>
  <si>
    <t>Download Date</t>
  </si>
  <si>
    <t>Company Information</t>
  </si>
  <si>
    <t>Primary Exchange</t>
  </si>
  <si>
    <t>Shares Outstanding (M)</t>
  </si>
  <si>
    <t>Free Float (M)</t>
  </si>
  <si>
    <t>Free Float %</t>
  </si>
  <si>
    <t>Strategic Entities Ownership %</t>
  </si>
  <si>
    <t>Market Capitalization ($, M)</t>
  </si>
  <si>
    <t>Bolsa Mexicana de Valores S.A. de C.V.</t>
  </si>
  <si>
    <t>Top Investors</t>
  </si>
  <si>
    <t>Investor Rank</t>
  </si>
  <si>
    <t>Investor Name</t>
  </si>
  <si>
    <t>% O/S</t>
  </si>
  <si>
    <t>Position (M)</t>
  </si>
  <si>
    <t>Position Change (M)</t>
  </si>
  <si>
    <t>Value ($, M)</t>
  </si>
  <si>
    <t>Value Change ($, M)</t>
  </si>
  <si>
    <t>Latest Filing Date</t>
  </si>
  <si>
    <t>Normaciel, S.A. de C.V.</t>
  </si>
  <si>
    <t>Promociones Monser, S.A. de C.V.</t>
  </si>
  <si>
    <t>Philae, S.A. de C.V.</t>
  </si>
  <si>
    <t>Grupo Valacci, S.A. de C.V.</t>
  </si>
  <si>
    <t>Banco Nacional de Mexico SA Integrante del Grupo Financiero</t>
  </si>
  <si>
    <t>Marlupag, S.A. de C.V.</t>
  </si>
  <si>
    <t>BlackRock Institutional Trust Company, N.A.</t>
  </si>
  <si>
    <t>Impulsora del Fondo México, S.C.</t>
  </si>
  <si>
    <t>Vanguard Capital Management, LLC</t>
  </si>
  <si>
    <t>BlackRock Mexico Operadora SA de CV SOFI</t>
  </si>
  <si>
    <t>Aviva Investors Global Services Limited [Activist]</t>
  </si>
  <si>
    <t>BlackRock Advisors (UK) Limited</t>
  </si>
  <si>
    <t>Dimensional Fund Advisors, L.P.</t>
  </si>
  <si>
    <t>BBVA Asset Management México, SA de CV</t>
  </si>
  <si>
    <t>Geode Capital Management, L.L.C.</t>
  </si>
  <si>
    <t>Vanguard Global Advisers LLC</t>
  </si>
  <si>
    <t>Charles Schwab Investment Management, Inc.</t>
  </si>
  <si>
    <t>State Street Investment Management (UK)</t>
  </si>
  <si>
    <t>State Street Investment Management (US)</t>
  </si>
  <si>
    <t>DWS Investment GmbH</t>
  </si>
  <si>
    <t>Investor Type</t>
  </si>
  <si>
    <t>Institutions - 167</t>
  </si>
  <si>
    <t>Strategic Entities - 6</t>
  </si>
  <si>
    <t>Investment Managers - 167</t>
  </si>
  <si>
    <t>Corporation - 5</t>
  </si>
  <si>
    <t>Holding Company - 1</t>
  </si>
  <si>
    <t>Breakdown</t>
  </si>
  <si>
    <t>Index - 28</t>
  </si>
  <si>
    <t>Growth - 47</t>
  </si>
  <si>
    <t>Value - 24</t>
  </si>
  <si>
    <t>GARP - 19</t>
  </si>
  <si>
    <t>Income - 6</t>
  </si>
  <si>
    <t>Other - 4</t>
  </si>
  <si>
    <t>Hedge Fund - 3</t>
  </si>
  <si>
    <t>North America - 82</t>
  </si>
  <si>
    <t>Europe - 69</t>
  </si>
  <si>
    <t>Asia / Pacific - 18</t>
  </si>
  <si>
    <t>Africa - 3</t>
  </si>
  <si>
    <t>Latin America - 1</t>
  </si>
  <si>
    <t>Buys - 18</t>
  </si>
  <si>
    <t>Sells - 13</t>
  </si>
  <si>
    <t>No Change - 197</t>
  </si>
  <si>
    <t>High - 14</t>
  </si>
  <si>
    <t>Moderate - 42</t>
  </si>
  <si>
    <t>Low - 137</t>
  </si>
  <si>
    <t>Holdings concentration</t>
  </si>
  <si>
    <t>Top 100</t>
  </si>
  <si>
    <t>Top 50</t>
  </si>
  <si>
    <t>Top 20</t>
  </si>
  <si>
    <t>Top 10</t>
  </si>
  <si>
    <t>Recent Activity</t>
  </si>
  <si>
    <t>APG Asset Management N.V.</t>
  </si>
  <si>
    <t>Operadora de Fondos GBM S.A.B. de C.V.</t>
  </si>
  <si>
    <t>CPP Investments</t>
  </si>
  <si>
    <t>Scotia Fondos, S.A. de C.V.</t>
  </si>
  <si>
    <t>Norges Bank Investment Management (NBIM)</t>
  </si>
  <si>
    <t>Ashmore Investment Management Limited</t>
  </si>
  <si>
    <t>Company</t>
  </si>
  <si>
    <t>Grupo Bimbo SAB de CV</t>
  </si>
  <si>
    <t>RIC</t>
  </si>
  <si>
    <t>BIMBOA.MX</t>
  </si>
  <si>
    <t>Breakdown (As of Latest Filing)</t>
  </si>
  <si>
    <t>Type</t>
  </si>
  <si>
    <t>Investors</t>
  </si>
  <si>
    <t>Institutions</t>
  </si>
  <si>
    <t xml:space="preserve">    Investment Managers</t>
  </si>
  <si>
    <t xml:space="preserve">        Bank and Trust</t>
  </si>
  <si>
    <t xml:space="preserve">        Hedge Fund</t>
  </si>
  <si>
    <t xml:space="preserve">        Investment Advisor</t>
  </si>
  <si>
    <t xml:space="preserve">        Pension Fund</t>
  </si>
  <si>
    <t xml:space="preserve">        Venture Capital</t>
  </si>
  <si>
    <t xml:space="preserve">        Investment Advisor/Hedge Fund</t>
  </si>
  <si>
    <t xml:space="preserve">        Sovereign Wealth Fund</t>
  </si>
  <si>
    <t>Strategic Entities</t>
  </si>
  <si>
    <t xml:space="preserve">    Corporation</t>
  </si>
  <si>
    <t xml:space="preserve">    Holding Company</t>
  </si>
  <si>
    <t>Grand Total</t>
  </si>
  <si>
    <t>Style</t>
  </si>
  <si>
    <t>Index</t>
  </si>
  <si>
    <t>Growth</t>
  </si>
  <si>
    <t xml:space="preserve">    Core Growth</t>
  </si>
  <si>
    <t xml:space="preserve">    Growth</t>
  </si>
  <si>
    <t xml:space="preserve">    Aggressive Growth</t>
  </si>
  <si>
    <t>Value</t>
  </si>
  <si>
    <t xml:space="preserve">    Deep Value</t>
  </si>
  <si>
    <t xml:space="preserve">    Core Value</t>
  </si>
  <si>
    <t>GARP</t>
  </si>
  <si>
    <t>Income</t>
  </si>
  <si>
    <t xml:space="preserve">    Income Value</t>
  </si>
  <si>
    <t xml:space="preserve">    Yield</t>
  </si>
  <si>
    <t>Other</t>
  </si>
  <si>
    <t xml:space="preserve">    Mixed Style</t>
  </si>
  <si>
    <t xml:space="preserve">    VC/Private Equity</t>
  </si>
  <si>
    <t xml:space="preserve">    Specialty</t>
  </si>
  <si>
    <t>Hedge Fund</t>
  </si>
  <si>
    <t xml:space="preserve">    Hedge Fund</t>
  </si>
  <si>
    <t>Region</t>
  </si>
  <si>
    <t>North America</t>
  </si>
  <si>
    <t>Europe</t>
  </si>
  <si>
    <t>Asia / Pacific</t>
  </si>
  <si>
    <t>Africa</t>
  </si>
  <si>
    <t>Latin America</t>
  </si>
  <si>
    <t>Country/Region</t>
  </si>
  <si>
    <t>Mexico</t>
  </si>
  <si>
    <t>United States</t>
  </si>
  <si>
    <t>United Kingdom</t>
  </si>
  <si>
    <t>Germany</t>
  </si>
  <si>
    <t>Switzerland</t>
  </si>
  <si>
    <t>Canada</t>
  </si>
  <si>
    <t>Norway</t>
  </si>
  <si>
    <t>France</t>
  </si>
  <si>
    <t>Sweden</t>
  </si>
  <si>
    <t>Japan</t>
  </si>
  <si>
    <t>Ireland</t>
  </si>
  <si>
    <t>Netherlands</t>
  </si>
  <si>
    <t>Australia</t>
  </si>
  <si>
    <t>Denmark</t>
  </si>
  <si>
    <t>Spain</t>
  </si>
  <si>
    <t>Luxembourg</t>
  </si>
  <si>
    <t>Italy</t>
  </si>
  <si>
    <t>Belgium</t>
  </si>
  <si>
    <t>Finland</t>
  </si>
  <si>
    <t>South Africa</t>
  </si>
  <si>
    <t>Chile</t>
  </si>
  <si>
    <t>Mauritius</t>
  </si>
  <si>
    <t>Hong Kong</t>
  </si>
  <si>
    <t>Austria</t>
  </si>
  <si>
    <t>Metro Area</t>
  </si>
  <si>
    <t>San Francisco-Oakland-Fremont, CA</t>
  </si>
  <si>
    <t>Philadelphia-Camden-Wilmington, PA-NJ-DE-MD</t>
  </si>
  <si>
    <t>Boston-Cambridge-Quincy, MA-NH</t>
  </si>
  <si>
    <t>San Antonio, TX</t>
  </si>
  <si>
    <t>New York-Northern New Jersey-Long Island, NY-NJ-PA</t>
  </si>
  <si>
    <t>Sacramento--Arden-Arcade--Roseville, CA</t>
  </si>
  <si>
    <t>Chicago-Naperville-Joliet, IL-IN-WI</t>
  </si>
  <si>
    <t>Kansas City, MO-KS</t>
  </si>
  <si>
    <t>Seattle-Tacoma-Bellevue, WA</t>
  </si>
  <si>
    <t>Washington-Arlington-Alexandria, DC-VA-MD-WV</t>
  </si>
  <si>
    <t>Los Angeles-Long Beach-Santa Ana, CA</t>
  </si>
  <si>
    <t>Houston-Sugar Land-Baytown, TX</t>
  </si>
  <si>
    <t>Rotation</t>
  </si>
  <si>
    <t>Buys</t>
  </si>
  <si>
    <t>Sells</t>
  </si>
  <si>
    <t>No Change</t>
  </si>
  <si>
    <t>Turnover</t>
  </si>
  <si>
    <t>High</t>
  </si>
  <si>
    <t>Moderate</t>
  </si>
  <si>
    <t>Low</t>
  </si>
  <si>
    <t>Shares (M)</t>
  </si>
  <si>
    <t>Concentration</t>
  </si>
  <si>
    <t>All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</si>
</sst>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4" formatCode="dd-MMM-yyyy"/>
    <numFmt numFmtId="165" formatCode="#,##0.00;-#,##0.00;0"/>
    <numFmt numFmtId="166" formatCode="#0.00%;-#0.00%;0%"/>
    <numFmt numFmtId="167" formatCode="+#,##0.00;-#,##0.00;0"/>
    <numFmt numFmtId="168" formatCode="#,##0;-#,##0;0"/>
  </numFmts>
  <fonts count="11">
    <font>
      <sz val="11"/>
      <name val="Calibri"/>
      <charset val="0"/>
      <color rgb="FF000000"/>
    </font>
    <font>
      <b/>
      <sz val="25"/>
      <name val="Calibri"/>
      <charset val="0"/>
      <color rgb="FF000000"/>
    </font>
    <font>
      <b/>
      <sz val="9"/>
      <name val="Calibri"/>
      <charset val="0"/>
      <color rgb="FF000000"/>
    </font>
    <font>
      <sz val="9"/>
      <name val="Calibri"/>
      <charset val="0"/>
      <color rgb="FF000000"/>
    </font>
    <font>
      <sz val="11"/>
      <name val="Calibri"/>
      <charset val="0"/>
      <color rgb="FF000000"/>
    </font>
    <font>
      <sz val="9"/>
      <name val="Calibri"/>
      <charset val="0"/>
      <color rgb="FFCCCCCC"/>
    </font>
    <font>
      <sz val="9"/>
      <name val="Calibri"/>
      <charset val="0"/>
      <color rgb="FFF5475B"/>
    </font>
    <font>
      <sz val="9"/>
      <name val="Calibri"/>
      <charset val="0"/>
      <color rgb="FF39C46E"/>
    </font>
    <font>
      <sz val="1"/>
      <name val="Calibri"/>
      <charset val="0"/>
      <color rgb="FFFFFFFF"/>
    </font>
    <font>
      <sz val="11"/>
      <name val="Calibri"/>
      <charset val="0"/>
      <color rgb="FF000000"/>
    </font>
    <font>
      <b/>
      <sz val="11"/>
      <name val="Calibri"/>
      <charset val="0"/>
      <color rgb="FF00000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none">
        <bgColor indexed="65"/>
      </patternFill>
    </fill>
    <fill>
      <patternFill patternType="solid">
        <fgColor rgb="FFE3E3E3"/>
        <bgColor rgb="FFE3E3E3"/>
      </patternFill>
    </fill>
  </fills>
  <borders count="5">
    <border>
      <left/>
      <right/>
      <top/>
      <bottom/>
      <diagonal/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  <diagonal/>
    </border>
    <border>
      <left style="thin">
        <color rgb="FF898989"/>
      </left>
      <right/>
      <top style="thin">
        <color rgb="FF898989"/>
      </top>
      <bottom style="thin">
        <color rgb="FF898989"/>
      </bottom>
      <diagonal/>
    </border>
    <border>
      <left/>
      <right/>
      <top style="thin">
        <color rgb="FF898989"/>
      </top>
      <bottom style="thin">
        <color rgb="FF898989"/>
      </bottom>
      <diagonal/>
    </border>
    <border>
      <left/>
      <right style="thin">
        <color rgb="FF898989"/>
      </right>
      <top style="thin">
        <color rgb="FF898989"/>
      </top>
      <bottom style="thin">
        <color rgb="FF898989"/>
      </bottom>
      <diagonal/>
    </border>
  </borders>
  <cellStyleXfs count="1">
    <xf numFmtId="0" fontId="0" fillId="2" borderId="0" applyAlignment="0" applyNumberFormat="0"/>
    <xf numFmtId="0" fontId="1" fillId="2" borderId="0" applyAlignment="0" applyNumberFormat="0"/>
    <xf numFmtId="164" fontId="0" fillId="2" borderId="0" applyAlignment="0" applyNumberFormat="0"/>
    <xf numFmtId="0" fontId="2" fillId="3" borderId="1" applyAlignment="0" applyNumberFormat="0"/>
    <xf numFmtId="0" fontId="3" fillId="2" borderId="0" applyAlignment="0" applyNumberFormat="0"/>
    <xf numFmtId="165" fontId="3" fillId="2" borderId="0" applyAlignment="0" applyNumberFormat="0"/>
    <xf numFmtId="166" fontId="3" fillId="2" borderId="0" applyAlignment="0" applyNumberFormat="0"/>
    <xf numFmtId="0" fontId="3" fillId="2" borderId="0" applyAlignment="0" applyNumberFormat="0"/>
    <xf numFmtId="166" fontId="3" fillId="2" borderId="0" applyAlignment="0" applyNumberFormat="0"/>
    <xf numFmtId="167" fontId="5" fillId="2" borderId="0" applyAlignment="0" applyNumberFormat="0"/>
    <xf numFmtId="164" fontId="3" fillId="2" borderId="0" applyAlignment="0" applyNumberFormat="0"/>
    <xf numFmtId="167" fontId="6" fillId="2" borderId="0" applyAlignment="0" applyNumberFormat="0"/>
    <xf numFmtId="167" fontId="7" fillId="2" borderId="0" applyAlignment="0" applyNumberFormat="0"/>
    <xf numFmtId="0" fontId="8" fillId="2" borderId="0" applyAlignment="0" applyNumberFormat="0">
      <protection hidden="1"/>
    </xf>
    <xf numFmtId="0" fontId="2" fillId="3" borderId="2" applyAlignment="0" applyNumberFormat="0"/>
    <xf numFmtId="0" fontId="2" fillId="3" borderId="3" applyAlignment="0" applyNumberFormat="0"/>
    <xf numFmtId="0" fontId="2" fillId="3" borderId="4" applyAlignment="0" applyNumberFormat="0"/>
    <xf numFmtId="0" fontId="0" fillId="3" borderId="0" applyAlignment="0" applyNumberFormat="0"/>
    <xf numFmtId="0" fontId="2" fillId="3" borderId="1" applyAlignment="0" applyNumberFormat="0"/>
    <xf numFmtId="164" fontId="3" fillId="2" borderId="0" applyAlignment="0" applyNumberFormat="0"/>
    <xf numFmtId="168" fontId="3" fillId="2" borderId="0" applyAlignment="0" applyNumberFormat="0"/>
  </cellStyleXfs>
  <cellXfs>
    <xf numFmtId="0" fontId="0" fillId="2" borderId="0" xfId="0" applyAlignment="1" applyFont="1" applyNumberFormat="1" applyFill="1" applyProtection="1"/>
    <xf numFmtId="0" fontId="1" fillId="2" borderId="0" xfId="0" applyAlignment="1" applyFont="1" applyNumberFormat="1" applyFill="1" applyProtection="1"/>
    <xf numFmtId="164" fontId="0" fillId="2" borderId="0" xfId="0" applyAlignment="1" applyFont="1" applyNumberFormat="1" applyFill="1" applyProtection="1">
      <alignment horizontal="right"/>
    </xf>
    <xf numFmtId="0" fontId="2" fillId="3" borderId="1" xfId="0" applyAlignment="1" applyBorder="1" applyFont="1" applyNumberFormat="1" applyFill="1" applyProtection="1">
      <alignment horizontal="center" vertical="center" wrapText="1"/>
    </xf>
    <xf numFmtId="0" fontId="3" fillId="2" borderId="0" xfId="0" applyAlignment="1" applyFont="1" applyNumberFormat="1" applyFill="1" applyProtection="1">
      <alignment vertical="center" wrapText="1"/>
    </xf>
    <xf numFmtId="165" fontId="3" fillId="2" borderId="0" xfId="0" applyAlignment="1" applyFont="1" applyNumberFormat="1" applyFill="1" applyProtection="1">
      <alignment vertical="center" wrapText="1"/>
    </xf>
    <xf numFmtId="166" fontId="3" fillId="2" borderId="0" xfId="0" applyAlignment="1" applyFont="1" applyNumberFormat="1" applyFill="1" applyProtection="1">
      <alignment vertical="center" wrapText="1"/>
    </xf>
    <xf numFmtId="0" fontId="3" fillId="2" borderId="0" xfId="0" applyAlignment="1" applyFont="1" applyNumberFormat="1" applyFill="1" applyProtection="1">
      <alignment horizontal="center" vertical="center" wrapText="1"/>
    </xf>
    <xf numFmtId="166" fontId="3" fillId="2" borderId="0" xfId="0" applyAlignment="1" applyFont="1" applyNumberFormat="1" applyFill="1" applyProtection="1">
      <alignment horizontal="center" vertical="center" wrapText="1"/>
    </xf>
    <xf numFmtId="167" fontId="5" fillId="2" borderId="0" xfId="0" applyAlignment="1" applyFont="1" applyNumberFormat="1" applyFill="1" applyProtection="1">
      <alignment vertical="center" wrapText="1"/>
    </xf>
    <xf numFmtId="164" fontId="3" fillId="2" borderId="0" xfId="0" applyAlignment="1" applyFont="1" applyNumberFormat="1" applyFill="1" applyProtection="1">
      <alignment horizontal="center" vertical="center" wrapText="1"/>
    </xf>
    <xf numFmtId="167" fontId="6" fillId="2" borderId="0" xfId="0" applyAlignment="1" applyFont="1" applyNumberFormat="1" applyFill="1" applyProtection="1">
      <alignment vertical="center" wrapText="1"/>
    </xf>
    <xf numFmtId="167" fontId="7" fillId="2" borderId="0" xfId="0" applyAlignment="1" applyFont="1" applyNumberFormat="1" applyFill="1" applyProtection="1">
      <alignment vertical="center" wrapText="1"/>
    </xf>
    <xf numFmtId="0" fontId="8" fillId="2" borderId="0" xfId="0" applyAlignment="1" applyFont="1" applyNumberFormat="1" applyFill="1" applyProtection="1">
      <protection hidden="1"/>
    </xf>
    <xf numFmtId="0" fontId="2" fillId="3" borderId="2" xfId="0" applyAlignment="1" applyBorder="1" applyFont="1" applyNumberFormat="1" applyFill="1" applyProtection="1">
      <alignment horizontal="center" vertical="center" wrapText="1"/>
    </xf>
    <xf numFmtId="0" fontId="2" fillId="3" borderId="3" xfId="0" applyAlignment="1" applyBorder="1" applyFont="1" applyNumberFormat="1" applyFill="1" applyProtection="1">
      <alignment horizontal="center" vertical="center" wrapText="1"/>
    </xf>
    <xf numFmtId="0" fontId="2" fillId="3" borderId="4" xfId="0" applyAlignment="1" applyBorder="1" applyFont="1" applyNumberFormat="1" applyFill="1" applyProtection="1">
      <alignment horizontal="center" vertical="center" wrapText="1"/>
    </xf>
    <xf numFmtId="0" fontId="0" fillId="3" borderId="0" xfId="0" applyAlignment="1" applyFont="1" applyNumberFormat="1" applyFill="1" applyProtection="1">
      <alignment horizontal="center"/>
    </xf>
    <xf numFmtId="0" fontId="2" fillId="3" borderId="1" xfId="0" applyAlignment="1" applyBorder="1" applyFont="1" applyNumberFormat="1" applyFill="1" applyProtection="1">
      <alignment horizontal="left" vertical="center" wrapText="1"/>
    </xf>
    <xf numFmtId="164" fontId="3" fillId="2" borderId="0" xfId="0" applyAlignment="1" applyFont="1" applyNumberFormat="1" applyFill="1" applyProtection="1">
      <alignment vertical="center" wrapText="1"/>
    </xf>
    <xf numFmtId="168" fontId="3" fillId="2" borderId="0" xfId="0" applyAlignment="1" applyFont="1" applyNumberFormat="1" applyFill="1" applyProtection="1">
      <alignment vertical="center" wrapText="1"/>
    </xf>
    <xf numFmtId="0" fontId="0" fillId="2" borderId="0" xfId="0" applyAlignment="1" applyNumberFormat="1"/>
  </cellXfs>
  <cellStyles count="1">
    <cellStyle name="Normal" xfId="0" builtinId="0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Relationship Id="rId7" Type="http://schemas.openxmlformats.org/officeDocument/2006/relationships/theme" Target="/xl/theme/theme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pieChart>
        <c:varyColors val="1"/>
        <c:ser>
          <c:idx val="0"/>
          <c:order val="0"/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  <c:showLeaderLines val="1"/>
          </c:dLbls>
          <c:cat>
            <c:strRef>
              <c:f>'Firm Ownership Summary'!$A$36:$B$36</c:f>
              <c:strCache/>
            </c:strRef>
          </c:cat>
          <c:val>
            <c:numRef>
              <c:f>'Firm Ownership Summary'!$A$37:$B$37</c:f>
              <c:numCache/>
            </c:numRef>
          </c:val>
        </c:ser>
        <c:firstSliceAng val="0"/>
      </c:pieChart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pieChart>
        <c:varyColors val="1"/>
        <c:ser>
          <c:idx val="0"/>
          <c:order val="0"/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  <c:showLeaderLines val="1"/>
          </c:dLbls>
          <c:cat>
            <c:strRef>
              <c:f>'Firm Ownership Summary'!$A$38:$C$38</c:f>
              <c:strCache/>
            </c:strRef>
          </c:cat>
          <c:val>
            <c:numRef>
              <c:f>'Firm Ownership Summary'!$A$39:$C$39</c:f>
              <c:numCache/>
            </c:numRef>
          </c:val>
        </c:ser>
        <c:firstSliceAng val="0"/>
      </c:pieChart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Style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'Firm Ownership Summary'!$A$49</c:f>
              <c:strCache/>
            </c:strRef>
          </c:tx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val>
            <c:numRef>
              <c:f>'Firm Ownership Summary'!$A$50</c:f>
              <c:numCache/>
            </c:numRef>
          </c:val>
        </c:ser>
        <c:ser>
          <c:idx val="1"/>
          <c:order val="1"/>
          <c:tx>
            <c:strRef>
              <c:f>'Firm Ownership Summary'!$B$49</c:f>
              <c:strCache/>
            </c:strRef>
          </c:tx>
          <c:spPr>
            <a:effectLst/>
          </c:spPr>
          <c:val>
            <c:numRef>
              <c:f>'Firm Ownership Summary'!$B$50</c:f>
              <c:numCache/>
            </c:numRef>
          </c:val>
        </c:ser>
        <c:ser>
          <c:idx val="2"/>
          <c:order val="2"/>
          <c:tx>
            <c:strRef>
              <c:f>'Firm Ownership Summary'!$C$49</c:f>
              <c:strCache/>
            </c:strRef>
          </c:tx>
          <c:spPr>
            <a:effectLst/>
          </c:spPr>
          <c:val>
            <c:numRef>
              <c:f>'Firm Ownership Summary'!$C$50</c:f>
              <c:numCache/>
            </c:numRef>
          </c:val>
        </c:ser>
        <c:ser>
          <c:idx val="3"/>
          <c:order val="3"/>
          <c:tx>
            <c:strRef>
              <c:f>'Firm Ownership Summary'!$D$49</c:f>
              <c:strCache/>
            </c:strRef>
          </c:tx>
          <c:spPr>
            <a:effectLst/>
          </c:spPr>
          <c:val>
            <c:numRef>
              <c:f>'Firm Ownership Summary'!$D$50</c:f>
              <c:numCache/>
            </c:numRef>
          </c:val>
        </c:ser>
        <c:ser>
          <c:idx val="4"/>
          <c:order val="4"/>
          <c:tx>
            <c:strRef>
              <c:f>'Firm Ownership Summary'!$E$49</c:f>
              <c:strCache/>
            </c:strRef>
          </c:tx>
          <c:spPr>
            <a:effectLst/>
          </c:spPr>
          <c:val>
            <c:numRef>
              <c:f>'Firm Ownership Summary'!$E$50</c:f>
              <c:numCache/>
            </c:numRef>
          </c:val>
        </c:ser>
        <c:ser>
          <c:idx val="5"/>
          <c:order val="5"/>
          <c:tx>
            <c:strRef>
              <c:f>'Firm Ownership Summary'!$F$49</c:f>
              <c:strCache/>
            </c:strRef>
          </c:tx>
          <c:spPr>
            <a:effectLst/>
          </c:spPr>
          <c:val>
            <c:numRef>
              <c:f>'Firm Ownership Summary'!$F$50</c:f>
              <c:numCache/>
            </c:numRef>
          </c:val>
        </c:ser>
        <c:ser>
          <c:idx val="6"/>
          <c:order val="6"/>
          <c:tx>
            <c:strRef>
              <c:f>'Firm Ownership Summary'!$G$49</c:f>
              <c:strCache/>
            </c:strRef>
          </c:tx>
          <c:spPr>
            <a:effectLst/>
          </c:spPr>
          <c:val>
            <c:numRef>
              <c:f>'Firm Ownership Summary'!$G$50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Location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'Firm Ownership Summary'!$A$51</c:f>
              <c:strCache/>
            </c:strRef>
          </c:tx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val>
            <c:numRef>
              <c:f>'Firm Ownership Summary'!$A$52</c:f>
              <c:numCache/>
            </c:numRef>
          </c:val>
        </c:ser>
        <c:ser>
          <c:idx val="1"/>
          <c:order val="1"/>
          <c:tx>
            <c:strRef>
              <c:f>'Firm Ownership Summary'!$B$51</c:f>
              <c:strCache/>
            </c:strRef>
          </c:tx>
          <c:spPr>
            <a:effectLst/>
          </c:spPr>
          <c:val>
            <c:numRef>
              <c:f>'Firm Ownership Summary'!$B$52</c:f>
              <c:numCache/>
            </c:numRef>
          </c:val>
        </c:ser>
        <c:ser>
          <c:idx val="2"/>
          <c:order val="2"/>
          <c:tx>
            <c:strRef>
              <c:f>'Firm Ownership Summary'!$C$51</c:f>
              <c:strCache/>
            </c:strRef>
          </c:tx>
          <c:spPr>
            <a:effectLst/>
          </c:spPr>
          <c:val>
            <c:numRef>
              <c:f>'Firm Ownership Summary'!$C$52</c:f>
              <c:numCache/>
            </c:numRef>
          </c:val>
        </c:ser>
        <c:ser>
          <c:idx val="3"/>
          <c:order val="3"/>
          <c:tx>
            <c:strRef>
              <c:f>'Firm Ownership Summary'!$D$51</c:f>
              <c:strCache/>
            </c:strRef>
          </c:tx>
          <c:spPr>
            <a:effectLst/>
          </c:spPr>
          <c:val>
            <c:numRef>
              <c:f>'Firm Ownership Summary'!$D$52</c:f>
              <c:numCache/>
            </c:numRef>
          </c:val>
        </c:ser>
        <c:ser>
          <c:idx val="4"/>
          <c:order val="4"/>
          <c:tx>
            <c:strRef>
              <c:f>'Firm Ownership Summary'!$E$51</c:f>
              <c:strCache/>
            </c:strRef>
          </c:tx>
          <c:spPr>
            <a:effectLst/>
          </c:spPr>
          <c:val>
            <c:numRef>
              <c:f>'Firm Ownership Summary'!$E$52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Rotation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'Firm Ownership Summary'!$A$53</c:f>
              <c:strCache/>
            </c:strRef>
          </c:tx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val>
            <c:numRef>
              <c:f>'Firm Ownership Summary'!$A$54</c:f>
              <c:numCache/>
            </c:numRef>
          </c:val>
        </c:ser>
        <c:ser>
          <c:idx val="1"/>
          <c:order val="1"/>
          <c:tx>
            <c:strRef>
              <c:f>'Firm Ownership Summary'!$B$53</c:f>
              <c:strCache/>
            </c:strRef>
          </c:tx>
          <c:spPr>
            <a:effectLst/>
          </c:spPr>
          <c:val>
            <c:numRef>
              <c:f>'Firm Ownership Summary'!$B$54</c:f>
              <c:numCache/>
            </c:numRef>
          </c:val>
        </c:ser>
        <c:ser>
          <c:idx val="2"/>
          <c:order val="2"/>
          <c:tx>
            <c:strRef>
              <c:f>'Firm Ownership Summary'!$C$53</c:f>
              <c:strCache/>
            </c:strRef>
          </c:tx>
          <c:spPr>
            <a:effectLst/>
          </c:spPr>
          <c:val>
            <c:numRef>
              <c:f>'Firm Ownership Summary'!$C$54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Turnover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'Firm Ownership Summary'!$A$55</c:f>
              <c:strCache/>
            </c:strRef>
          </c:tx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val>
            <c:numRef>
              <c:f>'Firm Ownership Summary'!$A$56</c:f>
              <c:numCache/>
            </c:numRef>
          </c:val>
        </c:ser>
        <c:ser>
          <c:idx val="1"/>
          <c:order val="1"/>
          <c:tx>
            <c:strRef>
              <c:f>'Firm Ownership Summary'!$B$55</c:f>
              <c:strCache/>
            </c:strRef>
          </c:tx>
          <c:spPr>
            <a:effectLst/>
          </c:spPr>
          <c:val>
            <c:numRef>
              <c:f>'Firm Ownership Summary'!$B$56</c:f>
              <c:numCache/>
            </c:numRef>
          </c:val>
        </c:ser>
        <c:ser>
          <c:idx val="2"/>
          <c:order val="2"/>
          <c:tx>
            <c:strRef>
              <c:f>'Firm Ownership Summary'!$C$55</c:f>
              <c:strCache/>
            </c:strRef>
          </c:tx>
          <c:spPr>
            <a:effectLst/>
          </c:spPr>
          <c:val>
            <c:numRef>
              <c:f>'Firm Ownership Summary'!$C$56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barChart>
        <c:barDir val="bar"/>
        <c:grouping val="stacked"/>
        <c:varyColors val="0"/>
        <c:ser>
          <c:idx val="0"/>
          <c:order val="0"/>
          <c:spPr>
            <a:effectLst/>
          </c:spPr>
          <c:dLbls>
            <c:numFmt formatCode="0.00%"/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1"/>
          </c:dLbls>
          <c:cat>
            <c:strRef>
              <c:f>'Firm Ownership Summary'!$A$72:$D$72</c:f>
              <c:strCache/>
            </c:strRef>
          </c:cat>
          <c:val>
            <c:numRef>
              <c:f>'Firm Ownership Summary'!$A$73:$D$73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  <a:round/>
          </a:ln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ax val="0.797253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1" sz="1100">
                <a:latin typeface="Calibri"/>
              </a:rPr>
              <a:t>Shares</a:t>
            </a:r>
          </a:p>
        </c:rich>
      </c:tx>
      <c:spPr>
        <a:ln>
          <a:noFill/>
          <a:round/>
        </a:ln>
        <a:effectLst/>
      </c:spPr>
    </c:title>
    <c:plotArea>
      <c:barChart>
        <c:barDir val="bar"/>
        <c:grouping val="stacked"/>
        <c:varyColors val="0"/>
        <c:ser>
          <c:idx val="0"/>
          <c:order val="0"/>
          <c:tx>
            <c:v>Buys</c:v>
          </c:tx>
          <c:spPr>
            <a:effectLst/>
          </c:spPr>
          <c:dLbls>
            <c:numFmt formatCode="#,##0.00 &quot;M&quot;"/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1"/>
          </c:dLbls>
          <c:cat>
            <c:strRef>
              <c:f>'Firm Ownership Summary'!$A$90:$J$90</c:f>
              <c:strCache/>
            </c:strRef>
          </c:cat>
          <c:val>
            <c:numRef>
              <c:f>'Firm Ownership Summary'!$A$91:$J$91</c:f>
              <c:numCache/>
            </c:numRef>
          </c:val>
        </c:ser>
        <c:ser>
          <c:idx val="1"/>
          <c:order val="1"/>
          <c:tx>
            <c:v>Sells</c:v>
          </c:tx>
          <c:spPr>
            <a:effectLst/>
          </c:spPr>
          <c:dLbls>
            <c:numFmt formatCode="#,##0.00 &quot;M&quot;"/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1"/>
          </c:dLbls>
          <c:cat>
            <c:strRef>
              <c:f>'Firm Ownership Summary'!$A$90:$J$90</c:f>
              <c:strCache/>
            </c:strRef>
          </c:cat>
          <c:val>
            <c:numRef>
              <c:f>'Firm Ownership Summary'!$A$92:$J$92</c:f>
              <c:numCache/>
            </c:numRef>
          </c:val>
        </c:ser>
        <c:gapWidth val="40"/>
        <c:overlap val="10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t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Relationship Id="rId2" Type="http://schemas.openxmlformats.org/officeDocument/2006/relationships/chart" Target="/xl/charts/chart2.xml" /><Relationship Id="rId3" Type="http://schemas.openxmlformats.org/officeDocument/2006/relationships/chart" Target="/xl/charts/chart3.xml" /><Relationship Id="rId4" Type="http://schemas.openxmlformats.org/officeDocument/2006/relationships/chart" Target="/xl/charts/chart4.xml" /><Relationship Id="rId5" Type="http://schemas.openxmlformats.org/officeDocument/2006/relationships/chart" Target="/xl/charts/chart5.xml" /><Relationship Id="rId6" Type="http://schemas.openxmlformats.org/officeDocument/2006/relationships/chart" Target="/xl/charts/chart6.xml" /><Relationship Id="rId7" Type="http://schemas.openxmlformats.org/officeDocument/2006/relationships/chart" Target="/xl/charts/chart7.xml" /><Relationship Id="rId8" Type="http://schemas.openxmlformats.org/officeDocument/2006/relationships/chart" Target="/xl/charts/chart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35</xdr:row>
      <xdr:rowOff>0</xdr:rowOff>
    </xdr:from>
    <xdr:to>
      <xdr:col>4</xdr:col>
      <xdr:colOff>0</xdr:colOff>
      <xdr:row>45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1"/>
        </a:graphicData>
      </a:graphic>
    </xdr:graphicFrame>
    <xdr:clientData/>
  </xdr:twoCellAnchor>
  <xdr:twoCellAnchor editAs="twoCell">
    <xdr:from>
      <xdr:col>4</xdr:col>
      <xdr:colOff>0</xdr:colOff>
      <xdr:row>35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2"/>
        </a:graphicData>
      </a:graphic>
    </xdr:graphicFrame>
    <xdr:clientData/>
  </xdr:twoCellAnchor>
  <xdr:twoCellAnchor editAs="twoCell">
    <xdr:from>
      <xdr:col>0</xdr:col>
      <xdr:colOff>0</xdr:colOff>
      <xdr:row>48</xdr:row>
      <xdr:rowOff>0</xdr:rowOff>
    </xdr:from>
    <xdr:to>
      <xdr:col>2</xdr:col>
      <xdr:colOff>0</xdr:colOff>
      <xdr:row>68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3"/>
        </a:graphicData>
      </a:graphic>
    </xdr:graphicFrame>
    <xdr:clientData/>
  </xdr:twoCellAnchor>
  <xdr:twoCellAnchor editAs="twoCell">
    <xdr:from>
      <xdr:col>2</xdr:col>
      <xdr:colOff>0</xdr:colOff>
      <xdr:row>48</xdr:row>
      <xdr:rowOff>0</xdr:rowOff>
    </xdr:from>
    <xdr:to>
      <xdr:col>4</xdr:col>
      <xdr:colOff>0</xdr:colOff>
      <xdr:row>68</xdr:row>
      <xdr:rowOff>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4"/>
        </a:graphicData>
      </a:graphic>
    </xdr:graphicFrame>
    <xdr:clientData/>
  </xdr:twoCellAnchor>
  <xdr:twoCellAnchor editAs="twoCell">
    <xdr:from>
      <xdr:col>4</xdr:col>
      <xdr:colOff>0</xdr:colOff>
      <xdr:row>48</xdr:row>
      <xdr:rowOff>0</xdr:rowOff>
    </xdr:from>
    <xdr:to>
      <xdr:col>6</xdr:col>
      <xdr:colOff>0</xdr:colOff>
      <xdr:row>68</xdr:row>
      <xdr:rowOff>0</xdr:rowOff>
    </xdr:to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5"/>
        </a:graphicData>
      </a:graphic>
    </xdr:graphicFrame>
    <xdr:clientData/>
  </xdr:twoCellAnchor>
  <xdr:twoCellAnchor editAs="twoCell">
    <xdr:from>
      <xdr:col>6</xdr:col>
      <xdr:colOff>0</xdr:colOff>
      <xdr:row>48</xdr:row>
      <xdr:rowOff>0</xdr:rowOff>
    </xdr:from>
    <xdr:to>
      <xdr:col>8</xdr:col>
      <xdr:colOff>0</xdr:colOff>
      <xdr:row>68</xdr:row>
      <xdr:rowOff>0</xdr:rowOff>
    </xdr:to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6"/>
        </a:graphicData>
      </a:graphic>
    </xdr:graphicFrame>
    <xdr:clientData/>
  </xdr:twoCellAnchor>
  <xdr:twoCellAnchor editAs="twoCell">
    <xdr:from>
      <xdr:col>0</xdr:col>
      <xdr:colOff>0</xdr:colOff>
      <xdr:row>71</xdr:row>
      <xdr:rowOff>0</xdr:rowOff>
    </xdr:from>
    <xdr:to>
      <xdr:col>8</xdr:col>
      <xdr:colOff>0</xdr:colOff>
      <xdr:row>86</xdr:row>
      <xdr:rowOff>0</xdr:rowOff>
    </xdr:to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7"/>
        </a:graphicData>
      </a:graphic>
    </xdr:graphicFrame>
    <xdr:clientData/>
  </xdr:twoCellAnchor>
  <xdr:twoCellAnchor editAs="twoCell">
    <xdr:from>
      <xdr:col>0</xdr:col>
      <xdr:colOff>0</xdr:colOff>
      <xdr:row>89</xdr:row>
      <xdr:rowOff>0</xdr:rowOff>
    </xdr:from>
    <xdr:to>
      <xdr:col>8</xdr:col>
      <xdr:colOff>0</xdr:colOff>
      <xdr:row>113</xdr:row>
      <xdr:rowOff>0</xdr:rowOff>
    </xdr:to>
    <xdr:graphicFrame macro=""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8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FFFFFF"/>
      </a:dk2>
      <a:lt2>
        <a:srgbClr val="D9D9D9"/>
      </a:lt2>
      <a:accent1>
        <a:srgbClr val="6678FF"/>
      </a:accent1>
      <a:accent2>
        <a:srgbClr val="F5475B"/>
      </a:accent2>
      <a:accent3>
        <a:srgbClr val="39C46E"/>
      </a:accent3>
      <a:accent4>
        <a:srgbClr val="FFC800"/>
      </a:accent4>
      <a:accent5>
        <a:srgbClr val="00D0D4"/>
      </a:accent5>
      <a:accent6>
        <a:srgbClr val="9064CD"/>
      </a:accent6>
      <a:hlink>
        <a:srgbClr val="001DFF"/>
      </a:hlink>
      <a:folHlink>
        <a:srgbClr val="001D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J92"/>
  <sheetViews>
    <sheetView view="normal" workbookViewId="0">
      <selection pane="topLeft" activeCell="A1" sqref="A1"/>
    </sheetView>
  </sheetViews>
  <sheetFormatPr defaultRowHeight="15" baseColWidth="0"/>
  <cols>
    <col min="1" max="1" width="20.7109375" style="0" customWidth="1"/>
    <col min="2" max="2" width="30.7109375" style="0" customWidth="1"/>
    <col min="3" max="8" width="25.7109375" style="0" customWidth="1"/>
    <col min="9" max="9" width="4.28125" style="0" customWidth="1"/>
    <col min="10" max="10" width="5.13671875" style="0" customWidth="1"/>
  </cols>
  <sheetData>
    <row r="1" spans="1:1" s="21" ht="15">
      <c r="A1" t="s">
        <v>0</v>
      </c>
    </row>
    <row r="2" spans="1:1" s="21" ht="32.95" customHeight="1">
      <c r="A2" s="1" t="s">
        <v>1</v>
      </c>
    </row>
    <row r="3" spans="1:2" s="21" ht="15">
      <c r="A3" t="s">
        <v>2</v>
      </c>
      <c r="B3" s="2">
        <v>46305.9209263773</v>
      </c>
    </row>
    <row r="6" spans="2:7" s="21" ht="15">
      <c r="B6" s="14" t="s">
        <v>3</v>
      </c>
      <c r="C6" s="15" t="s">
        <v>3</v>
      </c>
      <c r="D6" s="15" t="s">
        <v>3</v>
      </c>
      <c r="E6" s="15" t="s">
        <v>3</v>
      </c>
      <c r="F6" s="15" t="s">
        <v>3</v>
      </c>
      <c r="G6" s="16" t="s">
        <v>3</v>
      </c>
    </row>
    <row r="7" spans="2:7" s="21" ht="30" customHeight="1"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</row>
    <row r="8" spans="2:7" s="21" ht="15">
      <c r="B8" s="4" t="s">
        <v>10</v>
      </c>
      <c r="C8" s="5">
        <v>4284.560011</v>
      </c>
      <c r="D8" s="5">
        <v>1183.799223</v>
      </c>
      <c r="E8" s="6">
        <v>0.276294</v>
      </c>
      <c r="F8" s="6">
        <v>0.723705766762337</v>
      </c>
      <c r="G8" s="5">
        <v>13028.417390708</v>
      </c>
    </row>
    <row r="11" spans="1:8" s="21" ht="15">
      <c r="A11" s="14" t="s">
        <v>11</v>
      </c>
      <c r="B11" s="15" t="s">
        <v>11</v>
      </c>
      <c r="C11" s="15" t="s">
        <v>11</v>
      </c>
      <c r="D11" s="15" t="s">
        <v>11</v>
      </c>
      <c r="E11" s="15" t="s">
        <v>11</v>
      </c>
      <c r="F11" s="15" t="s">
        <v>11</v>
      </c>
      <c r="G11" s="15" t="s">
        <v>11</v>
      </c>
      <c r="H11" s="16" t="s">
        <v>11</v>
      </c>
    </row>
    <row r="12" spans="1:8" s="21" ht="1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s="21" ht="15">
      <c r="A13" s="7">
        <v>1</v>
      </c>
      <c r="B13" s="4" t="s">
        <v>20</v>
      </c>
      <c r="C13" s="8">
        <v>0.411506</v>
      </c>
      <c r="D13" s="5">
        <v>1763.1235</v>
      </c>
      <c r="E13" s="9">
        <v>0</v>
      </c>
      <c r="F13" s="5">
        <v>5789.43382676</v>
      </c>
      <c r="G13" s="9">
        <v>0</v>
      </c>
      <c r="H13" s="10">
        <v>46022</v>
      </c>
    </row>
    <row r="14" spans="1:8" s="21" ht="15">
      <c r="A14" s="7">
        <v>2</v>
      </c>
      <c r="B14" s="4" t="s">
        <v>21</v>
      </c>
      <c r="C14" s="8">
        <v>0.128431</v>
      </c>
      <c r="D14" s="5">
        <v>550.268544</v>
      </c>
      <c r="E14" s="9">
        <v>0</v>
      </c>
      <c r="F14" s="5">
        <v>1806.87474385</v>
      </c>
      <c r="G14" s="9">
        <v>0</v>
      </c>
      <c r="H14" s="10">
        <v>46022</v>
      </c>
    </row>
    <row r="15" spans="1:8" s="21" ht="15">
      <c r="A15" s="7">
        <v>3</v>
      </c>
      <c r="B15" s="4" t="s">
        <v>22</v>
      </c>
      <c r="C15" s="8">
        <v>0.054309</v>
      </c>
      <c r="D15" s="5">
        <v>232.692104</v>
      </c>
      <c r="E15" s="9">
        <v>0</v>
      </c>
      <c r="F15" s="5">
        <v>764.07327003</v>
      </c>
      <c r="G15" s="9">
        <v>0</v>
      </c>
      <c r="H15" s="10">
        <v>46022</v>
      </c>
    </row>
    <row r="16" spans="1:8" s="21" ht="15">
      <c r="A16" s="7">
        <v>4</v>
      </c>
      <c r="B16" s="4" t="s">
        <v>23</v>
      </c>
      <c r="C16" s="8">
        <v>0.051719</v>
      </c>
      <c r="D16" s="5">
        <v>221.593708</v>
      </c>
      <c r="E16" s="9">
        <v>0</v>
      </c>
      <c r="F16" s="5">
        <v>727.63031568</v>
      </c>
      <c r="G16" s="9">
        <v>0</v>
      </c>
      <c r="H16" s="10">
        <v>46022</v>
      </c>
    </row>
    <row r="17" spans="1:8" s="21" ht="27" customHeight="1">
      <c r="A17" s="7">
        <v>5</v>
      </c>
      <c r="B17" s="4" t="s">
        <v>24</v>
      </c>
      <c r="C17" s="8">
        <v>0.040114</v>
      </c>
      <c r="D17" s="5">
        <v>171.869396</v>
      </c>
      <c r="E17" s="9">
        <v>0</v>
      </c>
      <c r="F17" s="5">
        <v>564.35439434</v>
      </c>
      <c r="G17" s="9">
        <v>0</v>
      </c>
      <c r="H17" s="10">
        <v>46022</v>
      </c>
    </row>
    <row r="18" spans="1:8" s="21" ht="15">
      <c r="A18" s="7">
        <v>6</v>
      </c>
      <c r="B18" s="4" t="s">
        <v>25</v>
      </c>
      <c r="C18" s="8">
        <v>0.037627</v>
      </c>
      <c r="D18" s="5">
        <v>161.213536</v>
      </c>
      <c r="E18" s="9">
        <v>0</v>
      </c>
      <c r="F18" s="5">
        <v>529.36456162</v>
      </c>
      <c r="G18" s="9">
        <v>0</v>
      </c>
      <c r="H18" s="10">
        <v>46022</v>
      </c>
    </row>
    <row r="19" spans="1:8" s="21" ht="27" customHeight="1">
      <c r="A19" s="7">
        <v>7</v>
      </c>
      <c r="B19" s="4" t="s">
        <v>26</v>
      </c>
      <c r="C19" s="8">
        <v>0.011098</v>
      </c>
      <c r="D19" s="5">
        <v>47.54848</v>
      </c>
      <c r="E19" s="11">
        <v>-0.031613</v>
      </c>
      <c r="F19" s="5">
        <v>144.83053316</v>
      </c>
      <c r="G19" s="11">
        <v>-0.09629178</v>
      </c>
      <c r="H19" s="10">
        <v>46295</v>
      </c>
    </row>
    <row r="20" spans="1:8" s="21" ht="15">
      <c r="A20" s="7">
        <v>8</v>
      </c>
      <c r="B20" s="4" t="s">
        <v>27</v>
      </c>
      <c r="C20" s="8">
        <v>0.00967</v>
      </c>
      <c r="D20" s="5">
        <v>41.431325</v>
      </c>
      <c r="E20" s="11">
        <v>-0.908083</v>
      </c>
      <c r="F20" s="5">
        <v>142.62028773</v>
      </c>
      <c r="G20" s="11">
        <v>-3.12592124</v>
      </c>
      <c r="H20" s="10">
        <v>46173</v>
      </c>
    </row>
    <row r="21" spans="1:8" s="21" ht="15">
      <c r="A21" s="7">
        <v>9</v>
      </c>
      <c r="B21" s="4" t="s">
        <v>28</v>
      </c>
      <c r="C21" s="8">
        <v>0.008912</v>
      </c>
      <c r="D21" s="5">
        <v>38.185602</v>
      </c>
      <c r="E21" s="12">
        <v>0.0048</v>
      </c>
      <c r="F21" s="5">
        <v>116.31162755</v>
      </c>
      <c r="G21" s="12">
        <v>0.01462058</v>
      </c>
      <c r="H21" s="10">
        <v>46295</v>
      </c>
    </row>
    <row r="22" spans="1:8" s="21" ht="27" customHeight="1">
      <c r="A22" s="7">
        <v>10</v>
      </c>
      <c r="B22" s="4" t="s">
        <v>29</v>
      </c>
      <c r="C22" s="8">
        <v>0.008198</v>
      </c>
      <c r="D22" s="5">
        <v>35.12646</v>
      </c>
      <c r="E22" s="11">
        <v>-4.681585</v>
      </c>
      <c r="F22" s="5">
        <v>106.99361851</v>
      </c>
      <c r="G22" s="11">
        <v>-14.25989751</v>
      </c>
      <c r="H22" s="10">
        <v>46295</v>
      </c>
    </row>
    <row r="23" spans="1:8" s="21" ht="27" customHeight="1">
      <c r="A23" s="7">
        <v>11</v>
      </c>
      <c r="B23" s="4" t="s">
        <v>30</v>
      </c>
      <c r="C23" s="8">
        <v>0.005861</v>
      </c>
      <c r="D23" s="5">
        <v>25.109927</v>
      </c>
      <c r="E23" s="9">
        <v>0</v>
      </c>
      <c r="F23" s="5">
        <v>87.50541142</v>
      </c>
      <c r="G23" s="9">
        <v>0</v>
      </c>
      <c r="H23" s="10">
        <v>46265</v>
      </c>
    </row>
    <row r="24" spans="1:8" s="21" ht="15">
      <c r="A24" s="7">
        <v>12</v>
      </c>
      <c r="B24" s="4" t="s">
        <v>31</v>
      </c>
      <c r="C24" s="8">
        <v>0.003782</v>
      </c>
      <c r="D24" s="5">
        <v>16.202823</v>
      </c>
      <c r="E24" s="11">
        <v>-0.021666</v>
      </c>
      <c r="F24" s="5">
        <v>49.35307067</v>
      </c>
      <c r="G24" s="11">
        <v>-0.06599366</v>
      </c>
      <c r="H24" s="10">
        <v>46295</v>
      </c>
    </row>
    <row r="25" spans="1:8" s="21" ht="15">
      <c r="A25" s="7">
        <v>13</v>
      </c>
      <c r="B25" s="4" t="s">
        <v>32</v>
      </c>
      <c r="C25" s="8">
        <v>0.002343</v>
      </c>
      <c r="D25" s="5">
        <v>10.039276</v>
      </c>
      <c r="E25" s="12">
        <v>0.224715</v>
      </c>
      <c r="F25" s="5">
        <v>30.57918351</v>
      </c>
      <c r="G25" s="12">
        <v>0.68447179</v>
      </c>
      <c r="H25" s="10">
        <v>46295</v>
      </c>
    </row>
    <row r="26" spans="1:8" s="21" ht="27" customHeight="1">
      <c r="A26" s="7">
        <v>14</v>
      </c>
      <c r="B26" s="4" t="s">
        <v>33</v>
      </c>
      <c r="C26" s="8">
        <v>0.001666</v>
      </c>
      <c r="D26" s="5">
        <v>7.136916</v>
      </c>
      <c r="E26" s="12">
        <v>0.607711</v>
      </c>
      <c r="F26" s="5">
        <v>21.73872539</v>
      </c>
      <c r="G26" s="12">
        <v>1.85106039</v>
      </c>
      <c r="H26" s="10">
        <v>46295</v>
      </c>
    </row>
    <row r="27" spans="1:8" s="21" ht="15">
      <c r="A27" s="7">
        <v>15</v>
      </c>
      <c r="B27" s="4" t="s">
        <v>34</v>
      </c>
      <c r="C27" s="8">
        <v>0.001654</v>
      </c>
      <c r="D27" s="5">
        <v>7.085555</v>
      </c>
      <c r="E27" s="11">
        <v>-0.0112</v>
      </c>
      <c r="F27" s="5">
        <v>21.58228209</v>
      </c>
      <c r="G27" s="11">
        <v>-0.0341147</v>
      </c>
      <c r="H27" s="10">
        <v>46295</v>
      </c>
    </row>
    <row r="28" spans="1:8" s="21" ht="15">
      <c r="A28" s="7">
        <v>16</v>
      </c>
      <c r="B28" s="4" t="s">
        <v>35</v>
      </c>
      <c r="C28" s="8">
        <v>0.001116</v>
      </c>
      <c r="D28" s="5">
        <v>4.779672</v>
      </c>
      <c r="E28" s="12">
        <v>0.0271</v>
      </c>
      <c r="F28" s="5">
        <v>16.65664599</v>
      </c>
      <c r="G28" s="12">
        <v>0.0944406</v>
      </c>
      <c r="H28" s="10">
        <v>46265</v>
      </c>
    </row>
    <row r="29" spans="1:8" s="21" ht="27" customHeight="1">
      <c r="A29" s="7">
        <v>17</v>
      </c>
      <c r="B29" s="4" t="s">
        <v>36</v>
      </c>
      <c r="C29" s="8">
        <v>0.001087</v>
      </c>
      <c r="D29" s="5">
        <v>4.659339</v>
      </c>
      <c r="E29" s="11">
        <v>-0.564167</v>
      </c>
      <c r="F29" s="5">
        <v>14.19213719</v>
      </c>
      <c r="G29" s="11">
        <v>-1.71842733</v>
      </c>
      <c r="H29" s="10">
        <v>46295</v>
      </c>
    </row>
    <row r="30" spans="1:8" s="21" ht="27" customHeight="1">
      <c r="A30" s="7">
        <v>18</v>
      </c>
      <c r="B30" s="4" t="s">
        <v>37</v>
      </c>
      <c r="C30" s="8">
        <v>0.001035</v>
      </c>
      <c r="D30" s="5">
        <v>4.433658</v>
      </c>
      <c r="E30" s="12">
        <v>0.004496</v>
      </c>
      <c r="F30" s="5">
        <v>13.50472301</v>
      </c>
      <c r="G30" s="12">
        <v>0.01369461</v>
      </c>
      <c r="H30" s="10">
        <v>46295</v>
      </c>
    </row>
    <row r="31" spans="1:8" s="21" ht="27" customHeight="1">
      <c r="A31" s="7">
        <v>19</v>
      </c>
      <c r="B31" s="4" t="s">
        <v>38</v>
      </c>
      <c r="C31" s="8">
        <v>0.000989</v>
      </c>
      <c r="D31" s="5">
        <v>4.239101</v>
      </c>
      <c r="E31" s="12">
        <v>0.000428</v>
      </c>
      <c r="F31" s="5">
        <v>12.91211113</v>
      </c>
      <c r="G31" s="12">
        <v>0.00130367</v>
      </c>
      <c r="H31" s="10">
        <v>46295</v>
      </c>
    </row>
    <row r="32" spans="1:8" s="21" ht="15">
      <c r="A32" s="7">
        <v>20</v>
      </c>
      <c r="B32" s="4" t="s">
        <v>39</v>
      </c>
      <c r="C32" s="8">
        <v>0.000989</v>
      </c>
      <c r="D32" s="5">
        <v>4.2376</v>
      </c>
      <c r="E32" s="11">
        <v>-0.011571</v>
      </c>
      <c r="F32" s="5">
        <v>14.76758301</v>
      </c>
      <c r="G32" s="11">
        <v>-0.0403237</v>
      </c>
      <c r="H32" s="10">
        <v>46265</v>
      </c>
    </row>
    <row r="35" spans="1:8" s="21" ht="15">
      <c r="A35" s="14" t="s">
        <v>40</v>
      </c>
      <c r="B35" s="15" t="s">
        <v>40</v>
      </c>
      <c r="C35" s="15" t="s">
        <v>40</v>
      </c>
      <c r="D35" s="15" t="s">
        <v>40</v>
      </c>
      <c r="E35" s="15" t="s">
        <v>40</v>
      </c>
      <c r="F35" s="15" t="s">
        <v>40</v>
      </c>
      <c r="G35" s="15" t="s">
        <v>40</v>
      </c>
      <c r="H35" s="16" t="s">
        <v>40</v>
      </c>
    </row>
    <row r="36" spans="1:2" s="21" ht="15">
      <c r="A36" s="13" t="s">
        <v>41</v>
      </c>
      <c r="B36" s="13" t="s">
        <v>42</v>
      </c>
    </row>
    <row r="37" spans="1:2" s="21" ht="15">
      <c r="A37" s="13">
        <v>167</v>
      </c>
      <c r="B37" s="13">
        <v>6</v>
      </c>
    </row>
    <row r="38" spans="1:3" s="21" ht="15">
      <c r="A38" s="13" t="s">
        <v>43</v>
      </c>
      <c r="B38" s="13" t="s">
        <v>44</v>
      </c>
      <c r="C38" s="13" t="s">
        <v>45</v>
      </c>
    </row>
    <row r="39" spans="1:3" s="21" ht="15">
      <c r="A39" s="13">
        <v>167</v>
      </c>
      <c r="B39" s="13">
        <v>5</v>
      </c>
      <c r="C39" s="13">
        <v>1</v>
      </c>
    </row>
    <row r="48" spans="1:8" s="21" ht="15">
      <c r="A48" s="14" t="s">
        <v>46</v>
      </c>
      <c r="B48" s="15" t="s">
        <v>46</v>
      </c>
      <c r="C48" s="15" t="s">
        <v>46</v>
      </c>
      <c r="D48" s="15" t="s">
        <v>46</v>
      </c>
      <c r="E48" s="15" t="s">
        <v>46</v>
      </c>
      <c r="F48" s="15" t="s">
        <v>46</v>
      </c>
      <c r="G48" s="15" t="s">
        <v>46</v>
      </c>
      <c r="H48" s="16" t="s">
        <v>46</v>
      </c>
    </row>
    <row r="49" spans="1:7" s="21" ht="15">
      <c r="A49" s="13" t="s">
        <v>47</v>
      </c>
      <c r="B49" s="13" t="s">
        <v>48</v>
      </c>
      <c r="C49" s="13" t="s">
        <v>49</v>
      </c>
      <c r="D49" s="13" t="s">
        <v>50</v>
      </c>
      <c r="E49" s="13" t="s">
        <v>51</v>
      </c>
      <c r="F49" s="13" t="s">
        <v>52</v>
      </c>
      <c r="G49" s="13" t="s">
        <v>53</v>
      </c>
    </row>
    <row r="50" spans="1:7" s="21" ht="15">
      <c r="A50" s="13">
        <v>28</v>
      </c>
      <c r="B50" s="13">
        <v>47</v>
      </c>
      <c r="C50" s="13">
        <v>24</v>
      </c>
      <c r="D50" s="13">
        <v>19</v>
      </c>
      <c r="E50" s="13">
        <v>6</v>
      </c>
      <c r="F50" s="13">
        <v>4</v>
      </c>
      <c r="G50" s="13">
        <v>3</v>
      </c>
    </row>
    <row r="51" spans="1:5" s="21" ht="15">
      <c r="A51" s="13" t="s">
        <v>54</v>
      </c>
      <c r="B51" s="13" t="s">
        <v>55</v>
      </c>
      <c r="C51" s="13" t="s">
        <v>56</v>
      </c>
      <c r="D51" s="13" t="s">
        <v>57</v>
      </c>
      <c r="E51" s="13" t="s">
        <v>58</v>
      </c>
    </row>
    <row r="52" spans="1:5" s="21" ht="15">
      <c r="A52" s="13">
        <v>82</v>
      </c>
      <c r="B52" s="13">
        <v>69</v>
      </c>
      <c r="C52" s="13">
        <v>18</v>
      </c>
      <c r="D52" s="13">
        <v>3</v>
      </c>
      <c r="E52" s="13">
        <v>1</v>
      </c>
    </row>
    <row r="53" spans="1:3" s="21" ht="15">
      <c r="A53" s="13" t="s">
        <v>59</v>
      </c>
      <c r="B53" s="13" t="s">
        <v>60</v>
      </c>
      <c r="C53" s="13" t="s">
        <v>61</v>
      </c>
    </row>
    <row r="54" spans="1:3" s="21" ht="15">
      <c r="A54" s="13">
        <v>18</v>
      </c>
      <c r="B54" s="13">
        <v>13</v>
      </c>
      <c r="C54" s="13">
        <v>197</v>
      </c>
    </row>
    <row r="55" spans="1:3" s="21" ht="15">
      <c r="A55" s="13" t="s">
        <v>62</v>
      </c>
      <c r="B55" s="13" t="s">
        <v>63</v>
      </c>
      <c r="C55" s="13" t="s">
        <v>64</v>
      </c>
    </row>
    <row r="56" spans="1:3" s="21" ht="15">
      <c r="A56" s="13">
        <v>14</v>
      </c>
      <c r="B56" s="13">
        <v>42</v>
      </c>
      <c r="C56" s="13">
        <v>137</v>
      </c>
    </row>
    <row r="71" spans="1:8" s="21" ht="15">
      <c r="A71" s="14" t="s">
        <v>65</v>
      </c>
      <c r="B71" s="15" t="s">
        <v>65</v>
      </c>
      <c r="C71" s="15" t="s">
        <v>65</v>
      </c>
      <c r="D71" s="15" t="s">
        <v>65</v>
      </c>
      <c r="E71" s="15" t="s">
        <v>65</v>
      </c>
      <c r="F71" s="15" t="s">
        <v>65</v>
      </c>
      <c r="G71" s="15" t="s">
        <v>65</v>
      </c>
      <c r="H71" s="16" t="s">
        <v>65</v>
      </c>
    </row>
    <row r="72" spans="1:4" s="21" ht="15">
      <c r="A72" s="13" t="s">
        <v>66</v>
      </c>
      <c r="B72" s="13" t="s">
        <v>67</v>
      </c>
      <c r="C72" s="13" t="s">
        <v>68</v>
      </c>
      <c r="D72" s="13" t="s">
        <v>69</v>
      </c>
    </row>
    <row r="73" spans="1:4" s="21" ht="15">
      <c r="A73" s="13">
        <v>0.797253</v>
      </c>
      <c r="B73" s="13">
        <v>0.794065</v>
      </c>
      <c r="C73" s="13">
        <v>0.782106</v>
      </c>
      <c r="D73" s="13">
        <v>0.761584</v>
      </c>
    </row>
    <row r="89" spans="1:8" s="21" ht="15">
      <c r="A89" s="14" t="s">
        <v>70</v>
      </c>
      <c r="B89" s="15" t="s">
        <v>70</v>
      </c>
      <c r="C89" s="15" t="s">
        <v>70</v>
      </c>
      <c r="D89" s="15" t="s">
        <v>70</v>
      </c>
      <c r="E89" s="15" t="s">
        <v>70</v>
      </c>
      <c r="F89" s="15" t="s">
        <v>70</v>
      </c>
      <c r="G89" s="15" t="s">
        <v>70</v>
      </c>
      <c r="H89" s="16" t="s">
        <v>70</v>
      </c>
    </row>
    <row r="90" spans="1:10" s="21" ht="15">
      <c r="A90" s="13" t="s">
        <v>71</v>
      </c>
      <c r="B90" s="13" t="s">
        <v>72</v>
      </c>
      <c r="C90" s="13" t="s">
        <v>27</v>
      </c>
      <c r="D90" s="13" t="s">
        <v>73</v>
      </c>
      <c r="E90" s="13" t="s">
        <v>29</v>
      </c>
      <c r="F90" s="13" t="s">
        <v>74</v>
      </c>
      <c r="G90" s="13" t="s">
        <v>75</v>
      </c>
      <c r="H90" s="13" t="s">
        <v>76</v>
      </c>
      <c r="I90" s="13" t="s">
        <v>32</v>
      </c>
      <c r="J90" s="13" t="s">
        <v>33</v>
      </c>
    </row>
    <row r="91" spans="1:10" s="21" ht="15">
      <c r="A91" s="13"/>
      <c r="B91" s="13"/>
      <c r="C91" s="13"/>
      <c r="D91" s="13"/>
      <c r="E91" s="13"/>
      <c r="F91" s="13">
        <v>0.16</v>
      </c>
      <c r="G91" s="13">
        <v>0.17</v>
      </c>
      <c r="H91" s="13">
        <v>0.18</v>
      </c>
      <c r="I91" s="13">
        <v>0.22</v>
      </c>
      <c r="J91" s="13">
        <v>0.61</v>
      </c>
    </row>
    <row r="92" spans="1:10" s="21" ht="15">
      <c r="A92" s="13">
        <v>-0.69</v>
      </c>
      <c r="B92" s="13">
        <v>-0.7</v>
      </c>
      <c r="C92" s="13">
        <v>-0.91</v>
      </c>
      <c r="D92" s="13">
        <v>-1.68</v>
      </c>
      <c r="E92" s="13">
        <v>-4.68</v>
      </c>
      <c r="F92" s="13"/>
      <c r="G92" s="13"/>
      <c r="H92" s="13"/>
      <c r="I92" s="13"/>
      <c r="J92" s="13"/>
    </row>
  </sheetData>
  <mergeCells count="6">
    <mergeCell ref="B6:G6"/>
    <mergeCell ref="A11:H11"/>
    <mergeCell ref="A35:H35"/>
    <mergeCell ref="A48:H48"/>
    <mergeCell ref="A71:H71"/>
    <mergeCell ref="A89:H89"/>
  </mergeCells>
  <pageMargins left="0.5" right="0.5" top="1" bottom="1" header="0.5" footer="0.75"/>
  <pageSetup fitToHeight="0" orientation="portrait"/>
  <headerFooter/>
  <drawing r:id="rId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151"/>
  <sheetViews>
    <sheetView view="normal" workbookViewId="0">
      <selection pane="topLeft" activeCell="A1" sqref="A1"/>
    </sheetView>
  </sheetViews>
  <sheetFormatPr defaultRowHeight="15" baseColWidth="0"/>
  <cols>
    <col min="1" max="1" width="30.7109375" style="0" customWidth="1"/>
    <col min="2" max="7" width="25.7109375" style="0" customWidth="1"/>
    <col min="8" max="8" width="14.13671875" style="0" customWidth="1"/>
  </cols>
  <sheetData>
    <row r="1" spans="1:2" s="21" ht="15">
      <c r="A1" t="s">
        <v>77</v>
      </c>
      <c r="B1" t="s">
        <v>78</v>
      </c>
    </row>
    <row r="2" spans="1:2" s="21" ht="15">
      <c r="A2" t="s">
        <v>79</v>
      </c>
      <c r="B2" t="s">
        <v>80</v>
      </c>
    </row>
    <row r="3" spans="1:2" s="21" ht="15">
      <c r="A3" t="s">
        <v>2</v>
      </c>
      <c r="B3" s="2">
        <v>46305.92092625</v>
      </c>
    </row>
    <row r="5" spans="1:1" s="21" ht="15">
      <c r="A5" s="17" t="s">
        <v>0</v>
      </c>
    </row>
    <row r="6" spans="1:6" s="21" ht="15">
      <c r="A6" s="14" t="s">
        <v>3</v>
      </c>
      <c r="B6" s="15" t="s">
        <v>3</v>
      </c>
      <c r="C6" s="15" t="s">
        <v>3</v>
      </c>
      <c r="D6" s="15" t="s">
        <v>3</v>
      </c>
      <c r="E6" s="15" t="s">
        <v>3</v>
      </c>
      <c r="F6" s="16" t="s">
        <v>3</v>
      </c>
    </row>
    <row r="7" spans="1:6" s="21" ht="30" customHeight="1">
      <c r="A7" s="18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</row>
    <row r="8" spans="1:6" s="21" ht="15">
      <c r="A8" s="4" t="s">
        <v>10</v>
      </c>
      <c r="B8" s="5">
        <v>4284.560011</v>
      </c>
      <c r="C8" s="5">
        <v>1183.799223</v>
      </c>
      <c r="D8" s="6">
        <v>0.276294</v>
      </c>
      <c r="E8" s="6">
        <v>0.723705766762337</v>
      </c>
      <c r="F8" s="5">
        <v>13028.417390708</v>
      </c>
    </row>
    <row r="11" spans="1:8" s="21" ht="15">
      <c r="A11" s="14" t="s">
        <v>11</v>
      </c>
      <c r="B11" s="15" t="s">
        <v>11</v>
      </c>
      <c r="C11" s="15" t="s">
        <v>11</v>
      </c>
      <c r="D11" s="15" t="s">
        <v>11</v>
      </c>
      <c r="E11" s="15" t="s">
        <v>11</v>
      </c>
      <c r="F11" s="15" t="s">
        <v>11</v>
      </c>
      <c r="G11" s="15" t="s">
        <v>11</v>
      </c>
      <c r="H11" s="16" t="s">
        <v>11</v>
      </c>
    </row>
    <row r="12" spans="1:8" s="21" ht="30" customHeight="1">
      <c r="A12" s="18" t="s">
        <v>12</v>
      </c>
      <c r="B12" s="18" t="s">
        <v>13</v>
      </c>
      <c r="C12" s="18" t="s">
        <v>14</v>
      </c>
      <c r="D12" s="18" t="s">
        <v>15</v>
      </c>
      <c r="E12" s="18" t="s">
        <v>16</v>
      </c>
      <c r="F12" s="18" t="s">
        <v>17</v>
      </c>
      <c r="G12" s="18" t="s">
        <v>18</v>
      </c>
      <c r="H12" s="18" t="s">
        <v>19</v>
      </c>
    </row>
    <row r="13" spans="1:8" s="21" ht="15">
      <c r="A13" s="4">
        <v>1</v>
      </c>
      <c r="B13" s="4" t="s">
        <v>20</v>
      </c>
      <c r="C13" s="6">
        <v>0.411506</v>
      </c>
      <c r="D13" s="5">
        <v>1763.1235</v>
      </c>
      <c r="E13" s="9">
        <v>0</v>
      </c>
      <c r="F13" s="5">
        <v>5789.43382676</v>
      </c>
      <c r="G13" s="9">
        <v>0</v>
      </c>
      <c r="H13" s="19">
        <v>46022</v>
      </c>
    </row>
    <row r="14" spans="1:8" s="21" ht="15">
      <c r="A14" s="4">
        <v>2</v>
      </c>
      <c r="B14" s="4" t="s">
        <v>21</v>
      </c>
      <c r="C14" s="6">
        <v>0.128431</v>
      </c>
      <c r="D14" s="5">
        <v>550.268544</v>
      </c>
      <c r="E14" s="9">
        <v>0</v>
      </c>
      <c r="F14" s="5">
        <v>1806.87474385</v>
      </c>
      <c r="G14" s="9">
        <v>0</v>
      </c>
      <c r="H14" s="19">
        <v>46022</v>
      </c>
    </row>
    <row r="15" spans="1:8" s="21" ht="15">
      <c r="A15" s="4">
        <v>3</v>
      </c>
      <c r="B15" s="4" t="s">
        <v>22</v>
      </c>
      <c r="C15" s="6">
        <v>0.054309</v>
      </c>
      <c r="D15" s="5">
        <v>232.692104</v>
      </c>
      <c r="E15" s="9">
        <v>0</v>
      </c>
      <c r="F15" s="5">
        <v>764.07327003</v>
      </c>
      <c r="G15" s="9">
        <v>0</v>
      </c>
      <c r="H15" s="19">
        <v>46022</v>
      </c>
    </row>
    <row r="16" spans="1:8" s="21" ht="15">
      <c r="A16" s="4">
        <v>4</v>
      </c>
      <c r="B16" s="4" t="s">
        <v>23</v>
      </c>
      <c r="C16" s="6">
        <v>0.051719</v>
      </c>
      <c r="D16" s="5">
        <v>221.593708</v>
      </c>
      <c r="E16" s="9">
        <v>0</v>
      </c>
      <c r="F16" s="5">
        <v>727.63031568</v>
      </c>
      <c r="G16" s="9">
        <v>0</v>
      </c>
      <c r="H16" s="19">
        <v>46022</v>
      </c>
    </row>
    <row r="17" spans="1:8" s="21" ht="27" customHeight="1">
      <c r="A17" s="4">
        <v>5</v>
      </c>
      <c r="B17" s="4" t="s">
        <v>24</v>
      </c>
      <c r="C17" s="6">
        <v>0.040114</v>
      </c>
      <c r="D17" s="5">
        <v>171.869396</v>
      </c>
      <c r="E17" s="9">
        <v>0</v>
      </c>
      <c r="F17" s="5">
        <v>564.35439434</v>
      </c>
      <c r="G17" s="9">
        <v>0</v>
      </c>
      <c r="H17" s="19">
        <v>46022</v>
      </c>
    </row>
    <row r="18" spans="1:8" s="21" ht="15">
      <c r="A18" s="4">
        <v>6</v>
      </c>
      <c r="B18" s="4" t="s">
        <v>25</v>
      </c>
      <c r="C18" s="6">
        <v>0.037627</v>
      </c>
      <c r="D18" s="5">
        <v>161.213536</v>
      </c>
      <c r="E18" s="9">
        <v>0</v>
      </c>
      <c r="F18" s="5">
        <v>529.36456162</v>
      </c>
      <c r="G18" s="9">
        <v>0</v>
      </c>
      <c r="H18" s="19">
        <v>46022</v>
      </c>
    </row>
    <row r="19" spans="1:8" s="21" ht="27" customHeight="1">
      <c r="A19" s="4">
        <v>7</v>
      </c>
      <c r="B19" s="4" t="s">
        <v>26</v>
      </c>
      <c r="C19" s="6">
        <v>0.011098</v>
      </c>
      <c r="D19" s="5">
        <v>47.54848</v>
      </c>
      <c r="E19" s="11">
        <v>-0.031613</v>
      </c>
      <c r="F19" s="5">
        <v>144.83053316</v>
      </c>
      <c r="G19" s="11">
        <v>-0.09629178</v>
      </c>
      <c r="H19" s="19">
        <v>46295</v>
      </c>
    </row>
    <row r="20" spans="1:8" s="21" ht="15">
      <c r="A20" s="4">
        <v>8</v>
      </c>
      <c r="B20" s="4" t="s">
        <v>27</v>
      </c>
      <c r="C20" s="6">
        <v>0.00967</v>
      </c>
      <c r="D20" s="5">
        <v>41.431325</v>
      </c>
      <c r="E20" s="11">
        <v>-0.908083</v>
      </c>
      <c r="F20" s="5">
        <v>142.62028773</v>
      </c>
      <c r="G20" s="11">
        <v>-3.12592124</v>
      </c>
      <c r="H20" s="19">
        <v>46173</v>
      </c>
    </row>
    <row r="21" spans="1:8" s="21" ht="27" customHeight="1">
      <c r="A21" s="4">
        <v>9</v>
      </c>
      <c r="B21" s="4" t="s">
        <v>28</v>
      </c>
      <c r="C21" s="6">
        <v>0.008912</v>
      </c>
      <c r="D21" s="5">
        <v>38.185602</v>
      </c>
      <c r="E21" s="12">
        <v>0.0048</v>
      </c>
      <c r="F21" s="5">
        <v>116.31162755</v>
      </c>
      <c r="G21" s="12">
        <v>0.01462058</v>
      </c>
      <c r="H21" s="19">
        <v>46295</v>
      </c>
    </row>
    <row r="22" spans="1:8" s="21" ht="27" customHeight="1">
      <c r="A22" s="4">
        <v>10</v>
      </c>
      <c r="B22" s="4" t="s">
        <v>29</v>
      </c>
      <c r="C22" s="6">
        <v>0.008198</v>
      </c>
      <c r="D22" s="5">
        <v>35.12646</v>
      </c>
      <c r="E22" s="11">
        <v>-4.681585</v>
      </c>
      <c r="F22" s="5">
        <v>106.99361851</v>
      </c>
      <c r="G22" s="11">
        <v>-14.25989751</v>
      </c>
      <c r="H22" s="19">
        <v>46295</v>
      </c>
    </row>
    <row r="23" spans="1:8" s="21" ht="27" customHeight="1">
      <c r="A23" s="4">
        <v>11</v>
      </c>
      <c r="B23" s="4" t="s">
        <v>30</v>
      </c>
      <c r="C23" s="6">
        <v>0.005861</v>
      </c>
      <c r="D23" s="5">
        <v>25.109927</v>
      </c>
      <c r="E23" s="9">
        <v>0</v>
      </c>
      <c r="F23" s="5">
        <v>87.50541142</v>
      </c>
      <c r="G23" s="9">
        <v>0</v>
      </c>
      <c r="H23" s="19">
        <v>46265</v>
      </c>
    </row>
    <row r="24" spans="1:8" s="21" ht="15">
      <c r="A24" s="4">
        <v>12</v>
      </c>
      <c r="B24" s="4" t="s">
        <v>31</v>
      </c>
      <c r="C24" s="6">
        <v>0.003782</v>
      </c>
      <c r="D24" s="5">
        <v>16.202823</v>
      </c>
      <c r="E24" s="11">
        <v>-0.021666</v>
      </c>
      <c r="F24" s="5">
        <v>49.35307067</v>
      </c>
      <c r="G24" s="11">
        <v>-0.06599366</v>
      </c>
      <c r="H24" s="19">
        <v>46295</v>
      </c>
    </row>
    <row r="25" spans="1:8" s="21" ht="15">
      <c r="A25" s="4">
        <v>13</v>
      </c>
      <c r="B25" s="4" t="s">
        <v>32</v>
      </c>
      <c r="C25" s="6">
        <v>0.002343</v>
      </c>
      <c r="D25" s="5">
        <v>10.039276</v>
      </c>
      <c r="E25" s="12">
        <v>0.224715</v>
      </c>
      <c r="F25" s="5">
        <v>30.57918351</v>
      </c>
      <c r="G25" s="12">
        <v>0.68447179</v>
      </c>
      <c r="H25" s="19">
        <v>46295</v>
      </c>
    </row>
    <row r="26" spans="1:8" s="21" ht="27" customHeight="1">
      <c r="A26" s="4">
        <v>14</v>
      </c>
      <c r="B26" s="4" t="s">
        <v>33</v>
      </c>
      <c r="C26" s="6">
        <v>0.001666</v>
      </c>
      <c r="D26" s="5">
        <v>7.136916</v>
      </c>
      <c r="E26" s="12">
        <v>0.607711</v>
      </c>
      <c r="F26" s="5">
        <v>21.73872539</v>
      </c>
      <c r="G26" s="12">
        <v>1.85106039</v>
      </c>
      <c r="H26" s="19">
        <v>46295</v>
      </c>
    </row>
    <row r="27" spans="1:8" s="21" ht="27" customHeight="1">
      <c r="A27" s="4">
        <v>15</v>
      </c>
      <c r="B27" s="4" t="s">
        <v>34</v>
      </c>
      <c r="C27" s="6">
        <v>0.001654</v>
      </c>
      <c r="D27" s="5">
        <v>7.085555</v>
      </c>
      <c r="E27" s="11">
        <v>-0.0112</v>
      </c>
      <c r="F27" s="5">
        <v>21.58228209</v>
      </c>
      <c r="G27" s="11">
        <v>-0.0341147</v>
      </c>
      <c r="H27" s="19">
        <v>46295</v>
      </c>
    </row>
    <row r="28" spans="1:8" s="21" ht="15">
      <c r="A28" s="4">
        <v>16</v>
      </c>
      <c r="B28" s="4" t="s">
        <v>35</v>
      </c>
      <c r="C28" s="6">
        <v>0.001116</v>
      </c>
      <c r="D28" s="5">
        <v>4.779672</v>
      </c>
      <c r="E28" s="12">
        <v>0.0271</v>
      </c>
      <c r="F28" s="5">
        <v>16.65664599</v>
      </c>
      <c r="G28" s="12">
        <v>0.0944406</v>
      </c>
      <c r="H28" s="19">
        <v>46265</v>
      </c>
    </row>
    <row r="29" spans="1:8" s="21" ht="27" customHeight="1">
      <c r="A29" s="4">
        <v>17</v>
      </c>
      <c r="B29" s="4" t="s">
        <v>36</v>
      </c>
      <c r="C29" s="6">
        <v>0.001087</v>
      </c>
      <c r="D29" s="5">
        <v>4.659339</v>
      </c>
      <c r="E29" s="11">
        <v>-0.564167</v>
      </c>
      <c r="F29" s="5">
        <v>14.19213719</v>
      </c>
      <c r="G29" s="11">
        <v>-1.71842733</v>
      </c>
      <c r="H29" s="19">
        <v>46295</v>
      </c>
    </row>
    <row r="30" spans="1:8" s="21" ht="27" customHeight="1">
      <c r="A30" s="4">
        <v>18</v>
      </c>
      <c r="B30" s="4" t="s">
        <v>37</v>
      </c>
      <c r="C30" s="6">
        <v>0.001035</v>
      </c>
      <c r="D30" s="5">
        <v>4.433658</v>
      </c>
      <c r="E30" s="12">
        <v>0.004496</v>
      </c>
      <c r="F30" s="5">
        <v>13.50472301</v>
      </c>
      <c r="G30" s="12">
        <v>0.01369461</v>
      </c>
      <c r="H30" s="19">
        <v>46295</v>
      </c>
    </row>
    <row r="31" spans="1:8" s="21" ht="27" customHeight="1">
      <c r="A31" s="4">
        <v>19</v>
      </c>
      <c r="B31" s="4" t="s">
        <v>38</v>
      </c>
      <c r="C31" s="6">
        <v>0.000989</v>
      </c>
      <c r="D31" s="5">
        <v>4.239101</v>
      </c>
      <c r="E31" s="12">
        <v>0.000428</v>
      </c>
      <c r="F31" s="5">
        <v>12.91211113</v>
      </c>
      <c r="G31" s="12">
        <v>0.00130367</v>
      </c>
      <c r="H31" s="19">
        <v>46295</v>
      </c>
    </row>
    <row r="32" spans="1:8" s="21" ht="15">
      <c r="A32" s="4">
        <v>20</v>
      </c>
      <c r="B32" s="4" t="s">
        <v>39</v>
      </c>
      <c r="C32" s="6">
        <v>0.000989</v>
      </c>
      <c r="D32" s="5">
        <v>4.2376</v>
      </c>
      <c r="E32" s="11">
        <v>-0.011571</v>
      </c>
      <c r="F32" s="5">
        <v>14.76758301</v>
      </c>
      <c r="G32" s="11">
        <v>-0.0403237</v>
      </c>
      <c r="H32" s="19">
        <v>46265</v>
      </c>
    </row>
    <row r="35" spans="1:5" s="21" ht="15">
      <c r="A35" s="14" t="s">
        <v>81</v>
      </c>
      <c r="B35" s="15" t="s">
        <v>81</v>
      </c>
      <c r="C35" s="15" t="s">
        <v>81</v>
      </c>
      <c r="D35" s="15" t="s">
        <v>81</v>
      </c>
      <c r="E35" s="16" t="s">
        <v>81</v>
      </c>
    </row>
    <row r="36" spans="1:5" s="21" ht="15">
      <c r="A36" s="18" t="s">
        <v>82</v>
      </c>
      <c r="B36" s="18" t="s">
        <v>83</v>
      </c>
      <c r="C36" s="18" t="s">
        <v>14</v>
      </c>
      <c r="D36" s="18" t="s">
        <v>15</v>
      </c>
      <c r="E36" s="18" t="s">
        <v>17</v>
      </c>
    </row>
    <row r="37" spans="1:5" s="21" ht="15">
      <c r="A37" s="4" t="s">
        <v>84</v>
      </c>
      <c r="B37" s="20">
        <v>167</v>
      </c>
      <c r="C37" s="6">
        <v>0.074043</v>
      </c>
      <c r="D37" s="5">
        <v>317.220487</v>
      </c>
      <c r="E37" s="5">
        <v>1014.04859469</v>
      </c>
    </row>
    <row r="38" spans="1:5" s="21" ht="15">
      <c r="A38" s="4" t="s">
        <v>85</v>
      </c>
      <c r="B38" s="20">
        <v>167</v>
      </c>
      <c r="C38" s="6">
        <v>0.074043</v>
      </c>
      <c r="D38" s="5">
        <v>317.220487</v>
      </c>
      <c r="E38" s="5">
        <v>1014.04859469</v>
      </c>
    </row>
    <row r="39" spans="1:5" s="21" ht="15">
      <c r="A39" s="4" t="s">
        <v>86</v>
      </c>
      <c r="B39" s="20">
        <v>2</v>
      </c>
      <c r="C39" s="6">
        <v>0.000227</v>
      </c>
      <c r="D39" s="5">
        <v>0.973167</v>
      </c>
      <c r="E39" s="5">
        <v>3.39138297</v>
      </c>
    </row>
    <row r="40" spans="1:5" s="21" ht="15">
      <c r="A40" s="4" t="s">
        <v>87</v>
      </c>
      <c r="B40" s="20">
        <v>1</v>
      </c>
      <c r="C40" s="6">
        <v>1E-06</v>
      </c>
      <c r="D40" s="5">
        <v>0.002296</v>
      </c>
      <c r="E40" s="5">
        <v>0.0075392</v>
      </c>
    </row>
    <row r="41" spans="1:5" s="21" ht="15">
      <c r="A41" s="4" t="s">
        <v>88</v>
      </c>
      <c r="B41" s="20">
        <v>110</v>
      </c>
      <c r="C41" s="6">
        <v>0.049487</v>
      </c>
      <c r="D41" s="5">
        <v>212.019493</v>
      </c>
      <c r="E41" s="5">
        <v>676.14032947</v>
      </c>
    </row>
    <row r="42" spans="1:5" s="21" ht="15">
      <c r="A42" s="4" t="s">
        <v>89</v>
      </c>
      <c r="B42" s="20">
        <v>6</v>
      </c>
      <c r="C42" s="6">
        <v>0.001192</v>
      </c>
      <c r="D42" s="5">
        <v>5.108571</v>
      </c>
      <c r="E42" s="5">
        <v>16.01594516</v>
      </c>
    </row>
    <row r="43" spans="1:5" s="21" ht="15">
      <c r="A43" s="4" t="s">
        <v>90</v>
      </c>
      <c r="B43" s="20">
        <v>1</v>
      </c>
      <c r="C43" s="6">
        <v>3.7E-05</v>
      </c>
      <c r="D43" s="5">
        <v>0.159521</v>
      </c>
      <c r="E43" s="5">
        <v>0.55591363</v>
      </c>
    </row>
    <row r="44" spans="1:5" s="21" ht="15">
      <c r="A44" s="4" t="s">
        <v>91</v>
      </c>
      <c r="B44" s="20">
        <v>46</v>
      </c>
      <c r="C44" s="6">
        <v>0.02306</v>
      </c>
      <c r="D44" s="5">
        <v>98.789871</v>
      </c>
      <c r="E44" s="5">
        <v>317.38973234</v>
      </c>
    </row>
    <row r="45" spans="1:5" s="21" ht="15">
      <c r="A45" s="4" t="s">
        <v>92</v>
      </c>
      <c r="B45" s="20">
        <v>1</v>
      </c>
      <c r="C45" s="6">
        <v>3.9E-05</v>
      </c>
      <c r="D45" s="5">
        <v>0.167568</v>
      </c>
      <c r="E45" s="5">
        <v>0.54775192</v>
      </c>
    </row>
    <row r="46" spans="1:5" s="21" ht="15">
      <c r="A46" s="4" t="s">
        <v>93</v>
      </c>
      <c r="B46" s="20">
        <v>6</v>
      </c>
      <c r="C46" s="6">
        <v>0.723706</v>
      </c>
      <c r="D46" s="5">
        <v>3100.760788</v>
      </c>
      <c r="E46" s="5">
        <v>10181.73111228</v>
      </c>
    </row>
    <row r="47" spans="1:5" s="21" ht="15">
      <c r="A47" s="4" t="s">
        <v>94</v>
      </c>
      <c r="B47" s="20">
        <v>5</v>
      </c>
      <c r="C47" s="6">
        <v>0.671987</v>
      </c>
      <c r="D47" s="5">
        <v>2879.16708</v>
      </c>
      <c r="E47" s="5">
        <v>9454.1007966</v>
      </c>
    </row>
    <row r="48" spans="1:5" s="21" ht="15">
      <c r="A48" s="4" t="s">
        <v>95</v>
      </c>
      <c r="B48" s="20">
        <v>1</v>
      </c>
      <c r="C48" s="6">
        <v>0.051719</v>
      </c>
      <c r="D48" s="5">
        <v>221.593708</v>
      </c>
      <c r="E48" s="5">
        <v>727.63031568</v>
      </c>
    </row>
    <row r="49" spans="1:5" s="21" ht="15">
      <c r="A49" s="4" t="s">
        <v>96</v>
      </c>
      <c r="B49" s="20">
        <v>173</v>
      </c>
      <c r="C49" s="6">
        <v>0.797749</v>
      </c>
      <c r="D49" s="5">
        <v>3417.981275</v>
      </c>
      <c r="E49" s="5">
        <v>11195.77970697</v>
      </c>
    </row>
    <row r="50" spans="1:5" s="21" ht="15">
      <c r="A50" s="18" t="s">
        <v>97</v>
      </c>
      <c r="B50" s="18" t="s">
        <v>83</v>
      </c>
      <c r="C50" s="18" t="s">
        <v>14</v>
      </c>
      <c r="D50" s="18" t="s">
        <v>15</v>
      </c>
      <c r="E50" s="18" t="s">
        <v>17</v>
      </c>
    </row>
    <row r="51" spans="1:5" s="21" ht="15">
      <c r="A51" s="4" t="s">
        <v>98</v>
      </c>
      <c r="B51" s="20">
        <v>28</v>
      </c>
      <c r="C51" s="6">
        <v>0.039483</v>
      </c>
      <c r="D51" s="5">
        <v>169.164484</v>
      </c>
      <c r="E51" s="5">
        <v>518.14078705</v>
      </c>
    </row>
    <row r="52" spans="1:5" s="21" ht="15">
      <c r="A52" s="4" t="s">
        <v>99</v>
      </c>
      <c r="B52" s="20">
        <v>47</v>
      </c>
      <c r="C52" s="6">
        <v>0.011643</v>
      </c>
      <c r="D52" s="5">
        <v>49.874261</v>
      </c>
      <c r="E52" s="5">
        <v>167.27787054</v>
      </c>
    </row>
    <row r="53" spans="1:5" s="21" ht="15">
      <c r="A53" s="4" t="s">
        <v>100</v>
      </c>
      <c r="B53" s="20">
        <v>32</v>
      </c>
      <c r="C53" s="6">
        <v>0.00862</v>
      </c>
      <c r="D53" s="5">
        <v>36.926972</v>
      </c>
      <c r="E53" s="5">
        <v>126.19471231</v>
      </c>
    </row>
    <row r="54" spans="1:5" s="21" ht="15">
      <c r="A54" s="4" t="s">
        <v>101</v>
      </c>
      <c r="B54" s="20">
        <v>13</v>
      </c>
      <c r="C54" s="6">
        <v>0.002973</v>
      </c>
      <c r="D54" s="5">
        <v>12.732436</v>
      </c>
      <c r="E54" s="5">
        <v>40.31720281</v>
      </c>
    </row>
    <row r="55" spans="1:5" s="21" ht="15">
      <c r="A55" s="4" t="s">
        <v>102</v>
      </c>
      <c r="B55" s="20">
        <v>2</v>
      </c>
      <c r="C55" s="6">
        <v>5E-05</v>
      </c>
      <c r="D55" s="5">
        <v>0.214853</v>
      </c>
      <c r="E55" s="5">
        <v>0.76595542</v>
      </c>
    </row>
    <row r="56" spans="1:5" s="21" ht="15">
      <c r="A56" s="4" t="s">
        <v>103</v>
      </c>
      <c r="B56" s="20">
        <v>24</v>
      </c>
      <c r="C56" s="6">
        <v>0.006348</v>
      </c>
      <c r="D56" s="5">
        <v>27.204233</v>
      </c>
      <c r="E56" s="5">
        <v>85.90824144</v>
      </c>
    </row>
    <row r="57" spans="1:5" s="21" ht="15">
      <c r="A57" s="4" t="s">
        <v>104</v>
      </c>
      <c r="B57" s="20">
        <v>4</v>
      </c>
      <c r="C57" s="6">
        <v>0.003413</v>
      </c>
      <c r="D57" s="5">
        <v>14.627011</v>
      </c>
      <c r="E57" s="5">
        <v>45.17025922</v>
      </c>
    </row>
    <row r="58" spans="1:5" s="21" ht="15">
      <c r="A58" s="4" t="s">
        <v>105</v>
      </c>
      <c r="B58" s="20">
        <v>20</v>
      </c>
      <c r="C58" s="6">
        <v>0.002935</v>
      </c>
      <c r="D58" s="5">
        <v>12.577222</v>
      </c>
      <c r="E58" s="5">
        <v>40.73798222</v>
      </c>
    </row>
    <row r="59" spans="1:5" s="21" ht="15">
      <c r="A59" s="4" t="s">
        <v>106</v>
      </c>
      <c r="B59" s="20">
        <v>19</v>
      </c>
      <c r="C59" s="6">
        <v>0.004008</v>
      </c>
      <c r="D59" s="5">
        <v>17.170541</v>
      </c>
      <c r="E59" s="5">
        <v>58.00856256</v>
      </c>
    </row>
    <row r="60" spans="1:5" s="21" ht="15">
      <c r="A60" s="4" t="s">
        <v>107</v>
      </c>
      <c r="B60" s="20">
        <v>6</v>
      </c>
      <c r="C60" s="6">
        <v>0.000297</v>
      </c>
      <c r="D60" s="5">
        <v>1.273031</v>
      </c>
      <c r="E60" s="5">
        <v>4.42384273</v>
      </c>
    </row>
    <row r="61" spans="1:5" s="21" ht="15">
      <c r="A61" s="4" t="s">
        <v>108</v>
      </c>
      <c r="B61" s="20">
        <v>2</v>
      </c>
      <c r="C61" s="6">
        <v>0.000228</v>
      </c>
      <c r="D61" s="5">
        <v>0.975678</v>
      </c>
      <c r="E61" s="5">
        <v>3.39893874</v>
      </c>
    </row>
    <row r="62" spans="1:5" s="21" ht="15">
      <c r="A62" s="4" t="s">
        <v>109</v>
      </c>
      <c r="B62" s="20">
        <v>4</v>
      </c>
      <c r="C62" s="6">
        <v>6.9E-05</v>
      </c>
      <c r="D62" s="5">
        <v>0.297353</v>
      </c>
      <c r="E62" s="5">
        <v>1.02490399</v>
      </c>
    </row>
    <row r="63" spans="1:5" s="21" ht="15">
      <c r="A63" s="4" t="s">
        <v>110</v>
      </c>
      <c r="B63" s="20">
        <v>4</v>
      </c>
      <c r="C63" s="6">
        <v>0.000101</v>
      </c>
      <c r="D63" s="5">
        <v>0.431182</v>
      </c>
      <c r="E63" s="5">
        <v>1.49358047</v>
      </c>
    </row>
    <row r="64" spans="1:5" s="21" ht="15">
      <c r="A64" s="4" t="s">
        <v>111</v>
      </c>
      <c r="B64" s="20">
        <v>1</v>
      </c>
      <c r="C64" s="6">
        <v>4.7E-05</v>
      </c>
      <c r="D64" s="5">
        <v>0.201543</v>
      </c>
      <c r="E64" s="5">
        <v>0.70235581</v>
      </c>
    </row>
    <row r="65" spans="1:5" s="21" ht="15">
      <c r="A65" s="4" t="s">
        <v>112</v>
      </c>
      <c r="B65" s="20">
        <v>1</v>
      </c>
      <c r="C65" s="6">
        <v>3.7E-05</v>
      </c>
      <c r="D65" s="5">
        <v>0.159521</v>
      </c>
      <c r="E65" s="5">
        <v>0.55591363</v>
      </c>
    </row>
    <row r="66" spans="1:5" s="21" ht="15">
      <c r="A66" s="4" t="s">
        <v>113</v>
      </c>
      <c r="B66" s="20">
        <v>2</v>
      </c>
      <c r="C66" s="6">
        <v>1.7E-05</v>
      </c>
      <c r="D66" s="5">
        <v>0.070118</v>
      </c>
      <c r="E66" s="5">
        <v>0.23531103</v>
      </c>
    </row>
    <row r="67" spans="1:5" s="21" ht="15">
      <c r="A67" s="4" t="s">
        <v>114</v>
      </c>
      <c r="B67" s="20">
        <v>3</v>
      </c>
      <c r="C67" s="6">
        <v>6E-06</v>
      </c>
      <c r="D67" s="5">
        <v>0.022671</v>
      </c>
      <c r="E67" s="5">
        <v>0.07385277</v>
      </c>
    </row>
    <row r="68" spans="1:5" s="21" ht="15">
      <c r="A68" s="4" t="s">
        <v>115</v>
      </c>
      <c r="B68" s="20">
        <v>3</v>
      </c>
      <c r="C68" s="6">
        <v>6E-06</v>
      </c>
      <c r="D68" s="5">
        <v>0.022671</v>
      </c>
      <c r="E68" s="5">
        <v>0.07385277</v>
      </c>
    </row>
    <row r="69" spans="1:5" s="21" ht="15">
      <c r="A69" s="4" t="s">
        <v>96</v>
      </c>
      <c r="B69" s="20">
        <v>131</v>
      </c>
      <c r="C69" s="6">
        <v>0.061886</v>
      </c>
      <c r="D69" s="5">
        <v>265.140403</v>
      </c>
      <c r="E69" s="5">
        <v>835.32673756</v>
      </c>
    </row>
    <row r="70" spans="1:5" s="21" ht="15">
      <c r="A70" s="18" t="s">
        <v>116</v>
      </c>
      <c r="B70" s="18" t="s">
        <v>83</v>
      </c>
      <c r="C70" s="18" t="s">
        <v>14</v>
      </c>
      <c r="D70" s="18" t="s">
        <v>15</v>
      </c>
      <c r="E70" s="18" t="s">
        <v>17</v>
      </c>
    </row>
    <row r="71" spans="1:5" s="21" ht="15">
      <c r="A71" s="4" t="s">
        <v>117</v>
      </c>
      <c r="B71" s="20">
        <v>82</v>
      </c>
      <c r="C71" s="6">
        <v>0.777278</v>
      </c>
      <c r="D71" s="5">
        <v>3330.283593</v>
      </c>
      <c r="E71" s="5">
        <v>10907.06452108</v>
      </c>
    </row>
    <row r="72" spans="1:5" s="21" ht="15">
      <c r="A72" s="4" t="s">
        <v>118</v>
      </c>
      <c r="B72" s="20">
        <v>69</v>
      </c>
      <c r="C72" s="6">
        <v>0.019888</v>
      </c>
      <c r="D72" s="5">
        <v>85.203079</v>
      </c>
      <c r="E72" s="5">
        <v>280.74679896</v>
      </c>
    </row>
    <row r="73" spans="1:5" s="21" ht="15">
      <c r="A73" s="4" t="s">
        <v>119</v>
      </c>
      <c r="B73" s="20">
        <v>18</v>
      </c>
      <c r="C73" s="6">
        <v>0.000541</v>
      </c>
      <c r="D73" s="5">
        <v>2.319384</v>
      </c>
      <c r="E73" s="5">
        <v>7.37357475</v>
      </c>
    </row>
    <row r="74" spans="1:5" s="21" ht="15">
      <c r="A74" s="4" t="s">
        <v>120</v>
      </c>
      <c r="B74" s="20">
        <v>3</v>
      </c>
      <c r="C74" s="6">
        <v>3.3E-05</v>
      </c>
      <c r="D74" s="5">
        <v>0.137246</v>
      </c>
      <c r="E74" s="5">
        <v>0.47068476</v>
      </c>
    </row>
    <row r="75" spans="1:5" s="21" ht="15">
      <c r="A75" s="4" t="s">
        <v>121</v>
      </c>
      <c r="B75" s="20">
        <v>1</v>
      </c>
      <c r="C75" s="6">
        <v>9E-06</v>
      </c>
      <c r="D75" s="5">
        <v>0.037973</v>
      </c>
      <c r="E75" s="5">
        <v>0.12412742</v>
      </c>
    </row>
    <row r="76" spans="1:5" s="21" ht="15">
      <c r="A76" s="4" t="s">
        <v>96</v>
      </c>
      <c r="B76" s="20">
        <v>173</v>
      </c>
      <c r="C76" s="6">
        <v>0.797749</v>
      </c>
      <c r="D76" s="5">
        <v>3417.981275</v>
      </c>
      <c r="E76" s="5">
        <v>11195.77970697</v>
      </c>
    </row>
    <row r="77" spans="1:5" s="21" ht="15">
      <c r="A77" s="18" t="s">
        <v>122</v>
      </c>
      <c r="B77" s="18" t="s">
        <v>83</v>
      </c>
      <c r="C77" s="18" t="s">
        <v>14</v>
      </c>
      <c r="D77" s="18" t="s">
        <v>15</v>
      </c>
      <c r="E77" s="18" t="s">
        <v>17</v>
      </c>
    </row>
    <row r="78" spans="1:5" s="21" ht="15">
      <c r="A78" s="4" t="s">
        <v>123</v>
      </c>
      <c r="B78" s="20">
        <v>31</v>
      </c>
      <c r="C78" s="6">
        <v>0.74598</v>
      </c>
      <c r="D78" s="5">
        <v>3196.196358</v>
      </c>
      <c r="E78" s="5">
        <v>10493.81231816</v>
      </c>
    </row>
    <row r="79" spans="1:5" s="21" ht="15">
      <c r="A79" s="4" t="s">
        <v>124</v>
      </c>
      <c r="B79" s="20">
        <v>41</v>
      </c>
      <c r="C79" s="6">
        <v>0.030447</v>
      </c>
      <c r="D79" s="5">
        <v>130.442308</v>
      </c>
      <c r="E79" s="5">
        <v>401.01450388</v>
      </c>
    </row>
    <row r="80" spans="1:5" s="21" ht="15">
      <c r="A80" s="4" t="s">
        <v>125</v>
      </c>
      <c r="B80" s="20">
        <v>22</v>
      </c>
      <c r="C80" s="6">
        <v>0.014935</v>
      </c>
      <c r="D80" s="5">
        <v>63.9784</v>
      </c>
      <c r="E80" s="5">
        <v>208.83721547</v>
      </c>
    </row>
    <row r="81" spans="1:5" s="21" ht="15">
      <c r="A81" s="4" t="s">
        <v>126</v>
      </c>
      <c r="B81" s="20">
        <v>4</v>
      </c>
      <c r="C81" s="6">
        <v>0.001051</v>
      </c>
      <c r="D81" s="5">
        <v>4.503761</v>
      </c>
      <c r="E81" s="5">
        <v>15.62825029</v>
      </c>
    </row>
    <row r="82" spans="1:5" s="21" ht="15">
      <c r="A82" s="4" t="s">
        <v>127</v>
      </c>
      <c r="B82" s="20">
        <v>10</v>
      </c>
      <c r="C82" s="6">
        <v>0.001024</v>
      </c>
      <c r="D82" s="5">
        <v>4.38807</v>
      </c>
      <c r="E82" s="5">
        <v>15.08299824</v>
      </c>
    </row>
    <row r="83" spans="1:5" s="21" ht="15">
      <c r="A83" s="4" t="s">
        <v>128</v>
      </c>
      <c r="B83" s="20">
        <v>10</v>
      </c>
      <c r="C83" s="6">
        <v>0.000851</v>
      </c>
      <c r="D83" s="5">
        <v>3.644927</v>
      </c>
      <c r="E83" s="5">
        <v>12.23769904</v>
      </c>
    </row>
    <row r="84" spans="1:5" s="21" ht="15">
      <c r="A84" s="4" t="s">
        <v>129</v>
      </c>
      <c r="B84" s="20">
        <v>4</v>
      </c>
      <c r="C84" s="6">
        <v>0.00085</v>
      </c>
      <c r="D84" s="5">
        <v>3.643282</v>
      </c>
      <c r="E84" s="5">
        <v>12.58105173</v>
      </c>
    </row>
    <row r="85" spans="1:5" s="21" ht="15">
      <c r="A85" s="4" t="s">
        <v>130</v>
      </c>
      <c r="B85" s="20">
        <v>2</v>
      </c>
      <c r="C85" s="6">
        <v>0.000604</v>
      </c>
      <c r="D85" s="5">
        <v>2.585568</v>
      </c>
      <c r="E85" s="5">
        <v>7.87552393</v>
      </c>
    </row>
    <row r="86" spans="1:5" s="21" ht="15">
      <c r="A86" s="4" t="s">
        <v>131</v>
      </c>
      <c r="B86" s="20">
        <v>5</v>
      </c>
      <c r="C86" s="6">
        <v>0.00043</v>
      </c>
      <c r="D86" s="5">
        <v>1.838777</v>
      </c>
      <c r="E86" s="5">
        <v>5.92112432</v>
      </c>
    </row>
    <row r="87" spans="1:5" s="21" ht="15">
      <c r="A87" s="4" t="s">
        <v>132</v>
      </c>
      <c r="B87" s="20">
        <v>11</v>
      </c>
      <c r="C87" s="6">
        <v>0.000371</v>
      </c>
      <c r="D87" s="5">
        <v>1.586413</v>
      </c>
      <c r="E87" s="5">
        <v>4.92652093</v>
      </c>
    </row>
    <row r="88" spans="1:5" s="21" ht="15">
      <c r="A88" s="4" t="s">
        <v>133</v>
      </c>
      <c r="B88" s="20">
        <v>7</v>
      </c>
      <c r="C88" s="6">
        <v>0.000284</v>
      </c>
      <c r="D88" s="5">
        <v>1.216056</v>
      </c>
      <c r="E88" s="5">
        <v>4.2864949</v>
      </c>
    </row>
    <row r="89" spans="1:5" s="21" ht="15">
      <c r="A89" s="4" t="s">
        <v>134</v>
      </c>
      <c r="B89" s="20">
        <v>2</v>
      </c>
      <c r="C89" s="6">
        <v>0.000238</v>
      </c>
      <c r="D89" s="5">
        <v>1.020442</v>
      </c>
      <c r="E89" s="5">
        <v>3.54587149</v>
      </c>
    </row>
    <row r="90" spans="1:5" s="21" ht="15">
      <c r="A90" s="4" t="s">
        <v>135</v>
      </c>
      <c r="B90" s="20">
        <v>6</v>
      </c>
      <c r="C90" s="6">
        <v>0.000165</v>
      </c>
      <c r="D90" s="5">
        <v>0.711815</v>
      </c>
      <c r="E90" s="5">
        <v>2.37789837</v>
      </c>
    </row>
    <row r="91" spans="1:5" s="21" ht="15">
      <c r="A91" s="4" t="s">
        <v>136</v>
      </c>
      <c r="B91" s="20">
        <v>3</v>
      </c>
      <c r="C91" s="6">
        <v>0.000125</v>
      </c>
      <c r="D91" s="5">
        <v>0.539444</v>
      </c>
      <c r="E91" s="5">
        <v>1.82729783</v>
      </c>
    </row>
    <row r="92" spans="1:5" s="21" ht="15">
      <c r="A92" s="4" t="s">
        <v>137</v>
      </c>
      <c r="B92" s="20">
        <v>2</v>
      </c>
      <c r="C92" s="6">
        <v>9.3E-05</v>
      </c>
      <c r="D92" s="5">
        <v>0.401446</v>
      </c>
      <c r="E92" s="5">
        <v>1.41774168</v>
      </c>
    </row>
    <row r="93" spans="1:5" s="21" ht="15">
      <c r="A93" s="4" t="s">
        <v>138</v>
      </c>
      <c r="B93" s="20">
        <v>3</v>
      </c>
      <c r="C93" s="6">
        <v>6.8E-05</v>
      </c>
      <c r="D93" s="5">
        <v>0.293251</v>
      </c>
      <c r="E93" s="5">
        <v>1.01760299</v>
      </c>
    </row>
    <row r="94" spans="1:5" s="21" ht="15">
      <c r="A94" s="4" t="s">
        <v>139</v>
      </c>
      <c r="B94" s="20">
        <v>2</v>
      </c>
      <c r="C94" s="6">
        <v>6.7E-05</v>
      </c>
      <c r="D94" s="5">
        <v>0.285501</v>
      </c>
      <c r="E94" s="5">
        <v>0.99450195</v>
      </c>
    </row>
    <row r="95" spans="1:5" s="21" ht="15">
      <c r="A95" s="4" t="s">
        <v>140</v>
      </c>
      <c r="B95" s="20">
        <v>1</v>
      </c>
      <c r="C95" s="6">
        <v>6.3E-05</v>
      </c>
      <c r="D95" s="5">
        <v>0.271051</v>
      </c>
      <c r="E95" s="5">
        <v>0.88602064</v>
      </c>
    </row>
    <row r="96" spans="1:5" s="21" ht="15">
      <c r="A96" s="4" t="s">
        <v>141</v>
      </c>
      <c r="B96" s="20">
        <v>1</v>
      </c>
      <c r="C96" s="6">
        <v>5.1E-05</v>
      </c>
      <c r="D96" s="5">
        <v>0.2184</v>
      </c>
      <c r="E96" s="5">
        <v>0.78093629</v>
      </c>
    </row>
    <row r="97" spans="1:5" s="21" ht="15">
      <c r="A97" s="4" t="s">
        <v>142</v>
      </c>
      <c r="B97" s="20">
        <v>3</v>
      </c>
      <c r="C97" s="6">
        <v>3.3E-05</v>
      </c>
      <c r="D97" s="5">
        <v>0.137246</v>
      </c>
      <c r="E97" s="5">
        <v>0.47068476</v>
      </c>
    </row>
    <row r="98" spans="1:5" s="21" ht="15">
      <c r="A98" s="4" t="s">
        <v>143</v>
      </c>
      <c r="B98" s="20">
        <v>1</v>
      </c>
      <c r="C98" s="6">
        <v>9E-06</v>
      </c>
      <c r="D98" s="5">
        <v>0.037973</v>
      </c>
      <c r="E98" s="5">
        <v>0.12412742</v>
      </c>
    </row>
    <row r="99" spans="1:5" s="21" ht="15">
      <c r="A99" s="4" t="s">
        <v>144</v>
      </c>
      <c r="B99" s="20">
        <v>1</v>
      </c>
      <c r="C99" s="6">
        <v>9E-06</v>
      </c>
      <c r="D99" s="5">
        <v>0.0379</v>
      </c>
      <c r="E99" s="5">
        <v>0.10055841</v>
      </c>
    </row>
    <row r="100" spans="1:5" s="21" ht="15">
      <c r="A100" s="4" t="s">
        <v>145</v>
      </c>
      <c r="B100" s="20">
        <v>1</v>
      </c>
      <c r="C100" s="6">
        <v>5E-06</v>
      </c>
      <c r="D100" s="5">
        <v>0.021156</v>
      </c>
      <c r="E100" s="5">
        <v>0.06915545</v>
      </c>
    </row>
    <row r="101" spans="1:5" s="21" ht="15">
      <c r="A101" s="4" t="s">
        <v>146</v>
      </c>
      <c r="B101" s="20">
        <v>1</v>
      </c>
      <c r="C101" s="6">
        <v>5E-06</v>
      </c>
      <c r="D101" s="5">
        <v>0.01963</v>
      </c>
      <c r="E101" s="5">
        <v>0.06416721</v>
      </c>
    </row>
    <row r="102" spans="1:5" s="21" ht="15">
      <c r="A102" s="4" t="s">
        <v>96</v>
      </c>
      <c r="B102" s="20">
        <v>174</v>
      </c>
      <c r="C102" s="6">
        <v>0.797758</v>
      </c>
      <c r="D102" s="5">
        <v>3418.019175</v>
      </c>
      <c r="E102" s="5">
        <v>11195.88026538</v>
      </c>
    </row>
    <row r="103" spans="1:5" s="21" ht="15">
      <c r="A103" s="18" t="s">
        <v>147</v>
      </c>
      <c r="B103" s="18" t="s">
        <v>83</v>
      </c>
      <c r="C103" s="18" t="s">
        <v>14</v>
      </c>
      <c r="D103" s="18" t="s">
        <v>15</v>
      </c>
      <c r="E103" s="18" t="s">
        <v>17</v>
      </c>
    </row>
    <row r="104" spans="1:5" s="21" ht="15">
      <c r="A104" s="4" t="s">
        <v>148</v>
      </c>
      <c r="B104" s="20">
        <v>6</v>
      </c>
      <c r="C104" s="6">
        <v>0.012193</v>
      </c>
      <c r="D104" s="5">
        <v>52.238639</v>
      </c>
      <c r="E104" s="5">
        <v>159.12424287</v>
      </c>
    </row>
    <row r="105" spans="1:5" s="21" ht="27" customHeight="1">
      <c r="A105" s="4" t="s">
        <v>149</v>
      </c>
      <c r="B105" s="20">
        <v>3</v>
      </c>
      <c r="C105" s="6">
        <v>0.009081</v>
      </c>
      <c r="D105" s="5">
        <v>38.908641</v>
      </c>
      <c r="E105" s="5">
        <v>118.54762128</v>
      </c>
    </row>
    <row r="106" spans="1:5" s="21" ht="15">
      <c r="A106" s="4" t="s">
        <v>150</v>
      </c>
      <c r="B106" s="20">
        <v>5</v>
      </c>
      <c r="C106" s="6">
        <v>0.002729</v>
      </c>
      <c r="D106" s="5">
        <v>11.693652</v>
      </c>
      <c r="E106" s="5">
        <v>35.61991818</v>
      </c>
    </row>
    <row r="107" spans="1:5" s="21" ht="15">
      <c r="A107" s="4" t="s">
        <v>151</v>
      </c>
      <c r="B107" s="20">
        <v>1</v>
      </c>
      <c r="C107" s="6">
        <v>0.002343</v>
      </c>
      <c r="D107" s="5">
        <v>10.039276</v>
      </c>
      <c r="E107" s="5">
        <v>30.57918351</v>
      </c>
    </row>
    <row r="108" spans="1:5" s="21" ht="27" customHeight="1">
      <c r="A108" s="4" t="s">
        <v>152</v>
      </c>
      <c r="B108" s="20">
        <v>13</v>
      </c>
      <c r="C108" s="6">
        <v>0.001851</v>
      </c>
      <c r="D108" s="5">
        <v>7.928098</v>
      </c>
      <c r="E108" s="5">
        <v>26.05550248</v>
      </c>
    </row>
    <row r="109" spans="1:5" s="21" ht="27" customHeight="1">
      <c r="A109" s="4" t="s">
        <v>153</v>
      </c>
      <c r="B109" s="20">
        <v>2</v>
      </c>
      <c r="C109" s="6">
        <v>0.000434</v>
      </c>
      <c r="D109" s="5">
        <v>1.861341</v>
      </c>
      <c r="E109" s="5">
        <v>5.19991468</v>
      </c>
    </row>
    <row r="110" spans="1:5" s="21" ht="15">
      <c r="A110" s="4" t="s">
        <v>154</v>
      </c>
      <c r="B110" s="20">
        <v>3</v>
      </c>
      <c r="C110" s="6">
        <v>0.000224</v>
      </c>
      <c r="D110" s="5">
        <v>0.961382</v>
      </c>
      <c r="E110" s="5">
        <v>2.92832637</v>
      </c>
    </row>
    <row r="111" spans="1:5" s="21" ht="15">
      <c r="A111" s="4" t="s">
        <v>155</v>
      </c>
      <c r="B111" s="20">
        <v>1</v>
      </c>
      <c r="C111" s="6">
        <v>0.000185</v>
      </c>
      <c r="D111" s="5">
        <v>0.791041</v>
      </c>
      <c r="E111" s="5">
        <v>2.40947534</v>
      </c>
    </row>
    <row r="112" spans="1:5" s="21" ht="15">
      <c r="A112" s="4" t="s">
        <v>156</v>
      </c>
      <c r="B112" s="20">
        <v>1</v>
      </c>
      <c r="C112" s="6">
        <v>4.4E-05</v>
      </c>
      <c r="D112" s="5">
        <v>0.189553</v>
      </c>
      <c r="E112" s="5">
        <v>0.67778762</v>
      </c>
    </row>
    <row r="113" spans="1:5" s="21" ht="27" customHeight="1">
      <c r="A113" s="4" t="s">
        <v>157</v>
      </c>
      <c r="B113" s="20">
        <v>1</v>
      </c>
      <c r="C113" s="6">
        <v>6E-06</v>
      </c>
      <c r="D113" s="5">
        <v>0.0253</v>
      </c>
      <c r="E113" s="5">
        <v>0.0881678</v>
      </c>
    </row>
    <row r="114" spans="1:5" s="21" ht="15">
      <c r="A114" s="4" t="s">
        <v>158</v>
      </c>
      <c r="B114" s="20">
        <v>1</v>
      </c>
      <c r="C114" s="6">
        <v>4E-06</v>
      </c>
      <c r="D114" s="5">
        <v>0.015221</v>
      </c>
      <c r="E114" s="5">
        <v>0.04975492</v>
      </c>
    </row>
    <row r="115" spans="1:5" s="21" ht="15">
      <c r="A115" s="4" t="s">
        <v>159</v>
      </c>
      <c r="B115" s="20">
        <v>1</v>
      </c>
      <c r="C115" s="6">
        <v>3E-06</v>
      </c>
      <c r="D115" s="5">
        <v>0.012019</v>
      </c>
      <c r="E115" s="5">
        <v>0.04297653</v>
      </c>
    </row>
    <row r="116" spans="1:5" s="21" ht="15">
      <c r="A116" s="4" t="s">
        <v>96</v>
      </c>
      <c r="B116" s="20">
        <v>38</v>
      </c>
      <c r="C116" s="6">
        <v>0.029097</v>
      </c>
      <c r="D116" s="5">
        <v>124.664163</v>
      </c>
      <c r="E116" s="5">
        <v>381.32287158</v>
      </c>
    </row>
    <row r="117" spans="1:5" s="21" ht="15">
      <c r="A117" s="18" t="s">
        <v>160</v>
      </c>
      <c r="B117" s="18" t="s">
        <v>83</v>
      </c>
      <c r="C117" s="18" t="s">
        <v>14</v>
      </c>
      <c r="D117" s="18" t="s">
        <v>15</v>
      </c>
      <c r="E117" s="18" t="s">
        <v>17</v>
      </c>
    </row>
    <row r="118" spans="1:5" s="21" ht="15">
      <c r="A118" s="4" t="s">
        <v>161</v>
      </c>
      <c r="B118" s="20">
        <v>18</v>
      </c>
      <c r="C118" s="6">
        <v>0.01782</v>
      </c>
      <c r="D118" s="5">
        <v>76.345543</v>
      </c>
      <c r="E118" s="5">
        <v>232.54509286</v>
      </c>
    </row>
    <row r="119" spans="1:5" s="21" ht="15">
      <c r="A119" s="4" t="s">
        <v>162</v>
      </c>
      <c r="B119" s="20">
        <v>13</v>
      </c>
      <c r="C119" s="6">
        <v>0.026883</v>
      </c>
      <c r="D119" s="5">
        <v>115.180223</v>
      </c>
      <c r="E119" s="5">
        <v>350.83378284</v>
      </c>
    </row>
    <row r="120" spans="1:5" s="21" ht="15">
      <c r="A120" s="4" t="s">
        <v>163</v>
      </c>
      <c r="B120" s="20">
        <v>197</v>
      </c>
      <c r="C120" s="6">
        <v>0.797749</v>
      </c>
      <c r="D120" s="5">
        <v>3417.981275</v>
      </c>
      <c r="E120" s="5">
        <v>11195.77970697</v>
      </c>
    </row>
    <row r="121" spans="1:5" s="21" ht="15">
      <c r="A121" s="4" t="s">
        <v>96</v>
      </c>
      <c r="B121" s="20">
        <v>228</v>
      </c>
      <c r="C121" s="6">
        <v>0.842452</v>
      </c>
      <c r="D121" s="5">
        <v>3609.507041</v>
      </c>
      <c r="E121" s="5">
        <v>11779.15858267</v>
      </c>
    </row>
    <row r="122" spans="1:5" s="21" ht="15">
      <c r="A122" s="18" t="s">
        <v>164</v>
      </c>
      <c r="B122" s="18" t="s">
        <v>83</v>
      </c>
      <c r="C122" s="18" t="s">
        <v>14</v>
      </c>
      <c r="D122" s="18" t="s">
        <v>15</v>
      </c>
      <c r="E122" s="18" t="s">
        <v>17</v>
      </c>
    </row>
    <row r="123" spans="1:5" s="21" ht="15">
      <c r="A123" s="4" t="s">
        <v>165</v>
      </c>
      <c r="B123" s="20">
        <v>14</v>
      </c>
      <c r="C123" s="6">
        <v>0.000604</v>
      </c>
      <c r="D123" s="5">
        <v>2.588255</v>
      </c>
      <c r="E123" s="5">
        <v>8.2421423</v>
      </c>
    </row>
    <row r="124" spans="1:5" s="21" ht="15">
      <c r="A124" s="4" t="s">
        <v>166</v>
      </c>
      <c r="B124" s="20">
        <v>42</v>
      </c>
      <c r="C124" s="6">
        <v>0.050787</v>
      </c>
      <c r="D124" s="5">
        <v>217.580184</v>
      </c>
      <c r="E124" s="5">
        <v>706.64586643</v>
      </c>
    </row>
    <row r="125" spans="1:5" s="21" ht="15">
      <c r="A125" s="4" t="s">
        <v>167</v>
      </c>
      <c r="B125" s="20">
        <v>137</v>
      </c>
      <c r="C125" s="6">
        <v>0.737437000000001</v>
      </c>
      <c r="D125" s="5">
        <v>3159.590644</v>
      </c>
      <c r="E125" s="5">
        <v>10364.46623364</v>
      </c>
    </row>
    <row r="126" spans="1:5" s="21" ht="15">
      <c r="A126" s="4" t="s">
        <v>96</v>
      </c>
      <c r="B126" s="20">
        <v>193</v>
      </c>
      <c r="C126" s="6">
        <v>0.788828000000001</v>
      </c>
      <c r="D126" s="5">
        <v>3379.759083</v>
      </c>
      <c r="E126" s="5">
        <v>11079.35424237</v>
      </c>
    </row>
    <row r="129" spans="1:3" s="21" ht="15">
      <c r="A129" s="14" t="s">
        <v>70</v>
      </c>
      <c r="B129" s="15" t="s">
        <v>70</v>
      </c>
      <c r="C129" s="16" t="s">
        <v>70</v>
      </c>
    </row>
    <row r="130" spans="1:3" s="21" ht="15">
      <c r="A130" s="18" t="s">
        <v>13</v>
      </c>
      <c r="B130" s="18" t="s">
        <v>17</v>
      </c>
      <c r="C130" s="18" t="s">
        <v>168</v>
      </c>
    </row>
    <row r="131" spans="1:3" s="21" ht="15">
      <c r="A131" s="14" t="s">
        <v>161</v>
      </c>
      <c r="B131" s="15" t="s">
        <v>161</v>
      </c>
      <c r="C131" s="16" t="s">
        <v>161</v>
      </c>
    </row>
    <row r="132" spans="1:3" s="21" ht="27" customHeight="1">
      <c r="A132" s="4" t="s">
        <v>33</v>
      </c>
      <c r="B132" s="12">
        <v>1.85106039</v>
      </c>
      <c r="C132" s="12">
        <v>0.607711</v>
      </c>
    </row>
    <row r="133" spans="1:3" s="21" ht="15">
      <c r="A133" s="4" t="s">
        <v>32</v>
      </c>
      <c r="B133" s="12">
        <v>0.68447179</v>
      </c>
      <c r="C133" s="12">
        <v>0.224715</v>
      </c>
    </row>
    <row r="134" spans="1:3" s="21" ht="27" customHeight="1">
      <c r="A134" s="4" t="s">
        <v>76</v>
      </c>
      <c r="B134" s="12">
        <v>0.64331127</v>
      </c>
      <c r="C134" s="12">
        <v>0.1846</v>
      </c>
    </row>
    <row r="135" spans="1:3" s="21" ht="27" customHeight="1">
      <c r="A135" s="4" t="s">
        <v>75</v>
      </c>
      <c r="B135" s="12">
        <v>0.54775192</v>
      </c>
      <c r="C135" s="12">
        <v>0.167568</v>
      </c>
    </row>
    <row r="136" spans="1:3" s="21" ht="15">
      <c r="A136" s="4" t="s">
        <v>74</v>
      </c>
      <c r="B136" s="12">
        <v>0.5575829</v>
      </c>
      <c r="C136" s="12">
        <v>0.16</v>
      </c>
    </row>
    <row r="137" spans="1:3" s="21" ht="15">
      <c r="A137" s="14" t="s">
        <v>162</v>
      </c>
      <c r="B137" s="15" t="s">
        <v>162</v>
      </c>
      <c r="C137" s="16" t="s">
        <v>162</v>
      </c>
    </row>
    <row r="138" spans="1:3" s="21" ht="27" customHeight="1">
      <c r="A138" s="4" t="s">
        <v>29</v>
      </c>
      <c r="B138" s="11">
        <v>-14.25989751</v>
      </c>
      <c r="C138" s="11">
        <v>-4.681585</v>
      </c>
    </row>
    <row r="139" spans="1:3" s="21" ht="15">
      <c r="A139" s="4" t="s">
        <v>73</v>
      </c>
      <c r="B139" s="11">
        <v>-5.63615621</v>
      </c>
      <c r="C139" s="11">
        <v>-1.681</v>
      </c>
    </row>
    <row r="140" spans="1:3" s="21" ht="15">
      <c r="A140" s="4" t="s">
        <v>27</v>
      </c>
      <c r="B140" s="11">
        <v>-3.12592124</v>
      </c>
      <c r="C140" s="11">
        <v>-0.908083</v>
      </c>
    </row>
    <row r="141" spans="1:3" s="21" ht="27" customHeight="1">
      <c r="A141" s="4" t="s">
        <v>72</v>
      </c>
      <c r="B141" s="11">
        <v>-2.43634801</v>
      </c>
      <c r="C141" s="11">
        <v>-0.699117</v>
      </c>
    </row>
    <row r="142" spans="1:3" s="21" ht="15">
      <c r="A142" s="4" t="s">
        <v>71</v>
      </c>
      <c r="B142" s="11">
        <v>-2.25247484</v>
      </c>
      <c r="C142" s="11">
        <v>-0.689076</v>
      </c>
    </row>
    <row r="145" spans="1:5" s="21" ht="15">
      <c r="A145" s="14" t="s">
        <v>65</v>
      </c>
      <c r="B145" s="15" t="s">
        <v>65</v>
      </c>
      <c r="C145" s="15" t="s">
        <v>65</v>
      </c>
      <c r="D145" s="15" t="s">
        <v>65</v>
      </c>
      <c r="E145" s="16" t="s">
        <v>65</v>
      </c>
    </row>
    <row r="146" spans="1:5" s="21" ht="15">
      <c r="A146" s="18" t="s">
        <v>169</v>
      </c>
      <c r="B146" s="18" t="s">
        <v>83</v>
      </c>
      <c r="C146" s="18" t="s">
        <v>14</v>
      </c>
      <c r="D146" s="18" t="s">
        <v>15</v>
      </c>
      <c r="E146" s="18" t="s">
        <v>17</v>
      </c>
    </row>
    <row r="147" spans="1:5" s="21" ht="15">
      <c r="A147" s="4" t="s">
        <v>170</v>
      </c>
      <c r="B147" s="4">
        <v>197</v>
      </c>
      <c r="C147" s="6">
        <v>0.797749000000001</v>
      </c>
      <c r="D147" s="5">
        <v>3417.981275</v>
      </c>
      <c r="E147" s="5">
        <v>11195.77970697</v>
      </c>
    </row>
    <row r="148" spans="1:5" s="21" ht="15">
      <c r="A148" s="4" t="s">
        <v>69</v>
      </c>
      <c r="B148" s="4">
        <v>10</v>
      </c>
      <c r="C148" s="6">
        <v>0.761584</v>
      </c>
      <c r="D148" s="5">
        <v>3263.052655</v>
      </c>
      <c r="E148" s="5">
        <v>10692.48717923</v>
      </c>
    </row>
    <row r="149" spans="1:5" s="21" ht="15">
      <c r="A149" s="4" t="s">
        <v>68</v>
      </c>
      <c r="B149" s="4">
        <v>20</v>
      </c>
      <c r="C149" s="6">
        <v>0.782106</v>
      </c>
      <c r="D149" s="5">
        <v>3350.976522</v>
      </c>
      <c r="E149" s="5">
        <v>10975.27905264</v>
      </c>
    </row>
    <row r="150" spans="1:5" s="21" ht="15">
      <c r="A150" s="4" t="s">
        <v>67</v>
      </c>
      <c r="B150" s="4">
        <v>50</v>
      </c>
      <c r="C150" s="6">
        <v>0.794065</v>
      </c>
      <c r="D150" s="5">
        <v>3402.208341</v>
      </c>
      <c r="E150" s="5">
        <v>11143.27695529</v>
      </c>
    </row>
    <row r="151" spans="1:5" s="21" ht="15">
      <c r="A151" s="4" t="s">
        <v>66</v>
      </c>
      <c r="B151" s="4">
        <v>100</v>
      </c>
      <c r="C151" s="6">
        <v>0.797253</v>
      </c>
      <c r="D151" s="5">
        <v>3415.886111</v>
      </c>
      <c r="E151" s="5">
        <v>11188.77818233</v>
      </c>
    </row>
  </sheetData>
  <mergeCells count="7">
    <mergeCell ref="A6:F6"/>
    <mergeCell ref="A11:H11"/>
    <mergeCell ref="A35:E35"/>
    <mergeCell ref="A129:C129"/>
    <mergeCell ref="A131:C131"/>
    <mergeCell ref="A137:C137"/>
    <mergeCell ref="A145:E145"/>
  </mergeCells>
  <pageMargins left="0.5" right="0.5" top="1" bottom="1" header="0.5" footer="0.75"/>
  <pageSetup fitToHeight="0" orientation="portrait"/>
  <headerFooter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s.tr.eikonappserver</dc:creator>
  <dcterms:created xsi:type="dcterms:W3CDTF">2026-10-11T04:06:09Z</dcterms:created>
  <dcterms:modified xsi:type="dcterms:W3CDTF">2026-10-11T04:06:09Z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