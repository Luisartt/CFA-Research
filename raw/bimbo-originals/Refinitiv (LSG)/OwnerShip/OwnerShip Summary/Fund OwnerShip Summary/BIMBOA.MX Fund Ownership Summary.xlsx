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f52e13d13eb04123" Type="http://schemas.openxmlformats.org/officeDocument/2006/relationships/officeDocument" Target="/xl/workbook.xml" /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/>
  </bookViews>
  <sheets>
    <sheet name="Fund Ownership Summary" sheetId="2" r:id="rId2"/>
    <sheet name="Data" sheetId="3" r:id="rId3"/>
  </sheets>
  <calcPr fullPrecision="1" calcMode="auto" calcId="125725"/>
</workbook>
</file>

<file path=xl/sharedStrings.xml><?xml version="1.0" encoding="utf-8"?>
<sst xmlns="http://schemas.openxmlformats.org/spreadsheetml/2006/main" uniqueCount="162">
  <si>
    <t>Fund Ownership Summary</t>
  </si>
  <si>
    <t>Grupo Bimbo SAB de CV (BIMBOA.MX)</t>
  </si>
  <si>
    <t>Download Date</t>
  </si>
  <si>
    <t>Company Information</t>
  </si>
  <si>
    <t>Primary Exchange</t>
  </si>
  <si>
    <t>Shares Outstanding (M)</t>
  </si>
  <si>
    <t>Free Float (M)</t>
  </si>
  <si>
    <t>Free Float %</t>
  </si>
  <si>
    <t>Strategic Entities Ownership %</t>
  </si>
  <si>
    <t>Market Capitalization ($, M)</t>
  </si>
  <si>
    <t>Bolsa Mexicana de Valores S.A. de C.V.</t>
  </si>
  <si>
    <t>Top Investors</t>
  </si>
  <si>
    <t>Investor Rank</t>
  </si>
  <si>
    <t>Investor Name</t>
  </si>
  <si>
    <t>% O/S</t>
  </si>
  <si>
    <t>Position (M)</t>
  </si>
  <si>
    <t>Position Change (M)</t>
  </si>
  <si>
    <t>Value ($, M)</t>
  </si>
  <si>
    <t>Value Change ($, M)</t>
  </si>
  <si>
    <t>Latest Filing Date</t>
  </si>
  <si>
    <t>iShares NAFTRAC</t>
  </si>
  <si>
    <t>Vanguard Total International Stock Index Fund</t>
  </si>
  <si>
    <t>Vanguard Emerging Markets Stock Index Fund (US)</t>
  </si>
  <si>
    <t>iShares Core MSCI Emerging Markets ETF</t>
  </si>
  <si>
    <t>iShares MSCI Mexico ETF</t>
  </si>
  <si>
    <t>iShares Latin America 40 ETF</t>
  </si>
  <si>
    <t>BBVA Bancomer Mextrac</t>
  </si>
  <si>
    <t>iShares Core MSCI EM IMI UCITS ETF</t>
  </si>
  <si>
    <t>DFA Emerging Markets Core Equity 2 Portfolio</t>
  </si>
  <si>
    <t>State Street AUT Emerging Market Tilted Index Eq</t>
  </si>
  <si>
    <t>iShares MSCI Emerging Markets ex China ETF</t>
  </si>
  <si>
    <t>iShares MSCI Emerging Markets ETF</t>
  </si>
  <si>
    <t>iShares MSCI EM Latin America UCITS ETF</t>
  </si>
  <si>
    <t>State Street SPDR Portfolio Emerging Markets ETF</t>
  </si>
  <si>
    <t>Vanguard FTSE All-World ex-US Index Fund</t>
  </si>
  <si>
    <t>Schwab Fundamental Emerging Markets Equity ETF</t>
  </si>
  <si>
    <t>Fidelity Series Global ex U.S. Index Fund</t>
  </si>
  <si>
    <t>Vanguard Emerging Markets Stock Index Fund-EUR</t>
  </si>
  <si>
    <t>Canada Pension Plan Investment Board</t>
  </si>
  <si>
    <t>Mexico Fund, Inc.</t>
  </si>
  <si>
    <t>Investor Type</t>
  </si>
  <si>
    <t>Mutual Fund - 338</t>
  </si>
  <si>
    <t>Pension Fund Portfolio - 155</t>
  </si>
  <si>
    <t>Exchange-Traded Fund - 147</t>
  </si>
  <si>
    <t>Closed-End Fund - 5</t>
  </si>
  <si>
    <t>Insurance Company Portfolio - 32</t>
  </si>
  <si>
    <t>Breakdown</t>
  </si>
  <si>
    <t>Index - 286</t>
  </si>
  <si>
    <t>Other - 58</t>
  </si>
  <si>
    <t>Value - 21</t>
  </si>
  <si>
    <t>Income - 7</t>
  </si>
  <si>
    <t>Growth - 26</t>
  </si>
  <si>
    <t>GARP - 9</t>
  </si>
  <si>
    <t>North America - 214</t>
  </si>
  <si>
    <t>Europe - 367</t>
  </si>
  <si>
    <t>Asia / Pacific - 71</t>
  </si>
  <si>
    <t>Latin America - 9</t>
  </si>
  <si>
    <t>Africa - 3</t>
  </si>
  <si>
    <t>No Change - 677</t>
  </si>
  <si>
    <t>High - 127</t>
  </si>
  <si>
    <t>Moderate - 114</t>
  </si>
  <si>
    <t>Low - 419</t>
  </si>
  <si>
    <t>Holdings concentration</t>
  </si>
  <si>
    <t>Top 100</t>
  </si>
  <si>
    <t>Top 50</t>
  </si>
  <si>
    <t>Top 20</t>
  </si>
  <si>
    <t>Top 10</t>
  </si>
  <si>
    <t>Recent Activity</t>
  </si>
  <si>
    <t>iShares ESG Aware MSCI Emerging Markets Index ETF</t>
  </si>
  <si>
    <t>iShares ESG Aware MSCI EM ETF</t>
  </si>
  <si>
    <t>DFA Dimensional Emerging Markets Core Equity 2 ETF</t>
  </si>
  <si>
    <t>UBS MSCI EM Socially Responsible UCITS ETF</t>
  </si>
  <si>
    <t>Banorte 23 SA de CV FIRV</t>
  </si>
  <si>
    <t>Banorte 22 SA de CV FIRV</t>
  </si>
  <si>
    <t>Company</t>
  </si>
  <si>
    <t>Grupo Bimbo SAB de CV</t>
  </si>
  <si>
    <t>RIC</t>
  </si>
  <si>
    <t>BIMBOA.MX</t>
  </si>
  <si>
    <t>Breakdown (As of Latest Filing)</t>
  </si>
  <si>
    <t>Type</t>
  </si>
  <si>
    <t>Investors</t>
  </si>
  <si>
    <t>Funds</t>
  </si>
  <si>
    <t xml:space="preserve">    Mutual Fund</t>
  </si>
  <si>
    <t xml:space="preserve">    Pension Fund Portfolio</t>
  </si>
  <si>
    <t xml:space="preserve">    Exchange-Traded Fund</t>
  </si>
  <si>
    <t xml:space="preserve">    Closed-End Fund</t>
  </si>
  <si>
    <t xml:space="preserve">    Insurance Company Portfolio</t>
  </si>
  <si>
    <t>Grand Total</t>
  </si>
  <si>
    <t>Style</t>
  </si>
  <si>
    <t>Index</t>
  </si>
  <si>
    <t>Other</t>
  </si>
  <si>
    <t xml:space="preserve">    Emerging Markets</t>
  </si>
  <si>
    <t xml:space="preserve">    Specialty</t>
  </si>
  <si>
    <t>Value</t>
  </si>
  <si>
    <t xml:space="preserve">    Core Value</t>
  </si>
  <si>
    <t xml:space="preserve">    Deep Value</t>
  </si>
  <si>
    <t>Income</t>
  </si>
  <si>
    <t xml:space="preserve">    Yield</t>
  </si>
  <si>
    <t xml:space="preserve">    Income Value</t>
  </si>
  <si>
    <t>Growth</t>
  </si>
  <si>
    <t xml:space="preserve">    Core Growth</t>
  </si>
  <si>
    <t xml:space="preserve">    Growth</t>
  </si>
  <si>
    <t xml:space="preserve">    Aggressive Growth</t>
  </si>
  <si>
    <t>GARP</t>
  </si>
  <si>
    <t>Region</t>
  </si>
  <si>
    <t>North America</t>
  </si>
  <si>
    <t>Europe</t>
  </si>
  <si>
    <t>Asia / Pacific</t>
  </si>
  <si>
    <t>Latin America</t>
  </si>
  <si>
    <t>Africa</t>
  </si>
  <si>
    <t>Country/Region</t>
  </si>
  <si>
    <t>United States</t>
  </si>
  <si>
    <t>United Kingdom</t>
  </si>
  <si>
    <t>Mexico</t>
  </si>
  <si>
    <t>Switzerland</t>
  </si>
  <si>
    <t>Germany</t>
  </si>
  <si>
    <t>Canada</t>
  </si>
  <si>
    <t>Norway</t>
  </si>
  <si>
    <t>France</t>
  </si>
  <si>
    <t>Sweden</t>
  </si>
  <si>
    <t>Japan</t>
  </si>
  <si>
    <t>Ireland</t>
  </si>
  <si>
    <t>Netherlands</t>
  </si>
  <si>
    <t>Australia</t>
  </si>
  <si>
    <t>Denmark</t>
  </si>
  <si>
    <t>Luxembourg</t>
  </si>
  <si>
    <t>Colombia</t>
  </si>
  <si>
    <t>Spain</t>
  </si>
  <si>
    <t>Belgium</t>
  </si>
  <si>
    <t>Finland</t>
  </si>
  <si>
    <t>South Africa</t>
  </si>
  <si>
    <t>Chile</t>
  </si>
  <si>
    <t>Hong Kong</t>
  </si>
  <si>
    <t>Austria</t>
  </si>
  <si>
    <t>Brazil</t>
  </si>
  <si>
    <t>Italy</t>
  </si>
  <si>
    <t>Taiwan</t>
  </si>
  <si>
    <t>Metro Area</t>
  </si>
  <si>
    <t>San Francisco-Oakland-Fremont, CA</t>
  </si>
  <si>
    <t>Philadelphia-Camden-Wilmington, PA-NJ-DE-MD</t>
  </si>
  <si>
    <t>Boston-Cambridge-Quincy, MA-NH</t>
  </si>
  <si>
    <t>San Antonio, TX</t>
  </si>
  <si>
    <t>New York-Northern New Jersey-Long Island, NY-NJ-PA</t>
  </si>
  <si>
    <t>Chicago-Naperville-Joliet, IL-IN-WI</t>
  </si>
  <si>
    <t>Charlotte-Gastonia-Concord, NC-SC</t>
  </si>
  <si>
    <t>Seattle-Tacoma-Bellevue, WA</t>
  </si>
  <si>
    <t>Columbus, OH</t>
  </si>
  <si>
    <t>Washington-Arlington-Alexandria, DC-VA-MD-WV</t>
  </si>
  <si>
    <t>Los Angeles-Long Beach-Santa Ana, CA</t>
  </si>
  <si>
    <t>Houston-Sugar Land-Baytown, TX</t>
  </si>
  <si>
    <t>Minneapolis-St. Paul-Bloomington, MN-WI</t>
  </si>
  <si>
    <t>Rotation</t>
  </si>
  <si>
    <t>Buys</t>
  </si>
  <si>
    <t>Sells</t>
  </si>
  <si>
    <t>No Change</t>
  </si>
  <si>
    <t>Turnover</t>
  </si>
  <si>
    <t>High</t>
  </si>
  <si>
    <t>Moderate</t>
  </si>
  <si>
    <t>Low</t>
  </si>
  <si>
    <t>Shares (M)</t>
  </si>
  <si>
    <t>Concentration</t>
  </si>
  <si>
    <t>All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</si>
</sst>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4" formatCode="dd-MMM-yyyy"/>
    <numFmt numFmtId="165" formatCode="#,##0.00;-#,##0.00;0"/>
    <numFmt numFmtId="166" formatCode="#0.00%;-#0.00%;0%"/>
    <numFmt numFmtId="167" formatCode="+#,##0.00;-#,##0.00;0"/>
    <numFmt numFmtId="168" formatCode="#,##0;-#,##0;0"/>
  </numFmts>
  <fonts count="11">
    <font>
      <sz val="11"/>
      <name val="Calibri"/>
      <charset val="0"/>
      <color rgb="FF000000"/>
    </font>
    <font>
      <b/>
      <sz val="25"/>
      <name val="Calibri"/>
      <charset val="0"/>
      <color rgb="FF000000"/>
    </font>
    <font>
      <b/>
      <sz val="9"/>
      <name val="Calibri"/>
      <charset val="0"/>
      <color rgb="FF000000"/>
    </font>
    <font>
      <sz val="9"/>
      <name val="Calibri"/>
      <charset val="0"/>
      <color rgb="FF000000"/>
    </font>
    <font>
      <sz val="11"/>
      <name val="Calibri"/>
      <charset val="0"/>
      <color rgb="FF000000"/>
    </font>
    <font>
      <sz val="9"/>
      <name val="Calibri"/>
      <charset val="0"/>
      <color rgb="FFF5475B"/>
    </font>
    <font>
      <sz val="9"/>
      <name val="Calibri"/>
      <charset val="0"/>
      <color rgb="FFCCCCCC"/>
    </font>
    <font>
      <sz val="9"/>
      <name val="Calibri"/>
      <charset val="0"/>
      <color rgb="FF39C46E"/>
    </font>
    <font>
      <sz val="1"/>
      <name val="Calibri"/>
      <charset val="0"/>
      <color rgb="FFFFFFFF"/>
    </font>
    <font>
      <sz val="11"/>
      <name val="Calibri"/>
      <charset val="0"/>
      <color rgb="FF000000"/>
    </font>
    <font>
      <b/>
      <sz val="11"/>
      <name val="Calibri"/>
      <charset val="0"/>
      <color rgb="FF00000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none">
        <bgColor indexed="65"/>
      </patternFill>
    </fill>
    <fill>
      <patternFill patternType="solid">
        <fgColor rgb="FFE3E3E3"/>
        <bgColor rgb="FFE3E3E3"/>
      </patternFill>
    </fill>
  </fills>
  <borders count="5">
    <border>
      <left/>
      <right/>
      <top/>
      <bottom/>
      <diagonal/>
    </border>
    <border>
      <left style="thin">
        <color rgb="FF898989"/>
      </left>
      <right style="thin">
        <color rgb="FF898989"/>
      </right>
      <top style="thin">
        <color rgb="FF898989"/>
      </top>
      <bottom style="thin">
        <color rgb="FF898989"/>
      </bottom>
      <diagonal/>
    </border>
    <border>
      <left style="thin">
        <color rgb="FF898989"/>
      </left>
      <right/>
      <top style="thin">
        <color rgb="FF898989"/>
      </top>
      <bottom style="thin">
        <color rgb="FF898989"/>
      </bottom>
      <diagonal/>
    </border>
    <border>
      <left/>
      <right/>
      <top style="thin">
        <color rgb="FF898989"/>
      </top>
      <bottom style="thin">
        <color rgb="FF898989"/>
      </bottom>
      <diagonal/>
    </border>
    <border>
      <left/>
      <right style="thin">
        <color rgb="FF898989"/>
      </right>
      <top style="thin">
        <color rgb="FF898989"/>
      </top>
      <bottom style="thin">
        <color rgb="FF898989"/>
      </bottom>
      <diagonal/>
    </border>
  </borders>
  <cellStyleXfs count="1">
    <xf numFmtId="0" fontId="0" fillId="2" borderId="0" applyAlignment="0" applyNumberFormat="0"/>
    <xf numFmtId="0" fontId="1" fillId="2" borderId="0" applyAlignment="0" applyNumberFormat="0"/>
    <xf numFmtId="164" fontId="0" fillId="2" borderId="0" applyAlignment="0" applyNumberFormat="0"/>
    <xf numFmtId="0" fontId="2" fillId="3" borderId="1" applyAlignment="0" applyNumberFormat="0"/>
    <xf numFmtId="0" fontId="3" fillId="2" borderId="0" applyAlignment="0" applyNumberFormat="0"/>
    <xf numFmtId="165" fontId="3" fillId="2" borderId="0" applyAlignment="0" applyNumberFormat="0"/>
    <xf numFmtId="166" fontId="3" fillId="2" borderId="0" applyAlignment="0" applyNumberFormat="0"/>
    <xf numFmtId="0" fontId="3" fillId="2" borderId="0" applyAlignment="0" applyNumberFormat="0"/>
    <xf numFmtId="166" fontId="3" fillId="2" borderId="0" applyAlignment="0" applyNumberFormat="0"/>
    <xf numFmtId="167" fontId="5" fillId="2" borderId="0" applyAlignment="0" applyNumberFormat="0"/>
    <xf numFmtId="164" fontId="3" fillId="2" borderId="0" applyAlignment="0" applyNumberFormat="0"/>
    <xf numFmtId="167" fontId="6" fillId="2" borderId="0" applyAlignment="0" applyNumberFormat="0"/>
    <xf numFmtId="167" fontId="7" fillId="2" borderId="0" applyAlignment="0" applyNumberFormat="0"/>
    <xf numFmtId="0" fontId="8" fillId="2" borderId="0" applyAlignment="0" applyNumberFormat="0">
      <protection hidden="1"/>
    </xf>
    <xf numFmtId="0" fontId="2" fillId="3" borderId="2" applyAlignment="0" applyNumberFormat="0"/>
    <xf numFmtId="0" fontId="2" fillId="3" borderId="3" applyAlignment="0" applyNumberFormat="0"/>
    <xf numFmtId="0" fontId="2" fillId="3" borderId="4" applyAlignment="0" applyNumberFormat="0"/>
    <xf numFmtId="0" fontId="0" fillId="3" borderId="0" applyAlignment="0" applyNumberFormat="0"/>
    <xf numFmtId="0" fontId="2" fillId="3" borderId="1" applyAlignment="0" applyNumberFormat="0"/>
    <xf numFmtId="164" fontId="3" fillId="2" borderId="0" applyAlignment="0" applyNumberFormat="0"/>
    <xf numFmtId="168" fontId="3" fillId="2" borderId="0" applyAlignment="0" applyNumberFormat="0"/>
  </cellStyleXfs>
  <cellXfs>
    <xf numFmtId="0" fontId="0" fillId="2" borderId="0" xfId="0" applyAlignment="1" applyFont="1" applyNumberFormat="1" applyFill="1" applyProtection="1"/>
    <xf numFmtId="0" fontId="1" fillId="2" borderId="0" xfId="0" applyAlignment="1" applyFont="1" applyNumberFormat="1" applyFill="1" applyProtection="1"/>
    <xf numFmtId="164" fontId="0" fillId="2" borderId="0" xfId="0" applyAlignment="1" applyFont="1" applyNumberFormat="1" applyFill="1" applyProtection="1">
      <alignment horizontal="right"/>
    </xf>
    <xf numFmtId="0" fontId="2" fillId="3" borderId="1" xfId="0" applyAlignment="1" applyBorder="1" applyFont="1" applyNumberFormat="1" applyFill="1" applyProtection="1">
      <alignment horizontal="center" vertical="center" wrapText="1"/>
    </xf>
    <xf numFmtId="0" fontId="3" fillId="2" borderId="0" xfId="0" applyAlignment="1" applyFont="1" applyNumberFormat="1" applyFill="1" applyProtection="1">
      <alignment vertical="center" wrapText="1"/>
    </xf>
    <xf numFmtId="165" fontId="3" fillId="2" borderId="0" xfId="0" applyAlignment="1" applyFont="1" applyNumberFormat="1" applyFill="1" applyProtection="1">
      <alignment vertical="center" wrapText="1"/>
    </xf>
    <xf numFmtId="166" fontId="3" fillId="2" borderId="0" xfId="0" applyAlignment="1" applyFont="1" applyNumberFormat="1" applyFill="1" applyProtection="1">
      <alignment vertical="center" wrapText="1"/>
    </xf>
    <xf numFmtId="0" fontId="3" fillId="2" borderId="0" xfId="0" applyAlignment="1" applyFont="1" applyNumberFormat="1" applyFill="1" applyProtection="1">
      <alignment horizontal="center" vertical="center" wrapText="1"/>
    </xf>
    <xf numFmtId="166" fontId="3" fillId="2" borderId="0" xfId="0" applyAlignment="1" applyFont="1" applyNumberFormat="1" applyFill="1" applyProtection="1">
      <alignment horizontal="center" vertical="center" wrapText="1"/>
    </xf>
    <xf numFmtId="167" fontId="5" fillId="2" borderId="0" xfId="0" applyAlignment="1" applyFont="1" applyNumberFormat="1" applyFill="1" applyProtection="1">
      <alignment vertical="center" wrapText="1"/>
    </xf>
    <xf numFmtId="164" fontId="3" fillId="2" borderId="0" xfId="0" applyAlignment="1" applyFont="1" applyNumberFormat="1" applyFill="1" applyProtection="1">
      <alignment horizontal="center" vertical="center" wrapText="1"/>
    </xf>
    <xf numFmtId="167" fontId="6" fillId="2" borderId="0" xfId="0" applyAlignment="1" applyFont="1" applyNumberFormat="1" applyFill="1" applyProtection="1">
      <alignment vertical="center" wrapText="1"/>
    </xf>
    <xf numFmtId="167" fontId="7" fillId="2" borderId="0" xfId="0" applyAlignment="1" applyFont="1" applyNumberFormat="1" applyFill="1" applyProtection="1">
      <alignment vertical="center" wrapText="1"/>
    </xf>
    <xf numFmtId="0" fontId="8" fillId="2" borderId="0" xfId="0" applyAlignment="1" applyFont="1" applyNumberFormat="1" applyFill="1" applyProtection="1">
      <protection hidden="1"/>
    </xf>
    <xf numFmtId="0" fontId="2" fillId="3" borderId="2" xfId="0" applyAlignment="1" applyBorder="1" applyFont="1" applyNumberFormat="1" applyFill="1" applyProtection="1">
      <alignment horizontal="center" vertical="center" wrapText="1"/>
    </xf>
    <xf numFmtId="0" fontId="2" fillId="3" borderId="3" xfId="0" applyAlignment="1" applyBorder="1" applyFont="1" applyNumberFormat="1" applyFill="1" applyProtection="1">
      <alignment horizontal="center" vertical="center" wrapText="1"/>
    </xf>
    <xf numFmtId="0" fontId="2" fillId="3" borderId="4" xfId="0" applyAlignment="1" applyBorder="1" applyFont="1" applyNumberFormat="1" applyFill="1" applyProtection="1">
      <alignment horizontal="center" vertical="center" wrapText="1"/>
    </xf>
    <xf numFmtId="0" fontId="0" fillId="3" borderId="0" xfId="0" applyAlignment="1" applyFont="1" applyNumberFormat="1" applyFill="1" applyProtection="1">
      <alignment horizontal="center"/>
    </xf>
    <xf numFmtId="0" fontId="2" fillId="3" borderId="1" xfId="0" applyAlignment="1" applyBorder="1" applyFont="1" applyNumberFormat="1" applyFill="1" applyProtection="1">
      <alignment horizontal="left" vertical="center" wrapText="1"/>
    </xf>
    <xf numFmtId="164" fontId="3" fillId="2" borderId="0" xfId="0" applyAlignment="1" applyFont="1" applyNumberFormat="1" applyFill="1" applyProtection="1">
      <alignment vertical="center" wrapText="1"/>
    </xf>
    <xf numFmtId="168" fontId="3" fillId="2" borderId="0" xfId="0" applyAlignment="1" applyFont="1" applyNumberFormat="1" applyFill="1" applyProtection="1">
      <alignment vertical="center" wrapText="1"/>
    </xf>
    <xf numFmtId="0" fontId="0" fillId="2" borderId="0" xfId="0" applyAlignment="1" applyNumberFormat="1"/>
  </cellXfs>
  <cellStyles count="1">
    <cellStyle name="Normal" xfId="0" builtinId="0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3" Type="http://schemas.openxmlformats.org/officeDocument/2006/relationships/worksheet" Target="worksheets/sheet2.xml" /><Relationship Id="rId2" Type="http://schemas.openxmlformats.org/officeDocument/2006/relationships/worksheet" Target="worksheets/sheet1.xml" /><Relationship Id="rId7" Type="http://schemas.openxmlformats.org/officeDocument/2006/relationships/theme" Target="/xl/theme/theme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plotArea>
      <c:pieChart>
        <c:varyColors val="1"/>
        <c:ser>
          <c:idx val="0"/>
          <c:order val="0"/>
          <c:spPr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0"/>
            <c:showLeaderLines val="1"/>
          </c:dLbls>
          <c:cat>
            <c:strRef>
              <c:f>'Fund Ownership Summary'!$A$36:$E$36</c:f>
              <c:strCache/>
            </c:strRef>
          </c:cat>
          <c:val>
            <c:numRef>
              <c:f>'Fund Ownership Summary'!$A$37:$E$37</c:f>
              <c:numCache/>
            </c:numRef>
          </c:val>
        </c:ser>
        <c:firstSliceAng val="0"/>
      </c:pieChart>
      <c:spPr>
        <a:ln>
          <a:noFill/>
          <a:round/>
        </a:ln>
        <a:effectLst/>
      </c:spPr>
    </c:plotArea>
    <c:legend>
      <c:legendPos val="r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>
              <a:defRPr/>
            </a:pPr>
            <a:r>
              <a:rPr b="0" sz="1100">
                <a:latin typeface="Calibri"/>
              </a:rPr>
              <a:t>Style</a:t>
            </a:r>
          </a:p>
        </c:rich>
      </c:tx>
      <c:spPr>
        <a:ln>
          <a:noFill/>
          <a:round/>
        </a:ln>
        <a:effectLst/>
      </c:spPr>
    </c:title>
    <c:plotArea>
      <c:layout>
        <c:manualLayout>
          <c:h val="0.75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'Fund Ownership Summary'!$A$49</c:f>
              <c:strCache/>
            </c:strRef>
          </c:tx>
          <c:spPr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0"/>
          </c:dLbls>
          <c:val>
            <c:numRef>
              <c:f>'Fund Ownership Summary'!$A$50</c:f>
              <c:numCache/>
            </c:numRef>
          </c:val>
        </c:ser>
        <c:ser>
          <c:idx val="1"/>
          <c:order val="1"/>
          <c:tx>
            <c:strRef>
              <c:f>'Fund Ownership Summary'!$B$49</c:f>
              <c:strCache/>
            </c:strRef>
          </c:tx>
          <c:spPr>
            <a:effectLst/>
          </c:spPr>
          <c:val>
            <c:numRef>
              <c:f>'Fund Ownership Summary'!$B$50</c:f>
              <c:numCache/>
            </c:numRef>
          </c:val>
        </c:ser>
        <c:ser>
          <c:idx val="2"/>
          <c:order val="2"/>
          <c:tx>
            <c:strRef>
              <c:f>'Fund Ownership Summary'!$C$49</c:f>
              <c:strCache/>
            </c:strRef>
          </c:tx>
          <c:spPr>
            <a:effectLst/>
          </c:spPr>
          <c:val>
            <c:numRef>
              <c:f>'Fund Ownership Summary'!$C$50</c:f>
              <c:numCache/>
            </c:numRef>
          </c:val>
        </c:ser>
        <c:ser>
          <c:idx val="3"/>
          <c:order val="3"/>
          <c:tx>
            <c:strRef>
              <c:f>'Fund Ownership Summary'!$D$49</c:f>
              <c:strCache/>
            </c:strRef>
          </c:tx>
          <c:spPr>
            <a:effectLst/>
          </c:spPr>
          <c:val>
            <c:numRef>
              <c:f>'Fund Ownership Summary'!$D$50</c:f>
              <c:numCache/>
            </c:numRef>
          </c:val>
        </c:ser>
        <c:ser>
          <c:idx val="4"/>
          <c:order val="4"/>
          <c:tx>
            <c:strRef>
              <c:f>'Fund Ownership Summary'!$E$49</c:f>
              <c:strCache/>
            </c:strRef>
          </c:tx>
          <c:spPr>
            <a:effectLst/>
          </c:spPr>
          <c:val>
            <c:numRef>
              <c:f>'Fund Ownership Summary'!$E$50</c:f>
              <c:numCache/>
            </c:numRef>
          </c:val>
        </c:ser>
        <c:ser>
          <c:idx val="5"/>
          <c:order val="5"/>
          <c:tx>
            <c:strRef>
              <c:f>'Fund Ownership Summary'!$F$49</c:f>
              <c:strCache/>
            </c:strRef>
          </c:tx>
          <c:spPr>
            <a:effectLst/>
          </c:spPr>
          <c:val>
            <c:numRef>
              <c:f>'Fund Ownership Summary'!$F$50</c:f>
              <c:numCache/>
            </c:numRef>
          </c:val>
        </c:ser>
        <c:gapWidth val="150"/>
        <c:overlap val="100"/>
        <c:axId val="59983360"/>
        <c:axId val="57253888"/>
      </c:barChart>
      <c:catAx>
        <c:axId val="5998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Offset val="100"/>
        <c:tickMarkSkip val="1"/>
        <c:noMultiLvlLbl val="1"/>
      </c:catAx>
      <c:valAx>
        <c:axId val="57253888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ln>
          <a:noFill/>
          <a:round/>
        </a:ln>
        <a:effectLst/>
      </c:spPr>
    </c:plotArea>
    <c:legend>
      <c:legendPos val="r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>
              <a:defRPr/>
            </a:pPr>
            <a:r>
              <a:rPr b="0" sz="1100">
                <a:latin typeface="Calibri"/>
              </a:rPr>
              <a:t>Location</a:t>
            </a:r>
          </a:p>
        </c:rich>
      </c:tx>
      <c:spPr>
        <a:ln>
          <a:noFill/>
          <a:round/>
        </a:ln>
        <a:effectLst/>
      </c:spPr>
    </c:title>
    <c:plotArea>
      <c:layout>
        <c:manualLayout>
          <c:h val="0.75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'Fund Ownership Summary'!$A$51</c:f>
              <c:strCache/>
            </c:strRef>
          </c:tx>
          <c:spPr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0"/>
          </c:dLbls>
          <c:val>
            <c:numRef>
              <c:f>'Fund Ownership Summary'!$A$52</c:f>
              <c:numCache/>
            </c:numRef>
          </c:val>
        </c:ser>
        <c:ser>
          <c:idx val="1"/>
          <c:order val="1"/>
          <c:tx>
            <c:strRef>
              <c:f>'Fund Ownership Summary'!$B$51</c:f>
              <c:strCache/>
            </c:strRef>
          </c:tx>
          <c:spPr>
            <a:effectLst/>
          </c:spPr>
          <c:val>
            <c:numRef>
              <c:f>'Fund Ownership Summary'!$B$52</c:f>
              <c:numCache/>
            </c:numRef>
          </c:val>
        </c:ser>
        <c:ser>
          <c:idx val="2"/>
          <c:order val="2"/>
          <c:tx>
            <c:strRef>
              <c:f>'Fund Ownership Summary'!$C$51</c:f>
              <c:strCache/>
            </c:strRef>
          </c:tx>
          <c:spPr>
            <a:effectLst/>
          </c:spPr>
          <c:val>
            <c:numRef>
              <c:f>'Fund Ownership Summary'!$C$52</c:f>
              <c:numCache/>
            </c:numRef>
          </c:val>
        </c:ser>
        <c:ser>
          <c:idx val="3"/>
          <c:order val="3"/>
          <c:tx>
            <c:strRef>
              <c:f>'Fund Ownership Summary'!$D$51</c:f>
              <c:strCache/>
            </c:strRef>
          </c:tx>
          <c:spPr>
            <a:effectLst/>
          </c:spPr>
          <c:val>
            <c:numRef>
              <c:f>'Fund Ownership Summary'!$D$52</c:f>
              <c:numCache/>
            </c:numRef>
          </c:val>
        </c:ser>
        <c:ser>
          <c:idx val="4"/>
          <c:order val="4"/>
          <c:tx>
            <c:strRef>
              <c:f>'Fund Ownership Summary'!$E$51</c:f>
              <c:strCache/>
            </c:strRef>
          </c:tx>
          <c:spPr>
            <a:effectLst/>
          </c:spPr>
          <c:val>
            <c:numRef>
              <c:f>'Fund Ownership Summary'!$E$52</c:f>
              <c:numCache/>
            </c:numRef>
          </c:val>
        </c:ser>
        <c:gapWidth val="150"/>
        <c:overlap val="100"/>
        <c:axId val="59983360"/>
        <c:axId val="57253888"/>
      </c:barChart>
      <c:catAx>
        <c:axId val="5998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Offset val="100"/>
        <c:tickMarkSkip val="1"/>
        <c:noMultiLvlLbl val="1"/>
      </c:catAx>
      <c:valAx>
        <c:axId val="57253888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ln>
          <a:noFill/>
          <a:round/>
        </a:ln>
        <a:effectLst/>
      </c:spPr>
    </c:plotArea>
    <c:legend>
      <c:legendPos val="r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>
              <a:defRPr/>
            </a:pPr>
            <a:r>
              <a:rPr b="0" sz="1100">
                <a:latin typeface="Calibri"/>
              </a:rPr>
              <a:t>Rotation</a:t>
            </a:r>
          </a:p>
        </c:rich>
      </c:tx>
      <c:spPr>
        <a:ln>
          <a:noFill/>
          <a:round/>
        </a:ln>
        <a:effectLst/>
      </c:spPr>
    </c:title>
    <c:plotArea>
      <c:layout>
        <c:manualLayout>
          <c:h val="0.75"/>
        </c:manualLayout>
      </c:layout>
      <c:barChart>
        <c:barDir val="col"/>
        <c:grouping val="stacked"/>
        <c:varyColors val="1"/>
        <c:ser>
          <c:idx val="0"/>
          <c:order val="0"/>
          <c:spPr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0"/>
          </c:dLbls>
          <c:cat>
            <c:strRef>
              <c:f>'Fund Ownership Summary'!$A$53</c:f>
              <c:strCache/>
            </c:strRef>
          </c:cat>
          <c:val>
            <c:numRef>
              <c:f>'Fund Ownership Summary'!$A$54</c:f>
              <c:numCache/>
            </c:numRef>
          </c:val>
        </c:ser>
        <c:gapWidth val="150"/>
        <c:overlap val="100"/>
        <c:axId val="59983360"/>
        <c:axId val="57253888"/>
      </c:barChart>
      <c:catAx>
        <c:axId val="5998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Offset val="100"/>
        <c:tickMarkSkip val="1"/>
        <c:noMultiLvlLbl val="1"/>
      </c:catAx>
      <c:valAx>
        <c:axId val="57253888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ln>
          <a:noFill/>
          <a:round/>
        </a:ln>
        <a:effectLst/>
      </c:spPr>
    </c:plotArea>
    <c:legend>
      <c:legendPos val="r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>
              <a:defRPr/>
            </a:pPr>
            <a:r>
              <a:rPr b="0" sz="1100">
                <a:latin typeface="Calibri"/>
              </a:rPr>
              <a:t>Turnover</a:t>
            </a:r>
          </a:p>
        </c:rich>
      </c:tx>
      <c:spPr>
        <a:ln>
          <a:noFill/>
          <a:round/>
        </a:ln>
        <a:effectLst/>
      </c:spPr>
    </c:title>
    <c:plotArea>
      <c:layout>
        <c:manualLayout>
          <c:h val="0.75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'Fund Ownership Summary'!$A$55</c:f>
              <c:strCache/>
            </c:strRef>
          </c:tx>
          <c:spPr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0"/>
          </c:dLbls>
          <c:val>
            <c:numRef>
              <c:f>'Fund Ownership Summary'!$A$56</c:f>
              <c:numCache/>
            </c:numRef>
          </c:val>
        </c:ser>
        <c:ser>
          <c:idx val="1"/>
          <c:order val="1"/>
          <c:tx>
            <c:strRef>
              <c:f>'Fund Ownership Summary'!$B$55</c:f>
              <c:strCache/>
            </c:strRef>
          </c:tx>
          <c:spPr>
            <a:effectLst/>
          </c:spPr>
          <c:val>
            <c:numRef>
              <c:f>'Fund Ownership Summary'!$B$56</c:f>
              <c:numCache/>
            </c:numRef>
          </c:val>
        </c:ser>
        <c:ser>
          <c:idx val="2"/>
          <c:order val="2"/>
          <c:tx>
            <c:strRef>
              <c:f>'Fund Ownership Summary'!$C$55</c:f>
              <c:strCache/>
            </c:strRef>
          </c:tx>
          <c:spPr>
            <a:effectLst/>
          </c:spPr>
          <c:val>
            <c:numRef>
              <c:f>'Fund Ownership Summary'!$C$56</c:f>
              <c:numCache/>
            </c:numRef>
          </c:val>
        </c:ser>
        <c:gapWidth val="150"/>
        <c:overlap val="100"/>
        <c:axId val="59983360"/>
        <c:axId val="57253888"/>
      </c:barChart>
      <c:catAx>
        <c:axId val="5998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Offset val="100"/>
        <c:tickMarkSkip val="1"/>
        <c:noMultiLvlLbl val="1"/>
      </c:catAx>
      <c:valAx>
        <c:axId val="57253888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ln>
          <a:noFill/>
          <a:round/>
        </a:ln>
        <a:effectLst/>
      </c:spPr>
    </c:plotArea>
    <c:legend>
      <c:legendPos val="r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plotArea>
      <c:barChart>
        <c:barDir val="bar"/>
        <c:grouping val="stacked"/>
        <c:varyColors val="0"/>
        <c:ser>
          <c:idx val="0"/>
          <c:order val="0"/>
          <c:spPr>
            <a:effectLst/>
          </c:spPr>
          <c:dLbls>
            <c:numFmt formatCode="0.00%"/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1"/>
          </c:dLbls>
          <c:cat>
            <c:strRef>
              <c:f>'Fund Ownership Summary'!$A$72:$D$72</c:f>
              <c:strCache/>
            </c:strRef>
          </c:cat>
          <c:val>
            <c:numRef>
              <c:f>'Fund Ownership Summary'!$A$73:$D$73</c:f>
              <c:numCache/>
            </c:numRef>
          </c:val>
        </c:ser>
        <c:gapWidth val="150"/>
        <c:overlap val="100"/>
        <c:axId val="59983360"/>
        <c:axId val="57253888"/>
      </c:barChart>
      <c:catAx>
        <c:axId val="5998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  <a:round/>
          </a:ln>
        </c:spPr>
        <c:crossAx val="57253888"/>
        <c:crosses val="autoZero"/>
        <c:auto val="1"/>
        <c:lblOffset val="100"/>
        <c:tickMarkSkip val="1"/>
        <c:noMultiLvlLbl val="1"/>
      </c:catAx>
      <c:valAx>
        <c:axId val="57253888"/>
        <c:scaling>
          <c:orientation val="minMax"/>
          <c:max val="0.052573999999999996"/>
          <c:min val="0"/>
        </c:scaling>
        <c:delete val="1"/>
        <c:axPos val="l"/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ln>
          <a:noFill/>
          <a:round/>
        </a:ln>
        <a:effectLst/>
      </c:spPr>
    </c:plotArea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>
              <a:defRPr/>
            </a:pPr>
            <a:r>
              <a:rPr b="1" sz="1100">
                <a:latin typeface="Calibri"/>
              </a:rPr>
              <a:t>Shares</a:t>
            </a:r>
          </a:p>
        </c:rich>
      </c:tx>
      <c:spPr>
        <a:ln>
          <a:noFill/>
          <a:round/>
        </a:ln>
        <a:effectLst/>
      </c:spPr>
    </c:title>
    <c:plotArea>
      <c:barChart>
        <c:barDir val="bar"/>
        <c:grouping val="stacked"/>
        <c:varyColors val="0"/>
        <c:ser>
          <c:idx val="0"/>
          <c:order val="0"/>
          <c:tx>
            <c:v>Buys</c:v>
          </c:tx>
          <c:spPr>
            <a:effectLst/>
          </c:spPr>
          <c:dLbls>
            <c:numFmt formatCode="#,##0.00 &quot;M&quot;"/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1"/>
          </c:dLbls>
          <c:cat>
            <c:strRef>
              <c:f>'Fund Ownership Summary'!$A$90:$J$90</c:f>
              <c:strCache/>
            </c:strRef>
          </c:cat>
          <c:val>
            <c:numRef>
              <c:f>'Fund Ownership Summary'!$A$91:$J$91</c:f>
              <c:numCache/>
            </c:numRef>
          </c:val>
        </c:ser>
        <c:ser>
          <c:idx val="1"/>
          <c:order val="1"/>
          <c:tx>
            <c:v>Sells</c:v>
          </c:tx>
          <c:spPr>
            <a:effectLst/>
          </c:spPr>
          <c:dLbls>
            <c:numFmt formatCode="#,##0.00 &quot;M&quot;"/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1"/>
          </c:dLbls>
          <c:cat>
            <c:strRef>
              <c:f>'Fund Ownership Summary'!$A$90:$J$90</c:f>
              <c:strCache/>
            </c:strRef>
          </c:cat>
          <c:val>
            <c:numRef>
              <c:f>'Fund Ownership Summary'!$A$92:$J$92</c:f>
              <c:numCache/>
            </c:numRef>
          </c:val>
        </c:ser>
        <c:gapWidth val="40"/>
        <c:overlap val="100"/>
        <c:axId val="59983360"/>
        <c:axId val="57253888"/>
      </c:barChart>
      <c:catAx>
        <c:axId val="5998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/>
        </c:spPr>
        <c:crossAx val="57253888"/>
        <c:crosses val="autoZero"/>
        <c:auto val="1"/>
        <c:lblOffset val="100"/>
        <c:tickMarkSkip val="1"/>
        <c:noMultiLvlLbl val="1"/>
      </c:catAx>
      <c:valAx>
        <c:axId val="572538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ln>
          <a:noFill/>
          <a:round/>
        </a:ln>
        <a:effectLst/>
      </c:spPr>
    </c:plotArea>
    <c:legend>
      <c:legendPos val="t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Relationship Id="rId2" Type="http://schemas.openxmlformats.org/officeDocument/2006/relationships/chart" Target="/xl/charts/chart2.xml" /><Relationship Id="rId3" Type="http://schemas.openxmlformats.org/officeDocument/2006/relationships/chart" Target="/xl/charts/chart3.xml" /><Relationship Id="rId4" Type="http://schemas.openxmlformats.org/officeDocument/2006/relationships/chart" Target="/xl/charts/chart4.xml" /><Relationship Id="rId5" Type="http://schemas.openxmlformats.org/officeDocument/2006/relationships/chart" Target="/xl/charts/chart5.xml" /><Relationship Id="rId6" Type="http://schemas.openxmlformats.org/officeDocument/2006/relationships/chart" Target="/xl/charts/chart6.xml" /><Relationship Id="rId7" Type="http://schemas.openxmlformats.org/officeDocument/2006/relationships/chart" Target="/xl/charts/chart7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35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1"/>
        </a:graphicData>
      </a:graphic>
    </xdr:graphicFrame>
    <xdr:clientData/>
  </xdr:twoCellAnchor>
  <xdr:twoCellAnchor editAs="twoCell">
    <xdr:from>
      <xdr:col>0</xdr:col>
      <xdr:colOff>0</xdr:colOff>
      <xdr:row>48</xdr:row>
      <xdr:rowOff>0</xdr:rowOff>
    </xdr:from>
    <xdr:to>
      <xdr:col>2</xdr:col>
      <xdr:colOff>0</xdr:colOff>
      <xdr:row>68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2"/>
        </a:graphicData>
      </a:graphic>
    </xdr:graphicFrame>
    <xdr:clientData/>
  </xdr:twoCellAnchor>
  <xdr:twoCellAnchor editAs="twoCell">
    <xdr:from>
      <xdr:col>2</xdr:col>
      <xdr:colOff>0</xdr:colOff>
      <xdr:row>48</xdr:row>
      <xdr:rowOff>0</xdr:rowOff>
    </xdr:from>
    <xdr:to>
      <xdr:col>4</xdr:col>
      <xdr:colOff>0</xdr:colOff>
      <xdr:row>68</xdr:row>
      <xdr:rowOff>0</xdr:rowOff>
    </xdr:to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3"/>
        </a:graphicData>
      </a:graphic>
    </xdr:graphicFrame>
    <xdr:clientData/>
  </xdr:twoCellAnchor>
  <xdr:twoCellAnchor editAs="twoCell">
    <xdr:from>
      <xdr:col>4</xdr:col>
      <xdr:colOff>0</xdr:colOff>
      <xdr:row>48</xdr:row>
      <xdr:rowOff>0</xdr:rowOff>
    </xdr:from>
    <xdr:to>
      <xdr:col>6</xdr:col>
      <xdr:colOff>0</xdr:colOff>
      <xdr:row>68</xdr:row>
      <xdr:rowOff>0</xdr:rowOff>
    </xdr:to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4"/>
        </a:graphicData>
      </a:graphic>
    </xdr:graphicFrame>
    <xdr:clientData/>
  </xdr:twoCellAnchor>
  <xdr:twoCellAnchor editAs="twoCell">
    <xdr:from>
      <xdr:col>6</xdr:col>
      <xdr:colOff>0</xdr:colOff>
      <xdr:row>48</xdr:row>
      <xdr:rowOff>0</xdr:rowOff>
    </xdr:from>
    <xdr:to>
      <xdr:col>8</xdr:col>
      <xdr:colOff>0</xdr:colOff>
      <xdr:row>68</xdr:row>
      <xdr:rowOff>0</xdr:rowOff>
    </xdr:to>
    <xdr:graphicFrame macro=""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5"/>
        </a:graphicData>
      </a:graphic>
    </xdr:graphicFrame>
    <xdr:clientData/>
  </xdr:twoCellAnchor>
  <xdr:twoCellAnchor editAs="twoCell">
    <xdr:from>
      <xdr:col>0</xdr:col>
      <xdr:colOff>0</xdr:colOff>
      <xdr:row>71</xdr:row>
      <xdr:rowOff>0</xdr:rowOff>
    </xdr:from>
    <xdr:to>
      <xdr:col>8</xdr:col>
      <xdr:colOff>0</xdr:colOff>
      <xdr:row>86</xdr:row>
      <xdr:rowOff>0</xdr:rowOff>
    </xdr:to>
    <xdr:graphicFrame macro=""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6"/>
        </a:graphicData>
      </a:graphic>
    </xdr:graphicFrame>
    <xdr:clientData/>
  </xdr:twoCellAnchor>
  <xdr:twoCellAnchor editAs="twoCell">
    <xdr:from>
      <xdr:col>0</xdr:col>
      <xdr:colOff>0</xdr:colOff>
      <xdr:row>89</xdr:row>
      <xdr:rowOff>0</xdr:rowOff>
    </xdr:from>
    <xdr:to>
      <xdr:col>8</xdr:col>
      <xdr:colOff>0</xdr:colOff>
      <xdr:row>113</xdr:row>
      <xdr:rowOff>0</xdr:rowOff>
    </xdr:to>
    <xdr:graphicFrame macro=""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7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FFFFFF"/>
      </a:dk2>
      <a:lt2>
        <a:srgbClr val="D9D9D9"/>
      </a:lt2>
      <a:accent1>
        <a:srgbClr val="6678FF"/>
      </a:accent1>
      <a:accent2>
        <a:srgbClr val="F5475B"/>
      </a:accent2>
      <a:accent3>
        <a:srgbClr val="39C46E"/>
      </a:accent3>
      <a:accent4>
        <a:srgbClr val="FFC800"/>
      </a:accent4>
      <a:accent5>
        <a:srgbClr val="00D0D4"/>
      </a:accent5>
      <a:accent6>
        <a:srgbClr val="9064CD"/>
      </a:accent6>
      <a:hlink>
        <a:srgbClr val="001DFF"/>
      </a:hlink>
      <a:folHlink>
        <a:srgbClr val="001D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J92"/>
  <sheetViews>
    <sheetView view="normal" workbookViewId="0">
      <selection pane="topLeft" activeCell="A1" sqref="A1"/>
    </sheetView>
  </sheetViews>
  <sheetFormatPr defaultRowHeight="15" baseColWidth="0"/>
  <cols>
    <col min="1" max="1" width="20.7109375" style="0" customWidth="1"/>
    <col min="2" max="2" width="30.7109375" style="0" customWidth="1"/>
    <col min="3" max="8" width="25.7109375" style="0" customWidth="1"/>
    <col min="9" max="10" width="3.8515625" style="0" customWidth="1"/>
  </cols>
  <sheetData>
    <row r="1" spans="1:1" s="21" ht="15">
      <c r="A1" t="s">
        <v>0</v>
      </c>
    </row>
    <row r="2" spans="1:1" s="21" ht="32.95" customHeight="1">
      <c r="A2" s="1" t="s">
        <v>1</v>
      </c>
    </row>
    <row r="3" spans="1:2" s="21" ht="15">
      <c r="A3" t="s">
        <v>2</v>
      </c>
      <c r="B3" s="2">
        <v>46305.9221436111</v>
      </c>
    </row>
    <row r="6" spans="2:7" s="21" ht="15">
      <c r="B6" s="14" t="s">
        <v>3</v>
      </c>
      <c r="C6" s="15" t="s">
        <v>3</v>
      </c>
      <c r="D6" s="15" t="s">
        <v>3</v>
      </c>
      <c r="E6" s="15" t="s">
        <v>3</v>
      </c>
      <c r="F6" s="15" t="s">
        <v>3</v>
      </c>
      <c r="G6" s="16" t="s">
        <v>3</v>
      </c>
    </row>
    <row r="7" spans="2:7" s="21" ht="30" customHeight="1"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</row>
    <row r="8" spans="2:7" s="21" ht="15">
      <c r="B8" s="4" t="s">
        <v>10</v>
      </c>
      <c r="C8" s="5">
        <v>4284.560011</v>
      </c>
      <c r="D8" s="5">
        <v>1183.799223</v>
      </c>
      <c r="E8" s="6">
        <v>0.276294</v>
      </c>
      <c r="F8" s="6">
        <v>0.723705766762337</v>
      </c>
      <c r="G8" s="5">
        <v>13028.417390708</v>
      </c>
    </row>
    <row r="11" spans="1:8" s="21" ht="15">
      <c r="A11" s="14" t="s">
        <v>11</v>
      </c>
      <c r="B11" s="15" t="s">
        <v>11</v>
      </c>
      <c r="C11" s="15" t="s">
        <v>11</v>
      </c>
      <c r="D11" s="15" t="s">
        <v>11</v>
      </c>
      <c r="E11" s="15" t="s">
        <v>11</v>
      </c>
      <c r="F11" s="15" t="s">
        <v>11</v>
      </c>
      <c r="G11" s="15" t="s">
        <v>11</v>
      </c>
      <c r="H11" s="16" t="s">
        <v>11</v>
      </c>
    </row>
    <row r="12" spans="1:8" s="21" ht="15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</row>
    <row r="13" spans="1:8" s="21" ht="15">
      <c r="A13" s="7">
        <v>1</v>
      </c>
      <c r="B13" s="4" t="s">
        <v>20</v>
      </c>
      <c r="C13" s="8">
        <v>0.00795</v>
      </c>
      <c r="D13" s="5">
        <v>34.060832</v>
      </c>
      <c r="E13" s="9">
        <v>-4.961788</v>
      </c>
      <c r="F13" s="5">
        <v>103.74776351</v>
      </c>
      <c r="G13" s="9">
        <v>-15.11338326</v>
      </c>
      <c r="H13" s="10">
        <v>46295</v>
      </c>
    </row>
    <row r="14" spans="1:8" s="21" ht="27" customHeight="1">
      <c r="A14" s="7">
        <v>2</v>
      </c>
      <c r="B14" s="4" t="s">
        <v>21</v>
      </c>
      <c r="C14" s="8">
        <v>0.004057</v>
      </c>
      <c r="D14" s="5">
        <v>17.3819</v>
      </c>
      <c r="E14" s="11">
        <v>0</v>
      </c>
      <c r="F14" s="5">
        <v>60.57406343</v>
      </c>
      <c r="G14" s="11">
        <v>0</v>
      </c>
      <c r="H14" s="10">
        <v>46265</v>
      </c>
    </row>
    <row r="15" spans="1:8" s="21" ht="27" customHeight="1">
      <c r="A15" s="7">
        <v>3</v>
      </c>
      <c r="B15" s="4" t="s">
        <v>22</v>
      </c>
      <c r="C15" s="8">
        <v>0.003908</v>
      </c>
      <c r="D15" s="5">
        <v>16.741943</v>
      </c>
      <c r="E15" s="12">
        <v>0.0955</v>
      </c>
      <c r="F15" s="5">
        <v>58.34388169</v>
      </c>
      <c r="G15" s="12">
        <v>0.33280729</v>
      </c>
      <c r="H15" s="10">
        <v>46265</v>
      </c>
    </row>
    <row r="16" spans="1:8" s="21" ht="27" customHeight="1">
      <c r="A16" s="7">
        <v>4</v>
      </c>
      <c r="B16" s="4" t="s">
        <v>23</v>
      </c>
      <c r="C16" s="8">
        <v>0.003459</v>
      </c>
      <c r="D16" s="5">
        <v>14.820086</v>
      </c>
      <c r="E16" s="9">
        <v>-0.140933</v>
      </c>
      <c r="F16" s="5">
        <v>45.14131591</v>
      </c>
      <c r="G16" s="9">
        <v>-0.42927558</v>
      </c>
      <c r="H16" s="10">
        <v>46295</v>
      </c>
    </row>
    <row r="17" spans="1:8" s="21" ht="15">
      <c r="A17" s="7">
        <v>5</v>
      </c>
      <c r="B17" s="4" t="s">
        <v>24</v>
      </c>
      <c r="C17" s="8">
        <v>0.002258</v>
      </c>
      <c r="D17" s="5">
        <v>9.673697</v>
      </c>
      <c r="E17" s="9">
        <v>-1.243755</v>
      </c>
      <c r="F17" s="5">
        <v>29.46564631</v>
      </c>
      <c r="G17" s="9">
        <v>-3.78842183</v>
      </c>
      <c r="H17" s="10">
        <v>46295</v>
      </c>
    </row>
    <row r="18" spans="1:8" s="21" ht="15">
      <c r="A18" s="7">
        <v>6</v>
      </c>
      <c r="B18" s="4" t="s">
        <v>25</v>
      </c>
      <c r="C18" s="8">
        <v>0.002152</v>
      </c>
      <c r="D18" s="5">
        <v>9.218686</v>
      </c>
      <c r="E18" s="12">
        <v>1.035392</v>
      </c>
      <c r="F18" s="5">
        <v>28.07970325</v>
      </c>
      <c r="G18" s="12">
        <v>3.1537575</v>
      </c>
      <c r="H18" s="10">
        <v>46295</v>
      </c>
    </row>
    <row r="19" spans="1:8" s="21" ht="15">
      <c r="A19" s="7">
        <v>7</v>
      </c>
      <c r="B19" s="4" t="s">
        <v>26</v>
      </c>
      <c r="C19" s="8">
        <v>0.001666</v>
      </c>
      <c r="D19" s="5">
        <v>7.136916</v>
      </c>
      <c r="E19" s="12">
        <v>0.607711</v>
      </c>
      <c r="F19" s="5">
        <v>21.73872539</v>
      </c>
      <c r="G19" s="12">
        <v>1.85106039</v>
      </c>
      <c r="H19" s="10">
        <v>46295</v>
      </c>
    </row>
    <row r="20" spans="1:8" s="21" ht="15">
      <c r="A20" s="7">
        <v>8</v>
      </c>
      <c r="B20" s="4" t="s">
        <v>27</v>
      </c>
      <c r="C20" s="8">
        <v>0.001036</v>
      </c>
      <c r="D20" s="5">
        <v>4.437948</v>
      </c>
      <c r="E20" s="12">
        <v>0.063224</v>
      </c>
      <c r="F20" s="5">
        <v>15.46577438</v>
      </c>
      <c r="G20" s="12">
        <v>0.22032888</v>
      </c>
      <c r="H20" s="10">
        <v>46265</v>
      </c>
    </row>
    <row r="21" spans="1:8" s="21" ht="27" customHeight="1">
      <c r="A21" s="7">
        <v>9</v>
      </c>
      <c r="B21" s="4" t="s">
        <v>28</v>
      </c>
      <c r="C21" s="8">
        <v>0.000823</v>
      </c>
      <c r="D21" s="5">
        <v>3.524947</v>
      </c>
      <c r="E21" s="11">
        <v>0</v>
      </c>
      <c r="F21" s="5">
        <v>12.13403036</v>
      </c>
      <c r="G21" s="11">
        <v>0</v>
      </c>
      <c r="H21" s="10">
        <v>46173</v>
      </c>
    </row>
    <row r="22" spans="1:8" s="21" ht="27" customHeight="1">
      <c r="A22" s="7">
        <v>10</v>
      </c>
      <c r="B22" s="4" t="s">
        <v>29</v>
      </c>
      <c r="C22" s="8">
        <v>0.000821</v>
      </c>
      <c r="D22" s="5">
        <v>3.5186</v>
      </c>
      <c r="E22" s="11">
        <v>0</v>
      </c>
      <c r="F22" s="5">
        <v>12.26194487</v>
      </c>
      <c r="G22" s="11">
        <v>0</v>
      </c>
      <c r="H22" s="10">
        <v>46265</v>
      </c>
    </row>
    <row r="23" spans="1:8" s="21" ht="27" customHeight="1">
      <c r="A23" s="7">
        <v>11</v>
      </c>
      <c r="B23" s="4" t="s">
        <v>30</v>
      </c>
      <c r="C23" s="8">
        <v>0.00077</v>
      </c>
      <c r="D23" s="5">
        <v>3.297334</v>
      </c>
      <c r="E23" s="12">
        <v>0.010165</v>
      </c>
      <c r="F23" s="5">
        <v>10.04353118</v>
      </c>
      <c r="G23" s="12">
        <v>0.03096213</v>
      </c>
      <c r="H23" s="10">
        <v>46295</v>
      </c>
    </row>
    <row r="24" spans="1:8" s="21" ht="15">
      <c r="A24" s="7">
        <v>12</v>
      </c>
      <c r="B24" s="4" t="s">
        <v>31</v>
      </c>
      <c r="C24" s="8">
        <v>0.000753</v>
      </c>
      <c r="D24" s="5">
        <v>3.225524</v>
      </c>
      <c r="E24" s="11">
        <v>0</v>
      </c>
      <c r="F24" s="5">
        <v>9.82480114</v>
      </c>
      <c r="G24" s="11">
        <v>0</v>
      </c>
      <c r="H24" s="10">
        <v>46295</v>
      </c>
    </row>
    <row r="25" spans="1:8" s="21" ht="27" customHeight="1">
      <c r="A25" s="7">
        <v>13</v>
      </c>
      <c r="B25" s="4" t="s">
        <v>32</v>
      </c>
      <c r="C25" s="8">
        <v>0.000743</v>
      </c>
      <c r="D25" s="5">
        <v>3.185408</v>
      </c>
      <c r="E25" s="9">
        <v>-0.010017</v>
      </c>
      <c r="F25" s="5">
        <v>9.70260961</v>
      </c>
      <c r="G25" s="9">
        <v>-0.03051133</v>
      </c>
      <c r="H25" s="10">
        <v>46295</v>
      </c>
    </row>
    <row r="26" spans="1:8" s="21" ht="27" customHeight="1">
      <c r="A26" s="7">
        <v>14</v>
      </c>
      <c r="B26" s="4" t="s">
        <v>33</v>
      </c>
      <c r="C26" s="8">
        <v>0.000705</v>
      </c>
      <c r="D26" s="5">
        <v>3.020579</v>
      </c>
      <c r="E26" s="11">
        <v>0</v>
      </c>
      <c r="F26" s="5">
        <v>9.20054788</v>
      </c>
      <c r="G26" s="11">
        <v>0</v>
      </c>
      <c r="H26" s="10">
        <v>46295</v>
      </c>
    </row>
    <row r="27" spans="1:8" s="21" ht="27" customHeight="1">
      <c r="A27" s="7">
        <v>15</v>
      </c>
      <c r="B27" s="4" t="s">
        <v>34</v>
      </c>
      <c r="C27" s="8">
        <v>0.00066</v>
      </c>
      <c r="D27" s="5">
        <v>2.826425</v>
      </c>
      <c r="E27" s="12">
        <v>0.0611</v>
      </c>
      <c r="F27" s="5">
        <v>9.84978899</v>
      </c>
      <c r="G27" s="12">
        <v>0.21292697</v>
      </c>
      <c r="H27" s="10">
        <v>46265</v>
      </c>
    </row>
    <row r="28" spans="1:8" s="21" ht="27" customHeight="1">
      <c r="A28" s="7">
        <v>16</v>
      </c>
      <c r="B28" s="4" t="s">
        <v>35</v>
      </c>
      <c r="C28" s="8">
        <v>0.000615</v>
      </c>
      <c r="D28" s="5">
        <v>2.636289</v>
      </c>
      <c r="E28" s="9">
        <v>-0.564167</v>
      </c>
      <c r="F28" s="5">
        <v>8.03001781</v>
      </c>
      <c r="G28" s="9">
        <v>-1.71842733</v>
      </c>
      <c r="H28" s="10">
        <v>46295</v>
      </c>
    </row>
    <row r="29" spans="1:8" s="21" ht="15">
      <c r="A29" s="7">
        <v>17</v>
      </c>
      <c r="B29" s="4" t="s">
        <v>36</v>
      </c>
      <c r="C29" s="8">
        <v>0.000603</v>
      </c>
      <c r="D29" s="5">
        <v>2.5852</v>
      </c>
      <c r="E29" s="11">
        <v>0</v>
      </c>
      <c r="F29" s="5">
        <v>9.00914565</v>
      </c>
      <c r="G29" s="11">
        <v>0</v>
      </c>
      <c r="H29" s="10">
        <v>46265</v>
      </c>
    </row>
    <row r="30" spans="1:8" s="21" ht="27" customHeight="1">
      <c r="A30" s="7">
        <v>18</v>
      </c>
      <c r="B30" s="4" t="s">
        <v>37</v>
      </c>
      <c r="C30" s="8">
        <v>0.000533</v>
      </c>
      <c r="D30" s="5">
        <v>2.283465</v>
      </c>
      <c r="E30" s="11">
        <v>0</v>
      </c>
      <c r="F30" s="5">
        <v>7.95763143</v>
      </c>
      <c r="G30" s="11">
        <v>0</v>
      </c>
      <c r="H30" s="10">
        <v>46265</v>
      </c>
    </row>
    <row r="31" spans="1:8" s="21" ht="15">
      <c r="A31" s="7">
        <v>19</v>
      </c>
      <c r="B31" s="4" t="s">
        <v>38</v>
      </c>
      <c r="C31" s="8">
        <v>0.000524</v>
      </c>
      <c r="D31" s="5">
        <v>2.244</v>
      </c>
      <c r="E31" s="9">
        <v>-1.681</v>
      </c>
      <c r="F31" s="5">
        <v>7.5238159</v>
      </c>
      <c r="G31" s="9">
        <v>-5.63615621</v>
      </c>
      <c r="H31" s="10">
        <v>46112</v>
      </c>
    </row>
    <row r="32" spans="1:8" s="21" ht="15">
      <c r="A32" s="7">
        <v>20</v>
      </c>
      <c r="B32" s="4" t="s">
        <v>39</v>
      </c>
      <c r="C32" s="8">
        <v>0.000494</v>
      </c>
      <c r="D32" s="5">
        <v>2.115448</v>
      </c>
      <c r="E32" s="11">
        <v>0</v>
      </c>
      <c r="F32" s="5">
        <v>7.205546</v>
      </c>
      <c r="G32" s="11">
        <v>0</v>
      </c>
      <c r="H32" s="10">
        <v>46142</v>
      </c>
    </row>
    <row r="35" spans="1:8" s="21" ht="15">
      <c r="A35" s="14" t="s">
        <v>40</v>
      </c>
      <c r="B35" s="15" t="s">
        <v>40</v>
      </c>
      <c r="C35" s="15" t="s">
        <v>40</v>
      </c>
      <c r="D35" s="15" t="s">
        <v>40</v>
      </c>
      <c r="E35" s="15" t="s">
        <v>40</v>
      </c>
      <c r="F35" s="15" t="s">
        <v>40</v>
      </c>
      <c r="G35" s="15" t="s">
        <v>40</v>
      </c>
      <c r="H35" s="16" t="s">
        <v>40</v>
      </c>
    </row>
    <row r="36" spans="1:5" s="21" ht="15">
      <c r="A36" s="13" t="s">
        <v>41</v>
      </c>
      <c r="B36" s="13" t="s">
        <v>42</v>
      </c>
      <c r="C36" s="13" t="s">
        <v>43</v>
      </c>
      <c r="D36" s="13" t="s">
        <v>44</v>
      </c>
      <c r="E36" s="13" t="s">
        <v>45</v>
      </c>
    </row>
    <row r="37" spans="1:5" s="21" ht="15">
      <c r="A37" s="13">
        <v>338</v>
      </c>
      <c r="B37" s="13">
        <v>155</v>
      </c>
      <c r="C37" s="13">
        <v>147</v>
      </c>
      <c r="D37" s="13">
        <v>5</v>
      </c>
      <c r="E37" s="13">
        <v>32</v>
      </c>
    </row>
    <row r="48" spans="1:8" s="21" ht="15">
      <c r="A48" s="14" t="s">
        <v>46</v>
      </c>
      <c r="B48" s="15" t="s">
        <v>46</v>
      </c>
      <c r="C48" s="15" t="s">
        <v>46</v>
      </c>
      <c r="D48" s="15" t="s">
        <v>46</v>
      </c>
      <c r="E48" s="15" t="s">
        <v>46</v>
      </c>
      <c r="F48" s="15" t="s">
        <v>46</v>
      </c>
      <c r="G48" s="15" t="s">
        <v>46</v>
      </c>
      <c r="H48" s="16" t="s">
        <v>46</v>
      </c>
    </row>
    <row r="49" spans="1:6" s="21" ht="15">
      <c r="A49" s="13" t="s">
        <v>47</v>
      </c>
      <c r="B49" s="13" t="s">
        <v>48</v>
      </c>
      <c r="C49" s="13" t="s">
        <v>49</v>
      </c>
      <c r="D49" s="13" t="s">
        <v>50</v>
      </c>
      <c r="E49" s="13" t="s">
        <v>51</v>
      </c>
      <c r="F49" s="13" t="s">
        <v>52</v>
      </c>
    </row>
    <row r="50" spans="1:6" s="21" ht="15">
      <c r="A50" s="13">
        <v>286</v>
      </c>
      <c r="B50" s="13">
        <v>58</v>
      </c>
      <c r="C50" s="13">
        <v>21</v>
      </c>
      <c r="D50" s="13">
        <v>7</v>
      </c>
      <c r="E50" s="13">
        <v>26</v>
      </c>
      <c r="F50" s="13">
        <v>9</v>
      </c>
    </row>
    <row r="51" spans="1:5" s="21" ht="15">
      <c r="A51" s="13" t="s">
        <v>53</v>
      </c>
      <c r="B51" s="13" t="s">
        <v>54</v>
      </c>
      <c r="C51" s="13" t="s">
        <v>55</v>
      </c>
      <c r="D51" s="13" t="s">
        <v>56</v>
      </c>
      <c r="E51" s="13" t="s">
        <v>57</v>
      </c>
    </row>
    <row r="52" spans="1:5" s="21" ht="15">
      <c r="A52" s="13">
        <v>214</v>
      </c>
      <c r="B52" s="13">
        <v>367</v>
      </c>
      <c r="C52" s="13">
        <v>71</v>
      </c>
      <c r="D52" s="13">
        <v>9</v>
      </c>
      <c r="E52" s="13">
        <v>3</v>
      </c>
    </row>
    <row r="53" spans="1:1" s="21" ht="15">
      <c r="A53" s="13" t="s">
        <v>58</v>
      </c>
    </row>
    <row r="54" spans="1:1" s="21" ht="15">
      <c r="A54" s="13">
        <v>677</v>
      </c>
    </row>
    <row r="55" spans="1:3" s="21" ht="15">
      <c r="A55" s="13" t="s">
        <v>59</v>
      </c>
      <c r="B55" s="13" t="s">
        <v>60</v>
      </c>
      <c r="C55" s="13" t="s">
        <v>61</v>
      </c>
    </row>
    <row r="56" spans="1:3" s="21" ht="15">
      <c r="A56" s="13">
        <v>127</v>
      </c>
      <c r="B56" s="13">
        <v>114</v>
      </c>
      <c r="C56" s="13">
        <v>419</v>
      </c>
    </row>
    <row r="71" spans="1:8" s="21" ht="15">
      <c r="A71" s="14" t="s">
        <v>62</v>
      </c>
      <c r="B71" s="15" t="s">
        <v>62</v>
      </c>
      <c r="C71" s="15" t="s">
        <v>62</v>
      </c>
      <c r="D71" s="15" t="s">
        <v>62</v>
      </c>
      <c r="E71" s="15" t="s">
        <v>62</v>
      </c>
      <c r="F71" s="15" t="s">
        <v>62</v>
      </c>
      <c r="G71" s="15" t="s">
        <v>62</v>
      </c>
      <c r="H71" s="16" t="s">
        <v>62</v>
      </c>
    </row>
    <row r="72" spans="1:4" s="21" ht="15">
      <c r="A72" s="13" t="s">
        <v>63</v>
      </c>
      <c r="B72" s="13" t="s">
        <v>64</v>
      </c>
      <c r="C72" s="13" t="s">
        <v>65</v>
      </c>
      <c r="D72" s="13" t="s">
        <v>66</v>
      </c>
    </row>
    <row r="73" spans="1:4" s="21" ht="15">
      <c r="A73" s="13">
        <v>0.052574</v>
      </c>
      <c r="B73" s="13">
        <v>0.045013</v>
      </c>
      <c r="C73" s="13">
        <v>0.03453</v>
      </c>
      <c r="D73" s="13">
        <v>0.02813</v>
      </c>
    </row>
    <row r="89" spans="1:8" s="21" ht="15">
      <c r="A89" s="14" t="s">
        <v>67</v>
      </c>
      <c r="B89" s="15" t="s">
        <v>67</v>
      </c>
      <c r="C89" s="15" t="s">
        <v>67</v>
      </c>
      <c r="D89" s="15" t="s">
        <v>67</v>
      </c>
      <c r="E89" s="15" t="s">
        <v>67</v>
      </c>
      <c r="F89" s="15" t="s">
        <v>67</v>
      </c>
      <c r="G89" s="15" t="s">
        <v>67</v>
      </c>
      <c r="H89" s="16" t="s">
        <v>67</v>
      </c>
    </row>
    <row r="90" spans="1:10" s="21" ht="15">
      <c r="A90" s="13" t="s">
        <v>38</v>
      </c>
      <c r="B90" s="13" t="s">
        <v>68</v>
      </c>
      <c r="C90" s="13" t="s">
        <v>69</v>
      </c>
      <c r="D90" s="13" t="s">
        <v>20</v>
      </c>
      <c r="E90" s="13" t="s">
        <v>24</v>
      </c>
      <c r="F90" s="13" t="s">
        <v>70</v>
      </c>
      <c r="G90" s="13" t="s">
        <v>29</v>
      </c>
      <c r="H90" s="13" t="s">
        <v>71</v>
      </c>
      <c r="I90" s="13" t="s">
        <v>72</v>
      </c>
      <c r="J90" s="13" t="s">
        <v>73</v>
      </c>
    </row>
    <row r="91" spans="1:10" s="21" ht="15">
      <c r="A91" s="13"/>
      <c r="B91" s="13"/>
      <c r="C91" s="13"/>
      <c r="D91" s="13"/>
      <c r="E91" s="13"/>
      <c r="F91" s="13">
        <v>0.66</v>
      </c>
      <c r="G91" s="13">
        <v>0.89</v>
      </c>
      <c r="H91" s="13">
        <v>1.53</v>
      </c>
      <c r="I91" s="13">
        <v>1.63</v>
      </c>
      <c r="J91" s="13">
        <v>1.94</v>
      </c>
    </row>
    <row r="92" spans="1:10" s="21" ht="15">
      <c r="A92" s="13">
        <v>-1.68</v>
      </c>
      <c r="B92" s="13">
        <v>-1.89</v>
      </c>
      <c r="C92" s="13">
        <v>-3.37</v>
      </c>
      <c r="D92" s="13">
        <v>-4.45</v>
      </c>
      <c r="E92" s="13">
        <v>-5.09</v>
      </c>
      <c r="F92" s="13"/>
      <c r="G92" s="13"/>
      <c r="H92" s="13"/>
      <c r="I92" s="13"/>
      <c r="J92" s="13"/>
    </row>
  </sheetData>
  <mergeCells count="6">
    <mergeCell ref="B6:G6"/>
    <mergeCell ref="A11:H11"/>
    <mergeCell ref="A35:H35"/>
    <mergeCell ref="A48:H48"/>
    <mergeCell ref="A71:H71"/>
    <mergeCell ref="A89:H89"/>
  </mergeCells>
  <pageMargins left="0.5" right="0.5" top="1" bottom="1" header="0.5" footer="0.75"/>
  <pageSetup fitToHeight="0" orientation="portrait"/>
  <headerFooter/>
  <drawing r:id="rId1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H145"/>
  <sheetViews>
    <sheetView view="normal" workbookViewId="0">
      <selection pane="topLeft" activeCell="A1" sqref="A1"/>
    </sheetView>
  </sheetViews>
  <sheetFormatPr defaultRowHeight="15" baseColWidth="0"/>
  <cols>
    <col min="1" max="1" width="30.7109375" style="0" customWidth="1"/>
    <col min="2" max="7" width="25.7109375" style="0" customWidth="1"/>
    <col min="8" max="8" width="14.13671875" style="0" customWidth="1"/>
  </cols>
  <sheetData>
    <row r="1" spans="1:2" s="21" ht="15">
      <c r="A1" t="s">
        <v>74</v>
      </c>
      <c r="B1" t="s">
        <v>75</v>
      </c>
    </row>
    <row r="2" spans="1:2" s="21" ht="15">
      <c r="A2" t="s">
        <v>76</v>
      </c>
      <c r="B2" t="s">
        <v>77</v>
      </c>
    </row>
    <row r="3" spans="1:2" s="21" ht="15">
      <c r="A3" t="s">
        <v>2</v>
      </c>
      <c r="B3" s="2">
        <v>46305.9221434954</v>
      </c>
    </row>
    <row r="5" spans="1:1" s="21" ht="15">
      <c r="A5" s="17" t="s">
        <v>0</v>
      </c>
    </row>
    <row r="6" spans="1:6" s="21" ht="15">
      <c r="A6" s="14" t="s">
        <v>3</v>
      </c>
      <c r="B6" s="15" t="s">
        <v>3</v>
      </c>
      <c r="C6" s="15" t="s">
        <v>3</v>
      </c>
      <c r="D6" s="15" t="s">
        <v>3</v>
      </c>
      <c r="E6" s="15" t="s">
        <v>3</v>
      </c>
      <c r="F6" s="16" t="s">
        <v>3</v>
      </c>
    </row>
    <row r="7" spans="1:6" s="21" ht="30" customHeight="1">
      <c r="A7" s="18" t="s">
        <v>4</v>
      </c>
      <c r="B7" s="18" t="s">
        <v>5</v>
      </c>
      <c r="C7" s="18" t="s">
        <v>6</v>
      </c>
      <c r="D7" s="18" t="s">
        <v>7</v>
      </c>
      <c r="E7" s="18" t="s">
        <v>8</v>
      </c>
      <c r="F7" s="18" t="s">
        <v>9</v>
      </c>
    </row>
    <row r="8" spans="1:6" s="21" ht="15">
      <c r="A8" s="4" t="s">
        <v>10</v>
      </c>
      <c r="B8" s="5">
        <v>4284.560011</v>
      </c>
      <c r="C8" s="5">
        <v>1183.799223</v>
      </c>
      <c r="D8" s="6">
        <v>0.276294</v>
      </c>
      <c r="E8" s="6">
        <v>0.723705766762337</v>
      </c>
      <c r="F8" s="5">
        <v>13028.417390708</v>
      </c>
    </row>
    <row r="11" spans="1:8" s="21" ht="15">
      <c r="A11" s="14" t="s">
        <v>11</v>
      </c>
      <c r="B11" s="15" t="s">
        <v>11</v>
      </c>
      <c r="C11" s="15" t="s">
        <v>11</v>
      </c>
      <c r="D11" s="15" t="s">
        <v>11</v>
      </c>
      <c r="E11" s="15" t="s">
        <v>11</v>
      </c>
      <c r="F11" s="15" t="s">
        <v>11</v>
      </c>
      <c r="G11" s="15" t="s">
        <v>11</v>
      </c>
      <c r="H11" s="16" t="s">
        <v>11</v>
      </c>
    </row>
    <row r="12" spans="1:8" s="21" ht="30" customHeight="1">
      <c r="A12" s="18" t="s">
        <v>12</v>
      </c>
      <c r="B12" s="18" t="s">
        <v>13</v>
      </c>
      <c r="C12" s="18" t="s">
        <v>14</v>
      </c>
      <c r="D12" s="18" t="s">
        <v>15</v>
      </c>
      <c r="E12" s="18" t="s">
        <v>16</v>
      </c>
      <c r="F12" s="18" t="s">
        <v>17</v>
      </c>
      <c r="G12" s="18" t="s">
        <v>18</v>
      </c>
      <c r="H12" s="18" t="s">
        <v>19</v>
      </c>
    </row>
    <row r="13" spans="1:8" s="21" ht="15">
      <c r="A13" s="4">
        <v>1</v>
      </c>
      <c r="B13" s="4" t="s">
        <v>20</v>
      </c>
      <c r="C13" s="6">
        <v>0.00795</v>
      </c>
      <c r="D13" s="5">
        <v>34.060832</v>
      </c>
      <c r="E13" s="9">
        <v>-4.961788</v>
      </c>
      <c r="F13" s="5">
        <v>103.74776351</v>
      </c>
      <c r="G13" s="9">
        <v>-15.11338326</v>
      </c>
      <c r="H13" s="19">
        <v>46295</v>
      </c>
    </row>
    <row r="14" spans="1:8" s="21" ht="27" customHeight="1">
      <c r="A14" s="4">
        <v>2</v>
      </c>
      <c r="B14" s="4" t="s">
        <v>21</v>
      </c>
      <c r="C14" s="6">
        <v>0.004057</v>
      </c>
      <c r="D14" s="5">
        <v>17.3819</v>
      </c>
      <c r="E14" s="11">
        <v>0</v>
      </c>
      <c r="F14" s="5">
        <v>60.57406343</v>
      </c>
      <c r="G14" s="11">
        <v>0</v>
      </c>
      <c r="H14" s="19">
        <v>46265</v>
      </c>
    </row>
    <row r="15" spans="1:8" s="21" ht="27" customHeight="1">
      <c r="A15" s="4">
        <v>3</v>
      </c>
      <c r="B15" s="4" t="s">
        <v>22</v>
      </c>
      <c r="C15" s="6">
        <v>0.003908</v>
      </c>
      <c r="D15" s="5">
        <v>16.741943</v>
      </c>
      <c r="E15" s="12">
        <v>0.0955</v>
      </c>
      <c r="F15" s="5">
        <v>58.34388169</v>
      </c>
      <c r="G15" s="12">
        <v>0.33280729</v>
      </c>
      <c r="H15" s="19">
        <v>46265</v>
      </c>
    </row>
    <row r="16" spans="1:8" s="21" ht="27" customHeight="1">
      <c r="A16" s="4">
        <v>4</v>
      </c>
      <c r="B16" s="4" t="s">
        <v>23</v>
      </c>
      <c r="C16" s="6">
        <v>0.003459</v>
      </c>
      <c r="D16" s="5">
        <v>14.820086</v>
      </c>
      <c r="E16" s="9">
        <v>-0.140933</v>
      </c>
      <c r="F16" s="5">
        <v>45.14131591</v>
      </c>
      <c r="G16" s="9">
        <v>-0.42927558</v>
      </c>
      <c r="H16" s="19">
        <v>46295</v>
      </c>
    </row>
    <row r="17" spans="1:8" s="21" ht="15">
      <c r="A17" s="4">
        <v>5</v>
      </c>
      <c r="B17" s="4" t="s">
        <v>24</v>
      </c>
      <c r="C17" s="6">
        <v>0.002258</v>
      </c>
      <c r="D17" s="5">
        <v>9.673697</v>
      </c>
      <c r="E17" s="9">
        <v>-1.243755</v>
      </c>
      <c r="F17" s="5">
        <v>29.46564631</v>
      </c>
      <c r="G17" s="9">
        <v>-3.78842183</v>
      </c>
      <c r="H17" s="19">
        <v>46295</v>
      </c>
    </row>
    <row r="18" spans="1:8" s="21" ht="15">
      <c r="A18" s="4">
        <v>6</v>
      </c>
      <c r="B18" s="4" t="s">
        <v>25</v>
      </c>
      <c r="C18" s="6">
        <v>0.002152</v>
      </c>
      <c r="D18" s="5">
        <v>9.218686</v>
      </c>
      <c r="E18" s="12">
        <v>1.035392</v>
      </c>
      <c r="F18" s="5">
        <v>28.07970325</v>
      </c>
      <c r="G18" s="12">
        <v>3.1537575</v>
      </c>
      <c r="H18" s="19">
        <v>46295</v>
      </c>
    </row>
    <row r="19" spans="1:8" s="21" ht="15">
      <c r="A19" s="4">
        <v>7</v>
      </c>
      <c r="B19" s="4" t="s">
        <v>26</v>
      </c>
      <c r="C19" s="6">
        <v>0.001666</v>
      </c>
      <c r="D19" s="5">
        <v>7.136916</v>
      </c>
      <c r="E19" s="12">
        <v>0.607711</v>
      </c>
      <c r="F19" s="5">
        <v>21.73872539</v>
      </c>
      <c r="G19" s="12">
        <v>1.85106039</v>
      </c>
      <c r="H19" s="19">
        <v>46295</v>
      </c>
    </row>
    <row r="20" spans="1:8" s="21" ht="27" customHeight="1">
      <c r="A20" s="4">
        <v>8</v>
      </c>
      <c r="B20" s="4" t="s">
        <v>27</v>
      </c>
      <c r="C20" s="6">
        <v>0.001036</v>
      </c>
      <c r="D20" s="5">
        <v>4.437948</v>
      </c>
      <c r="E20" s="12">
        <v>0.063224</v>
      </c>
      <c r="F20" s="5">
        <v>15.46577438</v>
      </c>
      <c r="G20" s="12">
        <v>0.22032888</v>
      </c>
      <c r="H20" s="19">
        <v>46265</v>
      </c>
    </row>
    <row r="21" spans="1:8" s="21" ht="27" customHeight="1">
      <c r="A21" s="4">
        <v>9</v>
      </c>
      <c r="B21" s="4" t="s">
        <v>28</v>
      </c>
      <c r="C21" s="6">
        <v>0.000823</v>
      </c>
      <c r="D21" s="5">
        <v>3.524947</v>
      </c>
      <c r="E21" s="11">
        <v>0</v>
      </c>
      <c r="F21" s="5">
        <v>12.13403036</v>
      </c>
      <c r="G21" s="11">
        <v>0</v>
      </c>
      <c r="H21" s="19">
        <v>46173</v>
      </c>
    </row>
    <row r="22" spans="1:8" s="21" ht="27" customHeight="1">
      <c r="A22" s="4">
        <v>10</v>
      </c>
      <c r="B22" s="4" t="s">
        <v>29</v>
      </c>
      <c r="C22" s="6">
        <v>0.000821</v>
      </c>
      <c r="D22" s="5">
        <v>3.5186</v>
      </c>
      <c r="E22" s="11">
        <v>0</v>
      </c>
      <c r="F22" s="5">
        <v>12.26194487</v>
      </c>
      <c r="G22" s="11">
        <v>0</v>
      </c>
      <c r="H22" s="19">
        <v>46265</v>
      </c>
    </row>
    <row r="23" spans="1:8" s="21" ht="27" customHeight="1">
      <c r="A23" s="4">
        <v>11</v>
      </c>
      <c r="B23" s="4" t="s">
        <v>30</v>
      </c>
      <c r="C23" s="6">
        <v>0.00077</v>
      </c>
      <c r="D23" s="5">
        <v>3.297334</v>
      </c>
      <c r="E23" s="12">
        <v>0.010165</v>
      </c>
      <c r="F23" s="5">
        <v>10.04353118</v>
      </c>
      <c r="G23" s="12">
        <v>0.03096213</v>
      </c>
      <c r="H23" s="19">
        <v>46295</v>
      </c>
    </row>
    <row r="24" spans="1:8" s="21" ht="27" customHeight="1">
      <c r="A24" s="4">
        <v>12</v>
      </c>
      <c r="B24" s="4" t="s">
        <v>31</v>
      </c>
      <c r="C24" s="6">
        <v>0.000753</v>
      </c>
      <c r="D24" s="5">
        <v>3.225524</v>
      </c>
      <c r="E24" s="11">
        <v>0</v>
      </c>
      <c r="F24" s="5">
        <v>9.82480114</v>
      </c>
      <c r="G24" s="11">
        <v>0</v>
      </c>
      <c r="H24" s="19">
        <v>46295</v>
      </c>
    </row>
    <row r="25" spans="1:8" s="21" ht="27" customHeight="1">
      <c r="A25" s="4">
        <v>13</v>
      </c>
      <c r="B25" s="4" t="s">
        <v>32</v>
      </c>
      <c r="C25" s="6">
        <v>0.000743</v>
      </c>
      <c r="D25" s="5">
        <v>3.185408</v>
      </c>
      <c r="E25" s="9">
        <v>-0.010017</v>
      </c>
      <c r="F25" s="5">
        <v>9.70260961</v>
      </c>
      <c r="G25" s="9">
        <v>-0.03051133</v>
      </c>
      <c r="H25" s="19">
        <v>46295</v>
      </c>
    </row>
    <row r="26" spans="1:8" s="21" ht="27" customHeight="1">
      <c r="A26" s="4">
        <v>14</v>
      </c>
      <c r="B26" s="4" t="s">
        <v>33</v>
      </c>
      <c r="C26" s="6">
        <v>0.000705</v>
      </c>
      <c r="D26" s="5">
        <v>3.020579</v>
      </c>
      <c r="E26" s="11">
        <v>0</v>
      </c>
      <c r="F26" s="5">
        <v>9.20054788</v>
      </c>
      <c r="G26" s="11">
        <v>0</v>
      </c>
      <c r="H26" s="19">
        <v>46295</v>
      </c>
    </row>
    <row r="27" spans="1:8" s="21" ht="27" customHeight="1">
      <c r="A27" s="4">
        <v>15</v>
      </c>
      <c r="B27" s="4" t="s">
        <v>34</v>
      </c>
      <c r="C27" s="6">
        <v>0.00066</v>
      </c>
      <c r="D27" s="5">
        <v>2.826425</v>
      </c>
      <c r="E27" s="12">
        <v>0.0611</v>
      </c>
      <c r="F27" s="5">
        <v>9.84978899</v>
      </c>
      <c r="G27" s="12">
        <v>0.21292697</v>
      </c>
      <c r="H27" s="19">
        <v>46265</v>
      </c>
    </row>
    <row r="28" spans="1:8" s="21" ht="27" customHeight="1">
      <c r="A28" s="4">
        <v>16</v>
      </c>
      <c r="B28" s="4" t="s">
        <v>35</v>
      </c>
      <c r="C28" s="6">
        <v>0.000615</v>
      </c>
      <c r="D28" s="5">
        <v>2.636289</v>
      </c>
      <c r="E28" s="9">
        <v>-0.564167</v>
      </c>
      <c r="F28" s="5">
        <v>8.03001781</v>
      </c>
      <c r="G28" s="9">
        <v>-1.71842733</v>
      </c>
      <c r="H28" s="19">
        <v>46295</v>
      </c>
    </row>
    <row r="29" spans="1:8" s="21" ht="27" customHeight="1">
      <c r="A29" s="4">
        <v>17</v>
      </c>
      <c r="B29" s="4" t="s">
        <v>36</v>
      </c>
      <c r="C29" s="6">
        <v>0.000603</v>
      </c>
      <c r="D29" s="5">
        <v>2.5852</v>
      </c>
      <c r="E29" s="11">
        <v>0</v>
      </c>
      <c r="F29" s="5">
        <v>9.00914565</v>
      </c>
      <c r="G29" s="11">
        <v>0</v>
      </c>
      <c r="H29" s="19">
        <v>46265</v>
      </c>
    </row>
    <row r="30" spans="1:8" s="21" ht="27" customHeight="1">
      <c r="A30" s="4">
        <v>18</v>
      </c>
      <c r="B30" s="4" t="s">
        <v>37</v>
      </c>
      <c r="C30" s="6">
        <v>0.000533</v>
      </c>
      <c r="D30" s="5">
        <v>2.283465</v>
      </c>
      <c r="E30" s="11">
        <v>0</v>
      </c>
      <c r="F30" s="5">
        <v>7.95763143</v>
      </c>
      <c r="G30" s="11">
        <v>0</v>
      </c>
      <c r="H30" s="19">
        <v>46265</v>
      </c>
    </row>
    <row r="31" spans="1:8" s="21" ht="27" customHeight="1">
      <c r="A31" s="4">
        <v>19</v>
      </c>
      <c r="B31" s="4" t="s">
        <v>38</v>
      </c>
      <c r="C31" s="6">
        <v>0.000524</v>
      </c>
      <c r="D31" s="5">
        <v>2.244</v>
      </c>
      <c r="E31" s="9">
        <v>-1.681</v>
      </c>
      <c r="F31" s="5">
        <v>7.5238159</v>
      </c>
      <c r="G31" s="9">
        <v>-5.63615621</v>
      </c>
      <c r="H31" s="19">
        <v>46112</v>
      </c>
    </row>
    <row r="32" spans="1:8" s="21" ht="15">
      <c r="A32" s="4">
        <v>20</v>
      </c>
      <c r="B32" s="4" t="s">
        <v>39</v>
      </c>
      <c r="C32" s="6">
        <v>0.000494</v>
      </c>
      <c r="D32" s="5">
        <v>2.115448</v>
      </c>
      <c r="E32" s="11">
        <v>0</v>
      </c>
      <c r="F32" s="5">
        <v>7.205546</v>
      </c>
      <c r="G32" s="11">
        <v>0</v>
      </c>
      <c r="H32" s="19">
        <v>46142</v>
      </c>
    </row>
    <row r="35" spans="1:5" s="21" ht="15">
      <c r="A35" s="14" t="s">
        <v>78</v>
      </c>
      <c r="B35" s="15" t="s">
        <v>78</v>
      </c>
      <c r="C35" s="15" t="s">
        <v>78</v>
      </c>
      <c r="D35" s="15" t="s">
        <v>78</v>
      </c>
      <c r="E35" s="16" t="s">
        <v>78</v>
      </c>
    </row>
    <row r="36" spans="1:5" s="21" ht="15">
      <c r="A36" s="18" t="s">
        <v>79</v>
      </c>
      <c r="B36" s="18" t="s">
        <v>80</v>
      </c>
      <c r="C36" s="18" t="s">
        <v>14</v>
      </c>
      <c r="D36" s="18" t="s">
        <v>15</v>
      </c>
      <c r="E36" s="18" t="s">
        <v>17</v>
      </c>
    </row>
    <row r="37" spans="1:5" s="21" ht="15">
      <c r="A37" s="4" t="s">
        <v>81</v>
      </c>
      <c r="B37" s="20">
        <v>677</v>
      </c>
      <c r="C37" s="6">
        <v>0.064907</v>
      </c>
      <c r="D37" s="5">
        <v>278.314137</v>
      </c>
      <c r="E37" s="5">
        <v>914.76135657</v>
      </c>
    </row>
    <row r="38" spans="1:5" s="21" ht="15">
      <c r="A38" s="4" t="s">
        <v>82</v>
      </c>
      <c r="B38" s="20">
        <v>338</v>
      </c>
      <c r="C38" s="6">
        <v>0.024599</v>
      </c>
      <c r="D38" s="5">
        <v>105.577804</v>
      </c>
      <c r="E38" s="5">
        <v>363.44765025</v>
      </c>
    </row>
    <row r="39" spans="1:5" s="21" ht="15">
      <c r="A39" s="4" t="s">
        <v>83</v>
      </c>
      <c r="B39" s="20">
        <v>155</v>
      </c>
      <c r="C39" s="6">
        <v>0.006292</v>
      </c>
      <c r="D39" s="5">
        <v>26.951247</v>
      </c>
      <c r="E39" s="5">
        <v>95.75183334</v>
      </c>
    </row>
    <row r="40" spans="1:5" s="21" ht="15">
      <c r="A40" s="4" t="s">
        <v>84</v>
      </c>
      <c r="B40" s="20">
        <v>147</v>
      </c>
      <c r="C40" s="6">
        <v>0.032166</v>
      </c>
      <c r="D40" s="5">
        <v>137.842367</v>
      </c>
      <c r="E40" s="5">
        <v>428.58877547</v>
      </c>
    </row>
    <row r="41" spans="1:5" s="21" ht="15">
      <c r="A41" s="4" t="s">
        <v>85</v>
      </c>
      <c r="B41" s="20">
        <v>5</v>
      </c>
      <c r="C41" s="6">
        <v>0.001032</v>
      </c>
      <c r="D41" s="5">
        <v>4.436866</v>
      </c>
      <c r="E41" s="5">
        <v>14.80880313</v>
      </c>
    </row>
    <row r="42" spans="1:5" s="21" ht="15">
      <c r="A42" s="4" t="s">
        <v>86</v>
      </c>
      <c r="B42" s="20">
        <v>32</v>
      </c>
      <c r="C42" s="6">
        <v>0.000818</v>
      </c>
      <c r="D42" s="5">
        <v>3.505853</v>
      </c>
      <c r="E42" s="5">
        <v>12.16429438</v>
      </c>
    </row>
    <row r="43" spans="1:5" s="21" ht="15">
      <c r="A43" s="4" t="s">
        <v>87</v>
      </c>
      <c r="B43" s="20">
        <v>677</v>
      </c>
      <c r="C43" s="6">
        <v>0.064907</v>
      </c>
      <c r="D43" s="5">
        <v>278.314137</v>
      </c>
      <c r="E43" s="5">
        <v>914.76135657</v>
      </c>
    </row>
    <row r="44" spans="1:5" s="21" ht="15">
      <c r="A44" s="18" t="s">
        <v>88</v>
      </c>
      <c r="B44" s="18" t="s">
        <v>80</v>
      </c>
      <c r="C44" s="18" t="s">
        <v>14</v>
      </c>
      <c r="D44" s="18" t="s">
        <v>15</v>
      </c>
      <c r="E44" s="18" t="s">
        <v>17</v>
      </c>
    </row>
    <row r="45" spans="1:5" s="21" ht="15">
      <c r="A45" s="4" t="s">
        <v>89</v>
      </c>
      <c r="B45" s="20">
        <v>286</v>
      </c>
      <c r="C45" s="6">
        <v>0.047344</v>
      </c>
      <c r="D45" s="5">
        <v>202.951936</v>
      </c>
      <c r="E45" s="5">
        <v>655.26229142</v>
      </c>
    </row>
    <row r="46" spans="1:5" s="21" ht="15">
      <c r="A46" s="4" t="s">
        <v>90</v>
      </c>
      <c r="B46" s="20">
        <v>58</v>
      </c>
      <c r="C46" s="6">
        <v>0.00443</v>
      </c>
      <c r="D46" s="5">
        <v>19.025513</v>
      </c>
      <c r="E46" s="5">
        <v>64.4493936</v>
      </c>
    </row>
    <row r="47" spans="1:5" s="21" ht="15">
      <c r="A47" s="4" t="s">
        <v>91</v>
      </c>
      <c r="B47" s="20">
        <v>43</v>
      </c>
      <c r="C47" s="6">
        <v>0.003063</v>
      </c>
      <c r="D47" s="5">
        <v>13.15377</v>
      </c>
      <c r="E47" s="5">
        <v>44.1275364</v>
      </c>
    </row>
    <row r="48" spans="1:5" s="21" ht="15">
      <c r="A48" s="4" t="s">
        <v>92</v>
      </c>
      <c r="B48" s="20">
        <v>15</v>
      </c>
      <c r="C48" s="6">
        <v>0.001367</v>
      </c>
      <c r="D48" s="5">
        <v>5.871743</v>
      </c>
      <c r="E48" s="5">
        <v>20.3218572</v>
      </c>
    </row>
    <row r="49" spans="1:5" s="21" ht="15">
      <c r="A49" s="4" t="s">
        <v>93</v>
      </c>
      <c r="B49" s="20">
        <v>21</v>
      </c>
      <c r="C49" s="6">
        <v>0.001502</v>
      </c>
      <c r="D49" s="5">
        <v>6.4468</v>
      </c>
      <c r="E49" s="5">
        <v>21.25751329</v>
      </c>
    </row>
    <row r="50" spans="1:5" s="21" ht="15">
      <c r="A50" s="4" t="s">
        <v>94</v>
      </c>
      <c r="B50" s="20">
        <v>20</v>
      </c>
      <c r="C50" s="6">
        <v>0.001492</v>
      </c>
      <c r="D50" s="5">
        <v>6.402517</v>
      </c>
      <c r="E50" s="5">
        <v>21.10319177</v>
      </c>
    </row>
    <row r="51" spans="1:5" s="21" ht="15">
      <c r="A51" s="4" t="s">
        <v>95</v>
      </c>
      <c r="B51" s="20">
        <v>1</v>
      </c>
      <c r="C51" s="6">
        <v>1E-05</v>
      </c>
      <c r="D51" s="5">
        <v>0.044283</v>
      </c>
      <c r="E51" s="5">
        <v>0.15432152</v>
      </c>
    </row>
    <row r="52" spans="1:5" s="21" ht="15">
      <c r="A52" s="4" t="s">
        <v>96</v>
      </c>
      <c r="B52" s="20">
        <v>7</v>
      </c>
      <c r="C52" s="6">
        <v>0.001367</v>
      </c>
      <c r="D52" s="5">
        <v>5.875761</v>
      </c>
      <c r="E52" s="5">
        <v>20.05918255</v>
      </c>
    </row>
    <row r="53" spans="1:5" s="21" ht="15">
      <c r="A53" s="4" t="s">
        <v>97</v>
      </c>
      <c r="B53" s="20">
        <v>6</v>
      </c>
      <c r="C53" s="6">
        <v>0.001041</v>
      </c>
      <c r="D53" s="5">
        <v>4.475761</v>
      </c>
      <c r="E53" s="5">
        <v>15.48281539</v>
      </c>
    </row>
    <row r="54" spans="1:5" s="21" ht="15">
      <c r="A54" s="4" t="s">
        <v>98</v>
      </c>
      <c r="B54" s="20">
        <v>1</v>
      </c>
      <c r="C54" s="6">
        <v>0.000326</v>
      </c>
      <c r="D54" s="5">
        <v>1.4</v>
      </c>
      <c r="E54" s="5">
        <v>4.57636716</v>
      </c>
    </row>
    <row r="55" spans="1:5" s="21" ht="15">
      <c r="A55" s="4" t="s">
        <v>99</v>
      </c>
      <c r="B55" s="20">
        <v>26</v>
      </c>
      <c r="C55" s="6">
        <v>0.001006</v>
      </c>
      <c r="D55" s="5">
        <v>4.329987</v>
      </c>
      <c r="E55" s="5">
        <v>15.20193473</v>
      </c>
    </row>
    <row r="56" spans="1:5" s="21" ht="15">
      <c r="A56" s="4" t="s">
        <v>100</v>
      </c>
      <c r="B56" s="20">
        <v>5</v>
      </c>
      <c r="C56" s="6">
        <v>0.000491</v>
      </c>
      <c r="D56" s="5">
        <v>2.105917</v>
      </c>
      <c r="E56" s="5">
        <v>7.33889548</v>
      </c>
    </row>
    <row r="57" spans="1:5" s="21" ht="15">
      <c r="A57" s="4" t="s">
        <v>101</v>
      </c>
      <c r="B57" s="20">
        <v>18</v>
      </c>
      <c r="C57" s="6">
        <v>0.000388</v>
      </c>
      <c r="D57" s="5">
        <v>1.678689</v>
      </c>
      <c r="E57" s="5">
        <v>5.93309505</v>
      </c>
    </row>
    <row r="58" spans="1:5" s="21" ht="15">
      <c r="A58" s="4" t="s">
        <v>102</v>
      </c>
      <c r="B58" s="20">
        <v>3</v>
      </c>
      <c r="C58" s="6">
        <v>0.000127</v>
      </c>
      <c r="D58" s="5">
        <v>0.545381</v>
      </c>
      <c r="E58" s="5">
        <v>1.9299442</v>
      </c>
    </row>
    <row r="59" spans="1:5" s="21" ht="15">
      <c r="A59" s="4" t="s">
        <v>103</v>
      </c>
      <c r="B59" s="20">
        <v>9</v>
      </c>
      <c r="C59" s="6">
        <v>0.000179</v>
      </c>
      <c r="D59" s="5">
        <v>0.768762</v>
      </c>
      <c r="E59" s="5">
        <v>2.3795863</v>
      </c>
    </row>
    <row r="60" spans="1:5" s="21" ht="15">
      <c r="A60" s="4" t="s">
        <v>87</v>
      </c>
      <c r="B60" s="20">
        <v>407</v>
      </c>
      <c r="C60" s="6">
        <v>0.055828</v>
      </c>
      <c r="D60" s="5">
        <v>239.398759</v>
      </c>
      <c r="E60" s="5">
        <v>778.60990189</v>
      </c>
    </row>
    <row r="61" spans="1:5" s="21" ht="15">
      <c r="A61" s="18" t="s">
        <v>104</v>
      </c>
      <c r="B61" s="18" t="s">
        <v>80</v>
      </c>
      <c r="C61" s="18" t="s">
        <v>14</v>
      </c>
      <c r="D61" s="18" t="s">
        <v>15</v>
      </c>
      <c r="E61" s="18" t="s">
        <v>17</v>
      </c>
    </row>
    <row r="62" spans="1:5" s="21" ht="15">
      <c r="A62" s="4" t="s">
        <v>105</v>
      </c>
      <c r="B62" s="20">
        <v>214</v>
      </c>
      <c r="C62" s="6">
        <v>0.04376</v>
      </c>
      <c r="D62" s="5">
        <v>187.65701</v>
      </c>
      <c r="E62" s="5">
        <v>606.96129599</v>
      </c>
    </row>
    <row r="63" spans="1:5" s="21" ht="15">
      <c r="A63" s="4" t="s">
        <v>106</v>
      </c>
      <c r="B63" s="20">
        <v>367</v>
      </c>
      <c r="C63" s="6">
        <v>0.019503</v>
      </c>
      <c r="D63" s="5">
        <v>83.601709</v>
      </c>
      <c r="E63" s="5">
        <v>283.9634269</v>
      </c>
    </row>
    <row r="64" spans="1:5" s="21" ht="15">
      <c r="A64" s="4" t="s">
        <v>107</v>
      </c>
      <c r="B64" s="20">
        <v>71</v>
      </c>
      <c r="C64" s="6">
        <v>0.000537</v>
      </c>
      <c r="D64" s="5">
        <v>2.315583</v>
      </c>
      <c r="E64" s="5">
        <v>7.42023461</v>
      </c>
    </row>
    <row r="65" spans="1:5" s="21" ht="15">
      <c r="A65" s="4" t="s">
        <v>108</v>
      </c>
      <c r="B65" s="20">
        <v>9</v>
      </c>
      <c r="C65" s="6">
        <v>0.000109</v>
      </c>
      <c r="D65" s="5">
        <v>0.465913</v>
      </c>
      <c r="E65" s="5">
        <v>1.61545257</v>
      </c>
    </row>
    <row r="66" spans="1:5" s="21" ht="15">
      <c r="A66" s="4" t="s">
        <v>109</v>
      </c>
      <c r="B66" s="20">
        <v>3</v>
      </c>
      <c r="C66" s="6">
        <v>3.3E-05</v>
      </c>
      <c r="D66" s="5">
        <v>0.137246</v>
      </c>
      <c r="E66" s="5">
        <v>0.47068476</v>
      </c>
    </row>
    <row r="67" spans="1:5" s="21" ht="15">
      <c r="A67" s="4" t="s">
        <v>87</v>
      </c>
      <c r="B67" s="20">
        <v>664</v>
      </c>
      <c r="C67" s="6">
        <v>0.063942</v>
      </c>
      <c r="D67" s="5">
        <v>274.177461</v>
      </c>
      <c r="E67" s="5">
        <v>900.43109483</v>
      </c>
    </row>
    <row r="68" spans="1:5" s="21" ht="15">
      <c r="A68" s="18" t="s">
        <v>110</v>
      </c>
      <c r="B68" s="18" t="s">
        <v>80</v>
      </c>
      <c r="C68" s="18" t="s">
        <v>14</v>
      </c>
      <c r="D68" s="18" t="s">
        <v>15</v>
      </c>
      <c r="E68" s="18" t="s">
        <v>17</v>
      </c>
    </row>
    <row r="69" spans="1:5" s="21" ht="15">
      <c r="A69" s="4" t="s">
        <v>111</v>
      </c>
      <c r="B69" s="20">
        <v>149</v>
      </c>
      <c r="C69" s="6">
        <v>0.029969</v>
      </c>
      <c r="D69" s="5">
        <v>128.526733</v>
      </c>
      <c r="E69" s="5">
        <v>419.98921481</v>
      </c>
    </row>
    <row r="70" spans="1:5" s="21" ht="15">
      <c r="A70" s="4" t="s">
        <v>112</v>
      </c>
      <c r="B70" s="20">
        <v>246</v>
      </c>
      <c r="C70" s="6">
        <v>0.014318</v>
      </c>
      <c r="D70" s="5">
        <v>61.344422</v>
      </c>
      <c r="E70" s="5">
        <v>208.4523792</v>
      </c>
    </row>
    <row r="71" spans="1:5" s="21" ht="15">
      <c r="A71" s="4" t="s">
        <v>113</v>
      </c>
      <c r="B71" s="20">
        <v>52</v>
      </c>
      <c r="C71" s="6">
        <v>0.012943</v>
      </c>
      <c r="D71" s="5">
        <v>55.48535</v>
      </c>
      <c r="E71" s="5">
        <v>174.73438214</v>
      </c>
    </row>
    <row r="72" spans="1:5" s="21" ht="15">
      <c r="A72" s="4" t="s">
        <v>114</v>
      </c>
      <c r="B72" s="20">
        <v>23</v>
      </c>
      <c r="C72" s="6">
        <v>0.001175</v>
      </c>
      <c r="D72" s="5">
        <v>5.0512</v>
      </c>
      <c r="E72" s="5">
        <v>17.26209606</v>
      </c>
    </row>
    <row r="73" spans="1:5" s="21" ht="15">
      <c r="A73" s="4" t="s">
        <v>115</v>
      </c>
      <c r="B73" s="20">
        <v>16</v>
      </c>
      <c r="C73" s="6">
        <v>0.001049</v>
      </c>
      <c r="D73" s="5">
        <v>4.503761</v>
      </c>
      <c r="E73" s="5">
        <v>15.62825031</v>
      </c>
    </row>
    <row r="74" spans="1:5" s="21" ht="15">
      <c r="A74" s="4" t="s">
        <v>116</v>
      </c>
      <c r="B74" s="20">
        <v>13</v>
      </c>
      <c r="C74" s="6">
        <v>0.000848</v>
      </c>
      <c r="D74" s="5">
        <v>3.644927</v>
      </c>
      <c r="E74" s="5">
        <v>12.23769904</v>
      </c>
    </row>
    <row r="75" spans="1:5" s="21" ht="15">
      <c r="A75" s="4" t="s">
        <v>117</v>
      </c>
      <c r="B75" s="20">
        <v>8</v>
      </c>
      <c r="C75" s="6">
        <v>0.000849</v>
      </c>
      <c r="D75" s="5">
        <v>3.643282</v>
      </c>
      <c r="E75" s="5">
        <v>12.58105173</v>
      </c>
    </row>
    <row r="76" spans="1:5" s="21" ht="15">
      <c r="A76" s="4" t="s">
        <v>118</v>
      </c>
      <c r="B76" s="20">
        <v>13</v>
      </c>
      <c r="C76" s="6">
        <v>0.000717</v>
      </c>
      <c r="D76" s="5">
        <v>3.069043</v>
      </c>
      <c r="E76" s="5">
        <v>9.64153202</v>
      </c>
    </row>
    <row r="77" spans="1:5" s="21" ht="15">
      <c r="A77" s="4" t="s">
        <v>119</v>
      </c>
      <c r="B77" s="20">
        <v>8</v>
      </c>
      <c r="C77" s="6">
        <v>0.000429</v>
      </c>
      <c r="D77" s="5">
        <v>1.838777</v>
      </c>
      <c r="E77" s="5">
        <v>5.92112432</v>
      </c>
    </row>
    <row r="78" spans="1:5" s="21" ht="15">
      <c r="A78" s="4" t="s">
        <v>120</v>
      </c>
      <c r="B78" s="20">
        <v>28</v>
      </c>
      <c r="C78" s="6">
        <v>0.000371</v>
      </c>
      <c r="D78" s="5">
        <v>1.586717</v>
      </c>
      <c r="E78" s="5">
        <v>4.89001779</v>
      </c>
    </row>
    <row r="79" spans="1:5" s="21" ht="15">
      <c r="A79" s="4" t="s">
        <v>121</v>
      </c>
      <c r="B79" s="20">
        <v>13</v>
      </c>
      <c r="C79" s="6">
        <v>0.000283</v>
      </c>
      <c r="D79" s="5">
        <v>1.215448</v>
      </c>
      <c r="E79" s="5">
        <v>4.28479637</v>
      </c>
    </row>
    <row r="80" spans="1:5" s="21" ht="15">
      <c r="A80" s="4" t="s">
        <v>122</v>
      </c>
      <c r="B80" s="20">
        <v>13</v>
      </c>
      <c r="C80" s="6">
        <v>0.000238</v>
      </c>
      <c r="D80" s="5">
        <v>1.020442</v>
      </c>
      <c r="E80" s="5">
        <v>3.57815289</v>
      </c>
    </row>
    <row r="81" spans="1:5" s="21" ht="15">
      <c r="A81" s="4" t="s">
        <v>123</v>
      </c>
      <c r="B81" s="20">
        <v>35</v>
      </c>
      <c r="C81" s="6">
        <v>0.000162</v>
      </c>
      <c r="D81" s="5">
        <v>0.70771</v>
      </c>
      <c r="E81" s="5">
        <v>2.46106138</v>
      </c>
    </row>
    <row r="82" spans="1:5" s="21" ht="15">
      <c r="A82" s="4" t="s">
        <v>124</v>
      </c>
      <c r="B82" s="20">
        <v>12</v>
      </c>
      <c r="C82" s="6">
        <v>0.000125</v>
      </c>
      <c r="D82" s="5">
        <v>0.539444</v>
      </c>
      <c r="E82" s="5">
        <v>1.82994994</v>
      </c>
    </row>
    <row r="83" spans="1:5" s="21" ht="15">
      <c r="A83" s="4" t="s">
        <v>125</v>
      </c>
      <c r="B83" s="20">
        <v>4</v>
      </c>
      <c r="C83" s="6">
        <v>0.000108</v>
      </c>
      <c r="D83" s="5">
        <v>0.465363</v>
      </c>
      <c r="E83" s="5">
        <v>1.61089024</v>
      </c>
    </row>
    <row r="84" spans="1:5" s="21" ht="15">
      <c r="A84" s="4" t="s">
        <v>126</v>
      </c>
      <c r="B84" s="20">
        <v>1</v>
      </c>
      <c r="C84" s="6">
        <v>0.0001</v>
      </c>
      <c r="D84" s="5">
        <v>0.42794</v>
      </c>
      <c r="E84" s="5">
        <v>1.49132515</v>
      </c>
    </row>
    <row r="85" spans="1:5" s="21" ht="15">
      <c r="A85" s="4" t="s">
        <v>127</v>
      </c>
      <c r="B85" s="20">
        <v>2</v>
      </c>
      <c r="C85" s="6">
        <v>9.3E-05</v>
      </c>
      <c r="D85" s="5">
        <v>0.401446</v>
      </c>
      <c r="E85" s="5">
        <v>1.41774168</v>
      </c>
    </row>
    <row r="86" spans="1:5" s="21" ht="15">
      <c r="A86" s="4" t="s">
        <v>128</v>
      </c>
      <c r="B86" s="20">
        <v>5</v>
      </c>
      <c r="C86" s="6">
        <v>6.3E-05</v>
      </c>
      <c r="D86" s="5">
        <v>0.271051</v>
      </c>
      <c r="E86" s="5">
        <v>0.91035864</v>
      </c>
    </row>
    <row r="87" spans="1:5" s="21" ht="15">
      <c r="A87" s="4" t="s">
        <v>129</v>
      </c>
      <c r="B87" s="20">
        <v>1</v>
      </c>
      <c r="C87" s="6">
        <v>5.1E-05</v>
      </c>
      <c r="D87" s="5">
        <v>0.2184</v>
      </c>
      <c r="E87" s="5">
        <v>0.78093629</v>
      </c>
    </row>
    <row r="88" spans="1:5" s="21" ht="15">
      <c r="A88" s="4" t="s">
        <v>130</v>
      </c>
      <c r="B88" s="20">
        <v>3</v>
      </c>
      <c r="C88" s="6">
        <v>3.3E-05</v>
      </c>
      <c r="D88" s="5">
        <v>0.137246</v>
      </c>
      <c r="E88" s="5">
        <v>0.47068476</v>
      </c>
    </row>
    <row r="89" spans="1:5" s="21" ht="15">
      <c r="A89" s="4" t="s">
        <v>131</v>
      </c>
      <c r="B89" s="20">
        <v>3</v>
      </c>
      <c r="C89" s="6">
        <v>9E-06</v>
      </c>
      <c r="D89" s="5">
        <v>0.037973</v>
      </c>
      <c r="E89" s="5">
        <v>0.12412742</v>
      </c>
    </row>
    <row r="90" spans="1:5" s="21" ht="15">
      <c r="A90" s="4" t="s">
        <v>132</v>
      </c>
      <c r="B90" s="20">
        <v>7</v>
      </c>
      <c r="C90" s="6">
        <v>4E-06</v>
      </c>
      <c r="D90" s="5">
        <v>0.021156</v>
      </c>
      <c r="E90" s="5">
        <v>0.06915544</v>
      </c>
    </row>
    <row r="91" spans="1:5" s="21" ht="15">
      <c r="A91" s="4" t="s">
        <v>133</v>
      </c>
      <c r="B91" s="20">
        <v>2</v>
      </c>
      <c r="C91" s="6">
        <v>5E-06</v>
      </c>
      <c r="D91" s="5">
        <v>0.01963</v>
      </c>
      <c r="E91" s="5">
        <v>0.06416721</v>
      </c>
    </row>
    <row r="92" spans="1:5" s="21" ht="15">
      <c r="A92" s="4" t="s">
        <v>134</v>
      </c>
      <c r="B92" s="20">
        <v>5</v>
      </c>
      <c r="C92" s="6">
        <v>0</v>
      </c>
      <c r="D92" s="5">
        <v>0</v>
      </c>
      <c r="E92" s="5">
        <v>0</v>
      </c>
    </row>
    <row r="93" spans="1:5" s="21" ht="15">
      <c r="A93" s="4" t="s">
        <v>135</v>
      </c>
      <c r="B93" s="20">
        <v>1</v>
      </c>
      <c r="C93" s="6">
        <v>0</v>
      </c>
      <c r="D93" s="5">
        <v>0</v>
      </c>
      <c r="E93" s="5">
        <v>0</v>
      </c>
    </row>
    <row r="94" spans="1:5" s="21" ht="15">
      <c r="A94" s="4" t="s">
        <v>136</v>
      </c>
      <c r="B94" s="20">
        <v>1</v>
      </c>
      <c r="C94" s="6">
        <v>0</v>
      </c>
      <c r="D94" s="5">
        <v>0</v>
      </c>
      <c r="E94" s="5">
        <v>0</v>
      </c>
    </row>
    <row r="95" spans="1:5" s="21" ht="15">
      <c r="A95" s="4" t="s">
        <v>87</v>
      </c>
      <c r="B95" s="20">
        <v>664</v>
      </c>
      <c r="C95" s="6">
        <v>0.063942</v>
      </c>
      <c r="D95" s="5">
        <v>274.177461</v>
      </c>
      <c r="E95" s="5">
        <v>900.43109483</v>
      </c>
    </row>
    <row r="96" spans="1:5" s="21" ht="15">
      <c r="A96" s="18" t="s">
        <v>137</v>
      </c>
      <c r="B96" s="18" t="s">
        <v>80</v>
      </c>
      <c r="C96" s="18" t="s">
        <v>14</v>
      </c>
      <c r="D96" s="18" t="s">
        <v>15</v>
      </c>
      <c r="E96" s="18" t="s">
        <v>17</v>
      </c>
    </row>
    <row r="97" spans="1:5" s="21" ht="15">
      <c r="A97" s="4" t="s">
        <v>138</v>
      </c>
      <c r="B97" s="20">
        <v>27</v>
      </c>
      <c r="C97" s="6">
        <v>0.012557</v>
      </c>
      <c r="D97" s="5">
        <v>53.810454</v>
      </c>
      <c r="E97" s="5">
        <v>165.44066125</v>
      </c>
    </row>
    <row r="98" spans="1:5" s="21" ht="27" customHeight="1">
      <c r="A98" s="4" t="s">
        <v>139</v>
      </c>
      <c r="B98" s="20">
        <v>9</v>
      </c>
      <c r="C98" s="6">
        <v>0.009068</v>
      </c>
      <c r="D98" s="5">
        <v>38.905877</v>
      </c>
      <c r="E98" s="5">
        <v>135.17733246</v>
      </c>
    </row>
    <row r="99" spans="1:5" s="21" ht="15">
      <c r="A99" s="4" t="s">
        <v>140</v>
      </c>
      <c r="B99" s="20">
        <v>28</v>
      </c>
      <c r="C99" s="6">
        <v>0.002563</v>
      </c>
      <c r="D99" s="5">
        <v>10.98592</v>
      </c>
      <c r="E99" s="5">
        <v>36.90071646</v>
      </c>
    </row>
    <row r="100" spans="1:5" s="21" ht="15">
      <c r="A100" s="4" t="s">
        <v>141</v>
      </c>
      <c r="B100" s="20">
        <v>18</v>
      </c>
      <c r="C100" s="6">
        <v>0.002257</v>
      </c>
      <c r="D100" s="5">
        <v>9.698376</v>
      </c>
      <c r="E100" s="5">
        <v>32.18106502</v>
      </c>
    </row>
    <row r="101" spans="1:5" s="21" ht="27" customHeight="1">
      <c r="A101" s="4" t="s">
        <v>142</v>
      </c>
      <c r="B101" s="20">
        <v>31</v>
      </c>
      <c r="C101" s="6">
        <v>0.001599</v>
      </c>
      <c r="D101" s="5">
        <v>6.868336</v>
      </c>
      <c r="E101" s="5">
        <v>22.67338664</v>
      </c>
    </row>
    <row r="102" spans="1:5" s="21" ht="15">
      <c r="A102" s="4" t="s">
        <v>143</v>
      </c>
      <c r="B102" s="20">
        <v>6</v>
      </c>
      <c r="C102" s="6">
        <v>0.000101</v>
      </c>
      <c r="D102" s="5">
        <v>0.42816</v>
      </c>
      <c r="E102" s="5">
        <v>1.30415611</v>
      </c>
    </row>
    <row r="103" spans="1:5" s="21" ht="15">
      <c r="A103" s="4" t="s">
        <v>144</v>
      </c>
      <c r="B103" s="20">
        <v>2</v>
      </c>
      <c r="C103" s="6">
        <v>8E-05</v>
      </c>
      <c r="D103" s="5">
        <v>0.3409</v>
      </c>
      <c r="E103" s="5">
        <v>1.11999879</v>
      </c>
    </row>
    <row r="104" spans="1:5" s="21" ht="15">
      <c r="A104" s="4" t="s">
        <v>145</v>
      </c>
      <c r="B104" s="20">
        <v>3</v>
      </c>
      <c r="C104" s="6">
        <v>4.4E-05</v>
      </c>
      <c r="D104" s="5">
        <v>0.189553</v>
      </c>
      <c r="E104" s="5">
        <v>0.66178526</v>
      </c>
    </row>
    <row r="105" spans="1:5" s="21" ht="15">
      <c r="A105" s="4" t="s">
        <v>146</v>
      </c>
      <c r="B105" s="20">
        <v>1</v>
      </c>
      <c r="C105" s="6">
        <v>1.9E-05</v>
      </c>
      <c r="D105" s="5">
        <v>0.083485</v>
      </c>
      <c r="E105" s="5">
        <v>0.25429156</v>
      </c>
    </row>
    <row r="106" spans="1:5" s="21" ht="27" customHeight="1">
      <c r="A106" s="4" t="s">
        <v>147</v>
      </c>
      <c r="B106" s="20">
        <v>3</v>
      </c>
      <c r="C106" s="6">
        <v>6E-06</v>
      </c>
      <c r="D106" s="5">
        <v>0.0253</v>
      </c>
      <c r="E106" s="5">
        <v>0.08816779</v>
      </c>
    </row>
    <row r="107" spans="1:5" s="21" ht="15">
      <c r="A107" s="4" t="s">
        <v>148</v>
      </c>
      <c r="B107" s="20">
        <v>1</v>
      </c>
      <c r="C107" s="6">
        <v>4E-06</v>
      </c>
      <c r="D107" s="5">
        <v>0.0156</v>
      </c>
      <c r="E107" s="5">
        <v>0.05313603</v>
      </c>
    </row>
    <row r="108" spans="1:5" s="21" ht="15">
      <c r="A108" s="4" t="s">
        <v>149</v>
      </c>
      <c r="B108" s="20">
        <v>1</v>
      </c>
      <c r="C108" s="6">
        <v>3E-06</v>
      </c>
      <c r="D108" s="5">
        <v>0.012019</v>
      </c>
      <c r="E108" s="5">
        <v>0.04297653</v>
      </c>
    </row>
    <row r="109" spans="1:5" s="21" ht="27" customHeight="1">
      <c r="A109" s="4" t="s">
        <v>150</v>
      </c>
      <c r="B109" s="20">
        <v>1</v>
      </c>
      <c r="C109" s="6">
        <v>0</v>
      </c>
      <c r="D109" s="5">
        <v>0</v>
      </c>
      <c r="E109" s="5">
        <v>0</v>
      </c>
    </row>
    <row r="110" spans="1:5" s="21" ht="15">
      <c r="A110" s="4" t="s">
        <v>87</v>
      </c>
      <c r="B110" s="20">
        <v>131</v>
      </c>
      <c r="C110" s="6">
        <v>0.028301</v>
      </c>
      <c r="D110" s="5">
        <v>121.36398</v>
      </c>
      <c r="E110" s="5">
        <v>395.8976739</v>
      </c>
    </row>
    <row r="111" spans="1:5" s="21" ht="15">
      <c r="A111" s="18" t="s">
        <v>151</v>
      </c>
      <c r="B111" s="18" t="s">
        <v>80</v>
      </c>
      <c r="C111" s="18" t="s">
        <v>14</v>
      </c>
      <c r="D111" s="18" t="s">
        <v>15</v>
      </c>
      <c r="E111" s="18" t="s">
        <v>17</v>
      </c>
    </row>
    <row r="112" spans="1:5" s="21" ht="15">
      <c r="A112" s="4" t="s">
        <v>152</v>
      </c>
      <c r="B112" s="20">
        <v>0</v>
      </c>
      <c r="C112" s="6">
        <v>0</v>
      </c>
      <c r="D112" s="5">
        <v>0</v>
      </c>
      <c r="E112" s="5">
        <v>0</v>
      </c>
    </row>
    <row r="113" spans="1:5" s="21" ht="15">
      <c r="A113" s="4" t="s">
        <v>153</v>
      </c>
      <c r="B113" s="20">
        <v>0</v>
      </c>
      <c r="C113" s="6">
        <v>0</v>
      </c>
      <c r="D113" s="5">
        <v>0</v>
      </c>
      <c r="E113" s="5">
        <v>0</v>
      </c>
    </row>
    <row r="114" spans="1:5" s="21" ht="15">
      <c r="A114" s="4" t="s">
        <v>154</v>
      </c>
      <c r="B114" s="20">
        <v>677</v>
      </c>
      <c r="C114" s="6">
        <v>0.064907</v>
      </c>
      <c r="D114" s="5">
        <v>278.314137</v>
      </c>
      <c r="E114" s="5">
        <v>914.76135657</v>
      </c>
    </row>
    <row r="115" spans="1:5" s="21" ht="15">
      <c r="A115" s="4" t="s">
        <v>87</v>
      </c>
      <c r="B115" s="20">
        <v>677</v>
      </c>
      <c r="C115" s="6">
        <v>0.064907</v>
      </c>
      <c r="D115" s="5">
        <v>278.314137</v>
      </c>
      <c r="E115" s="5">
        <v>914.76135657</v>
      </c>
    </row>
    <row r="116" spans="1:5" s="21" ht="15">
      <c r="A116" s="18" t="s">
        <v>155</v>
      </c>
      <c r="B116" s="18" t="s">
        <v>80</v>
      </c>
      <c r="C116" s="18" t="s">
        <v>14</v>
      </c>
      <c r="D116" s="18" t="s">
        <v>15</v>
      </c>
      <c r="E116" s="18" t="s">
        <v>17</v>
      </c>
    </row>
    <row r="117" spans="1:5" s="21" ht="15">
      <c r="A117" s="4" t="s">
        <v>156</v>
      </c>
      <c r="B117" s="20">
        <v>127</v>
      </c>
      <c r="C117" s="6">
        <v>0.00666499999999999</v>
      </c>
      <c r="D117" s="5">
        <v>28.53122</v>
      </c>
      <c r="E117" s="5">
        <v>101.29277111</v>
      </c>
    </row>
    <row r="118" spans="1:5" s="21" ht="15">
      <c r="A118" s="4" t="s">
        <v>157</v>
      </c>
      <c r="B118" s="20">
        <v>114</v>
      </c>
      <c r="C118" s="6">
        <v>0.006128</v>
      </c>
      <c r="D118" s="5">
        <v>26.250969</v>
      </c>
      <c r="E118" s="5">
        <v>85.18648499</v>
      </c>
    </row>
    <row r="119" spans="1:5" s="21" ht="15">
      <c r="A119" s="4" t="s">
        <v>158</v>
      </c>
      <c r="B119" s="20">
        <v>419</v>
      </c>
      <c r="C119" s="6">
        <v>0.0508970000000001</v>
      </c>
      <c r="D119" s="5">
        <v>218.067825</v>
      </c>
      <c r="E119" s="5">
        <v>709.747159029999</v>
      </c>
    </row>
    <row r="120" spans="1:5" s="21" ht="15">
      <c r="A120" s="4" t="s">
        <v>87</v>
      </c>
      <c r="B120" s="20">
        <v>660</v>
      </c>
      <c r="C120" s="6">
        <v>0.0636900000000001</v>
      </c>
      <c r="D120" s="5">
        <v>272.850014</v>
      </c>
      <c r="E120" s="5">
        <v>896.226415129999</v>
      </c>
    </row>
    <row r="123" spans="1:3" s="21" ht="15">
      <c r="A123" s="14" t="s">
        <v>67</v>
      </c>
      <c r="B123" s="15" t="s">
        <v>67</v>
      </c>
      <c r="C123" s="16" t="s">
        <v>67</v>
      </c>
    </row>
    <row r="124" spans="1:3" s="21" ht="15">
      <c r="A124" s="18" t="s">
        <v>13</v>
      </c>
      <c r="B124" s="18" t="s">
        <v>17</v>
      </c>
      <c r="C124" s="18" t="s">
        <v>159</v>
      </c>
    </row>
    <row r="125" spans="1:3" s="21" ht="15">
      <c r="A125" s="14" t="s">
        <v>152</v>
      </c>
      <c r="B125" s="15" t="s">
        <v>152</v>
      </c>
      <c r="C125" s="16" t="s">
        <v>152</v>
      </c>
    </row>
    <row r="126" spans="1:3" s="21" ht="15">
      <c r="A126" s="4" t="s">
        <v>73</v>
      </c>
      <c r="B126" s="12">
        <v>6.67656244</v>
      </c>
      <c r="C126" s="12">
        <v>1.938471</v>
      </c>
    </row>
    <row r="127" spans="1:3" s="21" ht="15">
      <c r="A127" s="4" t="s">
        <v>72</v>
      </c>
      <c r="B127" s="12">
        <v>5.56845356</v>
      </c>
      <c r="C127" s="12">
        <v>1.625</v>
      </c>
    </row>
    <row r="128" spans="1:3" s="21" ht="27" customHeight="1">
      <c r="A128" s="4" t="s">
        <v>71</v>
      </c>
      <c r="B128" s="12">
        <v>4.98513654</v>
      </c>
      <c r="C128" s="12">
        <v>1.5348</v>
      </c>
    </row>
    <row r="129" spans="1:3" s="21" ht="27" customHeight="1">
      <c r="A129" s="4" t="s">
        <v>29</v>
      </c>
      <c r="B129" s="12">
        <v>2.91294035</v>
      </c>
      <c r="C129" s="12">
        <v>0.8863</v>
      </c>
    </row>
    <row r="130" spans="1:3" s="21" ht="27" customHeight="1">
      <c r="A130" s="4" t="s">
        <v>70</v>
      </c>
      <c r="B130" s="12">
        <v>2.16256443</v>
      </c>
      <c r="C130" s="12">
        <v>0.657659</v>
      </c>
    </row>
    <row r="131" spans="1:3" s="21" ht="15">
      <c r="A131" s="14" t="s">
        <v>153</v>
      </c>
      <c r="B131" s="15" t="s">
        <v>153</v>
      </c>
      <c r="C131" s="16" t="s">
        <v>153</v>
      </c>
    </row>
    <row r="132" spans="1:3" s="21" ht="15">
      <c r="A132" s="4" t="s">
        <v>24</v>
      </c>
      <c r="B132" s="9">
        <v>-16.74742399</v>
      </c>
      <c r="C132" s="9">
        <v>-5.086039</v>
      </c>
    </row>
    <row r="133" spans="1:3" s="21" ht="15">
      <c r="A133" s="4" t="s">
        <v>20</v>
      </c>
      <c r="B133" s="9">
        <v>-13.51221775</v>
      </c>
      <c r="C133" s="9">
        <v>-4.450261</v>
      </c>
    </row>
    <row r="134" spans="1:3" s="21" ht="15">
      <c r="A134" s="4" t="s">
        <v>69</v>
      </c>
      <c r="B134" s="9">
        <v>-11.00646181</v>
      </c>
      <c r="C134" s="9">
        <v>-3.36507</v>
      </c>
    </row>
    <row r="135" spans="1:3" s="21" ht="27" customHeight="1">
      <c r="A135" s="4" t="s">
        <v>68</v>
      </c>
      <c r="B135" s="9">
        <v>-6.51044042</v>
      </c>
      <c r="C135" s="9">
        <v>-1.893028</v>
      </c>
    </row>
    <row r="136" spans="1:3" s="21" ht="15">
      <c r="A136" s="4" t="s">
        <v>38</v>
      </c>
      <c r="B136" s="9">
        <v>-5.63615621</v>
      </c>
      <c r="C136" s="9">
        <v>-1.681</v>
      </c>
    </row>
    <row r="139" spans="1:5" s="21" ht="15">
      <c r="A139" s="14" t="s">
        <v>62</v>
      </c>
      <c r="B139" s="15" t="s">
        <v>62</v>
      </c>
      <c r="C139" s="15" t="s">
        <v>62</v>
      </c>
      <c r="D139" s="15" t="s">
        <v>62</v>
      </c>
      <c r="E139" s="16" t="s">
        <v>62</v>
      </c>
    </row>
    <row r="140" spans="1:5" s="21" ht="15">
      <c r="A140" s="18" t="s">
        <v>160</v>
      </c>
      <c r="B140" s="18" t="s">
        <v>80</v>
      </c>
      <c r="C140" s="18" t="s">
        <v>14</v>
      </c>
      <c r="D140" s="18" t="s">
        <v>15</v>
      </c>
      <c r="E140" s="18" t="s">
        <v>17</v>
      </c>
    </row>
    <row r="141" spans="1:5" s="21" ht="15">
      <c r="A141" s="4" t="s">
        <v>161</v>
      </c>
      <c r="B141" s="4">
        <v>693</v>
      </c>
      <c r="C141" s="6">
        <v>0.0649890000000002</v>
      </c>
      <c r="D141" s="5">
        <v>278.421356</v>
      </c>
      <c r="E141" s="5">
        <v>915.04583605</v>
      </c>
    </row>
    <row r="142" spans="1:5" s="21" ht="15">
      <c r="A142" s="4" t="s">
        <v>66</v>
      </c>
      <c r="B142" s="4">
        <v>10</v>
      </c>
      <c r="C142" s="6">
        <v>0.02813</v>
      </c>
      <c r="D142" s="5">
        <v>120.515555</v>
      </c>
      <c r="E142" s="5">
        <v>386.9528491</v>
      </c>
    </row>
    <row r="143" spans="1:5" s="21" ht="15">
      <c r="A143" s="4" t="s">
        <v>65</v>
      </c>
      <c r="B143" s="4">
        <v>20</v>
      </c>
      <c r="C143" s="6">
        <v>0.03453</v>
      </c>
      <c r="D143" s="5">
        <v>147.935227</v>
      </c>
      <c r="E143" s="5">
        <v>475.30028469</v>
      </c>
    </row>
    <row r="144" spans="1:5" s="21" ht="15">
      <c r="A144" s="4" t="s">
        <v>64</v>
      </c>
      <c r="B144" s="4">
        <v>50</v>
      </c>
      <c r="C144" s="6">
        <v>0.045013</v>
      </c>
      <c r="D144" s="5">
        <v>192.856572</v>
      </c>
      <c r="E144" s="5">
        <v>623.5708875</v>
      </c>
    </row>
    <row r="145" spans="1:5" s="21" ht="15">
      <c r="A145" s="4" t="s">
        <v>63</v>
      </c>
      <c r="B145" s="4">
        <v>100</v>
      </c>
      <c r="C145" s="6">
        <v>0.052574</v>
      </c>
      <c r="D145" s="5">
        <v>225.237183</v>
      </c>
      <c r="E145" s="5">
        <v>731.80546053</v>
      </c>
    </row>
  </sheetData>
  <mergeCells count="7">
    <mergeCell ref="A6:F6"/>
    <mergeCell ref="A11:H11"/>
    <mergeCell ref="A35:E35"/>
    <mergeCell ref="A123:C123"/>
    <mergeCell ref="A125:C125"/>
    <mergeCell ref="A131:C131"/>
    <mergeCell ref="A139:E139"/>
  </mergeCells>
  <pageMargins left="0.5" right="0.5" top="1" bottom="1" header="0.5" footer="0.75"/>
  <pageSetup fitToHeight="0" orientation="portrait"/>
  <headerFooter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s.tr.eikonappserver</dc:creator>
  <dcterms:created xsi:type="dcterms:W3CDTF">2026-10-11T04:07:54Z</dcterms:created>
  <dcterms:modified xsi:type="dcterms:W3CDTF">2026-10-11T04:07:54Z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