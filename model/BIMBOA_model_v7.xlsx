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Football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A&quot;"/>
    <numFmt numFmtId="165" formatCode="0&quot;E&quot;"/>
    <numFmt numFmtId="166" formatCode="0.0%"/>
    <numFmt numFmtId="167" formatCode="#,##0.0_);(#,##0.0);&quot;-&quot;_)"/>
    <numFmt numFmtId="168" formatCode="#,##0.0"/>
    <numFmt numFmtId="169" formatCode="0.0&quot;x&quot;"/>
    <numFmt numFmtId="170" formatCode="0.000"/>
    <numFmt numFmtId="171" formatCode="#,##0.00;-#,##0.00;&quot;n.m.&quot;"/>
  </numFmts>
  <fonts count="11">
    <font>
      <name val="Calibri"/>
      <family val="2"/>
      <color theme="1"/>
      <sz val="11"/>
      <scheme val="minor"/>
    </font>
    <font>
      <name val="Aptos Narrow"/>
      <b val="1"/>
      <color rgb="FFFFFFFF"/>
      <sz val="12"/>
    </font>
    <font>
      <name val="Aptos Narrow"/>
      <i val="1"/>
      <color rgb="FF7F7F7F"/>
    </font>
    <font>
      <name val="Aptos Narrow"/>
      <b val="1"/>
    </font>
    <font>
      <name val="Aptos Narrow"/>
      <b val="1"/>
      <color rgb="FF000000"/>
    </font>
    <font>
      <name val="Aptos Narrow"/>
      <color rgb="FF000000"/>
    </font>
    <font>
      <name val="Aptos Narrow"/>
      <color rgb="FF0000FF"/>
    </font>
    <font>
      <name val="Aptos Narrow"/>
      <b val="1"/>
      <color rgb="FF0000FF"/>
    </font>
    <font>
      <name val="Aptos Narrow"/>
      <color rgb="FF008000"/>
    </font>
    <font>
      <name val="Aptos Narrow"/>
      <b val="1"/>
      <color rgb="FF008000"/>
    </font>
    <font>
      <name val="Aptos Narrow"/>
      <b val="1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6" fontId="5" fillId="0" borderId="0" pivotButton="0" quotePrefix="0" xfId="0"/>
    <xf numFmtId="166" fontId="6" fillId="4" borderId="0" pivotButton="0" quotePrefix="0" xfId="0"/>
    <xf numFmtId="1" fontId="5" fillId="0" borderId="0" pivotButton="0" quotePrefix="0" xfId="0"/>
    <xf numFmtId="1" fontId="6" fillId="4" borderId="0" pivotButton="0" quotePrefix="0" xfId="0"/>
    <xf numFmtId="167" fontId="5" fillId="0" borderId="0" pivotButton="0" quotePrefix="0" xfId="0"/>
    <xf numFmtId="167" fontId="6" fillId="4" borderId="0" pivotButton="0" quotePrefix="0" xfId="0"/>
    <xf numFmtId="0" fontId="4" fillId="0" borderId="0" applyAlignment="1" pivotButton="0" quotePrefix="0" xfId="0">
      <alignment vertical="top" wrapText="1"/>
    </xf>
    <xf numFmtId="167" fontId="7" fillId="0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7" fontId="4" fillId="0" borderId="1" pivotButton="0" quotePrefix="0" xfId="0"/>
    <xf numFmtId="168" fontId="6" fillId="0" borderId="0" pivotButton="0" quotePrefix="0" xfId="0"/>
    <xf numFmtId="168" fontId="5" fillId="0" borderId="0" pivotButton="0" quotePrefix="0" xfId="0"/>
    <xf numFmtId="4" fontId="5" fillId="0" borderId="0" pivotButton="0" quotePrefix="0" xfId="0"/>
    <xf numFmtId="167" fontId="9" fillId="0" borderId="0" pivotButton="0" quotePrefix="0" xfId="0"/>
    <xf numFmtId="169" fontId="5" fillId="0" borderId="0" pivotButton="0" quotePrefix="0" xfId="0"/>
    <xf numFmtId="2" fontId="6" fillId="4" borderId="0" pivotButton="0" quotePrefix="0" xfId="0"/>
    <xf numFmtId="2" fontId="5" fillId="0" borderId="0" pivotButton="0" quotePrefix="0" xfId="0"/>
    <xf numFmtId="166" fontId="4" fillId="0" borderId="1" pivotButton="0" quotePrefix="0" xfId="0"/>
    <xf numFmtId="170" fontId="5" fillId="0" borderId="0" pivotButton="0" quotePrefix="0" xfId="0"/>
    <xf numFmtId="169" fontId="6" fillId="4" borderId="0" pivotButton="0" quotePrefix="0" xfId="0"/>
    <xf numFmtId="168" fontId="8" fillId="0" borderId="0" pivotButton="0" quotePrefix="0" xfId="0"/>
    <xf numFmtId="4" fontId="4" fillId="0" borderId="1" pivotButton="0" quotePrefix="0" xfId="0"/>
    <xf numFmtId="4" fontId="6" fillId="4" borderId="0" pivotButton="0" quotePrefix="0" xfId="0"/>
    <xf numFmtId="168" fontId="6" fillId="4" borderId="0" pivotButton="0" quotePrefix="0" xfId="0"/>
    <xf numFmtId="4" fontId="8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ptos Narrow"/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by method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'Football'!$B$7:$B$12</f>
            </numRef>
          </cat>
          <val>
            <numRef>
              <f>'Football'!$C$7:$C$12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'Football'!$B$7:$B$12</f>
            </numRef>
          </cat>
          <val>
            <numRef>
              <f>'Football'!$E$7:$E$12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p.257</t>
      </text>
    </comment>
    <comment ref="D7" authorId="0" shapeId="0">
      <text>
        <t>[sourced] filings/bmv/Reporte Anual 2023_XBRL_VF.PDF p.257</t>
      </text>
    </comment>
    <comment ref="E7" authorId="0" shapeId="0">
      <text>
        <t>[sourced] filings/annual/IA25_GB_EEFF_V10.pdf p.13</t>
      </text>
    </comment>
    <comment ref="F7" authorId="0" shapeId="0">
      <text>
        <t>[sourced] filings/annual/IA25_GB_EEFF_V10.pdf p.13</t>
      </text>
    </comment>
    <comment ref="G7" authorId="0" shapeId="0">
      <text>
        <t>[sourced] filings/annual/IA25_GB_EEFF_V10.pdf p.13</t>
      </text>
    </comment>
    <comment ref="C8" authorId="0" shapeId="0">
      <text>
        <t>[sourced] filings/bmv/Reporte Anual 2023_XBRL_VF.PDF p.257</t>
      </text>
    </comment>
    <comment ref="D8" authorId="0" shapeId="0">
      <text>
        <t>[sourced] filings/bmv/Reporte Anual 2023_XBRL_VF.PDF p.257</t>
      </text>
    </comment>
    <comment ref="E8" authorId="0" shapeId="0">
      <text>
        <t>[sourced] filings/annual/IA25_GB_EEFF_V10.pdf p.13</t>
      </text>
    </comment>
    <comment ref="F8" authorId="0" shapeId="0">
      <text>
        <t>[sourced] filings/annual/IA25_GB_EEFF_V10.pdf p.13</t>
      </text>
    </comment>
    <comment ref="G8" authorId="0" shapeId="0">
      <text>
        <t>[sourced] filings/annual/IA25_GB_EEFF_V10.pdf p.13</t>
      </text>
    </comment>
    <comment ref="C10" authorId="0" shapeId="0">
      <text>
        <t>[sourced] filings/bmv/Reporte Anual 2023_XBRL_VF.PDF p.257</t>
      </text>
    </comment>
    <comment ref="D10" authorId="0" shapeId="0">
      <text>
        <t>[sourced] filings/bmv/Reporte Anual 2023_XBRL_VF.PDF p.257</t>
      </text>
    </comment>
    <comment ref="E10" authorId="0" shapeId="0">
      <text>
        <t>[sourced] filings/annual/IA25_GB_EEFF_V10.pdf p.13</t>
      </text>
    </comment>
    <comment ref="F10" authorId="0" shapeId="0">
      <text>
        <t>[sourced] filings/annual/IA25_GB_EEFF_V10.pdf p.13</t>
      </text>
    </comment>
    <comment ref="G10" authorId="0" shapeId="0">
      <text>
        <t>[sourced] filings/annual/IA25_GB_EEFF_V10.pdf p.13</t>
      </text>
    </comment>
    <comment ref="C12" authorId="0" shapeId="0">
      <text>
        <t>[sourced] filings/bmv/Reporte Anual 2023_XBRL_VF.PDF p.257</t>
      </text>
    </comment>
    <comment ref="D12" authorId="0" shapeId="0">
      <text>
        <t>[sourced] filings/bmv/Reporte Anual 2023_XBRL_VF.PDF p.257</t>
      </text>
    </comment>
    <comment ref="E12" authorId="0" shapeId="0">
      <text>
        <t>[sourced] filings/annual/IA25_GB_EEFF_V10.pdf p.13</t>
      </text>
    </comment>
    <comment ref="F12" authorId="0" shapeId="0">
      <text>
        <t>[sourced] filings/annual/IA25_GB_EEFF_V10.pdf p.13</t>
      </text>
    </comment>
    <comment ref="G12" authorId="0" shapeId="0">
      <text>
        <t>[sourced] filings/annual/IA25_GB_EEFF_V10.pdf p.13</t>
      </text>
    </comment>
    <comment ref="C13" authorId="0" shapeId="0">
      <text>
        <t>[sourced] filings/bmv/Reporte Anual 2023_XBRL_VF.PDF p.257</t>
      </text>
    </comment>
    <comment ref="D13" authorId="0" shapeId="0">
      <text>
        <t>[sourced] filings/bmv/Reporte Anual 2023_XBRL_VF.PDF p.257</t>
      </text>
    </comment>
    <comment ref="E13" authorId="0" shapeId="0">
      <text>
        <t>[sourced] filings/annual/IA25_GB_EEFF_V10.pdf p.13</t>
      </text>
    </comment>
    <comment ref="F13" authorId="0" shapeId="0">
      <text>
        <t>[sourced] filings/annual/IA25_GB_EEFF_V10.pdf p.13</t>
      </text>
    </comment>
    <comment ref="G13" authorId="0" shapeId="0">
      <text>
        <t>[sourced] filings/annual/IA25_GB_EEFF_V10.pdf p.13</t>
      </text>
    </comment>
    <comment ref="C14" authorId="0" shapeId="0">
      <text>
        <t>[sourced] filings/bmv/Reporte Anual 2023_XBRL_VF.PDF p.257</t>
      </text>
    </comment>
    <comment ref="D14" authorId="0" shapeId="0">
      <text>
        <t>[sourced] filings/bmv/Reporte Anual 2023_XBRL_VF.PDF p.257</t>
      </text>
    </comment>
    <comment ref="E14" authorId="0" shapeId="0">
      <text>
        <t>[sourced] filings/annual/IA25_GB_EEFF_V10.pdf p.13</t>
      </text>
    </comment>
    <comment ref="F14" authorId="0" shapeId="0">
      <text>
        <t>[sourced] filings/annual/IA25_GB_EEFF_V10.pdf p.13</t>
      </text>
    </comment>
    <comment ref="G14" authorId="0" shapeId="0">
      <text>
        <t>[sourced] filings/annual/IA25_GB_EEFF_V10.pdf p.13</t>
      </text>
    </comment>
    <comment ref="C16" authorId="0" shapeId="0">
      <text>
        <t>[sourced] filings/bmv/Reporte Anual 2023_XBRL_VF.PDF p.257</t>
      </text>
    </comment>
    <comment ref="D16" authorId="0" shapeId="0">
      <text>
        <t>[sourced] filings/bmv/Reporte Anual 2023_XBRL_VF.PDF p.257</t>
      </text>
    </comment>
    <comment ref="E16" authorId="0" shapeId="0">
      <text>
        <t>[sourced] filings/annual/IA25_GB_EEFF_V10.pdf p.13</t>
      </text>
    </comment>
    <comment ref="F16" authorId="0" shapeId="0">
      <text>
        <t>[sourced] filings/annual/IA25_GB_EEFF_V10.pdf p.13</t>
      </text>
    </comment>
    <comment ref="G16" authorId="0" shapeId="0">
      <text>
        <t>[sourced] filings/annual/IA25_GB_EEFF_V10.pdf p.13</t>
      </text>
    </comment>
    <comment ref="C18" authorId="0" shapeId="0">
      <text>
        <t>[sourced] filings/bmv/Reporte Anual 2023_XBRL_VF.PDF p.257</t>
      </text>
    </comment>
    <comment ref="D18" authorId="0" shapeId="0">
      <text>
        <t>[sourced] filings/bmv/Reporte Anual 2023_XBRL_VF.PDF p.257</t>
      </text>
    </comment>
    <comment ref="E18" authorId="0" shapeId="0">
      <text>
        <t>[sourced] filings/annual/IA25_GB_EEFF_V10.pdf p.13</t>
      </text>
    </comment>
    <comment ref="F18" authorId="0" shapeId="0">
      <text>
        <t>[sourced] filings/annual/IA25_GB_EEFF_V10.pdf p.13</t>
      </text>
    </comment>
    <comment ref="G18" authorId="0" shapeId="0">
      <text>
        <t>[sourced] filings/annual/IA25_GB_EEFF_V10.pdf p.13</t>
      </text>
    </comment>
    <comment ref="C22" authorId="0" shapeId="0">
      <text>
        <t>[sourced] filings/bmv/Reporte Anual 2023_XBRL_VF.PDF p.257</t>
      </text>
    </comment>
    <comment ref="D22" authorId="0" shapeId="0">
      <text>
        <t>[sourced] filings/bmv/Reporte Anual 2023_XBRL_VF.PDF p.257</t>
      </text>
    </comment>
    <comment ref="E22" authorId="0" shapeId="0">
      <text>
        <t>[sourced] filings/annual/IA25_GB_EEFF_V10.pdf p.13</t>
      </text>
    </comment>
    <comment ref="F22" authorId="0" shapeId="0">
      <text>
        <t>[sourced] filings/annual/IA25_GB_EEFF_V10.pdf p.13</t>
      </text>
    </comment>
    <comment ref="G22" authorId="0" shapeId="0">
      <text>
        <t>[sourced] filings/annual/IA25_GB_EEFF_V10.pdf p.13</t>
      </text>
    </comment>
    <comment ref="C24" authorId="0" shapeId="0">
      <text>
        <t>[sourced] filings/bmv/Reporte Anual 2023_XBRL_VF.PDF p.359</t>
      </text>
    </comment>
    <comment ref="D24" authorId="0" shapeId="0">
      <text>
        <t>[sourced] filings/bmv/Reporte Anual 2023_XBRL_VF.PDF p.358</t>
      </text>
    </comment>
    <comment ref="E24" authorId="0" shapeId="0">
      <text>
        <t>[sourced] filings/annual/IA25_GB_EEFF_V10.pdf p.86</t>
      </text>
    </comment>
    <comment ref="F24" authorId="0" shapeId="0">
      <text>
        <t>[sourced] filings/annual/IA25_GB_EEFF_V10.pdf p.86</t>
      </text>
    </comment>
    <comment ref="G24" authorId="0" shapeId="0">
      <text>
        <t>[sourced] filings/annual/IA25_GB_EEFF_V10.pdf p.85</t>
      </text>
    </comment>
    <comment ref="C26" authorId="0" shapeId="0">
      <text>
        <t>[sourced] filings/bmv/Reporte Anual 2023_XBRL_VF.PDF p.257</t>
      </text>
    </comment>
    <comment ref="D26" authorId="0" shapeId="0">
      <text>
        <t>[sourced] filings/bmv/Reporte Anual 2023_XBRL_VF.PDF p.257</t>
      </text>
    </comment>
    <comment ref="E26" authorId="0" shapeId="0">
      <text>
        <t>[sourced] filings/annual/IA25_GB_EEFF_V10.pdf p.13</t>
      </text>
    </comment>
    <comment ref="F26" authorId="0" shapeId="0">
      <text>
        <t>[sourced] filings/annual/IA25_GB_EEFF_V10.pdf p.13</t>
      </text>
    </comment>
    <comment ref="G26" authorId="0" shapeId="0">
      <text>
        <t>[sourced] filings/annual/IA25_GB_EEFF_V10.pdf p.13</t>
      </text>
    </comment>
  </commentList>
</comments>
</file>

<file path=xl/comments/comment2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p.256</t>
      </text>
    </comment>
    <comment ref="D7" authorId="0" shapeId="0">
      <text>
        <t>[sourced] filings/bmv/Reporte Anual 2023_XBRL_VF.PDF p.256</t>
      </text>
    </comment>
    <comment ref="E7" authorId="0" shapeId="0">
      <text>
        <t>[sourced] filings/annual/IA25_GB_EEFF_V10.pdf p.12</t>
      </text>
    </comment>
    <comment ref="F7" authorId="0" shapeId="0">
      <text>
        <t>[sourced] filings/annual/IA25_GB_EEFF_V10.pdf p.12</t>
      </text>
    </comment>
    <comment ref="G7" authorId="0" shapeId="0">
      <text>
        <t>[sourced] filings/annual/IA25_GB_EEFF_V10.pdf p.12</t>
      </text>
    </comment>
    <comment ref="C8" authorId="0" shapeId="0">
      <text>
        <t>[sourced] filings/bmv/Reporte Anual 2023_XBRL_VF.PDF p.292</t>
      </text>
    </comment>
    <comment ref="D8" authorId="0" shapeId="0">
      <text>
        <t>[sourced] filings/bmv/Reporte Anual 2023_XBRL_VF.PDF p.292</t>
      </text>
    </comment>
    <comment ref="E8" authorId="0" shapeId="0">
      <text>
        <t>[sourced] filings/annual/IA25_GB_EEFF_V10.pdf p.36</t>
      </text>
    </comment>
    <comment ref="F8" authorId="0" shapeId="0">
      <text>
        <t>[sourced] filings/annual/IA25_GB_EEFF_V10.pdf p.36</t>
      </text>
    </comment>
    <comment ref="G8" authorId="0" shapeId="0">
      <text>
        <t>[sourced] filings/annual/IA25_GB_EEFF_V10.pdf p.36</t>
      </text>
    </comment>
    <comment ref="C9" authorId="0" shapeId="0">
      <text>
        <t>[sourced] filings/bmv/Reporte Anual 2023_XBRL_VF.PDF p.256</t>
      </text>
    </comment>
    <comment ref="D9" authorId="0" shapeId="0">
      <text>
        <t>[sourced] filings/bmv/Reporte Anual 2023_XBRL_VF.PDF p.256</t>
      </text>
    </comment>
    <comment ref="E9" authorId="0" shapeId="0">
      <text>
        <t>[sourced] filings/annual/IA25_GB_EEFF_V10.pdf p.12</t>
      </text>
    </comment>
    <comment ref="F9" authorId="0" shapeId="0">
      <text>
        <t>[sourced] filings/annual/IA25_GB_EEFF_V10.pdf p.12</t>
      </text>
    </comment>
    <comment ref="G9" authorId="0" shapeId="0">
      <text>
        <t>[sourced] filings/annual/IA25_GB_EEFF_V10.pdf p.12</t>
      </text>
    </comment>
    <comment ref="C10" authorId="0" shapeId="0">
      <text>
        <t>[sourced] filings/bmv/Reporte Anual 2023_XBRL_VF.PDF p.256</t>
      </text>
    </comment>
    <comment ref="D10" authorId="0" shapeId="0">
      <text>
        <t>[sourced] filings/bmv/Reporte Anual 2023_XBRL_VF.PDF p.256</t>
      </text>
    </comment>
    <comment ref="E10" authorId="0" shapeId="0">
      <text>
        <t>[sourced] filings/annual/IA25_GB_EEFF_V10.pdf p.12</t>
      </text>
    </comment>
    <comment ref="F10" authorId="0" shapeId="0">
      <text>
        <t>[sourced] filings/annual/IA25_GB_EEFF_V10.pdf p.12</t>
      </text>
    </comment>
    <comment ref="G10" authorId="0" shapeId="0">
      <text>
        <t>[sourced] filings/annual/IA25_GB_EEFF_V10.pdf p.12</t>
      </text>
    </comment>
    <comment ref="C12" authorId="0" shapeId="0">
      <text>
        <t>[sourced] filings/bmv/Reporte Anual 2023_XBRL_VF.PDF p.256</t>
      </text>
    </comment>
    <comment ref="D12" authorId="0" shapeId="0">
      <text>
        <t>[sourced] filings/bmv/Reporte Anual 2023_XBRL_VF.PDF p.256</t>
      </text>
    </comment>
    <comment ref="E12" authorId="0" shapeId="0">
      <text>
        <t>[sourced] filings/annual/IA25_GB_EEFF_V10.pdf p.12</t>
      </text>
    </comment>
    <comment ref="F12" authorId="0" shapeId="0">
      <text>
        <t>[sourced] filings/annual/IA25_GB_EEFF_V10.pdf p.12</t>
      </text>
    </comment>
    <comment ref="G12" authorId="0" shapeId="0">
      <text>
        <t>[sourced] filings/annual/IA25_GB_EEFF_V10.pdf p.12</t>
      </text>
    </comment>
    <comment ref="C13" authorId="0" shapeId="0">
      <text>
        <t>[sourced] filings/bmv/Reporte Anual 2023_XBRL_VF.PDF p.256</t>
      </text>
    </comment>
    <comment ref="D13" authorId="0" shapeId="0">
      <text>
        <t>[sourced] filings/bmv/Reporte Anual 2023_XBRL_VF.PDF p.256</t>
      </text>
    </comment>
    <comment ref="E13" authorId="0" shapeId="0">
      <text>
        <t>[sourced] filings/annual/IA25_GB_EEFF_V10.pdf p.12</t>
      </text>
    </comment>
    <comment ref="F13" authorId="0" shapeId="0">
      <text>
        <t>[sourced] filings/annual/IA25_GB_EEFF_V10.pdf p.12</t>
      </text>
    </comment>
    <comment ref="G13" authorId="0" shapeId="0">
      <text>
        <t>[sourced] filings/annual/IA25_GB_EEFF_V10.pdf p.12</t>
      </text>
    </comment>
    <comment ref="C14" authorId="0" shapeId="0">
      <text>
        <t>[sourced] filings/bmv/Reporte Anual 2023_XBRL_VF.PDF p.256</t>
      </text>
    </comment>
    <comment ref="D14" authorId="0" shapeId="0">
      <text>
        <t>[sourced] filings/bmv/Reporte Anual 2023_XBRL_VF.PDF p.256</t>
      </text>
    </comment>
    <comment ref="E14" authorId="0" shapeId="0">
      <text>
        <t>[sourced] filings/annual/IA25_GB_EEFF_V10.pdf p.12</t>
      </text>
    </comment>
    <comment ref="F14" authorId="0" shapeId="0">
      <text>
        <t>[sourced] filings/annual/IA25_GB_EEFF_V10.pdf p.12</t>
      </text>
    </comment>
    <comment ref="G14" authorId="0" shapeId="0">
      <text>
        <t>[sourced] filings/annual/IA25_GB_EEFF_V10.pdf p.12</t>
      </text>
    </comment>
    <comment ref="C18" authorId="0" shapeId="0">
      <text>
        <t>[sourced] filings/bmv/Reporte Anual 2023_XBRL_VF.PDF p.256</t>
      </text>
    </comment>
    <comment ref="D18" authorId="0" shapeId="0">
      <text>
        <t>[sourced] filings/bmv/Reporte Anual 2023_XBRL_VF.PDF p.256</t>
      </text>
    </comment>
    <comment ref="E18" authorId="0" shapeId="0">
      <text>
        <t>[sourced] filings/annual/IA25_GB_EEFF_V10.pdf p.12</t>
      </text>
    </comment>
    <comment ref="F18" authorId="0" shapeId="0">
      <text>
        <t>[sourced] filings/annual/IA25_GB_EEFF_V10.pdf p.12</t>
      </text>
    </comment>
    <comment ref="G18" authorId="0" shapeId="0">
      <text>
        <t>[sourced] filings/annual/IA25_GB_EEFF_V10.pdf p.12</t>
      </text>
    </comment>
    <comment ref="C19" authorId="0" shapeId="0">
      <text>
        <t>[sourced] filings/bmv/Reporte Anual 2023_XBRL_VF.PDF p.256</t>
      </text>
    </comment>
    <comment ref="D19" authorId="0" shapeId="0">
      <text>
        <t>[sourced] filings/bmv/Reporte Anual 2023_XBRL_VF.PDF p.256</t>
      </text>
    </comment>
    <comment ref="E19" authorId="0" shapeId="0">
      <text>
        <t>[sourced] filings/annual/IA25_GB_EEFF_V10.pdf p.12</t>
      </text>
    </comment>
    <comment ref="F19" authorId="0" shapeId="0">
      <text>
        <t>[sourced] filings/annual/IA25_GB_EEFF_V10.pdf p.12</t>
      </text>
    </comment>
    <comment ref="G19" authorId="0" shapeId="0">
      <text>
        <t>[sourced] filings/annual/IA25_GB_EEFF_V10.pdf p.12</t>
      </text>
    </comment>
    <comment ref="C20" authorId="0" shapeId="0">
      <text>
        <t>[sourced] filings/bmv/Reporte Anual 2023_XBRL_VF.PDF p.256</t>
      </text>
    </comment>
    <comment ref="D20" authorId="0" shapeId="0">
      <text>
        <t>[sourced] filings/bmv/Reporte Anual 2023_XBRL_VF.PDF p.256</t>
      </text>
    </comment>
    <comment ref="E20" authorId="0" shapeId="0">
      <text>
        <t>[sourced] filings/annual/IA25_GB_EEFF_V10.pdf p.12</t>
      </text>
    </comment>
    <comment ref="F20" authorId="0" shapeId="0">
      <text>
        <t>[sourced] filings/annual/IA25_GB_EEFF_V10.pdf p.12</t>
      </text>
    </comment>
    <comment ref="G20" authorId="0" shapeId="0">
      <text>
        <t>[sourced] filings/annual/IA25_GB_EEFF_V10.pdf p.12</t>
      </text>
    </comment>
    <comment ref="C23" authorId="0" shapeId="0">
      <text>
        <t>[sourced] filings/bmv/Reporte Anual 2023_XBRL_VF.PDF p.256</t>
      </text>
    </comment>
    <comment ref="D23" authorId="0" shapeId="0">
      <text>
        <t>[sourced] filings/bmv/Reporte Anual 2023_XBRL_VF.PDF p.256</t>
      </text>
    </comment>
    <comment ref="E23" authorId="0" shapeId="0">
      <text>
        <t>[sourced] filings/annual/IA25_GB_EEFF_V10.pdf p.12</t>
      </text>
    </comment>
    <comment ref="F23" authorId="0" shapeId="0">
      <text>
        <t>[sourced] filings/annual/IA25_GB_EEFF_V10.pdf p.12</t>
      </text>
    </comment>
    <comment ref="G23" authorId="0" shapeId="0">
      <text>
        <t>[sourced] filings/annual/IA25_GB_EEFF_V10.pdf p.12</t>
      </text>
    </comment>
    <comment ref="C24" authorId="0" shapeId="0">
      <text>
        <t>[sourced] filings/bmv/Reporte Anual 2023_XBRL_VF.PDF p.256</t>
      </text>
    </comment>
    <comment ref="D24" authorId="0" shapeId="0">
      <text>
        <t>[sourced] filings/bmv/Reporte Anual 2023_XBRL_VF.PDF p.256</t>
      </text>
    </comment>
    <comment ref="E24" authorId="0" shapeId="0">
      <text>
        <t>[sourced] filings/annual/IA25_GB_EEFF_V10.pdf p.12</t>
      </text>
    </comment>
    <comment ref="F24" authorId="0" shapeId="0">
      <text>
        <t>[sourced] filings/annual/IA25_GB_EEFF_V10.pdf p.12</t>
      </text>
    </comment>
    <comment ref="G24" authorId="0" shapeId="0">
      <text>
        <t>[sourced] filings/annual/IA25_GB_EEFF_V10.pdf p.12</t>
      </text>
    </comment>
    <comment ref="C25" authorId="0" shapeId="0">
      <text>
        <t>[sourced] filings/bmv/Reporte Anual 2023_XBRL_VF.PDF p.256</t>
      </text>
    </comment>
    <comment ref="D25" authorId="0" shapeId="0">
      <text>
        <t>[sourced] filings/bmv/Reporte Anual 2023_XBRL_VF.PDF p.256</t>
      </text>
    </comment>
    <comment ref="E25" authorId="0" shapeId="0">
      <text>
        <t>[sourced] filings/annual/IA25_GB_EEFF_V10.pdf p.12</t>
      </text>
    </comment>
    <comment ref="F25" authorId="0" shapeId="0">
      <text>
        <t>[sourced] filings/annual/IA25_GB_EEFF_V10.pdf p.12</t>
      </text>
    </comment>
    <comment ref="G25" authorId="0" shapeId="0">
      <text>
        <t>[sourced] filings/annual/IA25_GB_EEFF_V10.pdf p.12</t>
      </text>
    </comment>
    <comment ref="C27" authorId="0" shapeId="0">
      <text>
        <t>[sourced] filings/bmv/Reporte Anual 2023_XBRL_VF.PDF p.256</t>
      </text>
    </comment>
    <comment ref="D27" authorId="0" shapeId="0">
      <text>
        <t>[sourced] filings/bmv/Reporte Anual 2023_XBRL_VF.PDF p.256</t>
      </text>
    </comment>
    <comment ref="E27" authorId="0" shapeId="0">
      <text>
        <t>[sourced] filings/annual/IA25_GB_EEFF_V10.pdf p.12</t>
      </text>
    </comment>
    <comment ref="F27" authorId="0" shapeId="0">
      <text>
        <t>[sourced] filings/annual/IA25_GB_EEFF_V10.pdf p.12</t>
      </text>
    </comment>
    <comment ref="G27" authorId="0" shapeId="0">
      <text>
        <t>[sourced] filings/annual/IA25_GB_EEFF_V10.pdf p.12</t>
      </text>
    </comment>
    <comment ref="C28" authorId="0" shapeId="0">
      <text>
        <t>[sourced] filings/bmv/Reporte Anual 2023_XBRL_VF.PDF p.256</t>
      </text>
    </comment>
    <comment ref="D28" authorId="0" shapeId="0">
      <text>
        <t>[sourced] filings/bmv/Reporte Anual 2023_XBRL_VF.PDF p.256</t>
      </text>
    </comment>
    <comment ref="E28" authorId="0" shapeId="0">
      <text>
        <t>[sourced] filings/annual/IA25_GB_EEFF_V10.pdf p.12</t>
      </text>
    </comment>
    <comment ref="F28" authorId="0" shapeId="0">
      <text>
        <t>[sourced] filings/annual/IA25_GB_EEFF_V10.pdf p.12</t>
      </text>
    </comment>
    <comment ref="G28" authorId="0" shapeId="0">
      <text>
        <t>[sourced] filings/annual/IA25_GB_EEFF_V10.pdf p.12</t>
      </text>
    </comment>
    <comment ref="C35" authorId="0" shapeId="0">
      <text>
        <t>[sourced] filings/bmv/Reporte Anual 2023_XBRL_VF.PDF p.256</t>
      </text>
    </comment>
    <comment ref="D35" authorId="0" shapeId="0">
      <text>
        <t>[sourced] filings/bmv/Reporte Anual 2023_XBRL_VF.PDF p.256</t>
      </text>
    </comment>
    <comment ref="E35" authorId="0" shapeId="0">
      <text>
        <t>[sourced] filings/annual/IA25_GB_EEFF_V10.pdf p.12</t>
      </text>
    </comment>
    <comment ref="F35" authorId="0" shapeId="0">
      <text>
        <t>[sourced] filings/annual/IA25_GB_EEFF_V10.pdf p.12</t>
      </text>
    </comment>
    <comment ref="G35" authorId="0" shapeId="0">
      <text>
        <t>[sourced] filings/annual/IA25_GB_EEFF_V10.pdf p.12</t>
      </text>
    </comment>
  </commentList>
</comments>
</file>

<file path=xl/comments/comment3.xml><?xml version="1.0" encoding="utf-8"?>
<comments xmlns="http://schemas.openxmlformats.org/spreadsheetml/2006/main">
  <authors>
    <author>research-challenge</author>
  </authors>
  <commentList>
    <comment ref="C10" authorId="0" shapeId="0">
      <text>
        <t>[sourced] filings/bmv/Reporte Anual 2023_XBRL_VF.PDF p.260</t>
      </text>
    </comment>
    <comment ref="D10" authorId="0" shapeId="0">
      <text>
        <t>[sourced] filings/bmv/Reporte Anual 2023_XBRL_VF.PDF p.260</t>
      </text>
    </comment>
    <comment ref="E10" authorId="0" shapeId="0">
      <text>
        <t>[sourced] filings/annual/IA25_GB_EEFF_V10.pdf p.16</t>
      </text>
    </comment>
    <comment ref="F10" authorId="0" shapeId="0">
      <text>
        <t>[sourced] filings/annual/IA25_GB_EEFF_V10.pdf p.16</t>
      </text>
    </comment>
    <comment ref="G10" authorId="0" shapeId="0">
      <text>
        <t>[sourced] filings/annual/IA25_GB_EEFF_V10.pdf p.16</t>
      </text>
    </comment>
    <comment ref="C13" authorId="0" shapeId="0">
      <text>
        <t>[sourced] filings/bmv/Reporte Anual 2023_XBRL_VF.PDF p.260</t>
      </text>
    </comment>
    <comment ref="D13" authorId="0" shapeId="0">
      <text>
        <t>[sourced] filings/bmv/Reporte Anual 2023_XBRL_VF.PDF p.260</t>
      </text>
    </comment>
    <comment ref="E13" authorId="0" shapeId="0">
      <text>
        <t>[sourced] filings/annual/IA25_GB_EEFF_V10.pdf p.16</t>
      </text>
    </comment>
    <comment ref="F13" authorId="0" shapeId="0">
      <text>
        <t>[sourced] filings/annual/IA25_GB_EEFF_V10.pdf p.16</t>
      </text>
    </comment>
    <comment ref="G13" authorId="0" shapeId="0">
      <text>
        <t>[sourced] filings/annual/IA25_GB_EEFF_V10.pdf p.16</t>
      </text>
    </comment>
    <comment ref="C18" authorId="0" shapeId="0">
      <text>
        <t>[sourced] filings/bmv/Reporte Anual 2023_XBRL_VF.PDF p.259</t>
      </text>
    </comment>
    <comment ref="D18" authorId="0" shapeId="0">
      <text>
        <t>[sourced] filings/bmv/Reporte Anual 2023_XBRL_VF.PDF p.259</t>
      </text>
    </comment>
    <comment ref="E18" authorId="0" shapeId="0">
      <text>
        <t>[sourced] filings/annual/IA25_GB_EEFF_V10.pdf p.15</t>
      </text>
    </comment>
    <comment ref="F18" authorId="0" shapeId="0">
      <text>
        <t>[sourced] filings/annual/IA25_GB_EEFF_V10.pdf p.15</t>
      </text>
    </comment>
    <comment ref="G18" authorId="0" shapeId="0">
      <text>
        <t>[sourced] filings/annual/IA25_GB_EEFF_V10.pdf p.15</t>
      </text>
    </comment>
    <comment ref="C19" authorId="0" shapeId="0">
      <text>
        <t>[calc] filings/bmv/Reporte Anual 2023_XBRL_VF.PDF p.260</t>
      </text>
    </comment>
    <comment ref="D19" authorId="0" shapeId="0">
      <text>
        <t>[calc] filings/bmv/Reporte Anual 2023_XBRL_VF.PDF p.260</t>
      </text>
    </comment>
    <comment ref="E19" authorId="0" shapeId="0">
      <text>
        <t>[calc] filings/annual/IA25_GB_EEFF_V10.pdf p.16</t>
      </text>
    </comment>
    <comment ref="F19" authorId="0" shapeId="0">
      <text>
        <t>[calc] filings/annual/IA25_GB_EEFF_V10.pdf p.16</t>
      </text>
    </comment>
    <comment ref="G19" authorId="0" shapeId="0">
      <text>
        <t>[calc] filings/annual/IA25_GB_EEFF_V10.pdf p.16</t>
      </text>
    </comment>
  </commentList>
</comments>
</file>

<file path=xl/comments/comment4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p.359</t>
      </text>
    </comment>
    <comment ref="D7" authorId="0" shapeId="0">
      <text>
        <t>[sourced] filings/bmv/Reporte Anual 2023_XBRL_VF.PDF p.358</t>
      </text>
    </comment>
    <comment ref="E7" authorId="0" shapeId="0">
      <text>
        <t>[sourced] filings/annual/IA25_GB_EEFF_V10.pdf p.86</t>
      </text>
    </comment>
    <comment ref="F7" authorId="0" shapeId="0">
      <text>
        <t>[sourced] filings/annual/IA25_GB_EEFF_V10.pdf p.86</t>
      </text>
    </comment>
    <comment ref="G7" authorId="0" shapeId="0">
      <text>
        <t>[sourced] filings/annual/IA25_GB_EEFF_V10.pdf p.85</t>
      </text>
    </comment>
    <comment ref="C8" authorId="0" shapeId="0">
      <text>
        <t>[sourced] filings/bmv/Reporte Anual 2023_XBRL_VF.PDF p.359</t>
      </text>
    </comment>
    <comment ref="D8" authorId="0" shapeId="0">
      <text>
        <t>[sourced] filings/bmv/Reporte Anual 2023_XBRL_VF.PDF p.358</t>
      </text>
    </comment>
    <comment ref="E8" authorId="0" shapeId="0">
      <text>
        <t>[sourced] filings/annual/IA25_GB_EEFF_V10.pdf p.86</t>
      </text>
    </comment>
    <comment ref="F8" authorId="0" shapeId="0">
      <text>
        <t>[sourced] filings/annual/IA25_GB_EEFF_V10.pdf p.86</t>
      </text>
    </comment>
    <comment ref="G8" authorId="0" shapeId="0">
      <text>
        <t>[sourced] filings/annual/IA25_GB_EEFF_V10.pdf p.85</t>
      </text>
    </comment>
    <comment ref="C9" authorId="0" shapeId="0">
      <text>
        <t>[sourced] filings/bmv/Reporte Anual 2023_XBRL_VF.PDF p.359</t>
      </text>
    </comment>
    <comment ref="D9" authorId="0" shapeId="0">
      <text>
        <t>[sourced] filings/bmv/Reporte Anual 2023_XBRL_VF.PDF p.358</t>
      </text>
    </comment>
    <comment ref="E9" authorId="0" shapeId="0">
      <text>
        <t>[sourced] filings/annual/IA25_GB_EEFF_V10.pdf p.86</t>
      </text>
    </comment>
    <comment ref="F9" authorId="0" shapeId="0">
      <text>
        <t>[sourced] filings/annual/IA25_GB_EEFF_V10.pdf p.86</t>
      </text>
    </comment>
    <comment ref="G9" authorId="0" shapeId="0">
      <text>
        <t>[sourced] filings/annual/IA25_GB_EEFF_V10.pdf p.85</t>
      </text>
    </comment>
    <comment ref="C10" authorId="0" shapeId="0">
      <text>
        <t>[sourced] filings/bmv/Reporte Anual 2023_XBRL_VF.PDF p.359</t>
      </text>
    </comment>
    <comment ref="D10" authorId="0" shapeId="0">
      <text>
        <t>[sourced] filings/bmv/Reporte Anual 2023_XBRL_VF.PDF p.358</t>
      </text>
    </comment>
    <comment ref="E10" authorId="0" shapeId="0">
      <text>
        <t>[sourced] filings/annual/IA25_GB_EEFF_V10.pdf p.86</t>
      </text>
    </comment>
    <comment ref="F10" authorId="0" shapeId="0">
      <text>
        <t>[sourced] filings/annual/IA25_GB_EEFF_V10.pdf p.86</t>
      </text>
    </comment>
    <comment ref="G10" authorId="0" shapeId="0">
      <text>
        <t>[sourced] filings/annual/IA25_GB_EEFF_V10.pdf p.85</t>
      </text>
    </comment>
    <comment ref="C11" authorId="0" shapeId="0">
      <text>
        <t>[sourced] filings/bmv/Reporte Anual 2023_XBRL_VF.PDF p.359</t>
      </text>
    </comment>
    <comment ref="D11" authorId="0" shapeId="0">
      <text>
        <t>[sourced] filings/bmv/Reporte Anual 2023_XBRL_VF.PDF p.358</t>
      </text>
    </comment>
    <comment ref="E11" authorId="0" shapeId="0">
      <text>
        <t>[sourced] filings/annual/IA25_GB_EEFF_V10.pdf p.86</t>
      </text>
    </comment>
    <comment ref="F11" authorId="0" shapeId="0">
      <text>
        <t>[sourced] filings/annual/IA25_GB_EEFF_V10.pdf p.86</t>
      </text>
    </comment>
    <comment ref="G11" authorId="0" shapeId="0">
      <text>
        <t>[sourced] filings/annual/IA25_GB_EEFF_V10.pdf p.85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0" customWidth="1" min="3" max="3"/>
  </cols>
  <sheetData>
    <row r="2">
      <c r="B2" s="1" t="inlineStr">
        <is>
          <t>Grupo Bimbo, S.A.B. de C.V. (BIMBOA)</t>
        </is>
      </c>
    </row>
    <row r="4">
      <c r="B4" s="2" t="inlineStr">
        <is>
          <t>Accounting framework</t>
        </is>
      </c>
      <c r="C4" t="inlineStr">
        <is>
          <t>IFRS</t>
        </is>
      </c>
    </row>
    <row r="5">
      <c r="B5" s="2" t="inlineStr">
        <is>
          <t>Currency and units</t>
        </is>
      </c>
      <c r="C5" t="inlineStr">
        <is>
          <t>MXN millions</t>
        </is>
      </c>
    </row>
    <row r="6">
      <c r="B6" s="2" t="inlineStr">
        <is>
          <t>Historical years</t>
        </is>
      </c>
      <c r="C6" t="inlineStr">
        <is>
          <t>2021-2025</t>
        </is>
      </c>
    </row>
    <row r="7">
      <c r="B7" s="2" t="inlineStr">
        <is>
          <t>Forecast years</t>
        </is>
      </c>
      <c r="C7" t="inlineStr">
        <is>
          <t>2026-2035</t>
        </is>
      </c>
    </row>
    <row r="8">
      <c r="B8" s="2" t="inlineStr">
        <is>
          <t>Model file</t>
        </is>
      </c>
      <c r="C8" t="inlineStr">
        <is>
          <t>BIMBOA_model_v7.xlsx</t>
        </is>
      </c>
    </row>
    <row r="9">
      <c r="B9" s="2" t="inlineStr">
        <is>
          <t>Version</t>
        </is>
      </c>
      <c r="C9" t="n">
        <v>7</v>
      </c>
    </row>
    <row r="10">
      <c r="B10" s="2" t="inlineStr">
        <is>
          <t>Built on</t>
        </is>
      </c>
      <c r="C10" t="inlineStr">
        <is>
          <t>2026-10-17</t>
        </is>
      </c>
    </row>
    <row r="12">
      <c r="B12" s="2" t="inlineStr">
        <is>
          <t>Model status (live)</t>
        </is>
      </c>
      <c r="C12" s="1">
        <f>IF(COUNTIF(Checks!$C$6:$Q$32,"ERROR")&gt;0,"CHECKS FAILING",IF(COUNTIF(Checks!$C$6:$Q$32,"WARN")&gt;0,"OK WITH WARNINGS","ALL CHECKS OK"))</f>
        <v/>
      </c>
    </row>
    <row r="13">
      <c r="B13" s="2" t="inlineStr">
        <is>
          <t>Status computed by Python at build</t>
        </is>
      </c>
      <c r="C13" t="inlineStr">
        <is>
          <t>ALL CHECKS OK</t>
        </is>
      </c>
    </row>
    <row r="15">
      <c r="B15" s="2" t="inlineStr">
        <is>
          <t>How to read this model</t>
        </is>
      </c>
      <c r="C15" t="inlineStr">
        <is>
          <t>Blue = input or reported figure (hover a reported figure for its source); black = formula; green = link to another sheet.</t>
        </is>
      </c>
    </row>
    <row r="16">
      <c r="C16" t="inlineStr">
        <is>
          <t>Interest is charged on opening balances, so the model has no circular references.</t>
        </is>
      </c>
    </row>
    <row r="17">
      <c r="C17" t="inlineStr">
        <is>
          <t>A revolving credit line keeps cash at or above the minimum cash balance.</t>
        </is>
      </c>
    </row>
    <row r="18">
      <c r="C18" t="inlineStr">
        <is>
          <t>Value per share is at the last fiscal year-end rolled forward to today at the cost of equity; the 12-month target rolls it one more year and subtracts next year's dividend.</t>
        </is>
      </c>
    </row>
  </sheetData>
  <conditionalFormatting sqref="C12">
    <cfRule type="expression" priority="1" dxfId="0">
      <formula>$C$12="CHECKS FAILING"</formula>
    </cfRule>
    <cfRule type="expression" priority="2" dxfId="1">
      <formula>$C$12="OK WITH WARNINGS"</formula>
    </cfRule>
    <cfRule type="expression" priority="3" dxfId="2">
      <formula>$C$12="ALL CHECKS OK"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8" customWidth="1" min="19" max="19"/>
    <col width="13" customWidth="1" min="20" max="20"/>
  </cols>
  <sheetData>
    <row r="1">
      <c r="B1" s="3" t="inlineStr">
        <is>
          <t>Grupo Bimbo, S.A.B. de C.V. (BIMBOA) - Drivers and assumptions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drivers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Tag</t>
        </is>
      </c>
      <c r="S6" s="10" t="inlineStr">
        <is>
          <t>Rationale</t>
        </is>
      </c>
      <c r="T6" s="10" t="inlineStr">
        <is>
          <t>Thesis pillar</t>
        </is>
      </c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G7</f>
        <v/>
      </c>
      <c r="I7" s="12">
        <f>G7</f>
        <v/>
      </c>
      <c r="J7" s="12">
        <f>G7</f>
        <v/>
      </c>
      <c r="K7" s="12">
        <f>G7</f>
        <v/>
      </c>
      <c r="L7" s="12">
        <f>G7</f>
        <v/>
      </c>
      <c r="M7" s="12">
        <f>G7</f>
        <v/>
      </c>
      <c r="N7" s="12">
        <f>G7</f>
        <v/>
      </c>
      <c r="O7" s="12">
        <f>G7</f>
        <v/>
      </c>
      <c r="P7" s="12">
        <f>G7</f>
        <v/>
      </c>
      <c r="Q7" s="12">
        <f>G7</f>
        <v/>
      </c>
      <c r="R7" s="5" t="inlineStr">
        <is>
          <t>assumption</t>
        </is>
      </c>
      <c r="S7" s="5" t="inlineStr">
        <is>
          <t>engine default: held at last actual</t>
        </is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3" t="n">
        <v>0.524</v>
      </c>
      <c r="I8" s="13" t="n">
        <v>0.52</v>
      </c>
      <c r="J8" s="13" t="n">
        <v>0.523</v>
      </c>
      <c r="K8" s="13" t="n">
        <v>0.525</v>
      </c>
      <c r="L8" s="13" t="n">
        <v>0.525</v>
      </c>
      <c r="M8" s="13" t="n">
        <v>0.525</v>
      </c>
      <c r="N8" s="13" t="n">
        <v>0.525</v>
      </c>
      <c r="O8" s="13" t="n">
        <v>0.525</v>
      </c>
      <c r="P8" s="13" t="n">
        <v>0.525</v>
      </c>
      <c r="Q8" s="13" t="n">
        <v>0.525</v>
      </c>
      <c r="R8" s="5" t="inlineStr">
        <is>
          <t>assumption</t>
        </is>
      </c>
      <c r="S8" s="5" t="inlineStr">
        <is>
          <t>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      </is>
      </c>
      <c r="T8" s="5" t="inlineStr">
        <is>
          <t>Pillar 1</t>
        </is>
      </c>
    </row>
    <row r="9">
      <c r="B9" s="11" t="inlineStr">
        <is>
          <t>Operating expenses / revenue</t>
        </is>
      </c>
      <c r="C9" s="12">
        <f>IS!C10/IS!C7</f>
        <v/>
      </c>
      <c r="D9" s="12">
        <f>IS!D10/IS!D7</f>
        <v/>
      </c>
      <c r="E9" s="12">
        <f>IS!E10/IS!E7</f>
        <v/>
      </c>
      <c r="F9" s="12">
        <f>IS!F10/IS!F7</f>
        <v/>
      </c>
      <c r="G9" s="12">
        <f>IS!G10/IS!G7</f>
        <v/>
      </c>
      <c r="H9" s="13" t="n">
        <v>0.436</v>
      </c>
      <c r="I9" s="13" t="n">
        <v>0.434</v>
      </c>
      <c r="J9" s="13" t="n">
        <v>0.433</v>
      </c>
      <c r="K9" s="13" t="n">
        <v>0.4325</v>
      </c>
      <c r="L9" s="13" t="n">
        <v>0.4305</v>
      </c>
      <c r="M9" s="13" t="n">
        <v>0.4305</v>
      </c>
      <c r="N9" s="13" t="n">
        <v>0.4305</v>
      </c>
      <c r="O9" s="13" t="n">
        <v>0.4305</v>
      </c>
      <c r="P9" s="13" t="n">
        <v>0.4305</v>
      </c>
      <c r="Q9" s="13" t="n">
        <v>0.4305</v>
      </c>
      <c r="R9" s="5" t="inlineStr">
        <is>
          <t>assumption</t>
        </is>
      </c>
      <c r="S9" s="5" t="inlineStr">
        <is>
          <t>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      </is>
      </c>
      <c r="T9" s="5" t="inlineStr">
        <is>
          <t>Pillar 2</t>
        </is>
      </c>
    </row>
    <row r="10">
      <c r="B10" s="11" t="inlineStr">
        <is>
          <t>D&amp;A / revenue</t>
        </is>
      </c>
      <c r="C10" s="12">
        <f>IS!C24/IS!C7</f>
        <v/>
      </c>
      <c r="D10" s="12">
        <f>IS!D24/IS!D7</f>
        <v/>
      </c>
      <c r="E10" s="12">
        <f>IS!E24/IS!E7</f>
        <v/>
      </c>
      <c r="F10" s="12">
        <f>IS!F24/IS!F7</f>
        <v/>
      </c>
      <c r="G10" s="12">
        <f>IS!G24/IS!G7</f>
        <v/>
      </c>
      <c r="H10" s="13" t="n">
        <v>0.059</v>
      </c>
      <c r="I10" s="13" t="n">
        <v>0.059</v>
      </c>
      <c r="J10" s="13" t="n">
        <v>0.059</v>
      </c>
      <c r="K10" s="13" t="n">
        <v>0.0585</v>
      </c>
      <c r="L10" s="13" t="n">
        <v>0.0585</v>
      </c>
      <c r="M10" s="13" t="n">
        <v>0.0585</v>
      </c>
      <c r="N10" s="13" t="n">
        <v>0.0585</v>
      </c>
      <c r="O10" s="13" t="n">
        <v>0.0585</v>
      </c>
      <c r="P10" s="13" t="n">
        <v>0.0585</v>
      </c>
      <c r="Q10" s="13" t="n">
        <v>0.0585</v>
      </c>
      <c r="R10" s="5" t="inlineStr">
        <is>
          <t>assumption</t>
        </is>
      </c>
      <c r="S10" s="5" t="inlineStr">
        <is>
          <t>Mechanical: FY24-FY25 5.65-5.82% incl. right-of-use depreciation (6,142 in FY25); held near 5.85-5.9% as capex normalises [calc] data/financials.csv.</t>
        </is>
      </c>
    </row>
    <row r="11">
      <c r="B11" s="11" t="inlineStr">
        <is>
          <t>Amortization of intangibles / revenue (part of D&amp;A)</t>
        </is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5" t="inlineStr">
        <is>
          <t>assumption</t>
        </is>
      </c>
      <c r="S11" s="5" t="inlineStr">
        <is>
          <t>Intangible amortisation not split out in data/financials.csv; 0 keeps all D&amp;A in the PP&amp;E roll-forward. No effect on FCFF or EBITDA.</t>
        </is>
      </c>
    </row>
    <row r="12">
      <c r="B12" s="11" t="inlineStr">
        <is>
          <t>Capex / revenue</t>
        </is>
      </c>
      <c r="C12" s="12">
        <f>CF!C13/IS!C7</f>
        <v/>
      </c>
      <c r="D12" s="12">
        <f>CF!D13/IS!D7</f>
        <v/>
      </c>
      <c r="E12" s="12">
        <f>CF!E13/IS!E7</f>
        <v/>
      </c>
      <c r="F12" s="12">
        <f>CF!F13/IS!F7</f>
        <v/>
      </c>
      <c r="G12" s="12">
        <f>CF!G13/IS!G7</f>
        <v/>
      </c>
      <c r="H12" s="13" t="n">
        <v>0.046</v>
      </c>
      <c r="I12" s="13" t="n">
        <v>0.05</v>
      </c>
      <c r="J12" s="13" t="n">
        <v>0.052</v>
      </c>
      <c r="K12" s="13" t="n">
        <v>0.054</v>
      </c>
      <c r="L12" s="13" t="n">
        <v>0.055</v>
      </c>
      <c r="M12" s="13" t="n">
        <v>0.056</v>
      </c>
      <c r="N12" s="13" t="n">
        <v>0.057</v>
      </c>
      <c r="O12" s="13" t="n">
        <v>0.058</v>
      </c>
      <c r="P12" s="13" t="n">
        <v>0.059</v>
      </c>
      <c r="Q12" s="13" t="n">
        <v>0.06</v>
      </c>
      <c r="R12" s="5" t="inlineStr">
        <is>
          <t>assumption</t>
        </is>
      </c>
      <c r="S12" s="5" t="inlineStr">
        <is>
          <t>STORY DRIVER (proposal; debt/FCF pillar). FY26 = guidance US$1.0-1.2bn (cut on 2026-07-23 [guidance]) at ~Ps 17.6/US$ = ~Ps 19.4bn = 4.6% of revenue; FY27-28 ~5.0-5.2% (consensus capex US$1.21-1.24bn [sourced] CIQ 2026-10-17). Rises to 6.0% by FY35 [assumption] (history 6.3/7.4/8.9/7.4/5.4%, FY21-25 average 7.0%). On the published basis (lease book grows with revenue) total terminal net reinvestment is 29% of NOPAT and the return on new capital implied by the terminal value is 14.6% (engine basis 17.9%); each 50 bp of capex = Ps 9.44 per share (valuation/BIMBOA_DCF_v3.xlsx, Levers). Benchmarks [calc] valuation/BIMBOA_PeerAnalysis_v3.xlsx: peers' consensus capex / revenue 3.66/3.82/3.79% (FY1-FY3), Bimbo consensus 5.16/5.02/4.90% (FY2026-28); the company's impairment tests assume 3.3-4.3% (RA25 p.265, continuity capex). The terminal level is the team's decision (valuation/valuation.md section 11).</t>
        </is>
      </c>
      <c r="T12" s="5" t="inlineStr">
        <is>
          <t>Pillar 3</t>
        </is>
      </c>
    </row>
    <row r="13">
      <c r="B13" s="11" t="inlineStr">
        <is>
          <t>Lease principal paid / revenue</t>
        </is>
      </c>
      <c r="C13" s="12">
        <f>IF(IS!C7&lt;&gt;0,CF!C19/IS!C7,0)</f>
        <v/>
      </c>
      <c r="D13" s="12">
        <f>IF(IS!D7&lt;&gt;0,CF!D19/IS!D7,0)</f>
        <v/>
      </c>
      <c r="E13" s="12">
        <f>IF(IS!E7&lt;&gt;0,CF!E19/IS!E7,0)</f>
        <v/>
      </c>
      <c r="F13" s="12">
        <f>IF(IS!F7&lt;&gt;0,CF!F19/IS!F7,0)</f>
        <v/>
      </c>
      <c r="G13" s="12">
        <f>IF(IS!G7&lt;&gt;0,CF!G19/IS!G7,0)</f>
        <v/>
      </c>
      <c r="H13" s="13" t="n">
        <v>0.0139</v>
      </c>
      <c r="I13" s="13" t="n">
        <v>0.0139</v>
      </c>
      <c r="J13" s="13" t="n">
        <v>0.0139</v>
      </c>
      <c r="K13" s="13" t="n">
        <v>0.0139</v>
      </c>
      <c r="L13" s="13" t="n">
        <v>0.0139</v>
      </c>
      <c r="M13" s="13" t="n">
        <v>0.0139</v>
      </c>
      <c r="N13" s="13" t="n">
        <v>0.0139</v>
      </c>
      <c r="O13" s="13" t="n">
        <v>0.0139</v>
      </c>
      <c r="P13" s="13" t="n">
        <v>0.0139</v>
      </c>
      <c r="Q13" s="13" t="n">
        <v>0.0139</v>
      </c>
      <c r="R13" s="5" t="inlineStr">
        <is>
          <t>assumption</t>
        </is>
      </c>
      <c r="S13" s="5" t="inlineStr">
        <is>
          <t>Mechanical: FY25 lease principal 5,923 / revenue 426,952 = 1.39% (FY23-25: 1.20/1.30/1.39%) [calc]. Principal is derived (payments 8,060 less lease interest 2,137) and tagged calc in data/financials.csv: the filings do not split the cash interest inside lease payments (data/adjustments.md #6). The engine also uses it as new leases, which keeps the lease liability flat; the published basis in valuation/BIMBOA_DCF_v3.xlsx adds the growth in the lease liability (held at the FY2025 8.15% of revenue).</t>
        </is>
      </c>
    </row>
    <row r="14">
      <c r="B14" s="11" t="inlineStr">
        <is>
          <t>Receivable days (DSO)</t>
        </is>
      </c>
      <c r="C14" s="14">
        <f>BS!C8/IS!C7*365</f>
        <v/>
      </c>
      <c r="D14" s="14">
        <f>BS!D8/IS!D7*365</f>
        <v/>
      </c>
      <c r="E14" s="14">
        <f>BS!E8/IS!E7*365</f>
        <v/>
      </c>
      <c r="F14" s="14">
        <f>BS!F8/IS!F7*365</f>
        <v/>
      </c>
      <c r="G14" s="14">
        <f>BS!G8/IS!G7*365</f>
        <v/>
      </c>
      <c r="H14" s="15" t="n">
        <v>20.3</v>
      </c>
      <c r="I14" s="15" t="n">
        <v>20.3</v>
      </c>
      <c r="J14" s="15" t="n">
        <v>20.3</v>
      </c>
      <c r="K14" s="15" t="n">
        <v>20.3</v>
      </c>
      <c r="L14" s="15" t="n">
        <v>20.3</v>
      </c>
      <c r="M14" s="15" t="n">
        <v>20.3</v>
      </c>
      <c r="N14" s="15" t="n">
        <v>20.3</v>
      </c>
      <c r="O14" s="15" t="n">
        <v>20.3</v>
      </c>
      <c r="P14" s="15" t="n">
        <v>20.3</v>
      </c>
      <c r="Q14" s="15" t="n">
        <v>20.3</v>
      </c>
      <c r="R14" s="5" t="inlineStr">
        <is>
          <t>assumption</t>
        </is>
      </c>
      <c r="S14" s="5" t="inlineStr">
        <is>
          <t>Mechanical: FY25 20.3 days (FY21-25 range 19.4-21.1) on trade receivables only [calc].</t>
        </is>
      </c>
    </row>
    <row r="15">
      <c r="B15" s="11" t="inlineStr">
        <is>
          <t>Inventory days (DIO)</t>
        </is>
      </c>
      <c r="C15" s="14">
        <f>IF(IS!C8&lt;&gt;0,BS!C9*365/IS!C8,0)</f>
        <v/>
      </c>
      <c r="D15" s="14">
        <f>IF(IS!D8&lt;&gt;0,BS!D9*365/IS!D8,0)</f>
        <v/>
      </c>
      <c r="E15" s="14">
        <f>IF(IS!E8&lt;&gt;0,BS!E9*365/IS!E8,0)</f>
        <v/>
      </c>
      <c r="F15" s="14">
        <f>IF(IS!F8&lt;&gt;0,BS!F9*365/IS!F8,0)</f>
        <v/>
      </c>
      <c r="G15" s="14">
        <f>IF(IS!G8&lt;&gt;0,BS!G9*365/IS!G8,0)</f>
        <v/>
      </c>
      <c r="H15" s="15" t="n">
        <v>30.8</v>
      </c>
      <c r="I15" s="15" t="n">
        <v>30.8</v>
      </c>
      <c r="J15" s="15" t="n">
        <v>30.8</v>
      </c>
      <c r="K15" s="15" t="n">
        <v>30.8</v>
      </c>
      <c r="L15" s="15" t="n">
        <v>30.8</v>
      </c>
      <c r="M15" s="15" t="n">
        <v>30.8</v>
      </c>
      <c r="N15" s="15" t="n">
        <v>30.8</v>
      </c>
      <c r="O15" s="15" t="n">
        <v>30.8</v>
      </c>
      <c r="P15" s="15" t="n">
        <v>30.8</v>
      </c>
      <c r="Q15" s="15" t="n">
        <v>30.8</v>
      </c>
      <c r="R15" s="5" t="inlineStr">
        <is>
          <t>assumption</t>
        </is>
      </c>
      <c r="S15" s="5" t="inlineStr">
        <is>
          <t>Mechanical: FY25 30.8 days on cost of sales (FY21-25 range 30.3-35.5) [calc].</t>
        </is>
      </c>
    </row>
    <row r="16">
      <c r="B16" s="11" t="inlineStr">
        <is>
          <t>Payable days (DPO)</t>
        </is>
      </c>
      <c r="C16" s="14">
        <f>IF(IS!C8&lt;&gt;0,BS!C18*365/IS!C8,0)</f>
        <v/>
      </c>
      <c r="D16" s="14">
        <f>IF(IS!D8&lt;&gt;0,BS!D18*365/IS!D8,0)</f>
        <v/>
      </c>
      <c r="E16" s="14">
        <f>IF(IS!E8&lt;&gt;0,BS!E18*365/IS!E8,0)</f>
        <v/>
      </c>
      <c r="F16" s="14">
        <f>IF(IS!F8&lt;&gt;0,BS!F18*365/IS!F8,0)</f>
        <v/>
      </c>
      <c r="G16" s="14">
        <f>IF(IS!G8&lt;&gt;0,BS!G18*365/IS!G8,0)</f>
        <v/>
      </c>
      <c r="H16" s="15" t="n">
        <v>70.09999999999999</v>
      </c>
      <c r="I16" s="15" t="n">
        <v>70.09999999999999</v>
      </c>
      <c r="J16" s="15" t="n">
        <v>70.09999999999999</v>
      </c>
      <c r="K16" s="15" t="n">
        <v>70.09999999999999</v>
      </c>
      <c r="L16" s="15" t="n">
        <v>70.09999999999999</v>
      </c>
      <c r="M16" s="15" t="n">
        <v>70.09999999999999</v>
      </c>
      <c r="N16" s="15" t="n">
        <v>70.09999999999999</v>
      </c>
      <c r="O16" s="15" t="n">
        <v>70.09999999999999</v>
      </c>
      <c r="P16" s="15" t="n">
        <v>70.09999999999999</v>
      </c>
      <c r="Q16" s="15" t="n">
        <v>70.09999999999999</v>
      </c>
      <c r="R16" s="5" t="inlineStr">
        <is>
          <t>assumption</t>
        </is>
      </c>
      <c r="S16" s="5" t="inlineStr">
        <is>
          <t>Mechanical: FY25 70.1 days on cost of sales; held flat, not rebuilt to the 75-83 days of FY21-24 (rising payables would flatter cash flow) [calc].</t>
        </is>
      </c>
    </row>
    <row r="17">
      <c r="B17" s="11" t="inlineStr">
        <is>
          <t>Other current assets / revenue</t>
        </is>
      </c>
      <c r="C17" s="12">
        <f>BS!C10/IS!C7</f>
        <v/>
      </c>
      <c r="D17" s="12">
        <f>BS!D10/IS!D7</f>
        <v/>
      </c>
      <c r="E17" s="12">
        <f>BS!E10/IS!E7</f>
        <v/>
      </c>
      <c r="F17" s="12">
        <f>BS!F10/IS!F7</f>
        <v/>
      </c>
      <c r="G17" s="12">
        <f>BS!G10/IS!G7</f>
        <v/>
      </c>
      <c r="H17" s="13" t="n">
        <v>0.03563</v>
      </c>
      <c r="I17" s="13" t="n">
        <v>0.035486</v>
      </c>
      <c r="J17" s="13" t="n">
        <v>0.035352</v>
      </c>
      <c r="K17" s="13" t="n">
        <v>0.035224</v>
      </c>
      <c r="L17" s="13" t="n">
        <v>0.0351</v>
      </c>
      <c r="M17" s="13" t="n">
        <v>0.034983</v>
      </c>
      <c r="N17" s="13" t="n">
        <v>0.034872</v>
      </c>
      <c r="O17" s="13" t="n">
        <v>0.034766</v>
      </c>
      <c r="P17" s="13" t="n">
        <v>0.034666</v>
      </c>
      <c r="Q17" s="13" t="n">
        <v>0.03457</v>
      </c>
      <c r="R17" s="5" t="inlineStr">
        <is>
          <t>assumption</t>
        </is>
      </c>
      <c r="S17" s="5" t="inlineStr">
        <is>
          <t>Mechanical, operating part only grows: FY25 other current assets 15,201 = operating 13,796 (other receivables 11,998 + prepayments 1,798; 3.23% of revenue) + non-operating 1,405 (derivatives 60, collateral 459, held-for-sale 886) held flat in pesos so they create no FCFF [calc] data/adjustments.md working-capital table (Codex audit 2026-10-17, finding 1).</t>
        </is>
      </c>
    </row>
    <row r="18">
      <c r="B18" s="11" t="inlineStr">
        <is>
          <t>Other current liabilities / revenue</t>
        </is>
      </c>
      <c r="C18" s="12">
        <f>BS!C19/IS!C7</f>
        <v/>
      </c>
      <c r="D18" s="12">
        <f>BS!D19/IS!D7</f>
        <v/>
      </c>
      <c r="E18" s="12">
        <f>BS!E19/IS!E7</f>
        <v/>
      </c>
      <c r="F18" s="12">
        <f>BS!F19/IS!F7</f>
        <v/>
      </c>
      <c r="G18" s="12">
        <f>BS!G19/IS!G7</f>
        <v/>
      </c>
      <c r="H18" s="13" t="n">
        <v>0.074643</v>
      </c>
      <c r="I18" s="13" t="n">
        <v>0.073628</v>
      </c>
      <c r="J18" s="13" t="n">
        <v>0.072684</v>
      </c>
      <c r="K18" s="13" t="n">
        <v>0.07177699999999999</v>
      </c>
      <c r="L18" s="13" t="n">
        <v>0.070906</v>
      </c>
      <c r="M18" s="13" t="n">
        <v>0.07008200000000001</v>
      </c>
      <c r="N18" s="13" t="n">
        <v>0.069299</v>
      </c>
      <c r="O18" s="13" t="n">
        <v>0.068555</v>
      </c>
      <c r="P18" s="13" t="n">
        <v>0.06784800000000001</v>
      </c>
      <c r="Q18" s="13" t="n">
        <v>0.067173</v>
      </c>
      <c r="R18" s="5" t="inlineStr">
        <is>
          <t>assumption</t>
        </is>
      </c>
      <c r="S18" s="5" t="inlineStr">
        <is>
          <t>Mechanical, operating part only grows: FY25 other current liabilities 31,788 = operating 21,889 (related-party payables 1,154 + PTU 1,592 + operating accruals 19,143; 5.13% of revenue) + non-operating 9,899 (income and other taxes, tax contributions, accrued interest, derivatives) held flat in pesos [calc] data/adjustments.md #9 and working-capital table (Codex audit finding 1).</t>
        </is>
      </c>
    </row>
    <row r="19">
      <c r="B19" s="11" t="inlineStr">
        <is>
          <t>Effective tax rate</t>
        </is>
      </c>
      <c r="C19" s="12">
        <f>IF(IS!C15&gt;0,IS!C16/IS!C15,0)</f>
        <v/>
      </c>
      <c r="D19" s="12">
        <f>IF(IS!D15&gt;0,IS!D16/IS!D15,0)</f>
        <v/>
      </c>
      <c r="E19" s="12">
        <f>IF(IS!E15&gt;0,IS!E16/IS!E15,0)</f>
        <v/>
      </c>
      <c r="F19" s="12">
        <f>IF(IS!F15&gt;0,IS!F16/IS!F15,0)</f>
        <v/>
      </c>
      <c r="G19" s="12">
        <f>IF(IS!G15&gt;0,IS!G16/IS!G15,0)</f>
        <v/>
      </c>
      <c r="H19" s="13" t="n">
        <v>0.34</v>
      </c>
      <c r="I19" s="13" t="n">
        <v>0.34</v>
      </c>
      <c r="J19" s="13" t="n">
        <v>0.34</v>
      </c>
      <c r="K19" s="13" t="n">
        <v>0.34</v>
      </c>
      <c r="L19" s="13" t="n">
        <v>0.34</v>
      </c>
      <c r="M19" s="13" t="n">
        <v>0.34</v>
      </c>
      <c r="N19" s="13" t="n">
        <v>0.34</v>
      </c>
      <c r="O19" s="13" t="n">
        <v>0.34</v>
      </c>
      <c r="P19" s="13" t="n">
        <v>0.34</v>
      </c>
      <c r="Q19" s="13" t="n">
        <v>0.34</v>
      </c>
      <c r="R19" s="5" t="inlineStr">
        <is>
          <t>assumption</t>
        </is>
      </c>
      <c r="S19" s="5" t="inlineStr">
        <is>
          <t>Effective (not marginal) rate: FY23-25 33.1/32.6/35.7%, 1H26 ~37% [calc]; statutory 30% plus non-deductibles and loss-making units. The WACC uses the 30% marginal rate separately.</t>
        </is>
      </c>
    </row>
    <row r="20">
      <c r="B20" s="11" t="inlineStr">
        <is>
          <t>Interest rate on opening debt</t>
        </is>
      </c>
      <c r="D20" s="12">
        <f>IF(BS!C33&lt;&gt;0,IS!D12/BS!C33,0)</f>
        <v/>
      </c>
      <c r="E20" s="12">
        <f>IF(BS!D33&lt;&gt;0,IS!E12/BS!D33,0)</f>
        <v/>
      </c>
      <c r="F20" s="12">
        <f>IF(BS!E33&lt;&gt;0,IS!F12/BS!E33,0)</f>
        <v/>
      </c>
      <c r="G20" s="12">
        <f>IF(BS!F33&lt;&gt;0,IS!G12/BS!F33,0)</f>
        <v/>
      </c>
      <c r="H20" s="13" t="n">
        <v>0.077</v>
      </c>
      <c r="I20" s="13" t="n">
        <v>0.077</v>
      </c>
      <c r="J20" s="13" t="n">
        <v>0.077</v>
      </c>
      <c r="K20" s="13" t="n">
        <v>0.077</v>
      </c>
      <c r="L20" s="13" t="n">
        <v>0.077</v>
      </c>
      <c r="M20" s="13" t="n">
        <v>0.077</v>
      </c>
      <c r="N20" s="13" t="n">
        <v>0.077</v>
      </c>
      <c r="O20" s="13" t="n">
        <v>0.077</v>
      </c>
      <c r="P20" s="13" t="n">
        <v>0.077</v>
      </c>
      <c r="Q20" s="13" t="n">
        <v>0.077</v>
      </c>
      <c r="R20" s="5" t="inlineStr">
        <is>
          <t>assumption</t>
        </is>
      </c>
      <c r="S20" s="5" t="inlineStr">
        <is>
          <t>Mechanical: FY25 interest expense 14,464 / opening debt incl. leases 186,706 = 7.75% [calc]; consistent with the 6.5% average cost of financial debt plus lease interest.</t>
        </is>
      </c>
    </row>
    <row r="21">
      <c r="B21" s="11" t="inlineStr">
        <is>
          <t>Interest rate on opening cash</t>
        </is>
      </c>
      <c r="D21" s="12">
        <f>IF(BS!C7&lt;&gt;0,IS!D13/BS!C7,0)</f>
        <v/>
      </c>
      <c r="E21" s="12">
        <f>IF(BS!D7&lt;&gt;0,IS!E13/BS!D7,0)</f>
        <v/>
      </c>
      <c r="F21" s="12">
        <f>IF(BS!E7&lt;&gt;0,IS!F13/BS!E7,0)</f>
        <v/>
      </c>
      <c r="G21" s="12">
        <f>IF(BS!F7&lt;&gt;0,IS!G13/BS!F7,0)</f>
        <v/>
      </c>
      <c r="H21" s="13" t="n">
        <v>0.1</v>
      </c>
      <c r="I21" s="13" t="n">
        <v>0.1</v>
      </c>
      <c r="J21" s="13" t="n">
        <v>0.1</v>
      </c>
      <c r="K21" s="13" t="n">
        <v>0.1</v>
      </c>
      <c r="L21" s="13" t="n">
        <v>0.1</v>
      </c>
      <c r="M21" s="13" t="n">
        <v>0.1</v>
      </c>
      <c r="N21" s="13" t="n">
        <v>0.1</v>
      </c>
      <c r="O21" s="13" t="n">
        <v>0.1</v>
      </c>
      <c r="P21" s="13" t="n">
        <v>0.1</v>
      </c>
      <c r="Q21" s="13" t="n">
        <v>0.1</v>
      </c>
      <c r="R21" s="5" t="inlineStr">
        <is>
          <t>assumption</t>
        </is>
      </c>
      <c r="S21" s="5" t="inlineStr">
        <is>
          <t>Mechanical: FY23-25 interest income / opening cash 6.6/14.5/11.1% (average 10.7%) [calc].</t>
        </is>
      </c>
    </row>
    <row r="22">
      <c r="B22" s="11" t="inlineStr">
        <is>
          <t>Dividend payout ratio</t>
        </is>
      </c>
      <c r="C22" s="12">
        <f>IF(IS!C19&gt;0,CF!C18/IS!C19,0)</f>
        <v/>
      </c>
      <c r="D22" s="12">
        <f>IF(IS!D19&gt;0,CF!D18/IS!D19,0)</f>
        <v/>
      </c>
      <c r="E22" s="12">
        <f>IF(IS!E19&gt;0,CF!E18/IS!E19,0)</f>
        <v/>
      </c>
      <c r="F22" s="12">
        <f>IF(IS!F19&gt;0,CF!F18/IS!F19,0)</f>
        <v/>
      </c>
      <c r="G22" s="12">
        <f>IF(IS!G19&gt;0,CF!G18/IS!G19,0)</f>
        <v/>
      </c>
      <c r="H22" s="13" t="n">
        <v>0.38</v>
      </c>
      <c r="I22" s="13" t="n">
        <v>0.38</v>
      </c>
      <c r="J22" s="13" t="n">
        <v>0.38</v>
      </c>
      <c r="K22" s="13" t="n">
        <v>0.38</v>
      </c>
      <c r="L22" s="13" t="n">
        <v>0.38</v>
      </c>
      <c r="M22" s="13" t="n">
        <v>0.38</v>
      </c>
      <c r="N22" s="13" t="n">
        <v>0.38</v>
      </c>
      <c r="O22" s="13" t="n">
        <v>0.38</v>
      </c>
      <c r="P22" s="13" t="n">
        <v>0.38</v>
      </c>
      <c r="Q22" s="13" t="n">
        <v>0.38</v>
      </c>
      <c r="R22" s="5" t="inlineStr">
        <is>
          <t>assumption</t>
        </is>
      </c>
      <c r="S22" s="5" t="inlineStr">
        <is>
          <t>Proposal (debt pillar, hold): FY25 38.8%, FY24 32.9%; CFO said dividends and buybacks stay 'to the same extent' (2026-07-23 call) [guidance].</t>
        </is>
      </c>
      <c r="T22" s="5" t="inlineStr">
        <is>
          <t>Pillar 3</t>
        </is>
      </c>
    </row>
    <row r="23">
      <c r="B23" s="11" t="inlineStr">
        <is>
          <t>Non-controlling share of net income</t>
        </is>
      </c>
      <c r="C23" s="12">
        <f>IF(IS!C17&lt;&gt;0,IS!C18/IS!C17,0)</f>
        <v/>
      </c>
      <c r="D23" s="12">
        <f>IF(IS!D17&lt;&gt;0,IS!D18/IS!D17,0)</f>
        <v/>
      </c>
      <c r="E23" s="12">
        <f>IF(IS!E17&lt;&gt;0,IS!E18/IS!E17,0)</f>
        <v/>
      </c>
      <c r="F23" s="12">
        <f>IF(IS!F17&lt;&gt;0,IS!F18/IS!F17,0)</f>
        <v/>
      </c>
      <c r="G23" s="12">
        <f>IF(IS!G17&lt;&gt;0,IS!G18/IS!G17,0)</f>
        <v/>
      </c>
      <c r="H23" s="13" t="n">
        <v>0.14</v>
      </c>
      <c r="I23" s="13" t="n">
        <v>0.14</v>
      </c>
      <c r="J23" s="13" t="n">
        <v>0.14</v>
      </c>
      <c r="K23" s="13" t="n">
        <v>0.14</v>
      </c>
      <c r="L23" s="13" t="n">
        <v>0.14</v>
      </c>
      <c r="M23" s="13" t="n">
        <v>0.14</v>
      </c>
      <c r="N23" s="13" t="n">
        <v>0.14</v>
      </c>
      <c r="O23" s="13" t="n">
        <v>0.14</v>
      </c>
      <c r="P23" s="13" t="n">
        <v>0.14</v>
      </c>
      <c r="Q23" s="13" t="n">
        <v>0.14</v>
      </c>
      <c r="R23" s="5" t="inlineStr">
        <is>
          <t>assumption</t>
        </is>
      </c>
      <c r="S23" s="5" t="inlineStr">
        <is>
          <t>Mechanical: FY25 14.0%, 1H26 14.6% (mostly consolidated BBU independent-operator structured entities) [calc]. Their market value is treated in valuation.yaml debt-like items.</t>
        </is>
      </c>
    </row>
    <row r="24">
      <c r="B24" s="11" t="inlineStr">
        <is>
          <t>Net new long-term debt</t>
        </is>
      </c>
      <c r="D24" s="16">
        <f>BS!D23-BS!C23</f>
        <v/>
      </c>
      <c r="E24" s="16">
        <f>BS!E23-BS!D23</f>
        <v/>
      </c>
      <c r="F24" s="16">
        <f>BS!F23-BS!E23</f>
        <v/>
      </c>
      <c r="G24" s="16">
        <f>BS!G23-BS!F23</f>
        <v/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5" t="inlineStr">
        <is>
          <t>assumption</t>
        </is>
      </c>
      <c r="S24" s="5" t="inlineStr">
        <is>
          <t>Proposal (debt pillar, hold): gross debt held flat; leverage falls with EBITDA growth. Management comfort range 2.0-2.5x net debt / EBITDA ex-IFRS 16 (reached 2.5x at Jun-26).</t>
        </is>
      </c>
      <c r="T24" s="5" t="inlineStr">
        <is>
          <t>Pillar 3</t>
        </is>
      </c>
    </row>
    <row r="25">
      <c r="B25" s="11" t="inlineStr">
        <is>
          <t>Diluted share count growth</t>
        </is>
      </c>
      <c r="D25" s="12">
        <f>IS!D22/IS!C22-1</f>
        <v/>
      </c>
      <c r="E25" s="12">
        <f>IS!E22/IS!D22-1</f>
        <v/>
      </c>
      <c r="F25" s="12">
        <f>IS!F22/IS!E22-1</f>
        <v/>
      </c>
      <c r="G25" s="12">
        <f>IS!G22/IS!F22-1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5" t="inlineStr">
        <is>
          <t>assumption</t>
        </is>
      </c>
      <c r="S25" s="5" t="inlineStr">
        <is>
          <t>Mechanical: no buyback programme size announced; 1H26 weighted shares flat vs FY25 [calc].</t>
        </is>
      </c>
    </row>
    <row r="26">
      <c r="B26" s="11" t="inlineStr">
        <is>
          <t>Minimum cash balance</t>
        </is>
      </c>
      <c r="H26" s="17" t="n">
        <v>8500</v>
      </c>
      <c r="I26" s="17" t="n">
        <v>8500</v>
      </c>
      <c r="J26" s="17" t="n">
        <v>8500</v>
      </c>
      <c r="K26" s="17" t="n">
        <v>8500</v>
      </c>
      <c r="L26" s="17" t="n">
        <v>8500</v>
      </c>
      <c r="M26" s="17" t="n">
        <v>8500</v>
      </c>
      <c r="N26" s="17" t="n">
        <v>8500</v>
      </c>
      <c r="O26" s="17" t="n">
        <v>8500</v>
      </c>
      <c r="P26" s="17" t="n">
        <v>8500</v>
      </c>
      <c r="Q26" s="17" t="n">
        <v>8500</v>
      </c>
      <c r="R26" s="5" t="inlineStr">
        <is>
          <t>assumption</t>
        </is>
      </c>
      <c r="S26" s="5" t="inlineStr">
        <is>
          <t>Mechanical: FY25 closing cash 8,535 [sourced] data/financials.csv.</t>
        </is>
      </c>
    </row>
    <row r="28">
      <c r="B28" s="8" t="inlineStr">
        <is>
          <t>Revenue segments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11" t="inlineStr">
        <is>
          <t>North America growth</t>
        </is>
      </c>
      <c r="D29" s="12">
        <f>Schedules!D7/Schedules!C7-1</f>
        <v/>
      </c>
      <c r="E29" s="12">
        <f>Schedules!E7/Schedules!D7-1</f>
        <v/>
      </c>
      <c r="F29" s="12">
        <f>Schedules!F7/Schedules!E7-1</f>
        <v/>
      </c>
      <c r="G29" s="12">
        <f>Schedules!G7/Schedules!F7-1</f>
        <v/>
      </c>
      <c r="H29" s="13" t="n">
        <v>-0.074</v>
      </c>
      <c r="I29" s="13" t="n">
        <v>0.03</v>
      </c>
      <c r="J29" s="13" t="n">
        <v>0.03</v>
      </c>
      <c r="K29" s="13" t="n">
        <v>0.03</v>
      </c>
      <c r="L29" s="13" t="n">
        <v>0.03</v>
      </c>
      <c r="M29" s="13" t="n">
        <v>0.03</v>
      </c>
      <c r="N29" s="13" t="n">
        <v>0.03</v>
      </c>
      <c r="O29" s="13" t="n">
        <v>0.03</v>
      </c>
      <c r="P29" s="13" t="n">
        <v>0.03</v>
      </c>
      <c r="Q29" s="13" t="n">
        <v>0.03</v>
      </c>
      <c r="R29" s="5" t="inlineStr">
        <is>
          <t>assumption</t>
        </is>
      </c>
      <c r="S29" s="5" t="inlineStr">
        <is>
          <t>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 Alternatives in valuation/BIMBOA_DCF_v3.xlsx 'Scenarios': PPP at the 3%/2% inflation targets (0.98%/yr; Gordon -2.18 per share) or at Banxico survey inflation (1.67%/yr; +0.75); Sep-2026 CPI was 3.45% in Mexico vs 3.74% in the US [sourced] macro/macro-view.yaml.</t>
        </is>
      </c>
      <c r="T29" s="5" t="inlineStr">
        <is>
          <t>Pillar 2</t>
        </is>
      </c>
    </row>
    <row r="30">
      <c r="B30" s="11" t="inlineStr">
        <is>
          <t>Mexico growth</t>
        </is>
      </c>
      <c r="D30" s="12">
        <f>Schedules!D8/Schedules!C8-1</f>
        <v/>
      </c>
      <c r="E30" s="12">
        <f>Schedules!E8/Schedules!D8-1</f>
        <v/>
      </c>
      <c r="F30" s="12">
        <f>Schedules!F8/Schedules!E8-1</f>
        <v/>
      </c>
      <c r="G30" s="12">
        <f>Schedules!G8/Schedules!F8-1</f>
        <v/>
      </c>
      <c r="H30" s="13" t="n">
        <v>0.046</v>
      </c>
      <c r="I30" s="13" t="n">
        <v>0.055</v>
      </c>
      <c r="J30" s="13" t="n">
        <v>0.0525</v>
      </c>
      <c r="K30" s="13" t="n">
        <v>0.0525</v>
      </c>
      <c r="L30" s="13" t="n">
        <v>0.0525</v>
      </c>
      <c r="M30" s="13" t="n">
        <v>0.0515</v>
      </c>
      <c r="N30" s="13" t="n">
        <v>0.051</v>
      </c>
      <c r="O30" s="13" t="n">
        <v>0.0505</v>
      </c>
      <c r="P30" s="13" t="n">
        <v>0.05</v>
      </c>
      <c r="Q30" s="13" t="n">
        <v>0.05</v>
      </c>
      <c r="R30" s="5" t="inlineStr">
        <is>
          <t>assumption</t>
        </is>
      </c>
      <c r="S30" s="5" t="inlineStr">
        <is>
          <t>STORY DRIVER (proposal). FY26 = 1H26 +4.6% and 2H26 +4.7% (1Q26 +4.5%, 2Q26 +4.7%) [calc]. FY27+: packaged bakery market ~3.5% value CAGR 2024-29E (RA25 p.111) plus price/mix with ~3.5-3.8% inflation; fades to 5.0% (long-run nominal) [assumption].</t>
        </is>
      </c>
      <c r="T30" s="5" t="inlineStr">
        <is>
          <t>Pillar 2</t>
        </is>
      </c>
    </row>
    <row r="31">
      <c r="B31" s="11" t="inlineStr">
        <is>
          <t>Europe, Asia &amp; Africa growth</t>
        </is>
      </c>
      <c r="D31" s="12">
        <f>Schedules!D9/Schedules!C9-1</f>
        <v/>
      </c>
      <c r="E31" s="12">
        <f>Schedules!E9/Schedules!D9-1</f>
        <v/>
      </c>
      <c r="F31" s="12">
        <f>Schedules!F9/Schedules!E9-1</f>
        <v/>
      </c>
      <c r="G31" s="12">
        <f>Schedules!G9/Schedules!F9-1</f>
        <v/>
      </c>
      <c r="H31" s="13" t="n">
        <v>0.006</v>
      </c>
      <c r="I31" s="13" t="n">
        <v>0.045</v>
      </c>
      <c r="J31" s="13" t="n">
        <v>0.045</v>
      </c>
      <c r="K31" s="13" t="n">
        <v>0.045</v>
      </c>
      <c r="L31" s="13" t="n">
        <v>0.045</v>
      </c>
      <c r="M31" s="13" t="n">
        <v>0.0445</v>
      </c>
      <c r="N31" s="13" t="n">
        <v>0.044</v>
      </c>
      <c r="O31" s="13" t="n">
        <v>0.0435</v>
      </c>
      <c r="P31" s="13" t="n">
        <v>0.043</v>
      </c>
      <c r="Q31" s="13" t="n">
        <v>0.0425</v>
      </c>
      <c r="R31" s="5" t="inlineStr">
        <is>
          <t>assumption</t>
        </is>
      </c>
      <c r="S31" s="5" t="inlineStr">
        <is>
          <t>Proposal. FY26 = 1H26 +1.3% in MXN (ex-FX +12.6%/+8.4% incl. 2025 bolt-ons) with flat 2H26 after FX [calc]. FY27+: organic ~4.5% (European market 3.4%, Eastern Europe 6.6% CAGR per RA25 p.108), no new M&amp;A [assumption].</t>
        </is>
      </c>
    </row>
    <row r="32">
      <c r="B32" s="11" t="inlineStr">
        <is>
          <t>Latin America growth</t>
        </is>
      </c>
      <c r="D32" s="12">
        <f>Schedules!D10/Schedules!C10-1</f>
        <v/>
      </c>
      <c r="E32" s="12">
        <f>Schedules!E10/Schedules!D10-1</f>
        <v/>
      </c>
      <c r="F32" s="12">
        <f>Schedules!F10/Schedules!E10-1</f>
        <v/>
      </c>
      <c r="G32" s="12">
        <f>Schedules!G10/Schedules!F10-1</f>
        <v/>
      </c>
      <c r="H32" s="13" t="n">
        <v>0.08500000000000001</v>
      </c>
      <c r="I32" s="13" t="n">
        <v>0.07000000000000001</v>
      </c>
      <c r="J32" s="13" t="n">
        <v>0.065</v>
      </c>
      <c r="K32" s="13" t="n">
        <v>0.065</v>
      </c>
      <c r="L32" s="13" t="n">
        <v>0.065</v>
      </c>
      <c r="M32" s="13" t="n">
        <v>0.063</v>
      </c>
      <c r="N32" s="13" t="n">
        <v>0.061</v>
      </c>
      <c r="O32" s="13" t="n">
        <v>0.059</v>
      </c>
      <c r="P32" s="13" t="n">
        <v>0.057</v>
      </c>
      <c r="Q32" s="13" t="n">
        <v>0.055</v>
      </c>
      <c r="R32" s="5" t="inlineStr">
        <is>
          <t>assumption</t>
        </is>
      </c>
      <c r="S32" s="5" t="inlineStr">
        <is>
          <t>Proposal. FY26 = 1H26 +7.1% plus 2H26 ~+10% (Wickbold consolidated from Oct-2025) [calc]. FY27+: LatAm bakery 5.5% CAGR (RA25 p.108) plus Wickbold synergies, fading to 5.5% [assumption].</t>
        </is>
      </c>
    </row>
    <row r="33">
      <c r="B33" s="11" t="inlineStr">
        <is>
          <t>Inter-regional eliminations growth</t>
        </is>
      </c>
      <c r="D33" s="12">
        <f>Schedules!D11/Schedules!C11-1</f>
        <v/>
      </c>
      <c r="E33" s="12">
        <f>Schedules!E11/Schedules!D11-1</f>
        <v/>
      </c>
      <c r="F33" s="12">
        <f>Schedules!F11/Schedules!E11-1</f>
        <v/>
      </c>
      <c r="G33" s="12">
        <f>Schedules!G11/Schedules!F11-1</f>
        <v/>
      </c>
      <c r="H33" s="13" t="n">
        <v>0.036</v>
      </c>
      <c r="I33" s="13" t="n">
        <v>0.045</v>
      </c>
      <c r="J33" s="13" t="n">
        <v>0.045</v>
      </c>
      <c r="K33" s="13" t="n">
        <v>0.045</v>
      </c>
      <c r="L33" s="13" t="n">
        <v>0.045</v>
      </c>
      <c r="M33" s="13" t="n">
        <v>0.045</v>
      </c>
      <c r="N33" s="13" t="n">
        <v>0.045</v>
      </c>
      <c r="O33" s="13" t="n">
        <v>0.045</v>
      </c>
      <c r="P33" s="13" t="n">
        <v>0.045</v>
      </c>
      <c r="Q33" s="13" t="n">
        <v>0.045</v>
      </c>
      <c r="R33" s="5" t="inlineStr">
        <is>
          <t>assumption</t>
        </is>
      </c>
      <c r="S33" s="5" t="inlineStr">
        <is>
          <t>Mechanical: inter-regional eliminations grow with regional sales (1H26 eliminations -8,545 vs -8,202 in 1H25, +4.2%) [calc].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Income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Income statement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8" t="inlineStr">
        <is>
          <t>Revenue</t>
        </is>
      </c>
      <c r="C7" s="19" t="n">
        <v>338792</v>
      </c>
      <c r="D7" s="19" t="n">
        <v>398706</v>
      </c>
      <c r="E7" s="19" t="n">
        <v>399879</v>
      </c>
      <c r="F7" s="19" t="n">
        <v>408335</v>
      </c>
      <c r="G7" s="19" t="n">
        <v>426952</v>
      </c>
      <c r="H7" s="20">
        <f>SUM(Schedules!H7,Schedules!H8,Schedules!H9,Schedules!H10,Schedules!H11)</f>
        <v/>
      </c>
      <c r="I7" s="20">
        <f>SUM(Schedules!I7,Schedules!I8,Schedules!I9,Schedules!I10,Schedules!I11)</f>
        <v/>
      </c>
      <c r="J7" s="20">
        <f>SUM(Schedules!J7,Schedules!J8,Schedules!J9,Schedules!J10,Schedules!J11)</f>
        <v/>
      </c>
      <c r="K7" s="20">
        <f>SUM(Schedules!K7,Schedules!K8,Schedules!K9,Schedules!K10,Schedules!K11)</f>
        <v/>
      </c>
      <c r="L7" s="20">
        <f>SUM(Schedules!L7,Schedules!L8,Schedules!L9,Schedules!L10,Schedules!L11)</f>
        <v/>
      </c>
      <c r="M7" s="20">
        <f>SUM(Schedules!M7,Schedules!M8,Schedules!M9,Schedules!M10,Schedules!M11)</f>
        <v/>
      </c>
      <c r="N7" s="20">
        <f>SUM(Schedules!N7,Schedules!N8,Schedules!N9,Schedules!N10,Schedules!N11)</f>
        <v/>
      </c>
      <c r="O7" s="20">
        <f>SUM(Schedules!O7,Schedules!O8,Schedules!O9,Schedules!O10,Schedules!O11)</f>
        <v/>
      </c>
      <c r="P7" s="20">
        <f>SUM(Schedules!P7,Schedules!P8,Schedules!P9,Schedules!P10,Schedules!P11)</f>
        <v/>
      </c>
      <c r="Q7" s="20">
        <f>SUM(Schedules!Q7,Schedules!Q8,Schedules!Q9,Schedules!Q10,Schedules!Q11)</f>
        <v/>
      </c>
    </row>
    <row r="8">
      <c r="B8" s="11" t="inlineStr">
        <is>
          <t>Cost of sales</t>
        </is>
      </c>
      <c r="C8" s="21" t="n">
        <v>157703</v>
      </c>
      <c r="D8" s="21" t="n">
        <v>193325</v>
      </c>
      <c r="E8" s="21" t="n">
        <v>194369</v>
      </c>
      <c r="F8" s="21" t="n">
        <v>193407</v>
      </c>
      <c r="G8" s="21" t="n">
        <v>203465</v>
      </c>
      <c r="H8" s="16">
        <f>H7*(1-Drivers!H8)</f>
        <v/>
      </c>
      <c r="I8" s="16">
        <f>I7*(1-Drivers!I8)</f>
        <v/>
      </c>
      <c r="J8" s="16">
        <f>J7*(1-Drivers!J8)</f>
        <v/>
      </c>
      <c r="K8" s="16">
        <f>K7*(1-Drivers!K8)</f>
        <v/>
      </c>
      <c r="L8" s="16">
        <f>L7*(1-Drivers!L8)</f>
        <v/>
      </c>
      <c r="M8" s="16">
        <f>M7*(1-Drivers!M8)</f>
        <v/>
      </c>
      <c r="N8" s="16">
        <f>N7*(1-Drivers!N8)</f>
        <v/>
      </c>
      <c r="O8" s="16">
        <f>O7*(1-Drivers!O8)</f>
        <v/>
      </c>
      <c r="P8" s="16">
        <f>P7*(1-Drivers!P8)</f>
        <v/>
      </c>
      <c r="Q8" s="16">
        <f>Q7*(1-Drivers!Q8)</f>
        <v/>
      </c>
    </row>
    <row r="9">
      <c r="B9" s="18" t="inlineStr">
        <is>
          <t>Gross profit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  <c r="H9" s="20">
        <f>H7-H8</f>
        <v/>
      </c>
      <c r="I9" s="20">
        <f>I7-I8</f>
        <v/>
      </c>
      <c r="J9" s="20">
        <f>J7-J8</f>
        <v/>
      </c>
      <c r="K9" s="20">
        <f>K7-K8</f>
        <v/>
      </c>
      <c r="L9" s="20">
        <f>L7-L8</f>
        <v/>
      </c>
      <c r="M9" s="20">
        <f>M7-M8</f>
        <v/>
      </c>
      <c r="N9" s="20">
        <f>N7-N8</f>
        <v/>
      </c>
      <c r="O9" s="20">
        <f>O7-O8</f>
        <v/>
      </c>
      <c r="P9" s="20">
        <f>P7-P8</f>
        <v/>
      </c>
      <c r="Q9" s="20">
        <f>Q7-Q8</f>
        <v/>
      </c>
    </row>
    <row r="10">
      <c r="B10" s="11" t="inlineStr">
        <is>
          <t>Operating expenses (net)</t>
        </is>
      </c>
      <c r="C10" s="21" t="n">
        <v>148509</v>
      </c>
      <c r="D10" s="21" t="n">
        <v>151685</v>
      </c>
      <c r="E10" s="21" t="n">
        <v>170055</v>
      </c>
      <c r="F10" s="21" t="n">
        <v>181779</v>
      </c>
      <c r="G10" s="21" t="n">
        <v>189341</v>
      </c>
      <c r="H10" s="16">
        <f>H7*Drivers!H9</f>
        <v/>
      </c>
      <c r="I10" s="16">
        <f>I7*Drivers!I9</f>
        <v/>
      </c>
      <c r="J10" s="16">
        <f>J7*Drivers!J9</f>
        <v/>
      </c>
      <c r="K10" s="16">
        <f>K7*Drivers!K9</f>
        <v/>
      </c>
      <c r="L10" s="16">
        <f>L7*Drivers!L9</f>
        <v/>
      </c>
      <c r="M10" s="16">
        <f>M7*Drivers!M9</f>
        <v/>
      </c>
      <c r="N10" s="16">
        <f>N7*Drivers!N9</f>
        <v/>
      </c>
      <c r="O10" s="16">
        <f>O7*Drivers!O9</f>
        <v/>
      </c>
      <c r="P10" s="16">
        <f>P7*Drivers!P9</f>
        <v/>
      </c>
      <c r="Q10" s="16">
        <f>Q7*Drivers!Q9</f>
        <v/>
      </c>
    </row>
    <row r="11">
      <c r="B11" s="18" t="inlineStr">
        <is>
          <t>EBIT</t>
        </is>
      </c>
      <c r="C11" s="20">
        <f>C9-C10</f>
        <v/>
      </c>
      <c r="D11" s="20">
        <f>D9-D10</f>
        <v/>
      </c>
      <c r="E11" s="20">
        <f>E9-E10</f>
        <v/>
      </c>
      <c r="F11" s="20">
        <f>F9-F10</f>
        <v/>
      </c>
      <c r="G11" s="20">
        <f>G9-G10</f>
        <v/>
      </c>
      <c r="H11" s="20">
        <f>H9-H10</f>
        <v/>
      </c>
      <c r="I11" s="20">
        <f>I9-I10</f>
        <v/>
      </c>
      <c r="J11" s="20">
        <f>J9-J10</f>
        <v/>
      </c>
      <c r="K11" s="20">
        <f>K9-K10</f>
        <v/>
      </c>
      <c r="L11" s="20">
        <f>L9-L10</f>
        <v/>
      </c>
      <c r="M11" s="20">
        <f>M9-M10</f>
        <v/>
      </c>
      <c r="N11" s="20">
        <f>N9-N10</f>
        <v/>
      </c>
      <c r="O11" s="20">
        <f>O9-O10</f>
        <v/>
      </c>
      <c r="P11" s="20">
        <f>P9-P10</f>
        <v/>
      </c>
      <c r="Q11" s="20">
        <f>Q9-Q10</f>
        <v/>
      </c>
    </row>
    <row r="12">
      <c r="B12" s="11" t="inlineStr">
        <is>
          <t>Interest expense</t>
        </is>
      </c>
      <c r="C12" s="21" t="n">
        <v>7823</v>
      </c>
      <c r="D12" s="21" t="n">
        <v>8049</v>
      </c>
      <c r="E12" s="21" t="n">
        <v>10006</v>
      </c>
      <c r="F12" s="21" t="n">
        <v>13100</v>
      </c>
      <c r="G12" s="21" t="n">
        <v>14464</v>
      </c>
      <c r="H12" s="22">
        <f>Schedules!H36</f>
        <v/>
      </c>
      <c r="I12" s="22">
        <f>Schedules!I36</f>
        <v/>
      </c>
      <c r="J12" s="22">
        <f>Schedules!J36</f>
        <v/>
      </c>
      <c r="K12" s="22">
        <f>Schedules!K36</f>
        <v/>
      </c>
      <c r="L12" s="22">
        <f>Schedules!L36</f>
        <v/>
      </c>
      <c r="M12" s="22">
        <f>Schedules!M36</f>
        <v/>
      </c>
      <c r="N12" s="22">
        <f>Schedules!N36</f>
        <v/>
      </c>
      <c r="O12" s="22">
        <f>Schedules!O36</f>
        <v/>
      </c>
      <c r="P12" s="22">
        <f>Schedules!P36</f>
        <v/>
      </c>
      <c r="Q12" s="22">
        <f>Schedules!Q36</f>
        <v/>
      </c>
    </row>
    <row r="13">
      <c r="B13" s="11" t="inlineStr">
        <is>
          <t>Interest income</t>
        </is>
      </c>
      <c r="C13" s="21" t="n">
        <v>363</v>
      </c>
      <c r="D13" s="21" t="n">
        <v>740</v>
      </c>
      <c r="E13" s="21" t="n">
        <v>809</v>
      </c>
      <c r="F13" s="21" t="n">
        <v>924</v>
      </c>
      <c r="G13" s="21" t="n">
        <v>897</v>
      </c>
      <c r="H13" s="16">
        <f>Drivers!H21*BS!G7</f>
        <v/>
      </c>
      <c r="I13" s="16">
        <f>Drivers!I21*BS!H7</f>
        <v/>
      </c>
      <c r="J13" s="16">
        <f>Drivers!J21*BS!I7</f>
        <v/>
      </c>
      <c r="K13" s="16">
        <f>Drivers!K21*BS!J7</f>
        <v/>
      </c>
      <c r="L13" s="16">
        <f>Drivers!L21*BS!K7</f>
        <v/>
      </c>
      <c r="M13" s="16">
        <f>Drivers!M21*BS!L7</f>
        <v/>
      </c>
      <c r="N13" s="16">
        <f>Drivers!N21*BS!M7</f>
        <v/>
      </c>
      <c r="O13" s="16">
        <f>Drivers!O21*BS!N7</f>
        <v/>
      </c>
      <c r="P13" s="16">
        <f>Drivers!P21*BS!O7</f>
        <v/>
      </c>
      <c r="Q13" s="16">
        <f>Drivers!Q21*BS!P7</f>
        <v/>
      </c>
    </row>
    <row r="14">
      <c r="B14" s="11" t="inlineStr">
        <is>
          <t>Other financial result, net</t>
        </is>
      </c>
      <c r="C14" s="21" t="n">
        <v>988</v>
      </c>
      <c r="D14" s="21" t="n">
        <v>16479</v>
      </c>
      <c r="E14" s="21" t="n">
        <v>-950</v>
      </c>
      <c r="F14" s="21" t="n">
        <v>-133</v>
      </c>
      <c r="G14" s="21" t="n">
        <v>-436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" t="inlineStr">
        <is>
          <t>assumption: held at zero</t>
        </is>
      </c>
    </row>
    <row r="15">
      <c r="B15" s="18" t="inlineStr">
        <is>
          <t>Pre-tax income</t>
        </is>
      </c>
      <c r="C15" s="20">
        <f>C11-C12+C13+C14</f>
        <v/>
      </c>
      <c r="D15" s="20">
        <f>D11-D12+D13+D14</f>
        <v/>
      </c>
      <c r="E15" s="20">
        <f>E11-E12+E13+E14</f>
        <v/>
      </c>
      <c r="F15" s="20">
        <f>F11-F12+F13+F14</f>
        <v/>
      </c>
      <c r="G15" s="20">
        <f>G11-G12+G13+G14</f>
        <v/>
      </c>
      <c r="H15" s="20">
        <f>H11-H12+H13+H14</f>
        <v/>
      </c>
      <c r="I15" s="20">
        <f>I11-I12+I13+I14</f>
        <v/>
      </c>
      <c r="J15" s="20">
        <f>J11-J12+J13+J14</f>
        <v/>
      </c>
      <c r="K15" s="20">
        <f>K11-K12+K13+K14</f>
        <v/>
      </c>
      <c r="L15" s="20">
        <f>L11-L12+L13+L14</f>
        <v/>
      </c>
      <c r="M15" s="20">
        <f>M11-M12+M13+M14</f>
        <v/>
      </c>
      <c r="N15" s="20">
        <f>N11-N12+N13+N14</f>
        <v/>
      </c>
      <c r="O15" s="20">
        <f>O11-O12+O13+O14</f>
        <v/>
      </c>
      <c r="P15" s="20">
        <f>P11-P12+P13+P14</f>
        <v/>
      </c>
      <c r="Q15" s="20">
        <f>Q11-Q12+Q13+Q14</f>
        <v/>
      </c>
    </row>
    <row r="16">
      <c r="B16" s="11" t="inlineStr">
        <is>
          <t>Income tax</t>
        </is>
      </c>
      <c r="C16" s="21" t="n">
        <v>8726</v>
      </c>
      <c r="D16" s="21" t="n">
        <v>14381</v>
      </c>
      <c r="E16" s="21" t="n">
        <v>8386</v>
      </c>
      <c r="F16" s="21" t="n">
        <v>6797</v>
      </c>
      <c r="G16" s="21" t="n">
        <v>7197</v>
      </c>
      <c r="H16" s="16">
        <f>H15*Drivers!H19</f>
        <v/>
      </c>
      <c r="I16" s="16">
        <f>I15*Drivers!I19</f>
        <v/>
      </c>
      <c r="J16" s="16">
        <f>J15*Drivers!J19</f>
        <v/>
      </c>
      <c r="K16" s="16">
        <f>K15*Drivers!K19</f>
        <v/>
      </c>
      <c r="L16" s="16">
        <f>L15*Drivers!L19</f>
        <v/>
      </c>
      <c r="M16" s="16">
        <f>M15*Drivers!M19</f>
        <v/>
      </c>
      <c r="N16" s="16">
        <f>N15*Drivers!N19</f>
        <v/>
      </c>
      <c r="O16" s="16">
        <f>O15*Drivers!O19</f>
        <v/>
      </c>
      <c r="P16" s="16">
        <f>P15*Drivers!P19</f>
        <v/>
      </c>
      <c r="Q16" s="16">
        <f>Q15*Drivers!Q19</f>
        <v/>
      </c>
    </row>
    <row r="17">
      <c r="B17" s="18" t="inlineStr">
        <is>
          <t>Net income</t>
        </is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H15-H16</f>
        <v/>
      </c>
      <c r="I17" s="23">
        <f>I15-I16</f>
        <v/>
      </c>
      <c r="J17" s="23">
        <f>J15-J16</f>
        <v/>
      </c>
      <c r="K17" s="23">
        <f>K15-K16</f>
        <v/>
      </c>
      <c r="L17" s="23">
        <f>L15-L16</f>
        <v/>
      </c>
      <c r="M17" s="23">
        <f>M15-M16</f>
        <v/>
      </c>
      <c r="N17" s="23">
        <f>N15-N16</f>
        <v/>
      </c>
      <c r="O17" s="23">
        <f>O15-O16</f>
        <v/>
      </c>
      <c r="P17" s="23">
        <f>P15-P16</f>
        <v/>
      </c>
      <c r="Q17" s="23">
        <f>Q15-Q16</f>
        <v/>
      </c>
    </row>
    <row r="18">
      <c r="B18" s="11" t="inlineStr">
        <is>
          <t>Attributable to non-controlling interests</t>
        </is>
      </c>
      <c r="C18" s="21" t="n">
        <v>1466</v>
      </c>
      <c r="D18" s="21" t="n">
        <v>1575</v>
      </c>
      <c r="E18" s="21" t="n">
        <v>1445</v>
      </c>
      <c r="F18" s="21" t="n">
        <v>1499</v>
      </c>
      <c r="G18" s="21" t="n">
        <v>1813</v>
      </c>
      <c r="H18" s="16">
        <f>H17*Drivers!H23</f>
        <v/>
      </c>
      <c r="I18" s="16">
        <f>I17*Drivers!I23</f>
        <v/>
      </c>
      <c r="J18" s="16">
        <f>J17*Drivers!J23</f>
        <v/>
      </c>
      <c r="K18" s="16">
        <f>K17*Drivers!K23</f>
        <v/>
      </c>
      <c r="L18" s="16">
        <f>L17*Drivers!L23</f>
        <v/>
      </c>
      <c r="M18" s="16">
        <f>M17*Drivers!M23</f>
        <v/>
      </c>
      <c r="N18" s="16">
        <f>N17*Drivers!N23</f>
        <v/>
      </c>
      <c r="O18" s="16">
        <f>O17*Drivers!O23</f>
        <v/>
      </c>
      <c r="P18" s="16">
        <f>P17*Drivers!P23</f>
        <v/>
      </c>
      <c r="Q18" s="16">
        <f>Q17*Drivers!Q23</f>
        <v/>
      </c>
    </row>
    <row r="19">
      <c r="B19" s="18" t="inlineStr">
        <is>
          <t>Net income to shareholders</t>
        </is>
      </c>
      <c r="C19" s="23">
        <f>C17-C18</f>
        <v/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  <c r="M19" s="23">
        <f>M17-M18</f>
        <v/>
      </c>
      <c r="N19" s="23">
        <f>N17-N18</f>
        <v/>
      </c>
      <c r="O19" s="23">
        <f>O17-O18</f>
        <v/>
      </c>
      <c r="P19" s="23">
        <f>P17-P18</f>
        <v/>
      </c>
      <c r="Q19" s="23">
        <f>Q17-Q18</f>
        <v/>
      </c>
    </row>
    <row r="21">
      <c r="B21" s="8" t="inlineStr">
        <is>
          <t>Per share and memo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B22" s="11" t="inlineStr">
        <is>
          <t>Diluted shares</t>
        </is>
      </c>
      <c r="C22" s="24" t="n">
        <v>4487.268</v>
      </c>
      <c r="D22" s="24" t="n">
        <v>4448.693</v>
      </c>
      <c r="E22" s="24" t="n">
        <v>4418.137</v>
      </c>
      <c r="F22" s="24" t="n">
        <v>4357.25</v>
      </c>
      <c r="G22" s="24" t="n">
        <v>4310.531</v>
      </c>
      <c r="H22" s="25">
        <f>G22*(1+Drivers!H25)</f>
        <v/>
      </c>
      <c r="I22" s="25">
        <f>H22*(1+Drivers!I25)</f>
        <v/>
      </c>
      <c r="J22" s="25">
        <f>I22*(1+Drivers!J25)</f>
        <v/>
      </c>
      <c r="K22" s="25">
        <f>J22*(1+Drivers!K25)</f>
        <v/>
      </c>
      <c r="L22" s="25">
        <f>K22*(1+Drivers!L25)</f>
        <v/>
      </c>
      <c r="M22" s="25">
        <f>L22*(1+Drivers!M25)</f>
        <v/>
      </c>
      <c r="N22" s="25">
        <f>M22*(1+Drivers!N25)</f>
        <v/>
      </c>
      <c r="O22" s="25">
        <f>N22*(1+Drivers!O25)</f>
        <v/>
      </c>
      <c r="P22" s="25">
        <f>O22*(1+Drivers!P25)</f>
        <v/>
      </c>
      <c r="Q22" s="25">
        <f>P22*(1+Drivers!Q25)</f>
        <v/>
      </c>
    </row>
    <row r="23">
      <c r="B23" s="11" t="inlineStr">
        <is>
          <t>Diluted EPS</t>
        </is>
      </c>
      <c r="C23" s="26">
        <f>C19/C22</f>
        <v/>
      </c>
      <c r="D23" s="26">
        <f>D19/D22</f>
        <v/>
      </c>
      <c r="E23" s="26">
        <f>E19/E22</f>
        <v/>
      </c>
      <c r="F23" s="26">
        <f>F19/F22</f>
        <v/>
      </c>
      <c r="G23" s="26">
        <f>G19/G22</f>
        <v/>
      </c>
      <c r="H23" s="26">
        <f>H19/H22</f>
        <v/>
      </c>
      <c r="I23" s="26">
        <f>I19/I22</f>
        <v/>
      </c>
      <c r="J23" s="26">
        <f>J19/J22</f>
        <v/>
      </c>
      <c r="K23" s="26">
        <f>K19/K22</f>
        <v/>
      </c>
      <c r="L23" s="26">
        <f>L19/L22</f>
        <v/>
      </c>
      <c r="M23" s="26">
        <f>M19/M22</f>
        <v/>
      </c>
      <c r="N23" s="26">
        <f>N19/N22</f>
        <v/>
      </c>
      <c r="O23" s="26">
        <f>O19/O22</f>
        <v/>
      </c>
      <c r="P23" s="26">
        <f>P19/P22</f>
        <v/>
      </c>
      <c r="Q23" s="26">
        <f>Q19/Q22</f>
        <v/>
      </c>
    </row>
    <row r="24">
      <c r="B24" s="11" t="inlineStr">
        <is>
          <t>D&amp;A (included in costs above)</t>
        </is>
      </c>
      <c r="C24" s="21" t="n">
        <v>16126</v>
      </c>
      <c r="D24" s="21" t="n">
        <v>18038</v>
      </c>
      <c r="E24" s="21" t="n">
        <v>18929</v>
      </c>
      <c r="F24" s="21" t="n">
        <v>23051</v>
      </c>
      <c r="G24" s="21" t="n">
        <v>24838</v>
      </c>
      <c r="H24" s="16">
        <f>H7*Drivers!H10</f>
        <v/>
      </c>
      <c r="I24" s="16">
        <f>I7*Drivers!I10</f>
        <v/>
      </c>
      <c r="J24" s="16">
        <f>J7*Drivers!J10</f>
        <v/>
      </c>
      <c r="K24" s="16">
        <f>K7*Drivers!K10</f>
        <v/>
      </c>
      <c r="L24" s="16">
        <f>L7*Drivers!L10</f>
        <v/>
      </c>
      <c r="M24" s="16">
        <f>M7*Drivers!M10</f>
        <v/>
      </c>
      <c r="N24" s="16">
        <f>N7*Drivers!N10</f>
        <v/>
      </c>
      <c r="O24" s="16">
        <f>O7*Drivers!O10</f>
        <v/>
      </c>
      <c r="P24" s="16">
        <f>P7*Drivers!P10</f>
        <v/>
      </c>
      <c r="Q24" s="16">
        <f>Q7*Drivers!Q10</f>
        <v/>
      </c>
    </row>
    <row r="25">
      <c r="B25" s="18" t="inlineStr">
        <is>
          <t>EBITDA (post-IFRS 16)</t>
        </is>
      </c>
      <c r="C25" s="20">
        <f>C11+C24</f>
        <v/>
      </c>
      <c r="D25" s="20">
        <f>D11+D24</f>
        <v/>
      </c>
      <c r="E25" s="20">
        <f>E11+E24</f>
        <v/>
      </c>
      <c r="F25" s="20">
        <f>F11+F24</f>
        <v/>
      </c>
      <c r="G25" s="20">
        <f>G11+G24</f>
        <v/>
      </c>
      <c r="H25" s="20">
        <f>H11+H24</f>
        <v/>
      </c>
      <c r="I25" s="20">
        <f>I11+I24</f>
        <v/>
      </c>
      <c r="J25" s="20">
        <f>J11+J24</f>
        <v/>
      </c>
      <c r="K25" s="20">
        <f>K11+K24</f>
        <v/>
      </c>
      <c r="L25" s="20">
        <f>L11+L24</f>
        <v/>
      </c>
      <c r="M25" s="20">
        <f>M11+M24</f>
        <v/>
      </c>
      <c r="N25" s="20">
        <f>N11+N24</f>
        <v/>
      </c>
      <c r="O25" s="20">
        <f>O11+O24</f>
        <v/>
      </c>
      <c r="P25" s="20">
        <f>P11+P24</f>
        <v/>
      </c>
      <c r="Q25" s="20">
        <f>Q11+Q24</f>
        <v/>
      </c>
    </row>
    <row r="26">
      <c r="B26" s="11" t="inlineStr">
        <is>
          <t>Net income as reported (check)</t>
        </is>
      </c>
      <c r="C26" s="21" t="n">
        <v>17382</v>
      </c>
      <c r="D26" s="21" t="n">
        <v>48485</v>
      </c>
      <c r="E26" s="21" t="n">
        <v>16922</v>
      </c>
      <c r="F26" s="21" t="n">
        <v>14043</v>
      </c>
      <c r="G26" s="21" t="n">
        <v>12946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Balance sheet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Assets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Cash and equivalents</t>
        </is>
      </c>
      <c r="C7" s="21" t="n">
        <v>8748</v>
      </c>
      <c r="D7" s="21" t="n">
        <v>12313</v>
      </c>
      <c r="E7" s="21" t="n">
        <v>6353</v>
      </c>
      <c r="F7" s="21" t="n">
        <v>8057</v>
      </c>
      <c r="G7" s="21" t="n">
        <v>8535</v>
      </c>
      <c r="H7" s="22">
        <f>CF!H27</f>
        <v/>
      </c>
      <c r="I7" s="22">
        <f>CF!I27</f>
        <v/>
      </c>
      <c r="J7" s="22">
        <f>CF!J27</f>
        <v/>
      </c>
      <c r="K7" s="22">
        <f>CF!K27</f>
        <v/>
      </c>
      <c r="L7" s="22">
        <f>CF!L27</f>
        <v/>
      </c>
      <c r="M7" s="22">
        <f>CF!M27</f>
        <v/>
      </c>
      <c r="N7" s="22">
        <f>CF!N27</f>
        <v/>
      </c>
      <c r="O7" s="22">
        <f>CF!O27</f>
        <v/>
      </c>
      <c r="P7" s="22">
        <f>CF!P27</f>
        <v/>
      </c>
      <c r="Q7" s="22">
        <f>CF!Q27</f>
        <v/>
      </c>
    </row>
    <row r="8">
      <c r="B8" s="11" t="inlineStr">
        <is>
          <t>Accounts receivable</t>
        </is>
      </c>
      <c r="C8" s="21" t="n">
        <v>19184</v>
      </c>
      <c r="D8" s="21" t="n">
        <v>21600</v>
      </c>
      <c r="E8" s="21" t="n">
        <v>21268</v>
      </c>
      <c r="F8" s="21" t="n">
        <v>23555</v>
      </c>
      <c r="G8" s="21" t="n">
        <v>23784</v>
      </c>
      <c r="H8" s="22">
        <f>Schedules!H25</f>
        <v/>
      </c>
      <c r="I8" s="22">
        <f>Schedules!I25</f>
        <v/>
      </c>
      <c r="J8" s="22">
        <f>Schedules!J25</f>
        <v/>
      </c>
      <c r="K8" s="22">
        <f>Schedules!K25</f>
        <v/>
      </c>
      <c r="L8" s="22">
        <f>Schedules!L25</f>
        <v/>
      </c>
      <c r="M8" s="22">
        <f>Schedules!M25</f>
        <v/>
      </c>
      <c r="N8" s="22">
        <f>Schedules!N25</f>
        <v/>
      </c>
      <c r="O8" s="22">
        <f>Schedules!O25</f>
        <v/>
      </c>
      <c r="P8" s="22">
        <f>Schedules!P25</f>
        <v/>
      </c>
      <c r="Q8" s="22">
        <f>Schedules!Q25</f>
        <v/>
      </c>
    </row>
    <row r="9">
      <c r="B9" s="11" t="inlineStr">
        <is>
          <t>Inventories</t>
        </is>
      </c>
      <c r="C9" s="21" t="n">
        <v>13710</v>
      </c>
      <c r="D9" s="21" t="n">
        <v>16989</v>
      </c>
      <c r="E9" s="21" t="n">
        <v>16120</v>
      </c>
      <c r="F9" s="21" t="n">
        <v>18832</v>
      </c>
      <c r="G9" s="21" t="n">
        <v>17151</v>
      </c>
      <c r="H9" s="22">
        <f>Schedules!H26</f>
        <v/>
      </c>
      <c r="I9" s="22">
        <f>Schedules!I26</f>
        <v/>
      </c>
      <c r="J9" s="22">
        <f>Schedules!J26</f>
        <v/>
      </c>
      <c r="K9" s="22">
        <f>Schedules!K26</f>
        <v/>
      </c>
      <c r="L9" s="22">
        <f>Schedules!L26</f>
        <v/>
      </c>
      <c r="M9" s="22">
        <f>Schedules!M26</f>
        <v/>
      </c>
      <c r="N9" s="22">
        <f>Schedules!N26</f>
        <v/>
      </c>
      <c r="O9" s="22">
        <f>Schedules!O26</f>
        <v/>
      </c>
      <c r="P9" s="22">
        <f>Schedules!P26</f>
        <v/>
      </c>
      <c r="Q9" s="22">
        <f>Schedules!Q26</f>
        <v/>
      </c>
    </row>
    <row r="10">
      <c r="B10" s="11" t="inlineStr">
        <is>
          <t>Other current assets</t>
        </is>
      </c>
      <c r="C10" s="21" t="n">
        <v>11769</v>
      </c>
      <c r="D10" s="21" t="n">
        <v>12568</v>
      </c>
      <c r="E10" s="21" t="n">
        <v>15173</v>
      </c>
      <c r="F10" s="21" t="n">
        <v>16736</v>
      </c>
      <c r="G10" s="21" t="n">
        <v>15201</v>
      </c>
      <c r="H10" s="16">
        <f>IS!H7*Drivers!H17</f>
        <v/>
      </c>
      <c r="I10" s="16">
        <f>IS!I7*Drivers!I17</f>
        <v/>
      </c>
      <c r="J10" s="16">
        <f>IS!J7*Drivers!J17</f>
        <v/>
      </c>
      <c r="K10" s="16">
        <f>IS!K7*Drivers!K17</f>
        <v/>
      </c>
      <c r="L10" s="16">
        <f>IS!L7*Drivers!L17</f>
        <v/>
      </c>
      <c r="M10" s="16">
        <f>IS!M7*Drivers!M17</f>
        <v/>
      </c>
      <c r="N10" s="16">
        <f>IS!N7*Drivers!N17</f>
        <v/>
      </c>
      <c r="O10" s="16">
        <f>IS!O7*Drivers!O17</f>
        <v/>
      </c>
      <c r="P10" s="16">
        <f>IS!P7*Drivers!P17</f>
        <v/>
      </c>
      <c r="Q10" s="16">
        <f>IS!Q7*Drivers!Q17</f>
        <v/>
      </c>
    </row>
    <row r="11">
      <c r="B11" s="18" t="inlineStr">
        <is>
          <t>Total current assets</t>
        </is>
      </c>
      <c r="C11" s="20">
        <f>C7+C8+C9+C10</f>
        <v/>
      </c>
      <c r="D11" s="20">
        <f>D7+D8+D9+D10</f>
        <v/>
      </c>
      <c r="E11" s="20">
        <f>E7+E8+E9+E10</f>
        <v/>
      </c>
      <c r="F11" s="20">
        <f>F7+F8+F9+F10</f>
        <v/>
      </c>
      <c r="G11" s="20">
        <f>G7+G8+G9+G10</f>
        <v/>
      </c>
      <c r="H11" s="20">
        <f>H7+H8+H9+H10</f>
        <v/>
      </c>
      <c r="I11" s="20">
        <f>I7+I8+I9+I10</f>
        <v/>
      </c>
      <c r="J11" s="20">
        <f>J7+J8+J9+J10</f>
        <v/>
      </c>
      <c r="K11" s="20">
        <f>K7+K8+K9+K10</f>
        <v/>
      </c>
      <c r="L11" s="20">
        <f>L7+L8+L9+L10</f>
        <v/>
      </c>
      <c r="M11" s="20">
        <f>M7+M8+M9+M10</f>
        <v/>
      </c>
      <c r="N11" s="20">
        <f>N7+N8+N9+N10</f>
        <v/>
      </c>
      <c r="O11" s="20">
        <f>O7+O8+O9+O10</f>
        <v/>
      </c>
      <c r="P11" s="20">
        <f>P7+P8+P9+P10</f>
        <v/>
      </c>
      <c r="Q11" s="20">
        <f>Q7+Q8+Q9+Q10</f>
        <v/>
      </c>
    </row>
    <row r="12">
      <c r="B12" s="11" t="inlineStr">
        <is>
          <t>PP&amp;E and right-of-use assets, net</t>
        </is>
      </c>
      <c r="C12" s="21" t="n">
        <v>134645</v>
      </c>
      <c r="D12" s="21" t="n">
        <v>141982</v>
      </c>
      <c r="E12" s="21" t="n">
        <v>155004</v>
      </c>
      <c r="F12" s="21" t="n">
        <v>189596</v>
      </c>
      <c r="G12" s="21" t="n">
        <v>190180</v>
      </c>
      <c r="H12" s="22">
        <f>Schedules!H22</f>
        <v/>
      </c>
      <c r="I12" s="22">
        <f>Schedules!I22</f>
        <v/>
      </c>
      <c r="J12" s="22">
        <f>Schedules!J22</f>
        <v/>
      </c>
      <c r="K12" s="22">
        <f>Schedules!K22</f>
        <v/>
      </c>
      <c r="L12" s="22">
        <f>Schedules!L22</f>
        <v/>
      </c>
      <c r="M12" s="22">
        <f>Schedules!M22</f>
        <v/>
      </c>
      <c r="N12" s="22">
        <f>Schedules!N22</f>
        <v/>
      </c>
      <c r="O12" s="22">
        <f>Schedules!O22</f>
        <v/>
      </c>
      <c r="P12" s="22">
        <f>Schedules!P22</f>
        <v/>
      </c>
      <c r="Q12" s="22">
        <f>Schedules!Q22</f>
        <v/>
      </c>
    </row>
    <row r="13">
      <c r="B13" s="11" t="inlineStr">
        <is>
          <t>Intangibles and goodwill</t>
        </is>
      </c>
      <c r="C13" s="21" t="n">
        <v>131530</v>
      </c>
      <c r="D13" s="21" t="n">
        <v>127147</v>
      </c>
      <c r="E13" s="21" t="n">
        <v>117101</v>
      </c>
      <c r="F13" s="21" t="n">
        <v>140908</v>
      </c>
      <c r="G13" s="21" t="n">
        <v>135515</v>
      </c>
      <c r="H13" s="16">
        <f>G13-Schedules!H15</f>
        <v/>
      </c>
      <c r="I13" s="16">
        <f>H13-Schedules!I15</f>
        <v/>
      </c>
      <c r="J13" s="16">
        <f>I13-Schedules!J15</f>
        <v/>
      </c>
      <c r="K13" s="16">
        <f>J13-Schedules!K15</f>
        <v/>
      </c>
      <c r="L13" s="16">
        <f>K13-Schedules!L15</f>
        <v/>
      </c>
      <c r="M13" s="16">
        <f>L13-Schedules!M15</f>
        <v/>
      </c>
      <c r="N13" s="16">
        <f>M13-Schedules!N15</f>
        <v/>
      </c>
      <c r="O13" s="16">
        <f>N13-Schedules!O15</f>
        <v/>
      </c>
      <c r="P13" s="16">
        <f>O13-Schedules!P15</f>
        <v/>
      </c>
      <c r="Q13" s="16">
        <f>P13-Schedules!Q15</f>
        <v/>
      </c>
    </row>
    <row r="14">
      <c r="B14" s="11" t="inlineStr">
        <is>
          <t>Other non-current assets</t>
        </is>
      </c>
      <c r="C14" s="21" t="n">
        <v>18054</v>
      </c>
      <c r="D14" s="21" t="n">
        <v>15165</v>
      </c>
      <c r="E14" s="21" t="n">
        <v>17083</v>
      </c>
      <c r="F14" s="21" t="n">
        <v>19120</v>
      </c>
      <c r="G14" s="21" t="n">
        <v>19439</v>
      </c>
      <c r="H14" s="16">
        <f>G14</f>
        <v/>
      </c>
      <c r="I14" s="16">
        <f>H14</f>
        <v/>
      </c>
      <c r="J14" s="16">
        <f>I14</f>
        <v/>
      </c>
      <c r="K14" s="16">
        <f>J14</f>
        <v/>
      </c>
      <c r="L14" s="16">
        <f>K14</f>
        <v/>
      </c>
      <c r="M14" s="16">
        <f>L14</f>
        <v/>
      </c>
      <c r="N14" s="16">
        <f>M14</f>
        <v/>
      </c>
      <c r="O14" s="16">
        <f>N14</f>
        <v/>
      </c>
      <c r="P14" s="16">
        <f>O14</f>
        <v/>
      </c>
      <c r="Q14" s="16">
        <f>P14</f>
        <v/>
      </c>
    </row>
    <row r="15">
      <c r="B15" s="18" t="inlineStr">
        <is>
          <t>Total assets</t>
        </is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  <c r="G15" s="23">
        <f>G11+G12+G13+G14</f>
        <v/>
      </c>
      <c r="H15" s="23">
        <f>H11+H12+H13+H14</f>
        <v/>
      </c>
      <c r="I15" s="23">
        <f>I11+I12+I13+I14</f>
        <v/>
      </c>
      <c r="J15" s="23">
        <f>J11+J12+J13+J14</f>
        <v/>
      </c>
      <c r="K15" s="23">
        <f>K11+K12+K13+K14</f>
        <v/>
      </c>
      <c r="L15" s="23">
        <f>L11+L12+L13+L14</f>
        <v/>
      </c>
      <c r="M15" s="23">
        <f>M11+M12+M13+M14</f>
        <v/>
      </c>
      <c r="N15" s="23">
        <f>N11+N12+N13+N14</f>
        <v/>
      </c>
      <c r="O15" s="23">
        <f>O11+O12+O13+O14</f>
        <v/>
      </c>
      <c r="P15" s="23">
        <f>P11+P12+P13+P14</f>
        <v/>
      </c>
      <c r="Q15" s="23">
        <f>Q11+Q12+Q13+Q14</f>
        <v/>
      </c>
    </row>
    <row r="17">
      <c r="B17" s="8" t="inlineStr">
        <is>
          <t>Liabilities and equity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Accounts payable</t>
        </is>
      </c>
      <c r="C18" s="21" t="n">
        <v>35752</v>
      </c>
      <c r="D18" s="21" t="n">
        <v>44058</v>
      </c>
      <c r="E18" s="21" t="n">
        <v>40409</v>
      </c>
      <c r="F18" s="21" t="n">
        <v>40815</v>
      </c>
      <c r="G18" s="21" t="n">
        <v>39074</v>
      </c>
      <c r="H18" s="22">
        <f>Schedules!H27</f>
        <v/>
      </c>
      <c r="I18" s="22">
        <f>Schedules!I27</f>
        <v/>
      </c>
      <c r="J18" s="22">
        <f>Schedules!J27</f>
        <v/>
      </c>
      <c r="K18" s="22">
        <f>Schedules!K27</f>
        <v/>
      </c>
      <c r="L18" s="22">
        <f>Schedules!L27</f>
        <v/>
      </c>
      <c r="M18" s="22">
        <f>Schedules!M27</f>
        <v/>
      </c>
      <c r="N18" s="22">
        <f>Schedules!N27</f>
        <v/>
      </c>
      <c r="O18" s="22">
        <f>Schedules!O27</f>
        <v/>
      </c>
      <c r="P18" s="22">
        <f>Schedules!P27</f>
        <v/>
      </c>
      <c r="Q18" s="22">
        <f>Schedules!Q27</f>
        <v/>
      </c>
    </row>
    <row r="19">
      <c r="B19" s="11" t="inlineStr">
        <is>
          <t>Other current liabilities</t>
        </is>
      </c>
      <c r="C19" s="21" t="n">
        <v>28590</v>
      </c>
      <c r="D19" s="21" t="n">
        <v>33311</v>
      </c>
      <c r="E19" s="21" t="n">
        <v>28100</v>
      </c>
      <c r="F19" s="21" t="n">
        <v>32338</v>
      </c>
      <c r="G19" s="21" t="n">
        <v>31788</v>
      </c>
      <c r="H19" s="16">
        <f>IS!H7*Drivers!H18</f>
        <v/>
      </c>
      <c r="I19" s="16">
        <f>IS!I7*Drivers!I18</f>
        <v/>
      </c>
      <c r="J19" s="16">
        <f>IS!J7*Drivers!J18</f>
        <v/>
      </c>
      <c r="K19" s="16">
        <f>IS!K7*Drivers!K18</f>
        <v/>
      </c>
      <c r="L19" s="16">
        <f>IS!L7*Drivers!L18</f>
        <v/>
      </c>
      <c r="M19" s="16">
        <f>IS!M7*Drivers!M18</f>
        <v/>
      </c>
      <c r="N19" s="16">
        <f>IS!N7*Drivers!N18</f>
        <v/>
      </c>
      <c r="O19" s="16">
        <f>IS!O7*Drivers!O18</f>
        <v/>
      </c>
      <c r="P19" s="16">
        <f>IS!P7*Drivers!P18</f>
        <v/>
      </c>
      <c r="Q19" s="16">
        <f>IS!Q7*Drivers!Q18</f>
        <v/>
      </c>
    </row>
    <row r="20">
      <c r="B20" s="11" t="inlineStr">
        <is>
          <t>Short-term debt</t>
        </is>
      </c>
      <c r="C20" s="21" t="n">
        <v>10625</v>
      </c>
      <c r="D20" s="21" t="n">
        <v>6435</v>
      </c>
      <c r="E20" s="21" t="n">
        <v>12932</v>
      </c>
      <c r="F20" s="21" t="n">
        <v>4862</v>
      </c>
      <c r="G20" s="21" t="n">
        <v>12635</v>
      </c>
      <c r="H20" s="16">
        <f>G20</f>
        <v/>
      </c>
      <c r="I20" s="16">
        <f>H20</f>
        <v/>
      </c>
      <c r="J20" s="16">
        <f>I20</f>
        <v/>
      </c>
      <c r="K20" s="16">
        <f>J20</f>
        <v/>
      </c>
      <c r="L20" s="16">
        <f>K20</f>
        <v/>
      </c>
      <c r="M20" s="16">
        <f>L20</f>
        <v/>
      </c>
      <c r="N20" s="16">
        <f>M20</f>
        <v/>
      </c>
      <c r="O20" s="16">
        <f>N20</f>
        <v/>
      </c>
      <c r="P20" s="16">
        <f>O20</f>
        <v/>
      </c>
      <c r="Q20" s="16">
        <f>P20</f>
        <v/>
      </c>
    </row>
    <row r="21">
      <c r="B21" s="11" t="inlineStr">
        <is>
          <t>Revolving credit facility</t>
        </is>
      </c>
      <c r="C21" s="16">
        <f>0</f>
        <v/>
      </c>
      <c r="D21" s="16">
        <f>0</f>
        <v/>
      </c>
      <c r="E21" s="16">
        <f>0</f>
        <v/>
      </c>
      <c r="F21" s="16">
        <f>0</f>
        <v/>
      </c>
      <c r="G21" s="16">
        <f>0</f>
        <v/>
      </c>
      <c r="H21" s="22">
        <f>Schedules!H35</f>
        <v/>
      </c>
      <c r="I21" s="22">
        <f>Schedules!I35</f>
        <v/>
      </c>
      <c r="J21" s="22">
        <f>Schedules!J35</f>
        <v/>
      </c>
      <c r="K21" s="22">
        <f>Schedules!K35</f>
        <v/>
      </c>
      <c r="L21" s="22">
        <f>Schedules!L35</f>
        <v/>
      </c>
      <c r="M21" s="22">
        <f>Schedules!M35</f>
        <v/>
      </c>
      <c r="N21" s="22">
        <f>Schedules!N35</f>
        <v/>
      </c>
      <c r="O21" s="22">
        <f>Schedules!O35</f>
        <v/>
      </c>
      <c r="P21" s="22">
        <f>Schedules!P35</f>
        <v/>
      </c>
      <c r="Q21" s="22">
        <f>Schedules!Q35</f>
        <v/>
      </c>
    </row>
    <row r="22">
      <c r="B22" s="18" t="inlineStr">
        <is>
          <t>Total current liabilities</t>
        </is>
      </c>
      <c r="C22" s="20">
        <f>C18+C19+C20+C21</f>
        <v/>
      </c>
      <c r="D22" s="20">
        <f>D18+D19+D20+D21</f>
        <v/>
      </c>
      <c r="E22" s="20">
        <f>E18+E19+E20+E21</f>
        <v/>
      </c>
      <c r="F22" s="20">
        <f>F18+F19+F20+F21</f>
        <v/>
      </c>
      <c r="G22" s="20">
        <f>G18+G19+G20+G21</f>
        <v/>
      </c>
      <c r="H22" s="20">
        <f>H18+H19+H20+H21</f>
        <v/>
      </c>
      <c r="I22" s="20">
        <f>I18+I19+I20+I21</f>
        <v/>
      </c>
      <c r="J22" s="20">
        <f>J18+J19+J20+J21</f>
        <v/>
      </c>
      <c r="K22" s="20">
        <f>K18+K19+K20+K21</f>
        <v/>
      </c>
      <c r="L22" s="20">
        <f>L18+L19+L20+L21</f>
        <v/>
      </c>
      <c r="M22" s="20">
        <f>M18+M19+M20+M21</f>
        <v/>
      </c>
      <c r="N22" s="20">
        <f>N18+N19+N20+N21</f>
        <v/>
      </c>
      <c r="O22" s="20">
        <f>O18+O19+O20+O21</f>
        <v/>
      </c>
      <c r="P22" s="20">
        <f>P18+P19+P20+P21</f>
        <v/>
      </c>
      <c r="Q22" s="20">
        <f>Q18+Q19+Q20+Q21</f>
        <v/>
      </c>
    </row>
    <row r="23">
      <c r="B23" s="11" t="inlineStr">
        <is>
          <t>Long-term debt</t>
        </is>
      </c>
      <c r="C23" s="21" t="n">
        <v>82230</v>
      </c>
      <c r="D23" s="21" t="n">
        <v>77619</v>
      </c>
      <c r="E23" s="21" t="n">
        <v>97003</v>
      </c>
      <c r="F23" s="21" t="n">
        <v>146043</v>
      </c>
      <c r="G23" s="21" t="n">
        <v>141028</v>
      </c>
      <c r="H23" s="22">
        <f>Schedules!H32</f>
        <v/>
      </c>
      <c r="I23" s="22">
        <f>Schedules!I32</f>
        <v/>
      </c>
      <c r="J23" s="22">
        <f>Schedules!J32</f>
        <v/>
      </c>
      <c r="K23" s="22">
        <f>Schedules!K32</f>
        <v/>
      </c>
      <c r="L23" s="22">
        <f>Schedules!L32</f>
        <v/>
      </c>
      <c r="M23" s="22">
        <f>Schedules!M32</f>
        <v/>
      </c>
      <c r="N23" s="22">
        <f>Schedules!N32</f>
        <v/>
      </c>
      <c r="O23" s="22">
        <f>Schedules!O32</f>
        <v/>
      </c>
      <c r="P23" s="22">
        <f>Schedules!P32</f>
        <v/>
      </c>
      <c r="Q23" s="22">
        <f>Schedules!Q32</f>
        <v/>
      </c>
    </row>
    <row r="24">
      <c r="B24" s="11" t="inlineStr">
        <is>
          <t>Lease liabilities</t>
        </is>
      </c>
      <c r="C24" s="21" t="n">
        <v>31149</v>
      </c>
      <c r="D24" s="21" t="n">
        <v>29185</v>
      </c>
      <c r="E24" s="21" t="n">
        <v>26815</v>
      </c>
      <c r="F24" s="21" t="n">
        <v>35801</v>
      </c>
      <c r="G24" s="21" t="n">
        <v>34790</v>
      </c>
      <c r="H24" s="16">
        <f>G24</f>
        <v/>
      </c>
      <c r="I24" s="16">
        <f>H24</f>
        <v/>
      </c>
      <c r="J24" s="16">
        <f>I24</f>
        <v/>
      </c>
      <c r="K24" s="16">
        <f>J24</f>
        <v/>
      </c>
      <c r="L24" s="16">
        <f>K24</f>
        <v/>
      </c>
      <c r="M24" s="16">
        <f>L24</f>
        <v/>
      </c>
      <c r="N24" s="16">
        <f>M24</f>
        <v/>
      </c>
      <c r="O24" s="16">
        <f>N24</f>
        <v/>
      </c>
      <c r="P24" s="16">
        <f>O24</f>
        <v/>
      </c>
      <c r="Q24" s="16">
        <f>P24</f>
        <v/>
      </c>
    </row>
    <row r="25">
      <c r="B25" s="11" t="inlineStr">
        <is>
          <t>Other non-current liabilities</t>
        </is>
      </c>
      <c r="C25" s="21" t="n">
        <v>47688</v>
      </c>
      <c r="D25" s="21" t="n">
        <v>29554</v>
      </c>
      <c r="E25" s="21" t="n">
        <v>31215</v>
      </c>
      <c r="F25" s="21" t="n">
        <v>29247</v>
      </c>
      <c r="G25" s="21" t="n">
        <v>30235</v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  <c r="O25" s="16">
        <f>N25</f>
        <v/>
      </c>
      <c r="P25" s="16">
        <f>O25</f>
        <v/>
      </c>
      <c r="Q25" s="16">
        <f>P25</f>
        <v/>
      </c>
    </row>
    <row r="26">
      <c r="B26" s="18" t="inlineStr">
        <is>
          <t>Total liabilities</t>
        </is>
      </c>
      <c r="C26" s="20">
        <f>C22+C23+C24+C25</f>
        <v/>
      </c>
      <c r="D26" s="20">
        <f>D22+D23+D24+D25</f>
        <v/>
      </c>
      <c r="E26" s="20">
        <f>E22+E23+E24+E25</f>
        <v/>
      </c>
      <c r="F26" s="20">
        <f>F22+F23+F24+F25</f>
        <v/>
      </c>
      <c r="G26" s="20">
        <f>G22+G23+G24+G25</f>
        <v/>
      </c>
      <c r="H26" s="20">
        <f>H22+H23+H24+H25</f>
        <v/>
      </c>
      <c r="I26" s="20">
        <f>I22+I23+I24+I25</f>
        <v/>
      </c>
      <c r="J26" s="20">
        <f>J22+J23+J24+J25</f>
        <v/>
      </c>
      <c r="K26" s="20">
        <f>K22+K23+K24+K25</f>
        <v/>
      </c>
      <c r="L26" s="20">
        <f>L22+L23+L24+L25</f>
        <v/>
      </c>
      <c r="M26" s="20">
        <f>M22+M23+M24+M25</f>
        <v/>
      </c>
      <c r="N26" s="20">
        <f>N22+N23+N24+N25</f>
        <v/>
      </c>
      <c r="O26" s="20">
        <f>O22+O23+O24+O25</f>
        <v/>
      </c>
      <c r="P26" s="20">
        <f>P22+P23+P24+P25</f>
        <v/>
      </c>
      <c r="Q26" s="20">
        <f>Q22+Q23+Q24+Q25</f>
        <v/>
      </c>
    </row>
    <row r="27">
      <c r="B27" s="11" t="inlineStr">
        <is>
          <t>Shareholders' equity</t>
        </is>
      </c>
      <c r="C27" s="21" t="n">
        <v>97100</v>
      </c>
      <c r="D27" s="21" t="n">
        <v>124111</v>
      </c>
      <c r="E27" s="21" t="n">
        <v>108322</v>
      </c>
      <c r="F27" s="21" t="n">
        <v>125944</v>
      </c>
      <c r="G27" s="21" t="n">
        <v>119512</v>
      </c>
      <c r="H27" s="16">
        <f>G27+IS!H19-CF!H18</f>
        <v/>
      </c>
      <c r="I27" s="16">
        <f>H27+IS!I19-CF!I18</f>
        <v/>
      </c>
      <c r="J27" s="16">
        <f>I27+IS!J19-CF!J18</f>
        <v/>
      </c>
      <c r="K27" s="16">
        <f>J27+IS!K19-CF!K18</f>
        <v/>
      </c>
      <c r="L27" s="16">
        <f>K27+IS!L19-CF!L18</f>
        <v/>
      </c>
      <c r="M27" s="16">
        <f>L27+IS!M19-CF!M18</f>
        <v/>
      </c>
      <c r="N27" s="16">
        <f>M27+IS!N19-CF!N18</f>
        <v/>
      </c>
      <c r="O27" s="16">
        <f>N27+IS!O19-CF!O18</f>
        <v/>
      </c>
      <c r="P27" s="16">
        <f>O27+IS!P19-CF!P18</f>
        <v/>
      </c>
      <c r="Q27" s="16">
        <f>P27+IS!Q19-CF!Q18</f>
        <v/>
      </c>
    </row>
    <row r="28">
      <c r="B28" s="11" t="inlineStr">
        <is>
          <t>Non-controlling interests</t>
        </is>
      </c>
      <c r="C28" s="21" t="n">
        <v>4506</v>
      </c>
      <c r="D28" s="21" t="n">
        <v>3491</v>
      </c>
      <c r="E28" s="21" t="n">
        <v>3306</v>
      </c>
      <c r="F28" s="21" t="n">
        <v>1754</v>
      </c>
      <c r="G28" s="21" t="n">
        <v>743</v>
      </c>
      <c r="H28" s="16">
        <f>G28+IS!H18-CF!H20</f>
        <v/>
      </c>
      <c r="I28" s="16">
        <f>H28+IS!I18-CF!I20</f>
        <v/>
      </c>
      <c r="J28" s="16">
        <f>I28+IS!J18-CF!J20</f>
        <v/>
      </c>
      <c r="K28" s="16">
        <f>J28+IS!K18-CF!K20</f>
        <v/>
      </c>
      <c r="L28" s="16">
        <f>K28+IS!L18-CF!L20</f>
        <v/>
      </c>
      <c r="M28" s="16">
        <f>L28+IS!M18-CF!M20</f>
        <v/>
      </c>
      <c r="N28" s="16">
        <f>M28+IS!N18-CF!N20</f>
        <v/>
      </c>
      <c r="O28" s="16">
        <f>N28+IS!O18-CF!O20</f>
        <v/>
      </c>
      <c r="P28" s="16">
        <f>O28+IS!P18-CF!P20</f>
        <v/>
      </c>
      <c r="Q28" s="16">
        <f>P28+IS!Q18-CF!Q20</f>
        <v/>
      </c>
    </row>
    <row r="29">
      <c r="B29" s="18" t="inlineStr">
        <is>
          <t>Total equity</t>
        </is>
      </c>
      <c r="C29" s="20">
        <f>C27+C28</f>
        <v/>
      </c>
      <c r="D29" s="20">
        <f>D27+D28</f>
        <v/>
      </c>
      <c r="E29" s="20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20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</row>
    <row r="30">
      <c r="B30" s="18" t="inlineStr">
        <is>
          <t>Total liabilities and equity</t>
        </is>
      </c>
      <c r="C30" s="23">
        <f>C26+C29</f>
        <v/>
      </c>
      <c r="D30" s="23">
        <f>D26+D29</f>
        <v/>
      </c>
      <c r="E30" s="23">
        <f>E26+E29</f>
        <v/>
      </c>
      <c r="F30" s="23">
        <f>F26+F29</f>
        <v/>
      </c>
      <c r="G30" s="23">
        <f>G26+G29</f>
        <v/>
      </c>
      <c r="H30" s="23">
        <f>H26+H29</f>
        <v/>
      </c>
      <c r="I30" s="23">
        <f>I26+I29</f>
        <v/>
      </c>
      <c r="J30" s="23">
        <f>J26+J29</f>
        <v/>
      </c>
      <c r="K30" s="23">
        <f>K26+K29</f>
        <v/>
      </c>
      <c r="L30" s="23">
        <f>L26+L29</f>
        <v/>
      </c>
      <c r="M30" s="23">
        <f>M26+M29</f>
        <v/>
      </c>
      <c r="N30" s="23">
        <f>N26+N29</f>
        <v/>
      </c>
      <c r="O30" s="23">
        <f>O26+O29</f>
        <v/>
      </c>
      <c r="P30" s="23">
        <f>P26+P29</f>
        <v/>
      </c>
      <c r="Q30" s="23">
        <f>Q26+Q29</f>
        <v/>
      </c>
    </row>
    <row r="32">
      <c r="B32" s="8" t="inlineStr">
        <is>
          <t>Memo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11" t="inlineStr">
        <is>
          <t>Total debt incl. leases and revolver</t>
        </is>
      </c>
      <c r="C33" s="16">
        <f>C20+C21+C23+C24</f>
        <v/>
      </c>
      <c r="D33" s="16">
        <f>D20+D21+D23+D24</f>
        <v/>
      </c>
      <c r="E33" s="16">
        <f>E20+E21+E23+E24</f>
        <v/>
      </c>
      <c r="F33" s="16">
        <f>F20+F21+F23+F24</f>
        <v/>
      </c>
      <c r="G33" s="16">
        <f>G20+G21+G23+G24</f>
        <v/>
      </c>
      <c r="H33" s="16">
        <f>H20+H21+H23+H24</f>
        <v/>
      </c>
      <c r="I33" s="16">
        <f>I20+I21+I23+I24</f>
        <v/>
      </c>
      <c r="J33" s="16">
        <f>J20+J21+J23+J24</f>
        <v/>
      </c>
      <c r="K33" s="16">
        <f>K20+K21+K23+K24</f>
        <v/>
      </c>
      <c r="L33" s="16">
        <f>L20+L21+L23+L24</f>
        <v/>
      </c>
      <c r="M33" s="16">
        <f>M20+M21+M23+M24</f>
        <v/>
      </c>
      <c r="N33" s="16">
        <f>N20+N21+N23+N24</f>
        <v/>
      </c>
      <c r="O33" s="16">
        <f>O20+O21+O23+O24</f>
        <v/>
      </c>
      <c r="P33" s="16">
        <f>P20+P21+P23+P24</f>
        <v/>
      </c>
      <c r="Q33" s="16">
        <f>Q20+Q21+Q23+Q24</f>
        <v/>
      </c>
    </row>
    <row r="34">
      <c r="B34" s="11" t="inlineStr">
        <is>
          <t>Net debt</t>
        </is>
      </c>
      <c r="C34" s="16">
        <f>C33-C7</f>
        <v/>
      </c>
      <c r="D34" s="16">
        <f>D33-D7</f>
        <v/>
      </c>
      <c r="E34" s="16">
        <f>E33-E7</f>
        <v/>
      </c>
      <c r="F34" s="16">
        <f>F33-F7</f>
        <v/>
      </c>
      <c r="G34" s="16">
        <f>G33-G7</f>
        <v/>
      </c>
      <c r="H34" s="16">
        <f>H33-H7</f>
        <v/>
      </c>
      <c r="I34" s="16">
        <f>I33-I7</f>
        <v/>
      </c>
      <c r="J34" s="16">
        <f>J33-J7</f>
        <v/>
      </c>
      <c r="K34" s="16">
        <f>K33-K7</f>
        <v/>
      </c>
      <c r="L34" s="16">
        <f>L33-L7</f>
        <v/>
      </c>
      <c r="M34" s="16">
        <f>M33-M7</f>
        <v/>
      </c>
      <c r="N34" s="16">
        <f>N33-N7</f>
        <v/>
      </c>
      <c r="O34" s="16">
        <f>O33-O7</f>
        <v/>
      </c>
      <c r="P34" s="16">
        <f>P33-P7</f>
        <v/>
      </c>
      <c r="Q34" s="16">
        <f>Q33-Q7</f>
        <v/>
      </c>
    </row>
    <row r="35">
      <c r="B35" s="11" t="inlineStr">
        <is>
          <t>Total assets as reported (check)</t>
        </is>
      </c>
      <c r="C35" s="21" t="n">
        <v>337640</v>
      </c>
      <c r="D35" s="21" t="n">
        <v>347764</v>
      </c>
      <c r="E35" s="21" t="n">
        <v>348102</v>
      </c>
      <c r="F35" s="21" t="n">
        <v>416804</v>
      </c>
      <c r="G35" s="21" t="n">
        <v>409805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Cash flow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activities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Net income</t>
        </is>
      </c>
      <c r="H7" s="22">
        <f>IS!H17</f>
        <v/>
      </c>
      <c r="I7" s="22">
        <f>IS!I17</f>
        <v/>
      </c>
      <c r="J7" s="22">
        <f>IS!J17</f>
        <v/>
      </c>
      <c r="K7" s="22">
        <f>IS!K17</f>
        <v/>
      </c>
      <c r="L7" s="22">
        <f>IS!L17</f>
        <v/>
      </c>
      <c r="M7" s="22">
        <f>IS!M17</f>
        <v/>
      </c>
      <c r="N7" s="22">
        <f>IS!N17</f>
        <v/>
      </c>
      <c r="O7" s="22">
        <f>IS!O17</f>
        <v/>
      </c>
      <c r="P7" s="22">
        <f>IS!P17</f>
        <v/>
      </c>
      <c r="Q7" s="22">
        <f>IS!Q17</f>
        <v/>
      </c>
    </row>
    <row r="8">
      <c r="B8" s="11" t="inlineStr">
        <is>
          <t>D&amp;A</t>
        </is>
      </c>
      <c r="H8" s="22">
        <f>IS!H24</f>
        <v/>
      </c>
      <c r="I8" s="22">
        <f>IS!I24</f>
        <v/>
      </c>
      <c r="J8" s="22">
        <f>IS!J24</f>
        <v/>
      </c>
      <c r="K8" s="22">
        <f>IS!K24</f>
        <v/>
      </c>
      <c r="L8" s="22">
        <f>IS!L24</f>
        <v/>
      </c>
      <c r="M8" s="22">
        <f>IS!M24</f>
        <v/>
      </c>
      <c r="N8" s="22">
        <f>IS!N24</f>
        <v/>
      </c>
      <c r="O8" s="22">
        <f>IS!O24</f>
        <v/>
      </c>
      <c r="P8" s="22">
        <f>IS!P24</f>
        <v/>
      </c>
      <c r="Q8" s="22">
        <f>IS!Q24</f>
        <v/>
      </c>
    </row>
    <row r="9">
      <c r="B9" s="11" t="inlineStr">
        <is>
          <t>Change in working capital</t>
        </is>
      </c>
      <c r="D9" s="16">
        <f>-(BS!D8-BS!C8+BS!D9-BS!C9+BS!D10-BS!C10-(BS!D18-BS!C18)-(BS!D19-BS!C19))</f>
        <v/>
      </c>
      <c r="E9" s="16">
        <f>-(BS!E8-BS!D8+BS!E9-BS!D9+BS!E10-BS!D10-(BS!E18-BS!D18)-(BS!E19-BS!D19))</f>
        <v/>
      </c>
      <c r="F9" s="16">
        <f>-(BS!F8-BS!E8+BS!F9-BS!E9+BS!F10-BS!E10-(BS!F18-BS!E18)-(BS!F19-BS!E19))</f>
        <v/>
      </c>
      <c r="G9" s="16">
        <f>-(BS!G8-BS!F8+BS!G9-BS!F9+BS!G10-BS!F10-(BS!G18-BS!F18)-(BS!G19-BS!F19))</f>
        <v/>
      </c>
      <c r="H9" s="16">
        <f>-(BS!H8-BS!G8+BS!H9-BS!G9+BS!H10-BS!G10-(BS!H18-BS!G18)-(BS!H19-BS!G19))</f>
        <v/>
      </c>
      <c r="I9" s="16">
        <f>-(BS!I8-BS!H8+BS!I9-BS!H9+BS!I10-BS!H10-(BS!I18-BS!H18)-(BS!I19-BS!H19))</f>
        <v/>
      </c>
      <c r="J9" s="16">
        <f>-(BS!J8-BS!I8+BS!J9-BS!I9+BS!J10-BS!I10-(BS!J18-BS!I18)-(BS!J19-BS!I19))</f>
        <v/>
      </c>
      <c r="K9" s="16">
        <f>-(BS!K8-BS!J8+BS!K9-BS!J9+BS!K10-BS!J10-(BS!K18-BS!J18)-(BS!K19-BS!J19))</f>
        <v/>
      </c>
      <c r="L9" s="16">
        <f>-(BS!L8-BS!K8+BS!L9-BS!K9+BS!L10-BS!K10-(BS!L18-BS!K18)-(BS!L19-BS!K19))</f>
        <v/>
      </c>
      <c r="M9" s="16">
        <f>-(BS!M8-BS!L8+BS!M9-BS!L9+BS!M10-BS!L10-(BS!M18-BS!L18)-(BS!M19-BS!L19))</f>
        <v/>
      </c>
      <c r="N9" s="16">
        <f>-(BS!N8-BS!M8+BS!N9-BS!M9+BS!N10-BS!M10-(BS!N18-BS!M18)-(BS!N19-BS!M19))</f>
        <v/>
      </c>
      <c r="O9" s="16">
        <f>-(BS!O8-BS!N8+BS!O9-BS!N9+BS!O10-BS!N10-(BS!O18-BS!N18)-(BS!O19-BS!N19))</f>
        <v/>
      </c>
      <c r="P9" s="16">
        <f>-(BS!P8-BS!O8+BS!P9-BS!O9+BS!P10-BS!O10-(BS!P18-BS!O18)-(BS!P19-BS!O19))</f>
        <v/>
      </c>
      <c r="Q9" s="16">
        <f>-(BS!Q8-BS!P8+BS!Q9-BS!P9+BS!Q10-BS!P10-(BS!Q18-BS!P18)-(BS!Q19-BS!P19))</f>
        <v/>
      </c>
    </row>
    <row r="10">
      <c r="B10" s="18" t="inlineStr">
        <is>
          <t>Cash flow from operations</t>
        </is>
      </c>
      <c r="C10" s="19" t="n">
        <v>45776</v>
      </c>
      <c r="D10" s="19" t="n">
        <v>38851</v>
      </c>
      <c r="E10" s="19" t="n">
        <v>31411</v>
      </c>
      <c r="F10" s="19" t="n">
        <v>39907</v>
      </c>
      <c r="G10" s="19" t="n">
        <v>47753</v>
      </c>
      <c r="H10" s="20">
        <f>H7+H8+H9</f>
        <v/>
      </c>
      <c r="I10" s="20">
        <f>I7+I8+I9</f>
        <v/>
      </c>
      <c r="J10" s="20">
        <f>J7+J8+J9</f>
        <v/>
      </c>
      <c r="K10" s="20">
        <f>K7+K8+K9</f>
        <v/>
      </c>
      <c r="L10" s="20">
        <f>L7+L8+L9</f>
        <v/>
      </c>
      <c r="M10" s="20">
        <f>M7+M8+M9</f>
        <v/>
      </c>
      <c r="N10" s="20">
        <f>N7+N8+N9</f>
        <v/>
      </c>
      <c r="O10" s="20">
        <f>O7+O8+O9</f>
        <v/>
      </c>
      <c r="P10" s="20">
        <f>P7+P8+P9</f>
        <v/>
      </c>
      <c r="Q10" s="20">
        <f>Q7+Q8+Q9</f>
        <v/>
      </c>
    </row>
    <row r="12">
      <c r="B12" s="8" t="inlineStr">
        <is>
          <t>Investing activities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Capital expenditures</t>
        </is>
      </c>
      <c r="C13" s="21" t="n">
        <v>21293</v>
      </c>
      <c r="D13" s="21" t="n">
        <v>29467</v>
      </c>
      <c r="E13" s="21" t="n">
        <v>35672</v>
      </c>
      <c r="F13" s="21" t="n">
        <v>30174</v>
      </c>
      <c r="G13" s="21" t="n">
        <v>22841</v>
      </c>
      <c r="H13" s="16">
        <f>IS!H7*Drivers!H12</f>
        <v/>
      </c>
      <c r="I13" s="16">
        <f>IS!I7*Drivers!I12</f>
        <v/>
      </c>
      <c r="J13" s="16">
        <f>IS!J7*Drivers!J12</f>
        <v/>
      </c>
      <c r="K13" s="16">
        <f>IS!K7*Drivers!K12</f>
        <v/>
      </c>
      <c r="L13" s="16">
        <f>IS!L7*Drivers!L12</f>
        <v/>
      </c>
      <c r="M13" s="16">
        <f>IS!M7*Drivers!M12</f>
        <v/>
      </c>
      <c r="N13" s="16">
        <f>IS!N7*Drivers!N12</f>
        <v/>
      </c>
      <c r="O13" s="16">
        <f>IS!O7*Drivers!O12</f>
        <v/>
      </c>
      <c r="P13" s="16">
        <f>IS!P7*Drivers!P12</f>
        <v/>
      </c>
      <c r="Q13" s="16">
        <f>IS!Q7*Drivers!Q12</f>
        <v/>
      </c>
    </row>
    <row r="14">
      <c r="B14" s="18" t="inlineStr">
        <is>
          <t>Cash flow from investing</t>
        </is>
      </c>
      <c r="H14" s="20">
        <f>-H13</f>
        <v/>
      </c>
      <c r="I14" s="20">
        <f>-I13</f>
        <v/>
      </c>
      <c r="J14" s="20">
        <f>-J13</f>
        <v/>
      </c>
      <c r="K14" s="20">
        <f>-K13</f>
        <v/>
      </c>
      <c r="L14" s="20">
        <f>-L13</f>
        <v/>
      </c>
      <c r="M14" s="20">
        <f>-M13</f>
        <v/>
      </c>
      <c r="N14" s="20">
        <f>-N13</f>
        <v/>
      </c>
      <c r="O14" s="20">
        <f>-O13</f>
        <v/>
      </c>
      <c r="P14" s="20">
        <f>-P13</f>
        <v/>
      </c>
      <c r="Q14" s="20">
        <f>-Q13</f>
        <v/>
      </c>
    </row>
    <row r="16">
      <c r="B16" s="8" t="inlineStr">
        <is>
          <t>Financing activities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11" t="inlineStr">
        <is>
          <t>Net debt issued / (repaid)</t>
        </is>
      </c>
      <c r="H17" s="22">
        <f>Schedules!H31</f>
        <v/>
      </c>
      <c r="I17" s="22">
        <f>Schedules!I31</f>
        <v/>
      </c>
      <c r="J17" s="22">
        <f>Schedules!J31</f>
        <v/>
      </c>
      <c r="K17" s="22">
        <f>Schedules!K31</f>
        <v/>
      </c>
      <c r="L17" s="22">
        <f>Schedules!L31</f>
        <v/>
      </c>
      <c r="M17" s="22">
        <f>Schedules!M31</f>
        <v/>
      </c>
      <c r="N17" s="22">
        <f>Schedules!N31</f>
        <v/>
      </c>
      <c r="O17" s="22">
        <f>Schedules!O31</f>
        <v/>
      </c>
      <c r="P17" s="22">
        <f>Schedules!P31</f>
        <v/>
      </c>
      <c r="Q17" s="22">
        <f>Schedules!Q31</f>
        <v/>
      </c>
    </row>
    <row r="18">
      <c r="B18" s="11" t="inlineStr">
        <is>
          <t>Dividends paid</t>
        </is>
      </c>
      <c r="C18" s="21" t="n">
        <v>4502</v>
      </c>
      <c r="D18" s="21" t="n">
        <v>5791</v>
      </c>
      <c r="E18" s="21" t="n">
        <v>3458</v>
      </c>
      <c r="F18" s="21" t="n">
        <v>4125</v>
      </c>
      <c r="G18" s="21" t="n">
        <v>4316</v>
      </c>
      <c r="H18" s="16">
        <f>MAX(0,IS!H19*Drivers!H22)</f>
        <v/>
      </c>
      <c r="I18" s="16">
        <f>MAX(0,IS!I19*Drivers!I22)</f>
        <v/>
      </c>
      <c r="J18" s="16">
        <f>MAX(0,IS!J19*Drivers!J22)</f>
        <v/>
      </c>
      <c r="K18" s="16">
        <f>MAX(0,IS!K19*Drivers!K22)</f>
        <v/>
      </c>
      <c r="L18" s="16">
        <f>MAX(0,IS!L19*Drivers!L22)</f>
        <v/>
      </c>
      <c r="M18" s="16">
        <f>MAX(0,IS!M19*Drivers!M22)</f>
        <v/>
      </c>
      <c r="N18" s="16">
        <f>MAX(0,IS!N19*Drivers!N22)</f>
        <v/>
      </c>
      <c r="O18" s="16">
        <f>MAX(0,IS!O19*Drivers!O22)</f>
        <v/>
      </c>
      <c r="P18" s="16">
        <f>MAX(0,IS!P19*Drivers!P22)</f>
        <v/>
      </c>
      <c r="Q18" s="16">
        <f>MAX(0,IS!Q19*Drivers!Q22)</f>
        <v/>
      </c>
    </row>
    <row r="19">
      <c r="B19" s="11" t="inlineStr">
        <is>
          <t>Lease principal paid (IFRS 16)</t>
        </is>
      </c>
      <c r="C19" s="21" t="n">
        <v>4117</v>
      </c>
      <c r="D19" s="21" t="n">
        <v>5056</v>
      </c>
      <c r="E19" s="21" t="n">
        <v>4802</v>
      </c>
      <c r="F19" s="21" t="n">
        <v>5321</v>
      </c>
      <c r="G19" s="21" t="n">
        <v>5923</v>
      </c>
      <c r="H19" s="16">
        <f>IS!H7*Drivers!H13</f>
        <v/>
      </c>
      <c r="I19" s="16">
        <f>IS!I7*Drivers!I13</f>
        <v/>
      </c>
      <c r="J19" s="16">
        <f>IS!J7*Drivers!J13</f>
        <v/>
      </c>
      <c r="K19" s="16">
        <f>IS!K7*Drivers!K13</f>
        <v/>
      </c>
      <c r="L19" s="16">
        <f>IS!L7*Drivers!L13</f>
        <v/>
      </c>
      <c r="M19" s="16">
        <f>IS!M7*Drivers!M13</f>
        <v/>
      </c>
      <c r="N19" s="16">
        <f>IS!N7*Drivers!N13</f>
        <v/>
      </c>
      <c r="O19" s="16">
        <f>IS!O7*Drivers!O13</f>
        <v/>
      </c>
      <c r="P19" s="16">
        <f>IS!P7*Drivers!P13</f>
        <v/>
      </c>
      <c r="Q19" s="16">
        <f>IS!Q7*Drivers!Q13</f>
        <v/>
      </c>
    </row>
    <row r="20">
      <c r="B20" s="11" t="inlineStr">
        <is>
          <t>Dividends to non-controlling interests</t>
        </is>
      </c>
      <c r="H20" s="16">
        <f>MAX(0,IS!H18*Drivers!H22)</f>
        <v/>
      </c>
      <c r="I20" s="16">
        <f>MAX(0,IS!I18*Drivers!I22)</f>
        <v/>
      </c>
      <c r="J20" s="16">
        <f>MAX(0,IS!J18*Drivers!J22)</f>
        <v/>
      </c>
      <c r="K20" s="16">
        <f>MAX(0,IS!K18*Drivers!K22)</f>
        <v/>
      </c>
      <c r="L20" s="16">
        <f>MAX(0,IS!L18*Drivers!L22)</f>
        <v/>
      </c>
      <c r="M20" s="16">
        <f>MAX(0,IS!M18*Drivers!M22)</f>
        <v/>
      </c>
      <c r="N20" s="16">
        <f>MAX(0,IS!N18*Drivers!N22)</f>
        <v/>
      </c>
      <c r="O20" s="16">
        <f>MAX(0,IS!O18*Drivers!O22)</f>
        <v/>
      </c>
      <c r="P20" s="16">
        <f>MAX(0,IS!P18*Drivers!P22)</f>
        <v/>
      </c>
      <c r="Q20" s="16">
        <f>MAX(0,IS!Q18*Drivers!Q22)</f>
        <v/>
      </c>
    </row>
    <row r="21">
      <c r="B21" s="18" t="inlineStr">
        <is>
          <t>Cash flow from financing before revolver</t>
        </is>
      </c>
      <c r="H21" s="20">
        <f>H17-H18-H19-H20</f>
        <v/>
      </c>
      <c r="I21" s="20">
        <f>I17-I18-I19-I20</f>
        <v/>
      </c>
      <c r="J21" s="20">
        <f>J17-J18-J19-J20</f>
        <v/>
      </c>
      <c r="K21" s="20">
        <f>K17-K18-K19-K20</f>
        <v/>
      </c>
      <c r="L21" s="20">
        <f>L17-L18-L19-L20</f>
        <v/>
      </c>
      <c r="M21" s="20">
        <f>M17-M18-M19-M20</f>
        <v/>
      </c>
      <c r="N21" s="20">
        <f>N17-N18-N19-N20</f>
        <v/>
      </c>
      <c r="O21" s="20">
        <f>O17-O18-O19-O20</f>
        <v/>
      </c>
      <c r="P21" s="20">
        <f>P17-P18-P19-P20</f>
        <v/>
      </c>
      <c r="Q21" s="20">
        <f>Q17-Q18-Q19-Q20</f>
        <v/>
      </c>
    </row>
    <row r="23">
      <c r="B23" s="8" t="inlineStr">
        <is>
          <t>Cash and revolver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Opening cash</t>
        </is>
      </c>
      <c r="H24" s="22">
        <f>BS!G7</f>
        <v/>
      </c>
      <c r="I24" s="22">
        <f>BS!H7</f>
        <v/>
      </c>
      <c r="J24" s="22">
        <f>BS!I7</f>
        <v/>
      </c>
      <c r="K24" s="22">
        <f>BS!J7</f>
        <v/>
      </c>
      <c r="L24" s="22">
        <f>BS!K7</f>
        <v/>
      </c>
      <c r="M24" s="22">
        <f>BS!L7</f>
        <v/>
      </c>
      <c r="N24" s="22">
        <f>BS!M7</f>
        <v/>
      </c>
      <c r="O24" s="22">
        <f>BS!N7</f>
        <v/>
      </c>
      <c r="P24" s="22">
        <f>BS!O7</f>
        <v/>
      </c>
      <c r="Q24" s="22">
        <f>BS!P7</f>
        <v/>
      </c>
    </row>
    <row r="25">
      <c r="B25" s="11" t="inlineStr">
        <is>
          <t>Cash before revolver</t>
        </is>
      </c>
      <c r="H25" s="16">
        <f>H24+H10+H14+H21</f>
        <v/>
      </c>
      <c r="I25" s="16">
        <f>I24+I10+I14+I21</f>
        <v/>
      </c>
      <c r="J25" s="16">
        <f>J24+J10+J14+J21</f>
        <v/>
      </c>
      <c r="K25" s="16">
        <f>K24+K10+K14+K21</f>
        <v/>
      </c>
      <c r="L25" s="16">
        <f>L24+L10+L14+L21</f>
        <v/>
      </c>
      <c r="M25" s="16">
        <f>M24+M10+M14+M21</f>
        <v/>
      </c>
      <c r="N25" s="16">
        <f>N24+N10+N14+N21</f>
        <v/>
      </c>
      <c r="O25" s="16">
        <f>O24+O10+O14+O21</f>
        <v/>
      </c>
      <c r="P25" s="16">
        <f>P24+P10+P14+P21</f>
        <v/>
      </c>
      <c r="Q25" s="16">
        <f>Q24+Q10+Q14+Q21</f>
        <v/>
      </c>
    </row>
    <row r="26">
      <c r="B26" s="11" t="inlineStr">
        <is>
          <t>Revolver draw / (repayment)</t>
        </is>
      </c>
      <c r="H26" s="16">
        <f>MAX(Drivers!H26-H25,-BS!G21)</f>
        <v/>
      </c>
      <c r="I26" s="16">
        <f>MAX(Drivers!I26-I25,-BS!H21)</f>
        <v/>
      </c>
      <c r="J26" s="16">
        <f>MAX(Drivers!J26-J25,-BS!I21)</f>
        <v/>
      </c>
      <c r="K26" s="16">
        <f>MAX(Drivers!K26-K25,-BS!J21)</f>
        <v/>
      </c>
      <c r="L26" s="16">
        <f>MAX(Drivers!L26-L25,-BS!K21)</f>
        <v/>
      </c>
      <c r="M26" s="16">
        <f>MAX(Drivers!M26-M25,-BS!L21)</f>
        <v/>
      </c>
      <c r="N26" s="16">
        <f>MAX(Drivers!N26-N25,-BS!M21)</f>
        <v/>
      </c>
      <c r="O26" s="16">
        <f>MAX(Drivers!O26-O25,-BS!N21)</f>
        <v/>
      </c>
      <c r="P26" s="16">
        <f>MAX(Drivers!P26-P25,-BS!O21)</f>
        <v/>
      </c>
      <c r="Q26" s="16">
        <f>MAX(Drivers!Q26-Q25,-BS!P21)</f>
        <v/>
      </c>
    </row>
    <row r="27">
      <c r="B27" s="18" t="inlineStr">
        <is>
          <t>Closing cash</t>
        </is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</row>
    <row r="29">
      <c r="B29" s="8" t="inlineStr">
        <is>
          <t>Memo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Free cash flow (CFO - capex - lease principal)</t>
        </is>
      </c>
      <c r="C30" s="16">
        <f>C10-C13-C19</f>
        <v/>
      </c>
      <c r="D30" s="16">
        <f>D10-D13-D19</f>
        <v/>
      </c>
      <c r="E30" s="16">
        <f>E10-E13-E19</f>
        <v/>
      </c>
      <c r="F30" s="16">
        <f>F10-F13-F19</f>
        <v/>
      </c>
      <c r="G30" s="16">
        <f>G10-G13-G19</f>
        <v/>
      </c>
      <c r="H30" s="16">
        <f>H10-H13-H19</f>
        <v/>
      </c>
      <c r="I30" s="16">
        <f>I10-I13-I19</f>
        <v/>
      </c>
      <c r="J30" s="16">
        <f>J10-J13-J19</f>
        <v/>
      </c>
      <c r="K30" s="16">
        <f>K10-K13-K19</f>
        <v/>
      </c>
      <c r="L30" s="16">
        <f>L10-L13-L19</f>
        <v/>
      </c>
      <c r="M30" s="16">
        <f>M10-M13-M19</f>
        <v/>
      </c>
      <c r="N30" s="16">
        <f>N10-N13-N19</f>
        <v/>
      </c>
      <c r="O30" s="16">
        <f>O10-O13-O19</f>
        <v/>
      </c>
      <c r="P30" s="16">
        <f>P10-P13-P19</f>
        <v/>
      </c>
      <c r="Q30" s="16">
        <f>Q10-Q13-Q19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Supporting schedules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Revenue build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North America</t>
        </is>
      </c>
      <c r="C7" s="21" t="n">
        <v>175369</v>
      </c>
      <c r="D7" s="21" t="n">
        <v>205674</v>
      </c>
      <c r="E7" s="21" t="n">
        <v>192534</v>
      </c>
      <c r="F7" s="21" t="n">
        <v>189330</v>
      </c>
      <c r="G7" s="21" t="n">
        <v>190211</v>
      </c>
      <c r="H7" s="16">
        <f>G7*(1+Drivers!H29)</f>
        <v/>
      </c>
      <c r="I7" s="16">
        <f>H7*(1+Drivers!I29)</f>
        <v/>
      </c>
      <c r="J7" s="16">
        <f>I7*(1+Drivers!J29)</f>
        <v/>
      </c>
      <c r="K7" s="16">
        <f>J7*(1+Drivers!K29)</f>
        <v/>
      </c>
      <c r="L7" s="16">
        <f>K7*(1+Drivers!L29)</f>
        <v/>
      </c>
      <c r="M7" s="16">
        <f>L7*(1+Drivers!M29)</f>
        <v/>
      </c>
      <c r="N7" s="16">
        <f>M7*(1+Drivers!N29)</f>
        <v/>
      </c>
      <c r="O7" s="16">
        <f>N7*(1+Drivers!O29)</f>
        <v/>
      </c>
      <c r="P7" s="16">
        <f>O7*(1+Drivers!P29)</f>
        <v/>
      </c>
      <c r="Q7" s="16">
        <f>P7*(1+Drivers!Q29)</f>
        <v/>
      </c>
    </row>
    <row r="8">
      <c r="B8" s="11" t="inlineStr">
        <is>
          <t>Mexico</t>
        </is>
      </c>
      <c r="C8" s="21" t="n">
        <v>109089</v>
      </c>
      <c r="D8" s="21" t="n">
        <v>130401</v>
      </c>
      <c r="E8" s="21" t="n">
        <v>145387</v>
      </c>
      <c r="F8" s="21" t="n">
        <v>151164</v>
      </c>
      <c r="G8" s="21" t="n">
        <v>154809</v>
      </c>
      <c r="H8" s="16">
        <f>G8*(1+Drivers!H30)</f>
        <v/>
      </c>
      <c r="I8" s="16">
        <f>H8*(1+Drivers!I30)</f>
        <v/>
      </c>
      <c r="J8" s="16">
        <f>I8*(1+Drivers!J30)</f>
        <v/>
      </c>
      <c r="K8" s="16">
        <f>J8*(1+Drivers!K30)</f>
        <v/>
      </c>
      <c r="L8" s="16">
        <f>K8*(1+Drivers!L30)</f>
        <v/>
      </c>
      <c r="M8" s="16">
        <f>L8*(1+Drivers!M30)</f>
        <v/>
      </c>
      <c r="N8" s="16">
        <f>M8*(1+Drivers!N30)</f>
        <v/>
      </c>
      <c r="O8" s="16">
        <f>N8*(1+Drivers!O30)</f>
        <v/>
      </c>
      <c r="P8" s="16">
        <f>O8*(1+Drivers!P30)</f>
        <v/>
      </c>
      <c r="Q8" s="16">
        <f>P8*(1+Drivers!Q30)</f>
        <v/>
      </c>
    </row>
    <row r="9">
      <c r="B9" s="11" t="inlineStr">
        <is>
          <t>Europe, Asia &amp; Africa</t>
        </is>
      </c>
      <c r="C9" s="21" t="n">
        <v>34195</v>
      </c>
      <c r="D9" s="21" t="n">
        <v>37536</v>
      </c>
      <c r="E9" s="21" t="n">
        <v>40545</v>
      </c>
      <c r="F9" s="21" t="n">
        <v>45044</v>
      </c>
      <c r="G9" s="21" t="n">
        <v>54214</v>
      </c>
      <c r="H9" s="16">
        <f>G9*(1+Drivers!H31)</f>
        <v/>
      </c>
      <c r="I9" s="16">
        <f>H9*(1+Drivers!I31)</f>
        <v/>
      </c>
      <c r="J9" s="16">
        <f>I9*(1+Drivers!J31)</f>
        <v/>
      </c>
      <c r="K9" s="16">
        <f>J9*(1+Drivers!K31)</f>
        <v/>
      </c>
      <c r="L9" s="16">
        <f>K9*(1+Drivers!L31)</f>
        <v/>
      </c>
      <c r="M9" s="16">
        <f>L9*(1+Drivers!M31)</f>
        <v/>
      </c>
      <c r="N9" s="16">
        <f>M9*(1+Drivers!N31)</f>
        <v/>
      </c>
      <c r="O9" s="16">
        <f>N9*(1+Drivers!O31)</f>
        <v/>
      </c>
      <c r="P9" s="16">
        <f>O9*(1+Drivers!P31)</f>
        <v/>
      </c>
      <c r="Q9" s="16">
        <f>P9*(1+Drivers!Q31)</f>
        <v/>
      </c>
    </row>
    <row r="10">
      <c r="B10" s="11" t="inlineStr">
        <is>
          <t>Latin America</t>
        </is>
      </c>
      <c r="C10" s="21" t="n">
        <v>31109</v>
      </c>
      <c r="D10" s="21" t="n">
        <v>38411</v>
      </c>
      <c r="E10" s="21" t="n">
        <v>36647</v>
      </c>
      <c r="F10" s="21" t="n">
        <v>39879</v>
      </c>
      <c r="G10" s="21" t="n">
        <v>44120</v>
      </c>
      <c r="H10" s="16">
        <f>G10*(1+Drivers!H32)</f>
        <v/>
      </c>
      <c r="I10" s="16">
        <f>H10*(1+Drivers!I32)</f>
        <v/>
      </c>
      <c r="J10" s="16">
        <f>I10*(1+Drivers!J32)</f>
        <v/>
      </c>
      <c r="K10" s="16">
        <f>J10*(1+Drivers!K32)</f>
        <v/>
      </c>
      <c r="L10" s="16">
        <f>K10*(1+Drivers!L32)</f>
        <v/>
      </c>
      <c r="M10" s="16">
        <f>L10*(1+Drivers!M32)</f>
        <v/>
      </c>
      <c r="N10" s="16">
        <f>M10*(1+Drivers!N32)</f>
        <v/>
      </c>
      <c r="O10" s="16">
        <f>N10*(1+Drivers!O32)</f>
        <v/>
      </c>
      <c r="P10" s="16">
        <f>O10*(1+Drivers!P32)</f>
        <v/>
      </c>
      <c r="Q10" s="16">
        <f>P10*(1+Drivers!Q32)</f>
        <v/>
      </c>
    </row>
    <row r="11">
      <c r="B11" s="11" t="inlineStr">
        <is>
          <t>Inter-regional eliminations</t>
        </is>
      </c>
      <c r="C11" s="21" t="n">
        <v>-10970</v>
      </c>
      <c r="D11" s="21" t="n">
        <v>-13316</v>
      </c>
      <c r="E11" s="21" t="n">
        <v>-15234</v>
      </c>
      <c r="F11" s="21" t="n">
        <v>-17082</v>
      </c>
      <c r="G11" s="21" t="n">
        <v>-16402</v>
      </c>
      <c r="H11" s="16">
        <f>G11*(1+Drivers!H33)</f>
        <v/>
      </c>
      <c r="I11" s="16">
        <f>H11*(1+Drivers!I33)</f>
        <v/>
      </c>
      <c r="J11" s="16">
        <f>I11*(1+Drivers!J33)</f>
        <v/>
      </c>
      <c r="K11" s="16">
        <f>J11*(1+Drivers!K33)</f>
        <v/>
      </c>
      <c r="L11" s="16">
        <f>K11*(1+Drivers!L33)</f>
        <v/>
      </c>
      <c r="M11" s="16">
        <f>L11*(1+Drivers!M33)</f>
        <v/>
      </c>
      <c r="N11" s="16">
        <f>M11*(1+Drivers!N33)</f>
        <v/>
      </c>
      <c r="O11" s="16">
        <f>N11*(1+Drivers!O33)</f>
        <v/>
      </c>
      <c r="P11" s="16">
        <f>O11*(1+Drivers!P33)</f>
        <v/>
      </c>
      <c r="Q11" s="16">
        <f>P11*(1+Drivers!Q33)</f>
        <v/>
      </c>
    </row>
    <row r="12">
      <c r="B12" s="18" t="inlineStr">
        <is>
          <t>Total revenue (links to IS)</t>
        </is>
      </c>
      <c r="C12" s="27">
        <f>IS!C7</f>
        <v/>
      </c>
      <c r="D12" s="27">
        <f>IS!D7</f>
        <v/>
      </c>
      <c r="E12" s="27">
        <f>IS!E7</f>
        <v/>
      </c>
      <c r="F12" s="27">
        <f>IS!F7</f>
        <v/>
      </c>
      <c r="G12" s="27">
        <f>IS!G7</f>
        <v/>
      </c>
      <c r="H12" s="27">
        <f>IS!H7</f>
        <v/>
      </c>
      <c r="I12" s="27">
        <f>IS!I7</f>
        <v/>
      </c>
      <c r="J12" s="27">
        <f>IS!J7</f>
        <v/>
      </c>
      <c r="K12" s="27">
        <f>IS!K7</f>
        <v/>
      </c>
      <c r="L12" s="27">
        <f>IS!L7</f>
        <v/>
      </c>
      <c r="M12" s="27">
        <f>IS!M7</f>
        <v/>
      </c>
      <c r="N12" s="27">
        <f>IS!N7</f>
        <v/>
      </c>
      <c r="O12" s="27">
        <f>IS!O7</f>
        <v/>
      </c>
      <c r="P12" s="27">
        <f>IS!P7</f>
        <v/>
      </c>
      <c r="Q12" s="27">
        <f>IS!Q7</f>
        <v/>
      </c>
    </row>
    <row r="14">
      <c r="B14" s="8" t="inlineStr">
        <is>
          <t>Intangibles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Amortization of intangibles</t>
        </is>
      </c>
      <c r="H15" s="16">
        <f>MIN(IS!H7*Drivers!H11,BS!G13)</f>
        <v/>
      </c>
      <c r="I15" s="16">
        <f>MIN(IS!I7*Drivers!I11,BS!H13)</f>
        <v/>
      </c>
      <c r="J15" s="16">
        <f>MIN(IS!J7*Drivers!J11,BS!I13)</f>
        <v/>
      </c>
      <c r="K15" s="16">
        <f>MIN(IS!K7*Drivers!K11,BS!J13)</f>
        <v/>
      </c>
      <c r="L15" s="16">
        <f>MIN(IS!L7*Drivers!L11,BS!K13)</f>
        <v/>
      </c>
      <c r="M15" s="16">
        <f>MIN(IS!M7*Drivers!M11,BS!L13)</f>
        <v/>
      </c>
      <c r="N15" s="16">
        <f>MIN(IS!N7*Drivers!N11,BS!M13)</f>
        <v/>
      </c>
      <c r="O15" s="16">
        <f>MIN(IS!O7*Drivers!O11,BS!N13)</f>
        <v/>
      </c>
      <c r="P15" s="16">
        <f>MIN(IS!P7*Drivers!P11,BS!O13)</f>
        <v/>
      </c>
      <c r="Q15" s="16">
        <f>MIN(IS!Q7*Drivers!Q11,BS!P13)</f>
        <v/>
      </c>
    </row>
    <row r="17">
      <c r="B17" s="8" t="inlineStr">
        <is>
          <t>PP&amp;E and right-of-use roll-forward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Opening PP&amp;E</t>
        </is>
      </c>
      <c r="H18" s="22">
        <f>BS!G12</f>
        <v/>
      </c>
      <c r="I18" s="22">
        <f>BS!H12</f>
        <v/>
      </c>
      <c r="J18" s="22">
        <f>BS!I12</f>
        <v/>
      </c>
      <c r="K18" s="22">
        <f>BS!J12</f>
        <v/>
      </c>
      <c r="L18" s="22">
        <f>BS!K12</f>
        <v/>
      </c>
      <c r="M18" s="22">
        <f>BS!L12</f>
        <v/>
      </c>
      <c r="N18" s="22">
        <f>BS!M12</f>
        <v/>
      </c>
      <c r="O18" s="22">
        <f>BS!N12</f>
        <v/>
      </c>
      <c r="P18" s="22">
        <f>BS!O12</f>
        <v/>
      </c>
      <c r="Q18" s="22">
        <f>BS!P12</f>
        <v/>
      </c>
    </row>
    <row r="19">
      <c r="B19" s="11" t="inlineStr">
        <is>
          <t>Plus: capex</t>
        </is>
      </c>
      <c r="H19" s="22">
        <f>CF!H13</f>
        <v/>
      </c>
      <c r="I19" s="22">
        <f>CF!I13</f>
        <v/>
      </c>
      <c r="J19" s="22">
        <f>CF!J13</f>
        <v/>
      </c>
      <c r="K19" s="22">
        <f>CF!K13</f>
        <v/>
      </c>
      <c r="L19" s="22">
        <f>CF!L13</f>
        <v/>
      </c>
      <c r="M19" s="22">
        <f>CF!M13</f>
        <v/>
      </c>
      <c r="N19" s="22">
        <f>CF!N13</f>
        <v/>
      </c>
      <c r="O19" s="22">
        <f>CF!O13</f>
        <v/>
      </c>
      <c r="P19" s="22">
        <f>CF!P13</f>
        <v/>
      </c>
      <c r="Q19" s="22">
        <f>CF!Q13</f>
        <v/>
      </c>
    </row>
    <row r="20">
      <c r="B20" s="11" t="inlineStr">
        <is>
          <t>Plus: new leases (non-cash, = lease principal repaid)</t>
        </is>
      </c>
      <c r="H20" s="22">
        <f>CF!H19</f>
        <v/>
      </c>
      <c r="I20" s="22">
        <f>CF!I19</f>
        <v/>
      </c>
      <c r="J20" s="22">
        <f>CF!J19</f>
        <v/>
      </c>
      <c r="K20" s="22">
        <f>CF!K19</f>
        <v/>
      </c>
      <c r="L20" s="22">
        <f>CF!L19</f>
        <v/>
      </c>
      <c r="M20" s="22">
        <f>CF!M19</f>
        <v/>
      </c>
      <c r="N20" s="22">
        <f>CF!N19</f>
        <v/>
      </c>
      <c r="O20" s="22">
        <f>CF!O19</f>
        <v/>
      </c>
      <c r="P20" s="22">
        <f>CF!P19</f>
        <v/>
      </c>
      <c r="Q20" s="22">
        <f>CF!Q19</f>
        <v/>
      </c>
    </row>
    <row r="21">
      <c r="B21" s="11" t="inlineStr">
        <is>
          <t>Less: depreciation of PP&amp;E</t>
        </is>
      </c>
      <c r="H21" s="16">
        <f>IS!H24-H15</f>
        <v/>
      </c>
      <c r="I21" s="16">
        <f>IS!I24-I15</f>
        <v/>
      </c>
      <c r="J21" s="16">
        <f>IS!J24-J15</f>
        <v/>
      </c>
      <c r="K21" s="16">
        <f>IS!K24-K15</f>
        <v/>
      </c>
      <c r="L21" s="16">
        <f>IS!L24-L15</f>
        <v/>
      </c>
      <c r="M21" s="16">
        <f>IS!M24-M15</f>
        <v/>
      </c>
      <c r="N21" s="16">
        <f>IS!N24-N15</f>
        <v/>
      </c>
      <c r="O21" s="16">
        <f>IS!O24-O15</f>
        <v/>
      </c>
      <c r="P21" s="16">
        <f>IS!P24-P15</f>
        <v/>
      </c>
      <c r="Q21" s="16">
        <f>IS!Q24-Q15</f>
        <v/>
      </c>
    </row>
    <row r="22">
      <c r="B22" s="18" t="inlineStr">
        <is>
          <t>Closing PP&amp;E</t>
        </is>
      </c>
      <c r="H22" s="23">
        <f>H18+H19+H20-H21</f>
        <v/>
      </c>
      <c r="I22" s="23">
        <f>I18+I19+I20-I21</f>
        <v/>
      </c>
      <c r="J22" s="23">
        <f>J18+J19+J20-J21</f>
        <v/>
      </c>
      <c r="K22" s="23">
        <f>K18+K19+K20-K21</f>
        <v/>
      </c>
      <c r="L22" s="23">
        <f>L18+L19+L20-L21</f>
        <v/>
      </c>
      <c r="M22" s="23">
        <f>M18+M19+M20-M21</f>
        <v/>
      </c>
      <c r="N22" s="23">
        <f>N18+N19+N20-N21</f>
        <v/>
      </c>
      <c r="O22" s="23">
        <f>O18+O19+O20-O21</f>
        <v/>
      </c>
      <c r="P22" s="23">
        <f>P18+P19+P20-P21</f>
        <v/>
      </c>
      <c r="Q22" s="23">
        <f>Q18+Q19+Q20-Q21</f>
        <v/>
      </c>
    </row>
    <row r="24">
      <c r="B24" s="8" t="inlineStr">
        <is>
          <t>Working capital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11" t="inlineStr">
        <is>
          <t>Receivables = revenue x DSO / 365</t>
        </is>
      </c>
      <c r="H25" s="16">
        <f>IS!H7*Drivers!H14/365</f>
        <v/>
      </c>
      <c r="I25" s="16">
        <f>IS!I7*Drivers!I14/365</f>
        <v/>
      </c>
      <c r="J25" s="16">
        <f>IS!J7*Drivers!J14/365</f>
        <v/>
      </c>
      <c r="K25" s="16">
        <f>IS!K7*Drivers!K14/365</f>
        <v/>
      </c>
      <c r="L25" s="16">
        <f>IS!L7*Drivers!L14/365</f>
        <v/>
      </c>
      <c r="M25" s="16">
        <f>IS!M7*Drivers!M14/365</f>
        <v/>
      </c>
      <c r="N25" s="16">
        <f>IS!N7*Drivers!N14/365</f>
        <v/>
      </c>
      <c r="O25" s="16">
        <f>IS!O7*Drivers!O14/365</f>
        <v/>
      </c>
      <c r="P25" s="16">
        <f>IS!P7*Drivers!P14/365</f>
        <v/>
      </c>
      <c r="Q25" s="16">
        <f>IS!Q7*Drivers!Q14/365</f>
        <v/>
      </c>
    </row>
    <row r="26">
      <c r="B26" s="11" t="inlineStr">
        <is>
          <t>Inventories = cost of sales x DIO / 365</t>
        </is>
      </c>
      <c r="H26" s="16">
        <f>IS!H8*Drivers!H15/365</f>
        <v/>
      </c>
      <c r="I26" s="16">
        <f>IS!I8*Drivers!I15/365</f>
        <v/>
      </c>
      <c r="J26" s="16">
        <f>IS!J8*Drivers!J15/365</f>
        <v/>
      </c>
      <c r="K26" s="16">
        <f>IS!K8*Drivers!K15/365</f>
        <v/>
      </c>
      <c r="L26" s="16">
        <f>IS!L8*Drivers!L15/365</f>
        <v/>
      </c>
      <c r="M26" s="16">
        <f>IS!M8*Drivers!M15/365</f>
        <v/>
      </c>
      <c r="N26" s="16">
        <f>IS!N8*Drivers!N15/365</f>
        <v/>
      </c>
      <c r="O26" s="16">
        <f>IS!O8*Drivers!O15/365</f>
        <v/>
      </c>
      <c r="P26" s="16">
        <f>IS!P8*Drivers!P15/365</f>
        <v/>
      </c>
      <c r="Q26" s="16">
        <f>IS!Q8*Drivers!Q15/365</f>
        <v/>
      </c>
    </row>
    <row r="27">
      <c r="B27" s="11" t="inlineStr">
        <is>
          <t>Payables = cost of sales x DPO / 365</t>
        </is>
      </c>
      <c r="H27" s="16">
        <f>IS!H8*Drivers!H16/365</f>
        <v/>
      </c>
      <c r="I27" s="16">
        <f>IS!I8*Drivers!I16/365</f>
        <v/>
      </c>
      <c r="J27" s="16">
        <f>IS!J8*Drivers!J16/365</f>
        <v/>
      </c>
      <c r="K27" s="16">
        <f>IS!K8*Drivers!K16/365</f>
        <v/>
      </c>
      <c r="L27" s="16">
        <f>IS!L8*Drivers!L16/365</f>
        <v/>
      </c>
      <c r="M27" s="16">
        <f>IS!M8*Drivers!M16/365</f>
        <v/>
      </c>
      <c r="N27" s="16">
        <f>IS!N8*Drivers!N16/365</f>
        <v/>
      </c>
      <c r="O27" s="16">
        <f>IS!O8*Drivers!O16/365</f>
        <v/>
      </c>
      <c r="P27" s="16">
        <f>IS!P8*Drivers!P16/365</f>
        <v/>
      </c>
      <c r="Q27" s="16">
        <f>IS!Q8*Drivers!Q16/365</f>
        <v/>
      </c>
    </row>
    <row r="29">
      <c r="B29" s="8" t="inlineStr">
        <is>
          <t>Debt and interest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Opening long-term debt</t>
        </is>
      </c>
      <c r="H30" s="22">
        <f>BS!G23</f>
        <v/>
      </c>
      <c r="I30" s="22">
        <f>BS!H23</f>
        <v/>
      </c>
      <c r="J30" s="22">
        <f>BS!I23</f>
        <v/>
      </c>
      <c r="K30" s="22">
        <f>BS!J23</f>
        <v/>
      </c>
      <c r="L30" s="22">
        <f>BS!K23</f>
        <v/>
      </c>
      <c r="M30" s="22">
        <f>BS!L23</f>
        <v/>
      </c>
      <c r="N30" s="22">
        <f>BS!M23</f>
        <v/>
      </c>
      <c r="O30" s="22">
        <f>BS!N23</f>
        <v/>
      </c>
      <c r="P30" s="22">
        <f>BS!O23</f>
        <v/>
      </c>
      <c r="Q30" s="22">
        <f>BS!P23</f>
        <v/>
      </c>
    </row>
    <row r="31">
      <c r="B31" s="11" t="inlineStr">
        <is>
          <t>Plus: net new debt (repayment capped at opening balance)</t>
        </is>
      </c>
      <c r="H31" s="16">
        <f>MAX(Drivers!H24,-BS!G23)</f>
        <v/>
      </c>
      <c r="I31" s="16">
        <f>MAX(Drivers!I24,-BS!H23)</f>
        <v/>
      </c>
      <c r="J31" s="16">
        <f>MAX(Drivers!J24,-BS!I23)</f>
        <v/>
      </c>
      <c r="K31" s="16">
        <f>MAX(Drivers!K24,-BS!J23)</f>
        <v/>
      </c>
      <c r="L31" s="16">
        <f>MAX(Drivers!L24,-BS!K23)</f>
        <v/>
      </c>
      <c r="M31" s="16">
        <f>MAX(Drivers!M24,-BS!L23)</f>
        <v/>
      </c>
      <c r="N31" s="16">
        <f>MAX(Drivers!N24,-BS!M23)</f>
        <v/>
      </c>
      <c r="O31" s="16">
        <f>MAX(Drivers!O24,-BS!N23)</f>
        <v/>
      </c>
      <c r="P31" s="16">
        <f>MAX(Drivers!P24,-BS!O23)</f>
        <v/>
      </c>
      <c r="Q31" s="16">
        <f>MAX(Drivers!Q24,-BS!P23)</f>
        <v/>
      </c>
    </row>
    <row r="32">
      <c r="B32" s="18" t="inlineStr">
        <is>
          <t>Closing long-term debt</t>
        </is>
      </c>
      <c r="H32" s="23">
        <f>H30+H31</f>
        <v/>
      </c>
      <c r="I32" s="23">
        <f>I30+I31</f>
        <v/>
      </c>
      <c r="J32" s="23">
        <f>J30+J31</f>
        <v/>
      </c>
      <c r="K32" s="23">
        <f>K30+K31</f>
        <v/>
      </c>
      <c r="L32" s="23">
        <f>L30+L31</f>
        <v/>
      </c>
      <c r="M32" s="23">
        <f>M30+M31</f>
        <v/>
      </c>
      <c r="N32" s="23">
        <f>N30+N31</f>
        <v/>
      </c>
      <c r="O32" s="23">
        <f>O30+O31</f>
        <v/>
      </c>
      <c r="P32" s="23">
        <f>P30+P31</f>
        <v/>
      </c>
      <c r="Q32" s="23">
        <f>Q30+Q31</f>
        <v/>
      </c>
    </row>
    <row r="33">
      <c r="B33" s="11" t="inlineStr">
        <is>
          <t>Opening revolver</t>
        </is>
      </c>
      <c r="H33" s="22">
        <f>BS!G21</f>
        <v/>
      </c>
      <c r="I33" s="22">
        <f>BS!H21</f>
        <v/>
      </c>
      <c r="J33" s="22">
        <f>BS!I21</f>
        <v/>
      </c>
      <c r="K33" s="22">
        <f>BS!J21</f>
        <v/>
      </c>
      <c r="L33" s="22">
        <f>BS!K21</f>
        <v/>
      </c>
      <c r="M33" s="22">
        <f>BS!L21</f>
        <v/>
      </c>
      <c r="N33" s="22">
        <f>BS!M21</f>
        <v/>
      </c>
      <c r="O33" s="22">
        <f>BS!N21</f>
        <v/>
      </c>
      <c r="P33" s="22">
        <f>BS!O21</f>
        <v/>
      </c>
      <c r="Q33" s="22">
        <f>BS!P21</f>
        <v/>
      </c>
    </row>
    <row r="34">
      <c r="B34" s="11" t="inlineStr">
        <is>
          <t>Plus: draw / (repayment)</t>
        </is>
      </c>
      <c r="H34" s="22">
        <f>CF!H26</f>
        <v/>
      </c>
      <c r="I34" s="22">
        <f>CF!I26</f>
        <v/>
      </c>
      <c r="J34" s="22">
        <f>CF!J26</f>
        <v/>
      </c>
      <c r="K34" s="22">
        <f>CF!K26</f>
        <v/>
      </c>
      <c r="L34" s="22">
        <f>CF!L26</f>
        <v/>
      </c>
      <c r="M34" s="22">
        <f>CF!M26</f>
        <v/>
      </c>
      <c r="N34" s="22">
        <f>CF!N26</f>
        <v/>
      </c>
      <c r="O34" s="22">
        <f>CF!O26</f>
        <v/>
      </c>
      <c r="P34" s="22">
        <f>CF!P26</f>
        <v/>
      </c>
      <c r="Q34" s="22">
        <f>CF!Q26</f>
        <v/>
      </c>
    </row>
    <row r="35">
      <c r="B35" s="18" t="inlineStr">
        <is>
          <t>Closing revolver</t>
        </is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P33+P34</f>
        <v/>
      </c>
      <c r="Q35" s="23">
        <f>Q33+Q34</f>
        <v/>
      </c>
    </row>
    <row r="36">
      <c r="B36" s="11" t="inlineStr">
        <is>
          <t>Interest expense = rate x opening total debt</t>
        </is>
      </c>
      <c r="H36" s="16">
        <f>Drivers!H20*BS!G33</f>
        <v/>
      </c>
      <c r="I36" s="16">
        <f>Drivers!I20*BS!H33</f>
        <v/>
      </c>
      <c r="J36" s="16">
        <f>Drivers!J20*BS!I33</f>
        <v/>
      </c>
      <c r="K36" s="16">
        <f>Drivers!K20*BS!J33</f>
        <v/>
      </c>
      <c r="L36" s="16">
        <f>Drivers!L20*BS!K33</f>
        <v/>
      </c>
      <c r="M36" s="16">
        <f>Drivers!M20*BS!L33</f>
        <v/>
      </c>
      <c r="N36" s="16">
        <f>Drivers!N20*BS!M33</f>
        <v/>
      </c>
      <c r="O36" s="16">
        <f>Drivers!O20*BS!N33</f>
        <v/>
      </c>
      <c r="P36" s="16">
        <f>Drivers!P20*BS!O33</f>
        <v/>
      </c>
      <c r="Q36" s="16">
        <f>Drivers!Q20*BS!P33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Ratios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Growth and margins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IS!H7/IS!G7-1</f>
        <v/>
      </c>
      <c r="I7" s="12">
        <f>IS!I7/IS!H7-1</f>
        <v/>
      </c>
      <c r="J7" s="12">
        <f>IS!J7/IS!I7-1</f>
        <v/>
      </c>
      <c r="K7" s="12">
        <f>IS!K7/IS!J7-1</f>
        <v/>
      </c>
      <c r="L7" s="12">
        <f>IS!L7/IS!K7-1</f>
        <v/>
      </c>
      <c r="M7" s="12">
        <f>IS!M7/IS!L7-1</f>
        <v/>
      </c>
      <c r="N7" s="12">
        <f>IS!N7/IS!M7-1</f>
        <v/>
      </c>
      <c r="O7" s="12">
        <f>IS!O7/IS!N7-1</f>
        <v/>
      </c>
      <c r="P7" s="12">
        <f>IS!P7/IS!O7-1</f>
        <v/>
      </c>
      <c r="Q7" s="12">
        <f>IS!Q7/IS!P7-1</f>
        <v/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2">
        <f>IS!H9/IS!H7</f>
        <v/>
      </c>
      <c r="I8" s="12">
        <f>IS!I9/IS!I7</f>
        <v/>
      </c>
      <c r="J8" s="12">
        <f>IS!J9/IS!J7</f>
        <v/>
      </c>
      <c r="K8" s="12">
        <f>IS!K9/IS!K7</f>
        <v/>
      </c>
      <c r="L8" s="12">
        <f>IS!L9/IS!L7</f>
        <v/>
      </c>
      <c r="M8" s="12">
        <f>IS!M9/IS!M7</f>
        <v/>
      </c>
      <c r="N8" s="12">
        <f>IS!N9/IS!N7</f>
        <v/>
      </c>
      <c r="O8" s="12">
        <f>IS!O9/IS!O7</f>
        <v/>
      </c>
      <c r="P8" s="12">
        <f>IS!P9/IS!P7</f>
        <v/>
      </c>
      <c r="Q8" s="12">
        <f>IS!Q9/IS!Q7</f>
        <v/>
      </c>
    </row>
    <row r="9">
      <c r="B9" s="11" t="inlineStr">
        <is>
          <t>EBITDA margin</t>
        </is>
      </c>
      <c r="C9" s="12">
        <f>IS!C25/IS!C7</f>
        <v/>
      </c>
      <c r="D9" s="12">
        <f>IS!D25/IS!D7</f>
        <v/>
      </c>
      <c r="E9" s="12">
        <f>IS!E25/IS!E7</f>
        <v/>
      </c>
      <c r="F9" s="12">
        <f>IS!F25/IS!F7</f>
        <v/>
      </c>
      <c r="G9" s="12">
        <f>IS!G25/IS!G7</f>
        <v/>
      </c>
      <c r="H9" s="12">
        <f>IS!H25/IS!H7</f>
        <v/>
      </c>
      <c r="I9" s="12">
        <f>IS!I25/IS!I7</f>
        <v/>
      </c>
      <c r="J9" s="12">
        <f>IS!J25/IS!J7</f>
        <v/>
      </c>
      <c r="K9" s="12">
        <f>IS!K25/IS!K7</f>
        <v/>
      </c>
      <c r="L9" s="12">
        <f>IS!L25/IS!L7</f>
        <v/>
      </c>
      <c r="M9" s="12">
        <f>IS!M25/IS!M7</f>
        <v/>
      </c>
      <c r="N9" s="12">
        <f>IS!N25/IS!N7</f>
        <v/>
      </c>
      <c r="O9" s="12">
        <f>IS!O25/IS!O7</f>
        <v/>
      </c>
      <c r="P9" s="12">
        <f>IS!P25/IS!P7</f>
        <v/>
      </c>
      <c r="Q9" s="12">
        <f>IS!Q25/IS!Q7</f>
        <v/>
      </c>
    </row>
    <row r="10">
      <c r="B10" s="11" t="inlineStr">
        <is>
          <t>EBIT margin</t>
        </is>
      </c>
      <c r="C10" s="12">
        <f>IS!C11/IS!C7</f>
        <v/>
      </c>
      <c r="D10" s="12">
        <f>IS!D11/IS!D7</f>
        <v/>
      </c>
      <c r="E10" s="12">
        <f>IS!E11/IS!E7</f>
        <v/>
      </c>
      <c r="F10" s="12">
        <f>IS!F11/IS!F7</f>
        <v/>
      </c>
      <c r="G10" s="12">
        <f>IS!G11/IS!G7</f>
        <v/>
      </c>
      <c r="H10" s="12">
        <f>IS!H11/IS!H7</f>
        <v/>
      </c>
      <c r="I10" s="12">
        <f>IS!I11/IS!I7</f>
        <v/>
      </c>
      <c r="J10" s="12">
        <f>IS!J11/IS!J7</f>
        <v/>
      </c>
      <c r="K10" s="12">
        <f>IS!K11/IS!K7</f>
        <v/>
      </c>
      <c r="L10" s="12">
        <f>IS!L11/IS!L7</f>
        <v/>
      </c>
      <c r="M10" s="12">
        <f>IS!M11/IS!M7</f>
        <v/>
      </c>
      <c r="N10" s="12">
        <f>IS!N11/IS!N7</f>
        <v/>
      </c>
      <c r="O10" s="12">
        <f>IS!O11/IS!O7</f>
        <v/>
      </c>
      <c r="P10" s="12">
        <f>IS!P11/IS!P7</f>
        <v/>
      </c>
      <c r="Q10" s="12">
        <f>IS!Q11/IS!Q7</f>
        <v/>
      </c>
    </row>
    <row r="11">
      <c r="B11" s="11" t="inlineStr">
        <is>
          <t>Net margin</t>
        </is>
      </c>
      <c r="C11" s="12">
        <f>IS!C19/IS!C7</f>
        <v/>
      </c>
      <c r="D11" s="12">
        <f>IS!D19/IS!D7</f>
        <v/>
      </c>
      <c r="E11" s="12">
        <f>IS!E19/IS!E7</f>
        <v/>
      </c>
      <c r="F11" s="12">
        <f>IS!F19/IS!F7</f>
        <v/>
      </c>
      <c r="G11" s="12">
        <f>IS!G19/IS!G7</f>
        <v/>
      </c>
      <c r="H11" s="12">
        <f>IS!H19/IS!H7</f>
        <v/>
      </c>
      <c r="I11" s="12">
        <f>IS!I19/IS!I7</f>
        <v/>
      </c>
      <c r="J11" s="12">
        <f>IS!J19/IS!J7</f>
        <v/>
      </c>
      <c r="K11" s="12">
        <f>IS!K19/IS!K7</f>
        <v/>
      </c>
      <c r="L11" s="12">
        <f>IS!L19/IS!L7</f>
        <v/>
      </c>
      <c r="M11" s="12">
        <f>IS!M19/IS!M7</f>
        <v/>
      </c>
      <c r="N11" s="12">
        <f>IS!N19/IS!N7</f>
        <v/>
      </c>
      <c r="O11" s="12">
        <f>IS!O19/IS!O7</f>
        <v/>
      </c>
      <c r="P11" s="12">
        <f>IS!P19/IS!P7</f>
        <v/>
      </c>
      <c r="Q11" s="12">
        <f>IS!Q19/IS!Q7</f>
        <v/>
      </c>
    </row>
    <row r="12">
      <c r="B12" s="11" t="inlineStr">
        <is>
          <t>Free cash flow margin</t>
        </is>
      </c>
      <c r="C12" s="12">
        <f>CF!C30/IS!C7</f>
        <v/>
      </c>
      <c r="D12" s="12">
        <f>CF!D30/IS!D7</f>
        <v/>
      </c>
      <c r="E12" s="12">
        <f>CF!E30/IS!E7</f>
        <v/>
      </c>
      <c r="F12" s="12">
        <f>CF!F30/IS!F7</f>
        <v/>
      </c>
      <c r="G12" s="12">
        <f>CF!G30/IS!G7</f>
        <v/>
      </c>
      <c r="H12" s="12">
        <f>CF!H30/IS!H7</f>
        <v/>
      </c>
      <c r="I12" s="12">
        <f>CF!I30/IS!I7</f>
        <v/>
      </c>
      <c r="J12" s="12">
        <f>CF!J30/IS!J7</f>
        <v/>
      </c>
      <c r="K12" s="12">
        <f>CF!K30/IS!K7</f>
        <v/>
      </c>
      <c r="L12" s="12">
        <f>CF!L30/IS!L7</f>
        <v/>
      </c>
      <c r="M12" s="12">
        <f>CF!M30/IS!M7</f>
        <v/>
      </c>
      <c r="N12" s="12">
        <f>CF!N30/IS!N7</f>
        <v/>
      </c>
      <c r="O12" s="12">
        <f>CF!O30/IS!O7</f>
        <v/>
      </c>
      <c r="P12" s="12">
        <f>CF!P30/IS!P7</f>
        <v/>
      </c>
      <c r="Q12" s="12">
        <f>CF!Q30/IS!Q7</f>
        <v/>
      </c>
    </row>
    <row r="14">
      <c r="B14" s="8" t="inlineStr">
        <is>
          <t>Returns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Return on average equity</t>
        </is>
      </c>
      <c r="D15" s="12">
        <f>IS!D19/((BS!D27+BS!C27)/2)</f>
        <v/>
      </c>
      <c r="E15" s="12">
        <f>IS!E19/((BS!E27+BS!D27)/2)</f>
        <v/>
      </c>
      <c r="F15" s="12">
        <f>IS!F19/((BS!F27+BS!E27)/2)</f>
        <v/>
      </c>
      <c r="G15" s="12">
        <f>IS!G19/((BS!G27+BS!F27)/2)</f>
        <v/>
      </c>
      <c r="H15" s="12">
        <f>IS!H19/((BS!H27+BS!G27)/2)</f>
        <v/>
      </c>
      <c r="I15" s="12">
        <f>IS!I19/((BS!I27+BS!H27)/2)</f>
        <v/>
      </c>
      <c r="J15" s="12">
        <f>IS!J19/((BS!J27+BS!I27)/2)</f>
        <v/>
      </c>
      <c r="K15" s="12">
        <f>IS!K19/((BS!K27+BS!J27)/2)</f>
        <v/>
      </c>
      <c r="L15" s="12">
        <f>IS!L19/((BS!L27+BS!K27)/2)</f>
        <v/>
      </c>
      <c r="M15" s="12">
        <f>IS!M19/((BS!M27+BS!L27)/2)</f>
        <v/>
      </c>
      <c r="N15" s="12">
        <f>IS!N19/((BS!N27+BS!M27)/2)</f>
        <v/>
      </c>
      <c r="O15" s="12">
        <f>IS!O19/((BS!O27+BS!N27)/2)</f>
        <v/>
      </c>
      <c r="P15" s="12">
        <f>IS!P19/((BS!P27+BS!O27)/2)</f>
        <v/>
      </c>
      <c r="Q15" s="12">
        <f>IS!Q19/((BS!Q27+BS!P27)/2)</f>
        <v/>
      </c>
    </row>
    <row r="16">
      <c r="B16" s="11" t="inlineStr">
        <is>
          <t>ROIC = EBIT x (1 - tax rate) / opening (equity + net debt)</t>
        </is>
      </c>
      <c r="D16" s="12">
        <f>IS!D11*(1-Drivers!D19)/(BS!C29+BS!C34)</f>
        <v/>
      </c>
      <c r="E16" s="12">
        <f>IS!E11*(1-Drivers!E19)/(BS!D29+BS!D34)</f>
        <v/>
      </c>
      <c r="F16" s="12">
        <f>IS!F11*(1-Drivers!F19)/(BS!E29+BS!E34)</f>
        <v/>
      </c>
      <c r="G16" s="12">
        <f>IS!G11*(1-Drivers!G19)/(BS!F29+BS!F34)</f>
        <v/>
      </c>
      <c r="H16" s="12">
        <f>IS!H11*(1-Drivers!H19)/(BS!G29+BS!G34)</f>
        <v/>
      </c>
      <c r="I16" s="12">
        <f>IS!I11*(1-Drivers!I19)/(BS!H29+BS!H34)</f>
        <v/>
      </c>
      <c r="J16" s="12">
        <f>IS!J11*(1-Drivers!J19)/(BS!I29+BS!I34)</f>
        <v/>
      </c>
      <c r="K16" s="12">
        <f>IS!K11*(1-Drivers!K19)/(BS!J29+BS!J34)</f>
        <v/>
      </c>
      <c r="L16" s="12">
        <f>IS!L11*(1-Drivers!L19)/(BS!K29+BS!K34)</f>
        <v/>
      </c>
      <c r="M16" s="12">
        <f>IS!M11*(1-Drivers!M19)/(BS!L29+BS!L34)</f>
        <v/>
      </c>
      <c r="N16" s="12">
        <f>IS!N11*(1-Drivers!N19)/(BS!M29+BS!M34)</f>
        <v/>
      </c>
      <c r="O16" s="12">
        <f>IS!O11*(1-Drivers!O19)/(BS!N29+BS!N34)</f>
        <v/>
      </c>
      <c r="P16" s="12">
        <f>IS!P11*(1-Drivers!P19)/(BS!O29+BS!O34)</f>
        <v/>
      </c>
      <c r="Q16" s="12">
        <f>IS!Q11*(1-Drivers!Q19)/(BS!P29+BS!P34)</f>
        <v/>
      </c>
    </row>
    <row r="18">
      <c r="B18" s="8" t="inlineStr">
        <is>
          <t>Leverage and working capital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11" t="inlineStr">
        <is>
          <t>Net debt / EBITDA</t>
        </is>
      </c>
      <c r="C19" s="28">
        <f>BS!C34/IS!C25</f>
        <v/>
      </c>
      <c r="D19" s="28">
        <f>BS!D34/IS!D25</f>
        <v/>
      </c>
      <c r="E19" s="28">
        <f>BS!E34/IS!E25</f>
        <v/>
      </c>
      <c r="F19" s="28">
        <f>BS!F34/IS!F25</f>
        <v/>
      </c>
      <c r="G19" s="28">
        <f>BS!G34/IS!G25</f>
        <v/>
      </c>
      <c r="H19" s="28">
        <f>BS!H34/IS!H25</f>
        <v/>
      </c>
      <c r="I19" s="28">
        <f>BS!I34/IS!I25</f>
        <v/>
      </c>
      <c r="J19" s="28">
        <f>BS!J34/IS!J25</f>
        <v/>
      </c>
      <c r="K19" s="28">
        <f>BS!K34/IS!K25</f>
        <v/>
      </c>
      <c r="L19" s="28">
        <f>BS!L34/IS!L25</f>
        <v/>
      </c>
      <c r="M19" s="28">
        <f>BS!M34/IS!M25</f>
        <v/>
      </c>
      <c r="N19" s="28">
        <f>BS!N34/IS!N25</f>
        <v/>
      </c>
      <c r="O19" s="28">
        <f>BS!O34/IS!O25</f>
        <v/>
      </c>
      <c r="P19" s="28">
        <f>BS!P34/IS!P25</f>
        <v/>
      </c>
      <c r="Q19" s="28">
        <f>BS!Q34/IS!Q25</f>
        <v/>
      </c>
    </row>
    <row r="20">
      <c r="B20" s="11" t="inlineStr">
        <is>
          <t>EBIT / interest expense</t>
        </is>
      </c>
      <c r="C20" s="28">
        <f>IS!C11/IS!C12</f>
        <v/>
      </c>
      <c r="D20" s="28">
        <f>IS!D11/IS!D12</f>
        <v/>
      </c>
      <c r="E20" s="28">
        <f>IS!E11/IS!E12</f>
        <v/>
      </c>
      <c r="F20" s="28">
        <f>IS!F11/IS!F12</f>
        <v/>
      </c>
      <c r="G20" s="28">
        <f>IS!G11/IS!G12</f>
        <v/>
      </c>
      <c r="H20" s="28">
        <f>IS!H11/IS!H12</f>
        <v/>
      </c>
      <c r="I20" s="28">
        <f>IS!I11/IS!I12</f>
        <v/>
      </c>
      <c r="J20" s="28">
        <f>IS!J11/IS!J12</f>
        <v/>
      </c>
      <c r="K20" s="28">
        <f>IS!K11/IS!K12</f>
        <v/>
      </c>
      <c r="L20" s="28">
        <f>IS!L11/IS!L12</f>
        <v/>
      </c>
      <c r="M20" s="28">
        <f>IS!M11/IS!M12</f>
        <v/>
      </c>
      <c r="N20" s="28">
        <f>IS!N11/IS!N12</f>
        <v/>
      </c>
      <c r="O20" s="28">
        <f>IS!O11/IS!O12</f>
        <v/>
      </c>
      <c r="P20" s="28">
        <f>IS!P11/IS!P12</f>
        <v/>
      </c>
      <c r="Q20" s="28">
        <f>IS!Q11/IS!Q12</f>
        <v/>
      </c>
    </row>
    <row r="21">
      <c r="B21" s="11" t="inlineStr">
        <is>
          <t>Cash conversion cycle (days) = DSO + DIO - DPO</t>
        </is>
      </c>
      <c r="C21" s="14">
        <f>Drivers!C14+Drivers!C15-Drivers!C16</f>
        <v/>
      </c>
      <c r="D21" s="14">
        <f>Drivers!D14+Drivers!D15-Drivers!D16</f>
        <v/>
      </c>
      <c r="E21" s="14">
        <f>Drivers!E14+Drivers!E15-Drivers!E16</f>
        <v/>
      </c>
      <c r="F21" s="14">
        <f>Drivers!F14+Drivers!F15-Drivers!F16</f>
        <v/>
      </c>
      <c r="G21" s="14">
        <f>Drivers!G14+Drivers!G15-Drivers!G16</f>
        <v/>
      </c>
      <c r="H21" s="14">
        <f>Drivers!H14+Drivers!H15-Drivers!H16</f>
        <v/>
      </c>
      <c r="I21" s="14">
        <f>Drivers!I14+Drivers!I15-Drivers!I16</f>
        <v/>
      </c>
      <c r="J21" s="14">
        <f>Drivers!J14+Drivers!J15-Drivers!J16</f>
        <v/>
      </c>
      <c r="K21" s="14">
        <f>Drivers!K14+Drivers!K15-Drivers!K16</f>
        <v/>
      </c>
      <c r="L21" s="14">
        <f>Drivers!L14+Drivers!L15-Drivers!L16</f>
        <v/>
      </c>
      <c r="M21" s="14">
        <f>Drivers!M14+Drivers!M15-Drivers!M16</f>
        <v/>
      </c>
      <c r="N21" s="14">
        <f>Drivers!N14+Drivers!N15-Drivers!N16</f>
        <v/>
      </c>
      <c r="O21" s="14">
        <f>Drivers!O14+Drivers!O15-Drivers!O16</f>
        <v/>
      </c>
      <c r="P21" s="14">
        <f>Drivers!P14+Drivers!P15-Drivers!P16</f>
        <v/>
      </c>
      <c r="Q21" s="14">
        <f>Drivers!Q14+Drivers!Q15-Drivers!Q16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Cost of capital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Cost of capital inputs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Risk-free rate</t>
        </is>
      </c>
      <c r="C7" s="13" t="n">
        <v>0.07510118776169417</v>
      </c>
      <c r="D7" s="5" t="inlineStr">
        <is>
          <t>input from valuation/valuation.yaml</t>
        </is>
      </c>
    </row>
    <row r="8">
      <c r="B8" s="11" t="inlineStr">
        <is>
          <t>Equity risk premium</t>
        </is>
      </c>
      <c r="C8" s="13" t="n">
        <v>0.042</v>
      </c>
      <c r="D8" s="5" t="inlineStr">
        <is>
          <t>input from valuation/valuation.yaml</t>
        </is>
      </c>
    </row>
    <row r="9">
      <c r="B9" s="11" t="inlineStr">
        <is>
          <t>Country risk premium</t>
        </is>
      </c>
      <c r="C9" s="13" t="n">
        <v>0.02049633930380898</v>
      </c>
      <c r="D9" s="5" t="inlineStr">
        <is>
          <t>input from valuation/valuation.yaml</t>
        </is>
      </c>
    </row>
    <row r="10">
      <c r="B10" s="11" t="inlineStr">
        <is>
          <t>Unlevered beta</t>
        </is>
      </c>
      <c r="C10" s="29" t="n">
        <v>0.53</v>
      </c>
      <c r="D10" s="5" t="inlineStr">
        <is>
          <t>input from valuation/valuation.yaml</t>
        </is>
      </c>
    </row>
    <row r="11">
      <c r="B11" s="11" t="inlineStr">
        <is>
          <t>Target debt / equity (debt incl. leases, at market value)</t>
        </is>
      </c>
      <c r="C11" s="29" t="n">
        <v>0.7431</v>
      </c>
      <c r="D11" s="5" t="inlineStr">
        <is>
          <t>input from valuation/valuation.yaml</t>
        </is>
      </c>
    </row>
    <row r="12">
      <c r="B12" s="11" t="inlineStr">
        <is>
          <t>Pre-tax cost of debt</t>
        </is>
      </c>
      <c r="C12" s="13" t="n">
        <v>0.09710000000000001</v>
      </c>
      <c r="D12" s="5" t="inlineStr">
        <is>
          <t>input from valuation/valuation.yaml</t>
        </is>
      </c>
    </row>
    <row r="13">
      <c r="B13" s="11" t="inlineStr">
        <is>
          <t>Marginal tax rate</t>
        </is>
      </c>
      <c r="C13" s="13" t="n">
        <v>0.3</v>
      </c>
      <c r="D13" s="5" t="inlineStr">
        <is>
          <t>input from valuation/valuation.yaml</t>
        </is>
      </c>
    </row>
    <row r="15">
      <c r="B15" s="8" t="inlineStr">
        <is>
          <t>Cost of capital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B16" s="11" t="inlineStr">
        <is>
          <t>Relevered beta = unlevered x (1 + (1 - tax) x D/E)</t>
        </is>
      </c>
      <c r="C16" s="30">
        <f>C10*(1+(1-C13)*C11)</f>
        <v/>
      </c>
    </row>
    <row r="17">
      <c r="B17" s="11" t="inlineStr">
        <is>
          <t>Cost of equity = rf + beta x ERP + CRP</t>
        </is>
      </c>
      <c r="C17" s="12">
        <f>C7+C16*C8+C9</f>
        <v/>
      </c>
    </row>
    <row r="18">
      <c r="B18" s="11" t="inlineStr">
        <is>
          <t>After-tax cost of debt</t>
        </is>
      </c>
      <c r="C18" s="12">
        <f>C12*(1-C13)</f>
        <v/>
      </c>
    </row>
    <row r="19">
      <c r="B19" s="11" t="inlineStr">
        <is>
          <t>Equity weight = 1 / (1 + D/E)</t>
        </is>
      </c>
      <c r="C19" s="12">
        <f>1/(1+C11)</f>
        <v/>
      </c>
    </row>
    <row r="20">
      <c r="B20" s="11" t="inlineStr">
        <is>
          <t>Debt weight = D/E / (1 + D/E)</t>
        </is>
      </c>
      <c r="C20" s="12">
        <f>C11/(1+C11)</f>
        <v/>
      </c>
    </row>
    <row r="21">
      <c r="B21" s="18" t="inlineStr">
        <is>
          <t>WACC</t>
        </is>
      </c>
      <c r="C21" s="31">
        <f>C19*C17+C20*C18</f>
        <v/>
      </c>
    </row>
    <row r="22">
      <c r="B22" s="11" t="inlineStr">
        <is>
          <t>Current debt / equity at market (total debt incl. leases / market cap)</t>
        </is>
      </c>
      <c r="C22" s="30">
        <f>BS!G33/(DCF!C45*DCF!C40)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Discounted cash flow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Discounting convention</t>
        </is>
      </c>
      <c r="C6" s="10" t="inlineStr">
        <is>
          <t>Value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Mid-year convention offset (0.5 = mid-year, 0 = end of year)</t>
        </is>
      </c>
      <c r="C7" s="29" t="n">
        <v>0.5</v>
      </c>
      <c r="D7" s="5" t="inlineStr">
        <is>
          <t>input from valuation/valuation.yaml (mid_year)</t>
        </is>
      </c>
    </row>
    <row r="9">
      <c r="B9" s="8" t="inlineStr">
        <is>
          <t>Free cash flow to the firm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B10" s="11" t="inlineStr">
        <is>
          <t>EBIT</t>
        </is>
      </c>
      <c r="H10" s="22">
        <f>IS!H11</f>
        <v/>
      </c>
      <c r="I10" s="22">
        <f>IS!I11</f>
        <v/>
      </c>
      <c r="J10" s="22">
        <f>IS!J11</f>
        <v/>
      </c>
      <c r="K10" s="22">
        <f>IS!K11</f>
        <v/>
      </c>
      <c r="L10" s="22">
        <f>IS!L11</f>
        <v/>
      </c>
      <c r="M10" s="22">
        <f>IS!M11</f>
        <v/>
      </c>
      <c r="N10" s="22">
        <f>IS!N11</f>
        <v/>
      </c>
      <c r="O10" s="22">
        <f>IS!O11</f>
        <v/>
      </c>
      <c r="P10" s="22">
        <f>IS!P11</f>
        <v/>
      </c>
      <c r="Q10" s="22">
        <f>IS!Q11</f>
        <v/>
      </c>
    </row>
    <row r="11">
      <c r="B11" s="11" t="inlineStr">
        <is>
          <t>Less: taxes on EBIT</t>
        </is>
      </c>
      <c r="H11" s="16">
        <f>H10*Drivers!H19</f>
        <v/>
      </c>
      <c r="I11" s="16">
        <f>I10*Drivers!I19</f>
        <v/>
      </c>
      <c r="J11" s="16">
        <f>J10*Drivers!J19</f>
        <v/>
      </c>
      <c r="K11" s="16">
        <f>K10*Drivers!K19</f>
        <v/>
      </c>
      <c r="L11" s="16">
        <f>L10*Drivers!L19</f>
        <v/>
      </c>
      <c r="M11" s="16">
        <f>M10*Drivers!M19</f>
        <v/>
      </c>
      <c r="N11" s="16">
        <f>N10*Drivers!N19</f>
        <v/>
      </c>
      <c r="O11" s="16">
        <f>O10*Drivers!O19</f>
        <v/>
      </c>
      <c r="P11" s="16">
        <f>P10*Drivers!P19</f>
        <v/>
      </c>
      <c r="Q11" s="16">
        <f>Q10*Drivers!Q19</f>
        <v/>
      </c>
    </row>
    <row r="12">
      <c r="B12" s="18" t="inlineStr">
        <is>
          <t>NOPAT</t>
        </is>
      </c>
      <c r="H12" s="20">
        <f>H10-H11</f>
        <v/>
      </c>
      <c r="I12" s="20">
        <f>I10-I11</f>
        <v/>
      </c>
      <c r="J12" s="20">
        <f>J10-J11</f>
        <v/>
      </c>
      <c r="K12" s="20">
        <f>K10-K11</f>
        <v/>
      </c>
      <c r="L12" s="20">
        <f>L10-L11</f>
        <v/>
      </c>
      <c r="M12" s="20">
        <f>M10-M11</f>
        <v/>
      </c>
      <c r="N12" s="20">
        <f>N10-N11</f>
        <v/>
      </c>
      <c r="O12" s="20">
        <f>O10-O11</f>
        <v/>
      </c>
      <c r="P12" s="20">
        <f>P10-P11</f>
        <v/>
      </c>
      <c r="Q12" s="20">
        <f>Q10-Q11</f>
        <v/>
      </c>
    </row>
    <row r="13">
      <c r="B13" s="11" t="inlineStr">
        <is>
          <t>Plus: D&amp;A</t>
        </is>
      </c>
      <c r="H13" s="22">
        <f>IS!H24</f>
        <v/>
      </c>
      <c r="I13" s="22">
        <f>IS!I24</f>
        <v/>
      </c>
      <c r="J13" s="22">
        <f>IS!J24</f>
        <v/>
      </c>
      <c r="K13" s="22">
        <f>IS!K24</f>
        <v/>
      </c>
      <c r="L13" s="22">
        <f>IS!L24</f>
        <v/>
      </c>
      <c r="M13" s="22">
        <f>IS!M24</f>
        <v/>
      </c>
      <c r="N13" s="22">
        <f>IS!N24</f>
        <v/>
      </c>
      <c r="O13" s="22">
        <f>IS!O24</f>
        <v/>
      </c>
      <c r="P13" s="22">
        <f>IS!P24</f>
        <v/>
      </c>
      <c r="Q13" s="22">
        <f>IS!Q24</f>
        <v/>
      </c>
    </row>
    <row r="14">
      <c r="B14" s="11" t="inlineStr">
        <is>
          <t>Less: capex</t>
        </is>
      </c>
      <c r="H14" s="22">
        <f>CF!H13</f>
        <v/>
      </c>
      <c r="I14" s="22">
        <f>CF!I13</f>
        <v/>
      </c>
      <c r="J14" s="22">
        <f>CF!J13</f>
        <v/>
      </c>
      <c r="K14" s="22">
        <f>CF!K13</f>
        <v/>
      </c>
      <c r="L14" s="22">
        <f>CF!L13</f>
        <v/>
      </c>
      <c r="M14" s="22">
        <f>CF!M13</f>
        <v/>
      </c>
      <c r="N14" s="22">
        <f>CF!N13</f>
        <v/>
      </c>
      <c r="O14" s="22">
        <f>CF!O13</f>
        <v/>
      </c>
      <c r="P14" s="22">
        <f>CF!P13</f>
        <v/>
      </c>
      <c r="Q14" s="22">
        <f>CF!Q13</f>
        <v/>
      </c>
    </row>
    <row r="15">
      <c r="B15" s="11" t="inlineStr">
        <is>
          <t>Less: new leases (IFRS 16, = lease principal repaid)</t>
        </is>
      </c>
      <c r="H15" s="22">
        <f>CF!H19</f>
        <v/>
      </c>
      <c r="I15" s="22">
        <f>CF!I19</f>
        <v/>
      </c>
      <c r="J15" s="22">
        <f>CF!J19</f>
        <v/>
      </c>
      <c r="K15" s="22">
        <f>CF!K19</f>
        <v/>
      </c>
      <c r="L15" s="22">
        <f>CF!L19</f>
        <v/>
      </c>
      <c r="M15" s="22">
        <f>CF!M19</f>
        <v/>
      </c>
      <c r="N15" s="22">
        <f>CF!N19</f>
        <v/>
      </c>
      <c r="O15" s="22">
        <f>CF!O19</f>
        <v/>
      </c>
      <c r="P15" s="22">
        <f>CF!P19</f>
        <v/>
      </c>
      <c r="Q15" s="22">
        <f>CF!Q19</f>
        <v/>
      </c>
    </row>
    <row r="16">
      <c r="B16" s="11" t="inlineStr">
        <is>
          <t>Plus: change in working capital</t>
        </is>
      </c>
      <c r="H16" s="22">
        <f>CF!H9</f>
        <v/>
      </c>
      <c r="I16" s="22">
        <f>CF!I9</f>
        <v/>
      </c>
      <c r="J16" s="22">
        <f>CF!J9</f>
        <v/>
      </c>
      <c r="K16" s="22">
        <f>CF!K9</f>
        <v/>
      </c>
      <c r="L16" s="22">
        <f>CF!L9</f>
        <v/>
      </c>
      <c r="M16" s="22">
        <f>CF!M9</f>
        <v/>
      </c>
      <c r="N16" s="22">
        <f>CF!N9</f>
        <v/>
      </c>
      <c r="O16" s="22">
        <f>CF!O9</f>
        <v/>
      </c>
      <c r="P16" s="22">
        <f>CF!P9</f>
        <v/>
      </c>
      <c r="Q16" s="22">
        <f>CF!Q9</f>
        <v/>
      </c>
    </row>
    <row r="17">
      <c r="B17" s="18" t="inlineStr">
        <is>
          <t>Free cash flow to the firm</t>
        </is>
      </c>
      <c r="H17" s="23">
        <f>H12+H13-H14-H15+H16</f>
        <v/>
      </c>
      <c r="I17" s="23">
        <f>I12+I13-I14-I15+I16</f>
        <v/>
      </c>
      <c r="J17" s="23">
        <f>J12+J13-J14-J15+J16</f>
        <v/>
      </c>
      <c r="K17" s="23">
        <f>K12+K13-K14-K15+K16</f>
        <v/>
      </c>
      <c r="L17" s="23">
        <f>L12+L13-L14-L15+L16</f>
        <v/>
      </c>
      <c r="M17" s="23">
        <f>M12+M13-M14-M15+M16</f>
        <v/>
      </c>
      <c r="N17" s="23">
        <f>N12+N13-N14-N15+N16</f>
        <v/>
      </c>
      <c r="O17" s="23">
        <f>O12+O13-O14-O15+O16</f>
        <v/>
      </c>
      <c r="P17" s="23">
        <f>P12+P13-P14-P15+P16</f>
        <v/>
      </c>
      <c r="Q17" s="23">
        <f>Q12+Q13-Q14-Q15+Q16</f>
        <v/>
      </c>
    </row>
    <row r="18">
      <c r="B18" s="11" t="inlineStr">
        <is>
          <t>Forecast year number</t>
        </is>
      </c>
      <c r="H18" s="29" t="n">
        <v>1</v>
      </c>
      <c r="I18" s="29" t="n">
        <v>2</v>
      </c>
      <c r="J18" s="29" t="n">
        <v>3</v>
      </c>
      <c r="K18" s="29" t="n">
        <v>4</v>
      </c>
      <c r="L18" s="29" t="n">
        <v>5</v>
      </c>
      <c r="M18" s="29" t="n">
        <v>6</v>
      </c>
      <c r="N18" s="29" t="n">
        <v>7</v>
      </c>
      <c r="O18" s="29" t="n">
        <v>8</v>
      </c>
      <c r="P18" s="29" t="n">
        <v>9</v>
      </c>
      <c r="Q18" s="29" t="n">
        <v>10</v>
      </c>
      <c r="R18" s="5" t="inlineStr">
        <is>
          <t>mechanical</t>
        </is>
      </c>
    </row>
    <row r="19">
      <c r="B19" s="11" t="inlineStr">
        <is>
          <t>Discount period (years) = year number - mid-year offset</t>
        </is>
      </c>
      <c r="H19" s="30">
        <f>H18-C7</f>
        <v/>
      </c>
      <c r="I19" s="30">
        <f>I18-C7</f>
        <v/>
      </c>
      <c r="J19" s="30">
        <f>J18-C7</f>
        <v/>
      </c>
      <c r="K19" s="30">
        <f>K18-C7</f>
        <v/>
      </c>
      <c r="L19" s="30">
        <f>L18-C7</f>
        <v/>
      </c>
      <c r="M19" s="30">
        <f>M18-C7</f>
        <v/>
      </c>
      <c r="N19" s="30">
        <f>N18-C7</f>
        <v/>
      </c>
      <c r="O19" s="30">
        <f>O18-C7</f>
        <v/>
      </c>
      <c r="P19" s="30">
        <f>P18-C7</f>
        <v/>
      </c>
      <c r="Q19" s="30">
        <f>Q18-C7</f>
        <v/>
      </c>
    </row>
    <row r="20">
      <c r="B20" s="11" t="inlineStr">
        <is>
          <t>Discount factor</t>
        </is>
      </c>
      <c r="H20" s="32">
        <f>1/(1+WACC!C21)^H19</f>
        <v/>
      </c>
      <c r="I20" s="32">
        <f>1/(1+WACC!C21)^I19</f>
        <v/>
      </c>
      <c r="J20" s="32">
        <f>1/(1+WACC!C21)^J19</f>
        <v/>
      </c>
      <c r="K20" s="32">
        <f>1/(1+WACC!C21)^K19</f>
        <v/>
      </c>
      <c r="L20" s="32">
        <f>1/(1+WACC!C21)^L19</f>
        <v/>
      </c>
      <c r="M20" s="32">
        <f>1/(1+WACC!C21)^M19</f>
        <v/>
      </c>
      <c r="N20" s="32">
        <f>1/(1+WACC!C21)^N19</f>
        <v/>
      </c>
      <c r="O20" s="32">
        <f>1/(1+WACC!C21)^O19</f>
        <v/>
      </c>
      <c r="P20" s="32">
        <f>1/(1+WACC!C21)^P19</f>
        <v/>
      </c>
      <c r="Q20" s="32">
        <f>1/(1+WACC!C21)^Q19</f>
        <v/>
      </c>
    </row>
    <row r="21">
      <c r="B21" s="11" t="inlineStr">
        <is>
          <t>Present value of FCFF</t>
        </is>
      </c>
      <c r="H21" s="16">
        <f>H17*H20</f>
        <v/>
      </c>
      <c r="I21" s="16">
        <f>I17*I20</f>
        <v/>
      </c>
      <c r="J21" s="16">
        <f>J17*J20</f>
        <v/>
      </c>
      <c r="K21" s="16">
        <f>K17*K20</f>
        <v/>
      </c>
      <c r="L21" s="16">
        <f>L17*L20</f>
        <v/>
      </c>
      <c r="M21" s="16">
        <f>M17*M20</f>
        <v/>
      </c>
      <c r="N21" s="16">
        <f>N17*N20</f>
        <v/>
      </c>
      <c r="O21" s="16">
        <f>O17*O20</f>
        <v/>
      </c>
      <c r="P21" s="16">
        <f>P17*P20</f>
        <v/>
      </c>
      <c r="Q21" s="16">
        <f>Q17*Q20</f>
        <v/>
      </c>
    </row>
    <row r="23">
      <c r="B23" s="8" t="inlineStr">
        <is>
          <t>Terminal value and enterprise value</t>
        </is>
      </c>
      <c r="C23" s="10" t="inlineStr">
        <is>
          <t>Value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Terminal growth (g)</t>
        </is>
      </c>
      <c r="C24" s="13" t="n">
        <v>0.0425</v>
      </c>
      <c r="D24" s="5" t="inlineStr">
        <is>
          <t>input from valuation/valuation.yaml</t>
        </is>
      </c>
    </row>
    <row r="25">
      <c r="B25" s="11" t="inlineStr">
        <is>
          <t>Exit EV / EBITDA multiple (applied to final-year EBITDA)</t>
        </is>
      </c>
      <c r="C25" s="33" t="n">
        <v>6</v>
      </c>
      <c r="D25" s="5" t="inlineStr">
        <is>
          <t>input from valuation/valuation.yaml</t>
        </is>
      </c>
    </row>
    <row r="26">
      <c r="B26" s="11" t="inlineStr">
        <is>
          <t>Long-term nominal GDP growth (cap for g)</t>
        </is>
      </c>
      <c r="C26" s="13" t="n">
        <v>0.05</v>
      </c>
      <c r="D26" s="5" t="inlineStr">
        <is>
          <t>input from valuation/valuation.yaml</t>
        </is>
      </c>
    </row>
    <row r="27">
      <c r="B27" s="11" t="inlineStr">
        <is>
          <t>Sum of PV of FCFF</t>
        </is>
      </c>
      <c r="C27" s="16">
        <f>SUM(H21:Q21)</f>
        <v/>
      </c>
    </row>
    <row r="28">
      <c r="B28" s="11" t="inlineStr">
        <is>
          <t>Terminal value - Gordon growth</t>
        </is>
      </c>
      <c r="C28" s="16">
        <f>Q17*(1+C24)/(WACC!C21-C24)</f>
        <v/>
      </c>
    </row>
    <row r="29">
      <c r="B29" s="11" t="inlineStr">
        <is>
          <t>PV of terminal value - Gordon</t>
        </is>
      </c>
      <c r="C29" s="16">
        <f>C28/(1+WACC!C21)^(Q18-C7)</f>
        <v/>
      </c>
    </row>
    <row r="30">
      <c r="B30" s="18" t="inlineStr">
        <is>
          <t>Enterprise value - Gordon</t>
        </is>
      </c>
      <c r="C30" s="20">
        <f>C27+C29</f>
        <v/>
      </c>
    </row>
    <row r="31">
      <c r="B31" s="11" t="inlineStr">
        <is>
          <t>Terminal value - exit multiple</t>
        </is>
      </c>
      <c r="C31" s="16">
        <f>IS!Q25*C25</f>
        <v/>
      </c>
    </row>
    <row r="32">
      <c r="B32" s="11" t="inlineStr">
        <is>
          <t>PV of terminal value - exit multiple</t>
        </is>
      </c>
      <c r="C32" s="16">
        <f>C31/(1+WACC!C21)^Q18</f>
        <v/>
      </c>
    </row>
    <row r="33">
      <c r="B33" s="18" t="inlineStr">
        <is>
          <t>Enterprise value - exit multiple</t>
        </is>
      </c>
      <c r="C33" s="20">
        <f>C27+C32</f>
        <v/>
      </c>
    </row>
    <row r="35">
      <c r="B35" s="8" t="inlineStr">
        <is>
          <t>Equity value per share</t>
        </is>
      </c>
      <c r="C35" s="10" t="inlineStr">
        <is>
          <t>Value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B36" s="11" t="inlineStr">
        <is>
          <t>Net debt incl. leases (last actual)</t>
        </is>
      </c>
      <c r="C36" s="22">
        <f>BS!G34</f>
        <v/>
      </c>
    </row>
    <row r="37">
      <c r="B37" s="11" t="inlineStr">
        <is>
          <t>Non-controlling interests (last actual)</t>
        </is>
      </c>
      <c r="C37" s="22">
        <f>BS!G28</f>
        <v/>
      </c>
    </row>
    <row r="38">
      <c r="B38" s="11" t="inlineStr">
        <is>
          <t>Plus: non-operating assets (associates, investments, excess land)</t>
        </is>
      </c>
      <c r="C38" s="17" t="n">
        <v>7018</v>
      </c>
      <c r="D38" s="5" t="inlineStr">
        <is>
          <t>input from valuation/valuation.yaml</t>
        </is>
      </c>
    </row>
    <row r="39">
      <c r="B39" s="11" t="inlineStr">
        <is>
          <t>Less: debt-like items (pensions, provisions treated as debt)</t>
        </is>
      </c>
      <c r="C39" s="17" t="n">
        <v>37053.896101</v>
      </c>
      <c r="D39" s="5" t="inlineStr">
        <is>
          <t>input from valuation/valuation.yaml</t>
        </is>
      </c>
    </row>
    <row r="40">
      <c r="B40" s="11" t="inlineStr">
        <is>
          <t>Diluted shares (last actual)</t>
        </is>
      </c>
      <c r="C40" s="34">
        <f>IS!G22</f>
        <v/>
      </c>
    </row>
    <row r="41">
      <c r="B41" s="11" t="inlineStr">
        <is>
          <t>Years since last fiscal year-end</t>
        </is>
      </c>
      <c r="C41" s="29" t="n">
        <v>0.7917999999999999</v>
      </c>
      <c r="D41" s="5" t="inlineStr">
        <is>
          <t>input from valuation/valuation.yaml</t>
        </is>
      </c>
    </row>
    <row r="42">
      <c r="B42" s="11" t="inlineStr">
        <is>
          <t>Roll-forward to today = (1 + cost of equity) ^ years since fiscal year-end</t>
        </is>
      </c>
      <c r="C42" s="30">
        <f>(1+WACC!C17)^C41</f>
        <v/>
      </c>
    </row>
    <row r="43">
      <c r="B43" s="18" t="inlineStr">
        <is>
          <t>Value per share today - Gordon</t>
        </is>
      </c>
      <c r="C43" s="35">
        <f>(C30+C38-C36-C37-C39)/C40*C42</f>
        <v/>
      </c>
    </row>
    <row r="44">
      <c r="B44" s="18" t="inlineStr">
        <is>
          <t>Value per share today - exit multiple</t>
        </is>
      </c>
      <c r="C44" s="35">
        <f>(C33+C38-C36-C37-C39)/C40*C42</f>
        <v/>
      </c>
    </row>
    <row r="45">
      <c r="B45" s="11" t="inlineStr">
        <is>
          <t>Current share price</t>
        </is>
      </c>
      <c r="C45" s="36" t="n">
        <v>58.6</v>
      </c>
      <c r="D45" s="5" t="inlineStr">
        <is>
          <t>input from valuation/valuation.yaml</t>
        </is>
      </c>
    </row>
    <row r="46">
      <c r="B46" s="11" t="inlineStr">
        <is>
          <t>Next-year dividend per share</t>
        </is>
      </c>
      <c r="C46" s="26">
        <f>CF!H18/IS!H22</f>
        <v/>
      </c>
    </row>
    <row r="47">
      <c r="B47" s="18" t="inlineStr">
        <is>
          <t>12-month target price - Gordon (value today x (1 + cost of equity) - next dividend)</t>
        </is>
      </c>
      <c r="C47" s="35">
        <f>C43*(1+WACC!C17)-C46</f>
        <v/>
      </c>
    </row>
    <row r="48">
      <c r="B48" s="11" t="inlineStr">
        <is>
          <t>Upside to 12-month target - Gordon</t>
        </is>
      </c>
      <c r="C48" s="12">
        <f>C47/C45-1</f>
        <v/>
      </c>
    </row>
    <row r="49">
      <c r="B49" s="11" t="inlineStr">
        <is>
          <t>Upside / (downside) - exit multiple</t>
        </is>
      </c>
      <c r="C49" s="12">
        <f>C44/C45-1</f>
        <v/>
      </c>
    </row>
    <row r="51">
      <c r="B51" s="8" t="inlineStr">
        <is>
          <t>Cross-checks</t>
        </is>
      </c>
      <c r="C51" s="10" t="inlineStr">
        <is>
          <t>Value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B52" s="11" t="inlineStr">
        <is>
          <t>Terminal value share of EV - Gordon</t>
        </is>
      </c>
      <c r="C52" s="12">
        <f>C29/C30</f>
        <v/>
      </c>
    </row>
    <row r="53">
      <c r="B53" s="11" t="inlineStr">
        <is>
          <t>Exit multiple implied by Gordon</t>
        </is>
      </c>
      <c r="C53" s="28">
        <f>C28*(1+WACC!C21)^C7/IS!Q25</f>
        <v/>
      </c>
    </row>
    <row r="54">
      <c r="B54" s="11" t="inlineStr">
        <is>
          <t>Growth implied by the exit multiple</t>
        </is>
      </c>
      <c r="C54" s="12">
        <f>(C31/(1+WACC!C21)^C7*WACC!C21-Q17)/(C31/(1+WACC!C21)^C7+Q17)</f>
        <v/>
      </c>
    </row>
    <row r="55">
      <c r="B55" s="11" t="inlineStr">
        <is>
          <t>Return on new capital implied by the terminal value</t>
        </is>
      </c>
      <c r="C55" s="12">
        <f>C24/(1-Q17/Q12)</f>
        <v/>
      </c>
    </row>
    <row r="57">
      <c r="B57" s="8" t="inlineStr">
        <is>
          <t>Reverse DCF - what the market price implies</t>
        </is>
      </c>
      <c r="C57" s="10" t="inlineStr">
        <is>
          <t>Value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B58" s="11" t="inlineStr">
        <is>
          <t>Market EV at fiscal year-end = price / roll-forward x shares + net debt + NCI + debt-like items - non-operating assets</t>
        </is>
      </c>
      <c r="C58" s="16">
        <f>C45/C42*C40+C36+C37+C39-C38</f>
        <v/>
      </c>
    </row>
    <row r="59">
      <c r="B59" s="11" t="inlineStr">
        <is>
          <t>Terminal value implied by the market</t>
        </is>
      </c>
      <c r="C59" s="16">
        <f>(C58-C27)*(1+WACC!C21)^(Q18-C7)</f>
        <v/>
      </c>
    </row>
    <row r="60">
      <c r="B60" s="11" t="inlineStr">
        <is>
          <t>Terminal growth implied by the market price</t>
        </is>
      </c>
      <c r="C60" s="12">
        <f>(C59*WACC!C21-Q17)/(C59+Q17)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T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Comparable companies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Peer multiples</t>
        </is>
      </c>
      <c r="C6" s="10" t="inlineStr">
        <is>
          <t>Price</t>
        </is>
      </c>
      <c r="D6" s="10" t="inlineStr">
        <is>
          <t>Shares</t>
        </is>
      </c>
      <c r="E6" s="10" t="inlineStr">
        <is>
          <t>Net debt incl. leases + NCI</t>
        </is>
      </c>
      <c r="F6" s="10" t="inlineStr">
        <is>
          <t>EBITDA next yr</t>
        </is>
      </c>
      <c r="G6" s="10" t="inlineStr">
        <is>
          <t>EPS next yr</t>
        </is>
      </c>
      <c r="H6" s="10" t="inlineStr">
        <is>
          <t>EV</t>
        </is>
      </c>
      <c r="I6" s="10" t="inlineStr">
        <is>
          <t>EV / EBITDA</t>
        </is>
      </c>
      <c r="J6" s="10" t="inlineStr">
        <is>
          <t>P / E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Flowers Foods, Inc. (NYSE:FLO)</t>
        </is>
      </c>
      <c r="C7" s="36" t="n">
        <v>6.108911</v>
      </c>
      <c r="D7" s="37" t="n">
        <v>212.1</v>
      </c>
      <c r="E7" s="17" t="n">
        <v>1950.536</v>
      </c>
      <c r="F7" s="17" t="n">
        <v>528.077493</v>
      </c>
      <c r="G7" s="36" t="n">
        <v>0.6840889999999999</v>
      </c>
      <c r="H7" s="16">
        <f>C7*D7+E7</f>
        <v/>
      </c>
      <c r="I7" s="28">
        <f>H7/F7</f>
        <v/>
      </c>
      <c r="J7" s="28">
        <f>C7/G7</f>
        <v/>
      </c>
    </row>
    <row r="8">
      <c r="B8" s="11" t="inlineStr">
        <is>
          <t>Gruma, S.A.B. de C.V. (BMV:GRUMA B)</t>
        </is>
      </c>
      <c r="C8" s="36" t="n">
        <v>13.097029</v>
      </c>
      <c r="D8" s="37" t="n">
        <v>336.207985</v>
      </c>
      <c r="E8" s="17" t="n">
        <v>1631</v>
      </c>
      <c r="F8" s="17" t="n">
        <v>1070.189945</v>
      </c>
      <c r="G8" s="36" t="n">
        <v>1.344767</v>
      </c>
      <c r="H8" s="16">
        <f>C8*D8+E8</f>
        <v/>
      </c>
      <c r="I8" s="28">
        <f>H8/F8</f>
        <v/>
      </c>
      <c r="J8" s="28">
        <f>C8/G8</f>
        <v/>
      </c>
    </row>
    <row r="9">
      <c r="B9" s="11" t="inlineStr">
        <is>
          <t>The Campbell's Company (NasdaqGS:CPB)</t>
        </is>
      </c>
      <c r="C9" s="36" t="n">
        <v>19.872233</v>
      </c>
      <c r="D9" s="37" t="n">
        <v>298.2</v>
      </c>
      <c r="E9" s="17" t="n">
        <v>7362</v>
      </c>
      <c r="F9" s="17" t="n">
        <v>1589.942466</v>
      </c>
      <c r="G9" s="36" t="n">
        <v>1.695583</v>
      </c>
      <c r="H9" s="16">
        <f>C9*D9+E9</f>
        <v/>
      </c>
      <c r="I9" s="28">
        <f>H9/F9</f>
        <v/>
      </c>
      <c r="J9" s="28">
        <f>C9/G9</f>
        <v/>
      </c>
    </row>
    <row r="10">
      <c r="B10" s="11" t="inlineStr">
        <is>
          <t>Mondelez International, Inc. (NasdaqGS:MDLZ)</t>
        </is>
      </c>
      <c r="C10" s="36" t="n">
        <v>63.910366</v>
      </c>
      <c r="D10" s="37" t="n">
        <v>1276.3</v>
      </c>
      <c r="E10" s="17" t="n">
        <v>20560</v>
      </c>
      <c r="F10" s="17" t="n">
        <v>7399.233973</v>
      </c>
      <c r="G10" s="36" t="n">
        <v>3.222913</v>
      </c>
      <c r="H10" s="16">
        <f>C10*D10+E10</f>
        <v/>
      </c>
      <c r="I10" s="28">
        <f>H10/F10</f>
        <v/>
      </c>
      <c r="J10" s="28">
        <f>C10/G10</f>
        <v/>
      </c>
    </row>
    <row r="11">
      <c r="B11" s="11" t="inlineStr">
        <is>
          <t>PepsiCo, Inc. (NasdaqGS:PEP)</t>
        </is>
      </c>
      <c r="C11" s="36" t="n">
        <v>131.503999</v>
      </c>
      <c r="D11" s="37" t="n">
        <v>1362.7</v>
      </c>
      <c r="E11" s="17" t="n">
        <v>45247</v>
      </c>
      <c r="F11" s="17" t="n">
        <v>20353.899452</v>
      </c>
      <c r="G11" s="36" t="n">
        <v>8.467739999999999</v>
      </c>
      <c r="H11" s="16">
        <f>C11*D11+E11</f>
        <v/>
      </c>
      <c r="I11" s="28">
        <f>H11/F11</f>
        <v/>
      </c>
      <c r="J11" s="28">
        <f>C11/G11</f>
        <v/>
      </c>
    </row>
    <row r="13">
      <c r="B13" s="8" t="inlineStr">
        <is>
          <t>Implied value per share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B14" s="11" t="inlineStr">
        <is>
          <t>Median EV / EBITDA</t>
        </is>
      </c>
      <c r="C14" s="28">
        <f>MEDIAN(I7,I8,I9,I10,I11)</f>
        <v/>
      </c>
    </row>
    <row r="15">
      <c r="B15" s="11" t="inlineStr">
        <is>
          <t>Lowest EV / EBITDA</t>
        </is>
      </c>
      <c r="C15" s="28">
        <f>MIN(I7,I8,I9,I10,I11)</f>
        <v/>
      </c>
    </row>
    <row r="16">
      <c r="B16" s="11" t="inlineStr">
        <is>
          <t>Highest EV / EBITDA</t>
        </is>
      </c>
      <c r="C16" s="28">
        <f>MAX(I7,I8,I9,I10,I11)</f>
        <v/>
      </c>
    </row>
    <row r="17">
      <c r="B17" s="11" t="inlineStr">
        <is>
          <t>Median P / E</t>
        </is>
      </c>
      <c r="C17" s="28">
        <f>MEDIAN(J7,J8,J9,J10,J11)</f>
        <v/>
      </c>
    </row>
    <row r="18">
      <c r="B18" s="11" t="inlineStr">
        <is>
          <t>Lowest P / E</t>
        </is>
      </c>
      <c r="C18" s="28">
        <f>MIN(J7,J8,J9,J10,J11)</f>
        <v/>
      </c>
    </row>
    <row r="19">
      <c r="B19" s="11" t="inlineStr">
        <is>
          <t>Highest P / E</t>
        </is>
      </c>
      <c r="C19" s="28">
        <f>MAX(J7,J8,J9,J10,J11)</f>
        <v/>
      </c>
    </row>
    <row r="20">
      <c r="B20" s="11" t="inlineStr">
        <is>
          <t>Company EBITDA next year</t>
        </is>
      </c>
      <c r="C20" s="22">
        <f>IS!H25</f>
        <v/>
      </c>
    </row>
    <row r="21">
      <c r="B21" s="11" t="inlineStr">
        <is>
          <t>Company EPS next year</t>
        </is>
      </c>
      <c r="C21" s="38">
        <f>IS!H23</f>
        <v/>
      </c>
    </row>
    <row r="22">
      <c r="B22" s="18" t="inlineStr">
        <is>
          <t>Value per share at median EV / EBITDA</t>
        </is>
      </c>
      <c r="C22" s="35">
        <f>(C14*C20+DCF!C38-DCF!C36-DCF!C37-DCF!C39)/DCF!C40</f>
        <v/>
      </c>
    </row>
    <row r="23">
      <c r="B23" s="18" t="inlineStr">
        <is>
          <t>Value per share at median P / E</t>
        </is>
      </c>
      <c r="C23" s="35">
        <f>C17*C21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Sensitivity (value per share)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Value per share today (Gordon): WACC down the side, terminal growth across; n.m. where WACC - g &lt; 1%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Terminal growth -&gt;</t>
        </is>
      </c>
      <c r="D7" s="12">
        <f>DCF!C24+(-0.01)</f>
        <v/>
      </c>
      <c r="E7" s="12">
        <f>DCF!C24+(-0.005)</f>
        <v/>
      </c>
      <c r="F7" s="12">
        <f>DCF!C24+0</f>
        <v/>
      </c>
      <c r="G7" s="12">
        <f>DCF!C24+0.005</f>
        <v/>
      </c>
      <c r="H7" s="12">
        <f>DCF!C24+0.01</f>
        <v/>
      </c>
    </row>
    <row r="8">
      <c r="B8" s="11" t="inlineStr">
        <is>
          <t>WACC</t>
        </is>
      </c>
      <c r="C8" s="12">
        <f>WACC!C21+(-0.02)</f>
        <v/>
      </c>
      <c r="D8" s="39">
        <f>IF(C8-D7&gt;=0.01,(NPV(C8,DCF!H17:Q17)*(1+C8)^DCF!C7+DCF!Q17*(1+D7)/(C8-D7)/(1+C8)^(DCF!Q18-DCF!C7)+DCF!C38-DCF!C36-DCF!C37-DCF!C39)/DCF!C40*DCF!C42,0)</f>
        <v/>
      </c>
      <c r="E8" s="39">
        <f>IF(C8-E7&gt;=0.01,(NPV(C8,DCF!H17:Q17)*(1+C8)^DCF!C7+DCF!Q17*(1+E7)/(C8-E7)/(1+C8)^(DCF!Q18-DCF!C7)+DCF!C38-DCF!C36-DCF!C37-DCF!C39)/DCF!C40*DCF!C42,0)</f>
        <v/>
      </c>
      <c r="F8" s="39">
        <f>IF(C8-F7&gt;=0.01,(NPV(C8,DCF!H17:Q17)*(1+C8)^DCF!C7+DCF!Q17*(1+F7)/(C8-F7)/(1+C8)^(DCF!Q18-DCF!C7)+DCF!C38-DCF!C36-DCF!C37-DCF!C39)/DCF!C40*DCF!C42,0)</f>
        <v/>
      </c>
      <c r="G8" s="39">
        <f>IF(C8-G7&gt;=0.01,(NPV(C8,DCF!H17:Q17)*(1+C8)^DCF!C7+DCF!Q17*(1+G7)/(C8-G7)/(1+C8)^(DCF!Q18-DCF!C7)+DCF!C38-DCF!C36-DCF!C37-DCF!C39)/DCF!C40*DCF!C42,0)</f>
        <v/>
      </c>
      <c r="H8" s="39">
        <f>IF(C8-H7&gt;=0.01,(NPV(C8,DCF!H17:Q17)*(1+C8)^DCF!C7+DCF!Q17*(1+H7)/(C8-H7)/(1+C8)^(DCF!Q18-DCF!C7)+DCF!C38-DCF!C36-DCF!C37-DCF!C39)/DCF!C40*DCF!C42,0)</f>
        <v/>
      </c>
    </row>
    <row r="9">
      <c r="C9" s="12">
        <f>WACC!C21+(-0.01)</f>
        <v/>
      </c>
      <c r="D9" s="39">
        <f>IF(C9-D7&gt;=0.01,(NPV(C9,DCF!H17:Q17)*(1+C9)^DCF!C7+DCF!Q17*(1+D7)/(C9-D7)/(1+C9)^(DCF!Q18-DCF!C7)+DCF!C38-DCF!C36-DCF!C37-DCF!C39)/DCF!C40*DCF!C42,0)</f>
        <v/>
      </c>
      <c r="E9" s="39">
        <f>IF(C9-E7&gt;=0.01,(NPV(C9,DCF!H17:Q17)*(1+C9)^DCF!C7+DCF!Q17*(1+E7)/(C9-E7)/(1+C9)^(DCF!Q18-DCF!C7)+DCF!C38-DCF!C36-DCF!C37-DCF!C39)/DCF!C40*DCF!C42,0)</f>
        <v/>
      </c>
      <c r="F9" s="39">
        <f>IF(C9-F7&gt;=0.01,(NPV(C9,DCF!H17:Q17)*(1+C9)^DCF!C7+DCF!Q17*(1+F7)/(C9-F7)/(1+C9)^(DCF!Q18-DCF!C7)+DCF!C38-DCF!C36-DCF!C37-DCF!C39)/DCF!C40*DCF!C42,0)</f>
        <v/>
      </c>
      <c r="G9" s="39">
        <f>IF(C9-G7&gt;=0.01,(NPV(C9,DCF!H17:Q17)*(1+C9)^DCF!C7+DCF!Q17*(1+G7)/(C9-G7)/(1+C9)^(DCF!Q18-DCF!C7)+DCF!C38-DCF!C36-DCF!C37-DCF!C39)/DCF!C40*DCF!C42,0)</f>
        <v/>
      </c>
      <c r="H9" s="39">
        <f>IF(C9-H7&gt;=0.01,(NPV(C9,DCF!H17:Q17)*(1+C9)^DCF!C7+DCF!Q17*(1+H7)/(C9-H7)/(1+C9)^(DCF!Q18-DCF!C7)+DCF!C38-DCF!C36-DCF!C37-DCF!C39)/DCF!C40*DCF!C42,0)</f>
        <v/>
      </c>
    </row>
    <row r="10">
      <c r="C10" s="12">
        <f>WACC!C21+0</f>
        <v/>
      </c>
      <c r="D10" s="39">
        <f>IF(C10-D7&gt;=0.01,(NPV(C10,DCF!H17:Q17)*(1+C10)^DCF!C7+DCF!Q17*(1+D7)/(C10-D7)/(1+C10)^(DCF!Q18-DCF!C7)+DCF!C38-DCF!C36-DCF!C37-DCF!C39)/DCF!C40*DCF!C42,0)</f>
        <v/>
      </c>
      <c r="E10" s="39">
        <f>IF(C10-E7&gt;=0.01,(NPV(C10,DCF!H17:Q17)*(1+C10)^DCF!C7+DCF!Q17*(1+E7)/(C10-E7)/(1+C10)^(DCF!Q18-DCF!C7)+DCF!C38-DCF!C36-DCF!C37-DCF!C39)/DCF!C40*DCF!C42,0)</f>
        <v/>
      </c>
      <c r="F10" s="39">
        <f>IF(C10-F7&gt;=0.01,(NPV(C10,DCF!H17:Q17)*(1+C10)^DCF!C7+DCF!Q17*(1+F7)/(C10-F7)/(1+C10)^(DCF!Q18-DCF!C7)+DCF!C38-DCF!C36-DCF!C37-DCF!C39)/DCF!C40*DCF!C42,0)</f>
        <v/>
      </c>
      <c r="G10" s="39">
        <f>IF(C10-G7&gt;=0.01,(NPV(C10,DCF!H17:Q17)*(1+C10)^DCF!C7+DCF!Q17*(1+G7)/(C10-G7)/(1+C10)^(DCF!Q18-DCF!C7)+DCF!C38-DCF!C36-DCF!C37-DCF!C39)/DCF!C40*DCF!C42,0)</f>
        <v/>
      </c>
      <c r="H10" s="39">
        <f>IF(C10-H7&gt;=0.01,(NPV(C10,DCF!H17:Q17)*(1+C10)^DCF!C7+DCF!Q17*(1+H7)/(C10-H7)/(1+C10)^(DCF!Q18-DCF!C7)+DCF!C38-DCF!C36-DCF!C37-DCF!C39)/DCF!C40*DCF!C42,0)</f>
        <v/>
      </c>
    </row>
    <row r="11">
      <c r="C11" s="12">
        <f>WACC!C21+0.01</f>
        <v/>
      </c>
      <c r="D11" s="39">
        <f>IF(C11-D7&gt;=0.01,(NPV(C11,DCF!H17:Q17)*(1+C11)^DCF!C7+DCF!Q17*(1+D7)/(C11-D7)/(1+C11)^(DCF!Q18-DCF!C7)+DCF!C38-DCF!C36-DCF!C37-DCF!C39)/DCF!C40*DCF!C42,0)</f>
        <v/>
      </c>
      <c r="E11" s="39">
        <f>IF(C11-E7&gt;=0.01,(NPV(C11,DCF!H17:Q17)*(1+C11)^DCF!C7+DCF!Q17*(1+E7)/(C11-E7)/(1+C11)^(DCF!Q18-DCF!C7)+DCF!C38-DCF!C36-DCF!C37-DCF!C39)/DCF!C40*DCF!C42,0)</f>
        <v/>
      </c>
      <c r="F11" s="39">
        <f>IF(C11-F7&gt;=0.01,(NPV(C11,DCF!H17:Q17)*(1+C11)^DCF!C7+DCF!Q17*(1+F7)/(C11-F7)/(1+C11)^(DCF!Q18-DCF!C7)+DCF!C38-DCF!C36-DCF!C37-DCF!C39)/DCF!C40*DCF!C42,0)</f>
        <v/>
      </c>
      <c r="G11" s="39">
        <f>IF(C11-G7&gt;=0.01,(NPV(C11,DCF!H17:Q17)*(1+C11)^DCF!C7+DCF!Q17*(1+G7)/(C11-G7)/(1+C11)^(DCF!Q18-DCF!C7)+DCF!C38-DCF!C36-DCF!C37-DCF!C39)/DCF!C40*DCF!C42,0)</f>
        <v/>
      </c>
      <c r="H11" s="39">
        <f>IF(C11-H7&gt;=0.01,(NPV(C11,DCF!H17:Q17)*(1+C11)^DCF!C7+DCF!Q17*(1+H7)/(C11-H7)/(1+C11)^(DCF!Q18-DCF!C7)+DCF!C38-DCF!C36-DCF!C37-DCF!C39)/DCF!C40*DCF!C42,0)</f>
        <v/>
      </c>
    </row>
    <row r="12">
      <c r="C12" s="12">
        <f>WACC!C21+0.02</f>
        <v/>
      </c>
      <c r="D12" s="39">
        <f>IF(C12-D7&gt;=0.01,(NPV(C12,DCF!H17:Q17)*(1+C12)^DCF!C7+DCF!Q17*(1+D7)/(C12-D7)/(1+C12)^(DCF!Q18-DCF!C7)+DCF!C38-DCF!C36-DCF!C37-DCF!C39)/DCF!C40*DCF!C42,0)</f>
        <v/>
      </c>
      <c r="E12" s="39">
        <f>IF(C12-E7&gt;=0.01,(NPV(C12,DCF!H17:Q17)*(1+C12)^DCF!C7+DCF!Q17*(1+E7)/(C12-E7)/(1+C12)^(DCF!Q18-DCF!C7)+DCF!C38-DCF!C36-DCF!C37-DCF!C39)/DCF!C40*DCF!C42,0)</f>
        <v/>
      </c>
      <c r="F12" s="39">
        <f>IF(C12-F7&gt;=0.01,(NPV(C12,DCF!H17:Q17)*(1+C12)^DCF!C7+DCF!Q17*(1+F7)/(C12-F7)/(1+C12)^(DCF!Q18-DCF!C7)+DCF!C38-DCF!C36-DCF!C37-DCF!C39)/DCF!C40*DCF!C42,0)</f>
        <v/>
      </c>
      <c r="G12" s="39">
        <f>IF(C12-G7&gt;=0.01,(NPV(C12,DCF!H17:Q17)*(1+C12)^DCF!C7+DCF!Q17*(1+G7)/(C12-G7)/(1+C12)^(DCF!Q18-DCF!C7)+DCF!C38-DCF!C36-DCF!C37-DCF!C39)/DCF!C40*DCF!C42,0)</f>
        <v/>
      </c>
      <c r="H12" s="39">
        <f>IF(C12-H7&gt;=0.01,(NPV(C12,DCF!H17:Q17)*(1+C12)^DCF!C7+DCF!Q17*(1+H7)/(C12-H7)/(1+C12)^(DCF!Q18-DCF!C7)+DCF!C38-DCF!C36-DCF!C37-DCF!C39)/DCF!C40*DCF!C42,0)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Football field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Valuation summary (football field)</t>
        </is>
      </c>
      <c r="C6" s="10" t="inlineStr">
        <is>
          <t>Low</t>
        </is>
      </c>
      <c r="D6" s="10" t="inlineStr">
        <is>
          <t>High</t>
        </is>
      </c>
      <c r="E6" s="10" t="inlineStr">
        <is>
          <t>Spread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DCF - Gordon (sensitivity range)</t>
        </is>
      </c>
      <c r="C7" s="26">
        <f>MIN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D7" s="26">
        <f>MAX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E7" s="26">
        <f>D7-C7</f>
        <v/>
      </c>
    </row>
    <row r="8">
      <c r="B8" s="11" t="inlineStr">
        <is>
          <t>DCF - exit multiple +/- 1.0x</t>
        </is>
      </c>
      <c r="C8" s="26">
        <f>(DCF!C27+IS!Q25*(DCF!C25-1)/(1+WACC!C21)^DCF!Q18+DCF!C38-DCF!C36-DCF!C37-DCF!C39)/DCF!C40*DCF!C42</f>
        <v/>
      </c>
      <c r="D8" s="26">
        <f>(DCF!C27+IS!Q25*(DCF!C25+1)/(1+WACC!C21)^DCF!Q18+DCF!C38-DCF!C36-DCF!C37-DCF!C39)/DCF!C40*DCF!C42</f>
        <v/>
      </c>
      <c r="E8" s="26">
        <f>D8-C8</f>
        <v/>
      </c>
    </row>
    <row r="9">
      <c r="B9" s="11" t="inlineStr">
        <is>
          <t>Comps - EV / EBITDA (peer range)</t>
        </is>
      </c>
      <c r="C9" s="26">
        <f>(Comps!C15*Comps!C20+DCF!C38-DCF!C36-DCF!C37-DCF!C39)/DCF!C40</f>
        <v/>
      </c>
      <c r="D9" s="26">
        <f>(Comps!C16*Comps!C20+DCF!C38-DCF!C36-DCF!C37-DCF!C39)/DCF!C40</f>
        <v/>
      </c>
      <c r="E9" s="26">
        <f>D9-C9</f>
        <v/>
      </c>
    </row>
    <row r="10">
      <c r="B10" s="11" t="inlineStr">
        <is>
          <t>Comps - P / E (peer range)</t>
        </is>
      </c>
      <c r="C10" s="26">
        <f>Comps!C18*Comps!C21</f>
        <v/>
      </c>
      <c r="D10" s="26">
        <f>Comps!C19*Comps!C21</f>
        <v/>
      </c>
      <c r="E10" s="26">
        <f>D10-C10</f>
        <v/>
      </c>
    </row>
    <row r="11">
      <c r="B11" s="11" t="inlineStr">
        <is>
          <t>52-week trading range</t>
        </is>
      </c>
      <c r="C11" s="36" t="n">
        <v>53.03</v>
      </c>
      <c r="D11" s="36" t="n">
        <v>68.67</v>
      </c>
      <c r="E11" s="26">
        <f>D11-C11</f>
        <v/>
      </c>
    </row>
    <row r="12">
      <c r="B12" s="11" t="inlineStr">
        <is>
          <t>Current share price</t>
        </is>
      </c>
      <c r="C12" s="38">
        <f>DCF!C45</f>
        <v/>
      </c>
      <c r="D12" s="38">
        <f>DCF!C45</f>
        <v/>
      </c>
      <c r="E12" s="26">
        <f>D12-C12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Integrity checks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Checks by year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Balance sheet balances (assets = liabilities + equity)</t>
        </is>
      </c>
      <c r="C7" s="40">
        <f>IF(ABS(BS!C15-BS!C30)&lt;=0.5,"OK","ERROR")</f>
        <v/>
      </c>
      <c r="D7" s="40">
        <f>IF(ABS(BS!D15-BS!D30)&lt;=0.5,"OK","ERROR")</f>
        <v/>
      </c>
      <c r="E7" s="40">
        <f>IF(ABS(BS!E15-BS!E30)&lt;=0.5,"OK","ERROR")</f>
        <v/>
      </c>
      <c r="F7" s="40">
        <f>IF(ABS(BS!F15-BS!F30)&lt;=0.5,"OK","ERROR")</f>
        <v/>
      </c>
      <c r="G7" s="40">
        <f>IF(ABS(BS!G15-BS!G30)&lt;=0.5,"OK","ERROR")</f>
        <v/>
      </c>
      <c r="H7" s="40">
        <f>IF(ABS(BS!H15-BS!H30)&lt;=0.5,"OK","ERROR")</f>
        <v/>
      </c>
      <c r="I7" s="40">
        <f>IF(ABS(BS!I15-BS!I30)&lt;=0.5,"OK","ERROR")</f>
        <v/>
      </c>
      <c r="J7" s="40">
        <f>IF(ABS(BS!J15-BS!J30)&lt;=0.5,"OK","ERROR")</f>
        <v/>
      </c>
      <c r="K7" s="40">
        <f>IF(ABS(BS!K15-BS!K30)&lt;=0.5,"OK","ERROR")</f>
        <v/>
      </c>
      <c r="L7" s="40">
        <f>IF(ABS(BS!L15-BS!L30)&lt;=0.5,"OK","ERROR")</f>
        <v/>
      </c>
      <c r="M7" s="40">
        <f>IF(ABS(BS!M15-BS!M30)&lt;=0.5,"OK","ERROR")</f>
        <v/>
      </c>
      <c r="N7" s="40">
        <f>IF(ABS(BS!N15-BS!N30)&lt;=0.5,"OK","ERROR")</f>
        <v/>
      </c>
      <c r="O7" s="40">
        <f>IF(ABS(BS!O15-BS!O30)&lt;=0.5,"OK","ERROR")</f>
        <v/>
      </c>
      <c r="P7" s="40">
        <f>IF(ABS(BS!P15-BS!P30)&lt;=0.5,"OK","ERROR")</f>
        <v/>
      </c>
      <c r="Q7" s="40">
        <f>IF(ABS(BS!Q15-BS!Q30)&lt;=0.5,"OK","ERROR")</f>
        <v/>
      </c>
    </row>
    <row r="8">
      <c r="B8" s="11" t="inlineStr">
        <is>
          <t>Cash-flow closing cash = balance-sheet cash</t>
        </is>
      </c>
      <c r="H8" s="40">
        <f>IF(ABS(CF!H27-BS!H7)&lt;=0.5,"OK","ERROR")</f>
        <v/>
      </c>
      <c r="I8" s="40">
        <f>IF(ABS(CF!I27-BS!I7)&lt;=0.5,"OK","ERROR")</f>
        <v/>
      </c>
      <c r="J8" s="40">
        <f>IF(ABS(CF!J27-BS!J7)&lt;=0.5,"OK","ERROR")</f>
        <v/>
      </c>
      <c r="K8" s="40">
        <f>IF(ABS(CF!K27-BS!K7)&lt;=0.5,"OK","ERROR")</f>
        <v/>
      </c>
      <c r="L8" s="40">
        <f>IF(ABS(CF!L27-BS!L7)&lt;=0.5,"OK","ERROR")</f>
        <v/>
      </c>
      <c r="M8" s="40">
        <f>IF(ABS(CF!M27-BS!M7)&lt;=0.5,"OK","ERROR")</f>
        <v/>
      </c>
      <c r="N8" s="40">
        <f>IF(ABS(CF!N27-BS!N7)&lt;=0.5,"OK","ERROR")</f>
        <v/>
      </c>
      <c r="O8" s="40">
        <f>IF(ABS(CF!O27-BS!O7)&lt;=0.5,"OK","ERROR")</f>
        <v/>
      </c>
      <c r="P8" s="40">
        <f>IF(ABS(CF!P27-BS!P7)&lt;=0.5,"OK","ERROR")</f>
        <v/>
      </c>
      <c r="Q8" s="40">
        <f>IF(ABS(CF!Q27-BS!Q7)&lt;=0.5,"OK","ERROR")</f>
        <v/>
      </c>
    </row>
    <row r="9">
      <c r="B9" s="11" t="inlineStr">
        <is>
          <t>Equity roll-forward (opening + net income - dividends)</t>
        </is>
      </c>
      <c r="H9" s="40">
        <f>IF(ABS(BS!H27-(BS!G27+IS!H19-CF!H18))&lt;=0.5,"OK","ERROR")</f>
        <v/>
      </c>
      <c r="I9" s="40">
        <f>IF(ABS(BS!I27-(BS!H27+IS!I19-CF!I18))&lt;=0.5,"OK","ERROR")</f>
        <v/>
      </c>
      <c r="J9" s="40">
        <f>IF(ABS(BS!J27-(BS!I27+IS!J19-CF!J18))&lt;=0.5,"OK","ERROR")</f>
        <v/>
      </c>
      <c r="K9" s="40">
        <f>IF(ABS(BS!K27-(BS!J27+IS!K19-CF!K18))&lt;=0.5,"OK","ERROR")</f>
        <v/>
      </c>
      <c r="L9" s="40">
        <f>IF(ABS(BS!L27-(BS!K27+IS!L19-CF!L18))&lt;=0.5,"OK","ERROR")</f>
        <v/>
      </c>
      <c r="M9" s="40">
        <f>IF(ABS(BS!M27-(BS!L27+IS!M19-CF!M18))&lt;=0.5,"OK","ERROR")</f>
        <v/>
      </c>
      <c r="N9" s="40">
        <f>IF(ABS(BS!N27-(BS!M27+IS!N19-CF!N18))&lt;=0.5,"OK","ERROR")</f>
        <v/>
      </c>
      <c r="O9" s="40">
        <f>IF(ABS(BS!O27-(BS!N27+IS!O19-CF!O18))&lt;=0.5,"OK","ERROR")</f>
        <v/>
      </c>
      <c r="P9" s="40">
        <f>IF(ABS(BS!P27-(BS!O27+IS!P19-CF!P18))&lt;=0.5,"OK","ERROR")</f>
        <v/>
      </c>
      <c r="Q9" s="40">
        <f>IF(ABS(BS!Q27-(BS!P27+IS!Q19-CF!Q18))&lt;=0.5,"OK","ERROR")</f>
        <v/>
      </c>
    </row>
    <row r="10">
      <c r="B10" s="11" t="inlineStr">
        <is>
          <t>Revolver balance is not negative</t>
        </is>
      </c>
      <c r="H10" s="40">
        <f>IF(BS!H21&gt;=(-0.001),"OK","ERROR")</f>
        <v/>
      </c>
      <c r="I10" s="40">
        <f>IF(BS!I21&gt;=(-0.001),"OK","ERROR")</f>
        <v/>
      </c>
      <c r="J10" s="40">
        <f>IF(BS!J21&gt;=(-0.001),"OK","ERROR")</f>
        <v/>
      </c>
      <c r="K10" s="40">
        <f>IF(BS!K21&gt;=(-0.001),"OK","ERROR")</f>
        <v/>
      </c>
      <c r="L10" s="40">
        <f>IF(BS!L21&gt;=(-0.001),"OK","ERROR")</f>
        <v/>
      </c>
      <c r="M10" s="40">
        <f>IF(BS!M21&gt;=(-0.001),"OK","ERROR")</f>
        <v/>
      </c>
      <c r="N10" s="40">
        <f>IF(BS!N21&gt;=(-0.001),"OK","ERROR")</f>
        <v/>
      </c>
      <c r="O10" s="40">
        <f>IF(BS!O21&gt;=(-0.001),"OK","ERROR")</f>
        <v/>
      </c>
      <c r="P10" s="40">
        <f>IF(BS!P21&gt;=(-0.001),"OK","ERROR")</f>
        <v/>
      </c>
      <c r="Q10" s="40">
        <f>IF(BS!Q21&gt;=(-0.001),"OK","ERROR")</f>
        <v/>
      </c>
    </row>
    <row r="11">
      <c r="B11" s="11" t="inlineStr">
        <is>
          <t>Cash at or above the minimum balance</t>
        </is>
      </c>
      <c r="H11" s="40">
        <f>IF(BS!H7&gt;=Drivers!H26-0.5,"OK","ERROR")</f>
        <v/>
      </c>
      <c r="I11" s="40">
        <f>IF(BS!I7&gt;=Drivers!I26-0.5,"OK","ERROR")</f>
        <v/>
      </c>
      <c r="J11" s="40">
        <f>IF(BS!J7&gt;=Drivers!J26-0.5,"OK","ERROR")</f>
        <v/>
      </c>
      <c r="K11" s="40">
        <f>IF(BS!K7&gt;=Drivers!K26-0.5,"OK","ERROR")</f>
        <v/>
      </c>
      <c r="L11" s="40">
        <f>IF(BS!L7&gt;=Drivers!L26-0.5,"OK","ERROR")</f>
        <v/>
      </c>
      <c r="M11" s="40">
        <f>IF(BS!M7&gt;=Drivers!M26-0.5,"OK","ERROR")</f>
        <v/>
      </c>
      <c r="N11" s="40">
        <f>IF(BS!N7&gt;=Drivers!N26-0.5,"OK","ERROR")</f>
        <v/>
      </c>
      <c r="O11" s="40">
        <f>IF(BS!O7&gt;=Drivers!O26-0.5,"OK","ERROR")</f>
        <v/>
      </c>
      <c r="P11" s="40">
        <f>IF(BS!P7&gt;=Drivers!P26-0.5,"OK","ERROR")</f>
        <v/>
      </c>
      <c r="Q11" s="40">
        <f>IF(BS!Q7&gt;=Drivers!Q26-0.5,"OK","ERROR")</f>
        <v/>
      </c>
    </row>
    <row r="12">
      <c r="B12" s="11" t="inlineStr">
        <is>
          <t>PP&amp;E stays at or above zero</t>
        </is>
      </c>
      <c r="C12" s="40">
        <f>IF(BS!C12&gt;=(-0.001),"OK","ERROR")</f>
        <v/>
      </c>
      <c r="D12" s="40">
        <f>IF(BS!D12&gt;=(-0.001),"OK","ERROR")</f>
        <v/>
      </c>
      <c r="E12" s="40">
        <f>IF(BS!E12&gt;=(-0.001),"OK","ERROR")</f>
        <v/>
      </c>
      <c r="F12" s="40">
        <f>IF(BS!F12&gt;=(-0.001),"OK","ERROR")</f>
        <v/>
      </c>
      <c r="G12" s="40">
        <f>IF(BS!G12&gt;=(-0.001),"OK","ERROR")</f>
        <v/>
      </c>
      <c r="H12" s="40">
        <f>IF(BS!H12&gt;=(-0.001),"OK","ERROR")</f>
        <v/>
      </c>
      <c r="I12" s="40">
        <f>IF(BS!I12&gt;=(-0.001),"OK","ERROR")</f>
        <v/>
      </c>
      <c r="J12" s="40">
        <f>IF(BS!J12&gt;=(-0.001),"OK","ERROR")</f>
        <v/>
      </c>
      <c r="K12" s="40">
        <f>IF(BS!K12&gt;=(-0.001),"OK","ERROR")</f>
        <v/>
      </c>
      <c r="L12" s="40">
        <f>IF(BS!L12&gt;=(-0.001),"OK","ERROR")</f>
        <v/>
      </c>
      <c r="M12" s="40">
        <f>IF(BS!M12&gt;=(-0.001),"OK","ERROR")</f>
        <v/>
      </c>
      <c r="N12" s="40">
        <f>IF(BS!N12&gt;=(-0.001),"OK","ERROR")</f>
        <v/>
      </c>
      <c r="O12" s="40">
        <f>IF(BS!O12&gt;=(-0.001),"OK","ERROR")</f>
        <v/>
      </c>
      <c r="P12" s="40">
        <f>IF(BS!P12&gt;=(-0.001),"OK","ERROR")</f>
        <v/>
      </c>
      <c r="Q12" s="40">
        <f>IF(BS!Q12&gt;=(-0.001),"OK","ERROR")</f>
        <v/>
      </c>
    </row>
    <row r="13">
      <c r="B13" s="11" t="inlineStr">
        <is>
          <t>Long-term debt stays at or above zero</t>
        </is>
      </c>
      <c r="C13" s="40">
        <f>IF(BS!C23&gt;=(-0.001),"OK","ERROR")</f>
        <v/>
      </c>
      <c r="D13" s="40">
        <f>IF(BS!D23&gt;=(-0.001),"OK","ERROR")</f>
        <v/>
      </c>
      <c r="E13" s="40">
        <f>IF(BS!E23&gt;=(-0.001),"OK","ERROR")</f>
        <v/>
      </c>
      <c r="F13" s="40">
        <f>IF(BS!F23&gt;=(-0.001),"OK","ERROR")</f>
        <v/>
      </c>
      <c r="G13" s="40">
        <f>IF(BS!G23&gt;=(-0.001),"OK","ERROR")</f>
        <v/>
      </c>
      <c r="H13" s="40">
        <f>IF(BS!H23&gt;=(-0.001),"OK","ERROR")</f>
        <v/>
      </c>
      <c r="I13" s="40">
        <f>IF(BS!I23&gt;=(-0.001),"OK","ERROR")</f>
        <v/>
      </c>
      <c r="J13" s="40">
        <f>IF(BS!J23&gt;=(-0.001),"OK","ERROR")</f>
        <v/>
      </c>
      <c r="K13" s="40">
        <f>IF(BS!K23&gt;=(-0.001),"OK","ERROR")</f>
        <v/>
      </c>
      <c r="L13" s="40">
        <f>IF(BS!L23&gt;=(-0.001),"OK","ERROR")</f>
        <v/>
      </c>
      <c r="M13" s="40">
        <f>IF(BS!M23&gt;=(-0.001),"OK","ERROR")</f>
        <v/>
      </c>
      <c r="N13" s="40">
        <f>IF(BS!N23&gt;=(-0.001),"OK","ERROR")</f>
        <v/>
      </c>
      <c r="O13" s="40">
        <f>IF(BS!O23&gt;=(-0.001),"OK","ERROR")</f>
        <v/>
      </c>
      <c r="P13" s="40">
        <f>IF(BS!P23&gt;=(-0.001),"OK","ERROR")</f>
        <v/>
      </c>
      <c r="Q13" s="40">
        <f>IF(BS!Q23&gt;=(-0.001),"OK","ERROR")</f>
        <v/>
      </c>
    </row>
    <row r="14">
      <c r="B14" s="11" t="inlineStr">
        <is>
          <t>Revolver not drawn (cash flow funds the plan without new borrowing) (warning only)</t>
        </is>
      </c>
      <c r="H14" s="40">
        <f>IF(BS!H21&lt;=0.5,"OK","WARN")</f>
        <v/>
      </c>
      <c r="I14" s="40">
        <f>IF(BS!I21&lt;=0.5,"OK","WARN")</f>
        <v/>
      </c>
      <c r="J14" s="40">
        <f>IF(BS!J21&lt;=0.5,"OK","WARN")</f>
        <v/>
      </c>
      <c r="K14" s="40">
        <f>IF(BS!K21&lt;=0.5,"OK","WARN")</f>
        <v/>
      </c>
      <c r="L14" s="40">
        <f>IF(BS!L21&lt;=0.5,"OK","WARN")</f>
        <v/>
      </c>
      <c r="M14" s="40">
        <f>IF(BS!M21&lt;=0.5,"OK","WARN")</f>
        <v/>
      </c>
      <c r="N14" s="40">
        <f>IF(BS!N21&lt;=0.5,"OK","WARN")</f>
        <v/>
      </c>
      <c r="O14" s="40">
        <f>IF(BS!O21&lt;=0.5,"OK","WARN")</f>
        <v/>
      </c>
      <c r="P14" s="40">
        <f>IF(BS!P21&lt;=0.5,"OK","WARN")</f>
        <v/>
      </c>
      <c r="Q14" s="40">
        <f>IF(BS!Q21&lt;=0.5,"OK","WARN")</f>
        <v/>
      </c>
    </row>
    <row r="15">
      <c r="B15" s="11" t="inlineStr">
        <is>
          <t>Total assets tie to the reported figure</t>
        </is>
      </c>
      <c r="C15" s="40">
        <f>IF(ABS(BS!C15-BS!C35)&lt;=0.5,"OK","ERROR")</f>
        <v/>
      </c>
      <c r="D15" s="40">
        <f>IF(ABS(BS!D15-BS!D35)&lt;=0.5,"OK","ERROR")</f>
        <v/>
      </c>
      <c r="E15" s="40">
        <f>IF(ABS(BS!E15-BS!E35)&lt;=0.5,"OK","ERROR")</f>
        <v/>
      </c>
      <c r="F15" s="40">
        <f>IF(ABS(BS!F15-BS!F35)&lt;=0.5,"OK","ERROR")</f>
        <v/>
      </c>
      <c r="G15" s="40">
        <f>IF(ABS(BS!G15-BS!G35)&lt;=0.5,"OK","ERROR")</f>
        <v/>
      </c>
    </row>
    <row r="16">
      <c r="B16" s="11" t="inlineStr">
        <is>
          <t>Net income ties to the reported figure</t>
        </is>
      </c>
      <c r="C16" s="40">
        <f>IF(ABS(IS!C17-IS!C26)&lt;=0.5,"OK","ERROR")</f>
        <v/>
      </c>
      <c r="D16" s="40">
        <f>IF(ABS(IS!D17-IS!D26)&lt;=0.5,"OK","ERROR")</f>
        <v/>
      </c>
      <c r="E16" s="40">
        <f>IF(ABS(IS!E17-IS!E26)&lt;=0.5,"OK","ERROR")</f>
        <v/>
      </c>
      <c r="F16" s="40">
        <f>IF(ABS(IS!F17-IS!F26)&lt;=0.5,"OK","ERROR")</f>
        <v/>
      </c>
      <c r="G16" s="40">
        <f>IF(ABS(IS!G17-IS!G26)&lt;=0.5,"OK","ERROR")</f>
        <v/>
      </c>
    </row>
    <row r="17">
      <c r="B17" s="11" t="inlineStr">
        <is>
          <t>Revenue segments add up to revenue</t>
        </is>
      </c>
      <c r="C17" s="40">
        <f>IF(ABS(SUM(Schedules!C7,Schedules!C8,Schedules!C9,Schedules!C10,Schedules!C11)-IS!C7)&lt;=0.5,"OK","ERROR")</f>
        <v/>
      </c>
      <c r="D17" s="40">
        <f>IF(ABS(SUM(Schedules!D7,Schedules!D8,Schedules!D9,Schedules!D10,Schedules!D11)-IS!D7)&lt;=0.5,"OK","ERROR")</f>
        <v/>
      </c>
      <c r="E17" s="40">
        <f>IF(ABS(SUM(Schedules!E7,Schedules!E8,Schedules!E9,Schedules!E10,Schedules!E11)-IS!E7)&lt;=0.5,"OK","ERROR")</f>
        <v/>
      </c>
      <c r="F17" s="40">
        <f>IF(ABS(SUM(Schedules!F7,Schedules!F8,Schedules!F9,Schedules!F10,Schedules!F11)-IS!F7)&lt;=0.5,"OK","ERROR")</f>
        <v/>
      </c>
      <c r="G17" s="40">
        <f>IF(ABS(SUM(Schedules!G7,Schedules!G8,Schedules!G9,Schedules!G10,Schedules!G11)-IS!G7)&lt;=0.5,"OK","ERROR")</f>
        <v/>
      </c>
    </row>
    <row r="19">
      <c r="B19" s="8" t="inlineStr">
        <is>
          <t>Single-value checks</t>
        </is>
      </c>
      <c r="C19" s="10" t="inlineStr">
        <is>
          <t>Result</t>
        </is>
      </c>
      <c r="D19" s="10" t="inlineStr">
        <is>
          <t>Python value at build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B20" s="11" t="inlineStr">
        <is>
          <t>WACC is above terminal growth</t>
        </is>
      </c>
      <c r="C20" s="40">
        <f>IF(WACC!C21&gt;DCF!C24,"OK","ERROR")</f>
        <v/>
      </c>
    </row>
    <row r="21">
      <c r="B21" s="11" t="inlineStr">
        <is>
          <t>Terminal growth at or below long-term nominal GDP growth</t>
        </is>
      </c>
      <c r="C21" s="40">
        <f>IF(DCF!C24&lt;=DCF!C26,"OK","ERROR")</f>
        <v/>
      </c>
    </row>
    <row r="22">
      <c r="B22" s="11" t="inlineStr">
        <is>
          <t>Terminal value is below 75% of enterprise value (Gordon) (warning only)</t>
        </is>
      </c>
      <c r="C22" s="40">
        <f>IF(DCF!C52&lt;=0.75,"OK","WARN")</f>
        <v/>
      </c>
    </row>
    <row r="23">
      <c r="B23" s="11" t="inlineStr">
        <is>
          <t>WACC exceeds terminal growth by at least 2 points (warning only)</t>
        </is>
      </c>
      <c r="C23" s="40">
        <f>IF(WACC!C21-DCF!C24&gt;=0.02,"OK","WARN")</f>
        <v/>
      </c>
    </row>
    <row r="24">
      <c r="B24" s="11" t="inlineStr">
        <is>
          <t>Gordon value per share is positive (warning only)</t>
        </is>
      </c>
      <c r="C24" s="40">
        <f>IF(DCF!C43&gt;0,"OK","WARN")</f>
        <v/>
      </c>
    </row>
    <row r="25">
      <c r="B25" s="11" t="inlineStr">
        <is>
          <t>Exit-multiple value per share is positive (warning only)</t>
        </is>
      </c>
      <c r="C25" s="40">
        <f>IF(DCF!C44&gt;0,"OK","WARN")</f>
        <v/>
      </c>
    </row>
    <row r="26">
      <c r="B26" s="11" t="inlineStr">
        <is>
          <t>Exit multiple implied by Gordon is at least half the exit multiple input (warning only)</t>
        </is>
      </c>
      <c r="C26" s="40">
        <f>IF(DCF!C53&gt;=0.5*DCF!C25,"OK","WARN")</f>
        <v/>
      </c>
    </row>
    <row r="27">
      <c r="B27" s="11" t="inlineStr">
        <is>
          <t>Exit multiple implied by Gordon is at most twice the exit multiple input (warning only)</t>
        </is>
      </c>
      <c r="C27" s="40">
        <f>IF(DCF!C53&lt;=2*DCF!C25,"OK","WARN")</f>
        <v/>
      </c>
    </row>
    <row r="28">
      <c r="B28" s="11" t="inlineStr">
        <is>
          <t>Excel matches the Python value at build: Total assets (stale if inputs are edited in Excel - rebuild)</t>
        </is>
      </c>
      <c r="C28" s="40">
        <f>IF(ABS(BS!Q15-D28)&lt;=0.5961568021357876,"OK","WARN")</f>
        <v/>
      </c>
      <c r="D28" s="16" t="n">
        <v>596156.8021357877</v>
      </c>
    </row>
    <row r="29">
      <c r="B29" s="11" t="inlineStr">
        <is>
          <t>Excel matches the Python value at build: Net income to shareholders (stale if inputs are edited in Excel - rebuild)</t>
        </is>
      </c>
      <c r="C29" s="40">
        <f>IF(ABS(IS!Q19-D29)&lt;=0.03097359933543156,"OK","WARN")</f>
        <v/>
      </c>
      <c r="D29" s="16" t="n">
        <v>30973.59933543156</v>
      </c>
    </row>
    <row r="30">
      <c r="B30" s="11" t="inlineStr">
        <is>
          <t>Excel matches the Python value at build: Closing cash (stale if inputs are edited in Excel - rebuild)</t>
        </is>
      </c>
      <c r="C30" s="40">
        <f>IF(ABS(CF!Q27-D30)&lt;=0.1157655574233194,"OK","WARN")</f>
        <v/>
      </c>
      <c r="D30" s="16" t="n">
        <v>115765.5574233194</v>
      </c>
    </row>
    <row r="31">
      <c r="B31" s="11" t="inlineStr">
        <is>
          <t>Excel matches the Python value at build: WACC (stale if inputs are edited in Excel - rebuild)</t>
        </is>
      </c>
      <c r="C31" s="40">
        <f>IF(ABS(WACC!C21-D31)&lt;=1e-06,"OK","WARN")</f>
        <v/>
      </c>
      <c r="D31" s="12" t="n">
        <v>0.1032327567354157</v>
      </c>
    </row>
    <row r="32">
      <c r="B32" s="11" t="inlineStr">
        <is>
          <t>Excel matches the Python value at build: Value per share today - Gordon (stale if inputs are edited in Excel - rebuild)</t>
        </is>
      </c>
      <c r="C32" s="40">
        <f>IF(ABS(DCF!C43-D32)&lt;=3.9481482772885644e-05,"OK","WARN")</f>
        <v/>
      </c>
      <c r="D32" s="26" t="n">
        <v>39.48148277288565</v>
      </c>
    </row>
  </sheetData>
  <conditionalFormatting sqref="C6:Q32">
    <cfRule type="cellIs" priority="1" operator="equal" dxfId="0">
      <formula>"ERROR"</formula>
    </cfRule>
    <cfRule type="cellIs" priority="2" operator="equal" dxfId="1">
      <formula>"WARN"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2026-10-17T17:00:41Z</dcterms:created>
  <dcterms:modified xmlns:dcterms="http://purl.org/dc/terms/" xmlns:xsi="http://www.w3.org/2001/XMLSchema-instance" xsi:type="dcterms:W3CDTF">2026-10-17T17:00:41Z</dcterms:modified>
</cp:coreProperties>
</file>