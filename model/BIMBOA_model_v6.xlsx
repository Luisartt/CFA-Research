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[calc] filings/bmv/Reporte Anual 2023_XBRL_VF.PDF p.260</t>
      </text>
    </comment>
    <comment ref="D19" authorId="0" shapeId="0">
      <text>
        <t>[calc] filings/bmv/Reporte Anual 2023_XBRL_VF.PDF p.260</t>
      </text>
    </comment>
    <comment ref="E19" authorId="0" shapeId="0">
      <text>
        <t>[calc] filings/annual/IA25_GB_EEFF_V10.pdf p.16</t>
      </text>
    </comment>
    <comment ref="F19" authorId="0" shapeId="0">
      <text>
        <t>[calc] filings/annual/IA25_GB_EEFF_V10.pdf p.16</t>
      </text>
    </comment>
    <comment ref="G19" authorId="0" shapeId="0">
      <text>
        <t>[calc]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BIMBOA_model_v6.xlsx</t>
        </is>
      </c>
    </row>
    <row r="9">
      <c r="B9" s="2" t="inlineStr">
        <is>
          <t>Version</t>
        </is>
      </c>
      <c r="C9" t="n">
        <v>6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[assumption] (history 6.3/7.4/8.9/7.4/5.4%, FY21-25 average 7.0%). On the published basis (lease book grows with revenue) total terminal net reinvestment is 29% of NOPAT and the return on new capital implied by the terminal value is 14.6% (engine basis 17.9%); each 50 bp of capex = Ps 9.7 per share (valuation/BIMBOA_DCF_v2.xlsx, Levers).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calc in data/financials.csv: the filings do not split the cash interest inside lease payments (data/adjustments.md #6). The engine also uses it as new leases, which keeps the lease liability flat; the published basis in valuation/BIMBOA_DCF_v2.xlsx adds the growth in the lease liability (held at the FY2025 8.15% of revenue).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0.03563</v>
      </c>
      <c r="I17" s="13" t="n">
        <v>0.035486</v>
      </c>
      <c r="J17" s="13" t="n">
        <v>0.035352</v>
      </c>
      <c r="K17" s="13" t="n">
        <v>0.035224</v>
      </c>
      <c r="L17" s="13" t="n">
        <v>0.0351</v>
      </c>
      <c r="M17" s="13" t="n">
        <v>0.034983</v>
      </c>
      <c r="N17" s="13" t="n">
        <v>0.034872</v>
      </c>
      <c r="O17" s="13" t="n">
        <v>0.034766</v>
      </c>
      <c r="P17" s="13" t="n">
        <v>0.034666</v>
      </c>
      <c r="Q17" s="13" t="n">
        <v>0.03457</v>
      </c>
      <c r="R17" s="5" t="inlineStr">
        <is>
          <t>assumption</t>
        </is>
      </c>
      <c r="S17" s="5" t="inlineStr">
        <is>
          <t>Mechanical, operating part only grows: FY25 other current assets 15,201 = operating 13,796 (other receivables 11,998 + prepayments 1,798; 3.23% of revenue) + non-operating 1,405 (derivatives 60, collateral 459, held-for-sale 886) held flat in pesos so they create no FCFF [calc] data/adjustments.md working-capital table (Codex audit 2026-10-17, finding 1).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0.074643</v>
      </c>
      <c r="I18" s="13" t="n">
        <v>0.073628</v>
      </c>
      <c r="J18" s="13" t="n">
        <v>0.072684</v>
      </c>
      <c r="K18" s="13" t="n">
        <v>0.07177699999999999</v>
      </c>
      <c r="L18" s="13" t="n">
        <v>0.070906</v>
      </c>
      <c r="M18" s="13" t="n">
        <v>0.07008200000000001</v>
      </c>
      <c r="N18" s="13" t="n">
        <v>0.069299</v>
      </c>
      <c r="O18" s="13" t="n">
        <v>0.068555</v>
      </c>
      <c r="P18" s="13" t="n">
        <v>0.06784800000000001</v>
      </c>
      <c r="Q18" s="13" t="n">
        <v>0.067173</v>
      </c>
      <c r="R18" s="5" t="inlineStr">
        <is>
          <t>assumption</t>
        </is>
      </c>
      <c r="S18" s="5" t="inlineStr">
        <is>
          <t>Mechanical, operating part only grows: FY25 other current liabilities 31,788 = operating 21,889 (related-party payables 1,154 + PTU 1,592 + operating accruals 19,143; 5.13% of revenue) + non-operating 9,899 (income and other taxes, tax contributions, accrued interest, derivatives) held flat in pesos [calc] data/adjustments.md #9 and working-capital table (Codex audit finding 1).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0.07510118776169417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0.02049633930380898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37053.896101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1950.536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Gruma, S.A.B. de C.V. (BMV:GRUMA B)</t>
        </is>
      </c>
      <c r="C8" s="36" t="n">
        <v>13.097029</v>
      </c>
      <c r="D8" s="37" t="n">
        <v>336.207985</v>
      </c>
      <c r="E8" s="17" t="n">
        <v>1631</v>
      </c>
      <c r="F8" s="17" t="n">
        <v>1070.189945</v>
      </c>
      <c r="G8" s="36" t="n">
        <v>1.344767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The Campbell's Company (NasdaqGS:CPB)</t>
        </is>
      </c>
      <c r="C9" s="36" t="n">
        <v>19.872233</v>
      </c>
      <c r="D9" s="37" t="n">
        <v>298.2</v>
      </c>
      <c r="E9" s="17" t="n">
        <v>7362</v>
      </c>
      <c r="F9" s="17" t="n">
        <v>1589.942466</v>
      </c>
      <c r="G9" s="36" t="n">
        <v>1.695583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Mondelez International, Inc. (NasdaqGS:MDLZ)</t>
        </is>
      </c>
      <c r="C10" s="36" t="n">
        <v>63.910366</v>
      </c>
      <c r="D10" s="37" t="n">
        <v>1276.3</v>
      </c>
      <c r="E10" s="17" t="n">
        <v>20560</v>
      </c>
      <c r="F10" s="17" t="n">
        <v>7399.233973</v>
      </c>
      <c r="G10" s="36" t="n">
        <v>3.222913</v>
      </c>
      <c r="H10" s="16">
        <f>C10*D10+E10</f>
        <v/>
      </c>
      <c r="I10" s="28">
        <f>H10/F10</f>
        <v/>
      </c>
      <c r="J10" s="28">
        <f>C10/G10</f>
        <v/>
      </c>
    </row>
    <row r="11">
      <c r="B11" s="11" t="inlineStr">
        <is>
          <t>PepsiCo, Inc. (NasdaqGS:PEP)</t>
        </is>
      </c>
      <c r="C11" s="36" t="n">
        <v>131.503999</v>
      </c>
      <c r="D11" s="37" t="n">
        <v>1362.7</v>
      </c>
      <c r="E11" s="17" t="n">
        <v>45247</v>
      </c>
      <c r="F11" s="17" t="n">
        <v>20353.899452</v>
      </c>
      <c r="G11" s="36" t="n">
        <v>8.467739999999999</v>
      </c>
      <c r="H11" s="16">
        <f>C11*D11+E11</f>
        <v/>
      </c>
      <c r="I11" s="28">
        <f>H11/F11</f>
        <v/>
      </c>
      <c r="J11" s="28">
        <f>C11/G11</f>
        <v/>
      </c>
    </row>
    <row r="13">
      <c r="B13" s="8" t="inlineStr">
        <is>
          <t>Implied value per share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B14" s="11" t="inlineStr">
        <is>
          <t>Median EV / EBITDA</t>
        </is>
      </c>
      <c r="C14" s="28">
        <f>MEDIAN(I7,I8,I9,I10,I11)</f>
        <v/>
      </c>
    </row>
    <row r="15">
      <c r="B15" s="11" t="inlineStr">
        <is>
          <t>Lowest EV / EBITDA</t>
        </is>
      </c>
      <c r="C15" s="28">
        <f>MIN(I7,I8,I9,I10,I11)</f>
        <v/>
      </c>
    </row>
    <row r="16">
      <c r="B16" s="11" t="inlineStr">
        <is>
          <t>Highest EV / EBITDA</t>
        </is>
      </c>
      <c r="C16" s="28">
        <f>MAX(I7,I8,I9,I10,I11)</f>
        <v/>
      </c>
    </row>
    <row r="17">
      <c r="B17" s="11" t="inlineStr">
        <is>
          <t>Median P / E</t>
        </is>
      </c>
      <c r="C17" s="28">
        <f>MEDIAN(J7,J8,J9,J10,J11)</f>
        <v/>
      </c>
    </row>
    <row r="18">
      <c r="B18" s="11" t="inlineStr">
        <is>
          <t>Lowest P / E</t>
        </is>
      </c>
      <c r="C18" s="28">
        <f>MIN(J7,J8,J9,J10,J11)</f>
        <v/>
      </c>
    </row>
    <row r="19">
      <c r="B19" s="11" t="inlineStr">
        <is>
          <t>Highest P / E</t>
        </is>
      </c>
      <c r="C19" s="28">
        <f>MAX(J7,J8,J9,J10,J11)</f>
        <v/>
      </c>
    </row>
    <row r="20">
      <c r="B20" s="11" t="inlineStr">
        <is>
          <t>Company EBITDA next year</t>
        </is>
      </c>
      <c r="C20" s="22">
        <f>IS!H25</f>
        <v/>
      </c>
    </row>
    <row r="21">
      <c r="B21" s="11" t="inlineStr">
        <is>
          <t>Company EPS next year</t>
        </is>
      </c>
      <c r="C21" s="38">
        <f>IS!H23</f>
        <v/>
      </c>
    </row>
    <row r="22">
      <c r="B22" s="18" t="inlineStr">
        <is>
          <t>Value per share at median EV / EBITDA</t>
        </is>
      </c>
      <c r="C22" s="35">
        <f>(C14*C20+DCF!C38-DCF!C36-DCF!C37-DCF!C39)/DCF!C40</f>
        <v/>
      </c>
    </row>
    <row r="23">
      <c r="B23" s="18" t="inlineStr">
        <is>
          <t>Value per share at median P / E</t>
        </is>
      </c>
      <c r="C23" s="35">
        <f>C17*C21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(Comps!C15*Comps!C20+DCF!C38-DCF!C36-DCF!C37-DCF!C39)/DCF!C40</f>
        <v/>
      </c>
      <c r="D9" s="26">
        <f>(Comps!C16*Comps!C20+DCF!C38-DCF!C36-DCF!C37-DCF!C39)/DCF!C40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Comps!C18*Comps!C21</f>
        <v/>
      </c>
      <c r="D10" s="26">
        <f>Comps!C19*Comps!C21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IF(ABS(BS!Q15-D28)&lt;=0.5961568021357876,"OK","WARN")</f>
        <v/>
      </c>
      <c r="D28" s="16" t="n">
        <v>596156.8021357877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IF(ABS(IS!Q19-D29)&lt;=0.03097359933543156,"OK","WARN")</f>
        <v/>
      </c>
      <c r="D29" s="16" t="n">
        <v>30973.59933543156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IF(ABS(CF!Q27-D30)&lt;=0.1157655574233194,"OK","WARN")</f>
        <v/>
      </c>
      <c r="D30" s="16" t="n">
        <v>115765.5574233194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0.1032327567354157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IF(ABS(DCF!C43-D32)&lt;=3.9481482772885644e-05,"OK","WARN")</f>
        <v/>
      </c>
      <c r="D32" s="26" t="n">
        <v>39.48148277288565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2026-10-17T16:31:15Z</dcterms:created>
  <dcterms:modified xmlns:dcterms="http://purl.org/dc/terms/" xmlns:xsi="http://www.w3.org/2001/XMLSchema-instance" xsi:type="dcterms:W3CDTF">2026-10-17T16:31:15Z</dcterms:modified>
</cp:coreProperties>
</file>