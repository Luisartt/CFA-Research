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ER" sheetId="2" state="visible" r:id="rId2"/>
    <sheet xmlns:r="http://schemas.openxmlformats.org/officeDocument/2006/relationships" name="Supuestos" sheetId="3" state="visible" r:id="rId3"/>
    <sheet xmlns:r="http://schemas.openxmlformats.org/officeDocument/2006/relationships" name="Regiones" sheetId="4" state="visible" r:id="rId4"/>
    <sheet xmlns:r="http://schemas.openxmlformats.org/officeDocument/2006/relationships" name="ORI" sheetId="5" state="visible" r:id="rId5"/>
    <sheet xmlns:r="http://schemas.openxmlformats.org/officeDocument/2006/relationships" name="BG" sheetId="6" state="visible" r:id="rId6"/>
    <sheet xmlns:r="http://schemas.openxmlformats.org/officeDocument/2006/relationships" name="FE" sheetId="7" state="visible" r:id="rId7"/>
    <sheet xmlns:r="http://schemas.openxmlformats.org/officeDocument/2006/relationships" name="Capital" sheetId="8" state="visible" r:id="rId8"/>
    <sheet xmlns:r="http://schemas.openxmlformats.org/officeDocument/2006/relationships" name="Cuadr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(#,##0);&quot;-&quot;"/>
    <numFmt numFmtId="165" formatCode="#,##0.000"/>
    <numFmt numFmtId="166" formatCode="#,##0.00;(#,##0.00);&quot;-&quot;"/>
    <numFmt numFmtId="167" formatCode="0.0%;(0.0%);&quot;-&quot;"/>
    <numFmt numFmtId="168" formatCode="0.0000"/>
    <numFmt numFmtId="169" formatCode="0.0;(0.0)"/>
    <numFmt numFmtId="170" formatCode="0.00%;(0.00%);&quot;-&quot;"/>
  </numFmts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95959"/>
      <sz val="8"/>
    </font>
    <font>
      <name val="Arial"/>
      <b val="1"/>
      <color rgb="00FFFFFF"/>
      <sz val="9"/>
    </font>
    <font>
      <name val="Arial"/>
      <b val="1"/>
      <sz val="9"/>
    </font>
    <font>
      <name val="Arial"/>
      <color rgb="00000000"/>
      <sz val="9"/>
    </font>
    <font>
      <name val="Arial"/>
      <color rgb="000000FF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4" fillId="5" borderId="0" pivotButton="0" quotePrefix="0" xfId="0"/>
    <xf numFmtId="0" fontId="0" fillId="5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5" fillId="0" borderId="0" pivotButton="0" quotePrefix="0" xfId="0"/>
    <xf numFmtId="164" fontId="0" fillId="6" borderId="0" pivotButton="0" quotePrefix="0" xfId="0"/>
    <xf numFmtId="164" fontId="4" fillId="0" borderId="1" pivotButton="0" quotePrefix="0" xfId="0"/>
    <xf numFmtId="165" fontId="6" fillId="0" borderId="0" pivotButton="0" quotePrefix="0" xfId="0"/>
    <xf numFmtId="165" fontId="5" fillId="0" borderId="0" pivotButton="0" quotePrefix="0" xfId="0"/>
    <xf numFmtId="165" fontId="0" fillId="6" borderId="0" pivotButton="0" quotePrefix="0" xfId="0"/>
    <xf numFmtId="166" fontId="5" fillId="0" borderId="0" pivotButton="0" quotePrefix="0" xfId="0"/>
    <xf numFmtId="164" fontId="0" fillId="0" borderId="0" pivotButton="0" quotePrefix="0" xfId="0"/>
    <xf numFmtId="167" fontId="0" fillId="0" borderId="0" pivotButton="0" quotePrefix="0" xfId="0"/>
    <xf numFmtId="167" fontId="6" fillId="6" borderId="0" pivotButton="0" quotePrefix="0" xfId="0"/>
    <xf numFmtId="168" fontId="6" fillId="0" borderId="0" pivotButton="0" quotePrefix="0" xfId="0"/>
    <xf numFmtId="168" fontId="6" fillId="6" borderId="0" pivotButton="0" quotePrefix="0" xfId="0"/>
    <xf numFmtId="168" fontId="0" fillId="0" borderId="0" pivotButton="0" quotePrefix="0" xfId="0"/>
    <xf numFmtId="167" fontId="6" fillId="0" borderId="0" pivotButton="0" quotePrefix="0" xfId="0"/>
    <xf numFmtId="165" fontId="6" fillId="6" borderId="0" pivotButton="0" quotePrefix="0" xfId="0"/>
    <xf numFmtId="164" fontId="6" fillId="6" borderId="0" pivotButton="0" quotePrefix="0" xfId="0"/>
    <xf numFmtId="169" fontId="0" fillId="0" borderId="0" pivotButton="0" quotePrefix="0" xfId="0"/>
    <xf numFmtId="2" fontId="6" fillId="0" borderId="0" pivotButton="0" quotePrefix="0" xfId="0"/>
    <xf numFmtId="2" fontId="0" fillId="0" borderId="0" pivotButton="0" quotePrefix="0" xfId="0"/>
    <xf numFmtId="170" fontId="0" fillId="0" borderId="0" pivotButton="0" quotePrefix="0" xfId="0"/>
    <xf numFmtId="164" fontId="0" fillId="0" borderId="1" pivotButton="0" quotePrefix="0" xfId="0"/>
    <xf numFmtId="167" fontId="5" fillId="0" borderId="0" pivotButton="0" quotePrefix="0" xfId="0"/>
    <xf numFmtId="167" fontId="0" fillId="0" borderId="1" pivotButton="0" quotePrefix="0" xfId="0"/>
    <xf numFmtId="167" fontId="4" fillId="0" borderId="1" pivotButton="0" quotePrefix="0" xfId="0"/>
    <xf numFmtId="164" fontId="6" fillId="0" borderId="1" pivotButton="0" quotePrefix="0" xfId="0"/>
    <xf numFmtId="164" fontId="5" fillId="0" borderId="1" pivotButton="0" quotePrefix="0" xfId="0"/>
    <xf numFmtId="164" fontId="0" fillId="6" borderId="1" pivotButton="0" quotePrefix="0" xfId="0"/>
    <xf numFmtId="164" fontId="4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Grupo Bimbo (BIMBOA) - Estados financieros consolidados 2021R-2030E</t>
        </is>
      </c>
    </row>
    <row r="2">
      <c r="A2" s="2" t="inlineStr">
        <is>
          <t>Millones de MXN. Generado el 2026-10-19 con model/build/build_statements_workbook.py --lang es. Versión de trabajo en español; la oficial es la inglesa.</t>
        </is>
      </c>
    </row>
    <row r="3">
      <c r="A3" t="inlineStr"/>
    </row>
    <row r="4">
      <c r="A4" s="3" t="inlineStr">
        <is>
          <t>Qué contiene</t>
        </is>
      </c>
    </row>
    <row r="5">
      <c r="A5" t="inlineStr">
        <is>
          <t>ER, ORI, BG, FE y Capital: todos los renglones de los estados auditados, 2021R-2025R.</t>
        </is>
      </c>
    </row>
    <row r="6">
      <c r="A6" t="inlineStr">
        <is>
          <t>Cuadres: vínculos entre estados y cada subtotal contra el reporte. Historia: todo en 0.</t>
        </is>
      </c>
    </row>
    <row r="7">
      <c r="A7" t="inlineStr">
        <is>
          <t>Regiones: historia por región (nota de segmentos auditada), referencia para calibrar las tesis.</t>
        </is>
      </c>
    </row>
    <row r="8">
      <c r="A8" t="inlineStr">
        <is>
          <t>La proyección es consolidada: no se proyecta ni se cuadra nada por región.</t>
        </is>
      </c>
    </row>
    <row r="9">
      <c r="A9" t="inlineStr">
        <is>
          <t>Supuestos: 2026E = 9M26 real + 4T26, sobre la guía de Bimbo. El ER 2026E hasta la utilidad neta y la UPA se vincula aquí.</t>
        </is>
      </c>
    </row>
    <row r="10">
      <c r="A10" t="inlineStr">
        <is>
          <t>FY2026E y FY2027E: ER, BG, FE, capital y ORI ligados a Supuestos; Cuadres debe mostrar OK en ambos. FY2028E-FY2030E siguen vacíos.</t>
        </is>
      </c>
    </row>
    <row r="11">
      <c r="A11" t="inlineStr"/>
    </row>
    <row r="12">
      <c r="A12" s="3" t="inlineStr">
        <is>
          <t>Fuentes (número de página del PDF)</t>
        </is>
      </c>
    </row>
    <row r="13">
      <c r="A13" t="inlineStr">
        <is>
          <t>2023-2025: filings/annual/IA25_GB_EEFF_V10.pdf - BG p.12, ER p.13, ORI p.14, capital p.15, FE p.16.</t>
        </is>
      </c>
    </row>
    <row r="14">
      <c r="A14" t="inlineStr">
        <is>
          <t>2021-2022: filings/bmv/Reporte Anual 2023_XBRL_VF.PDF - BG p.256, ER p.257, ORI p.258, capital p.259, FE p.260.</t>
        </is>
      </c>
    </row>
    <row r="15">
      <c r="A15" t="inlineStr">
        <is>
          <t>Regla: manda el reporte más reciente que presenta el año (data/adjustments.md). 2021 está reformulado por la venta de Ricolino.</t>
        </is>
      </c>
    </row>
    <row r="16">
      <c r="A16" t="inlineStr"/>
    </row>
    <row r="17">
      <c r="A17" s="3" t="inlineStr">
        <is>
          <t>Código de colores</t>
        </is>
      </c>
    </row>
    <row r="18">
      <c r="A18" t="inlineStr">
        <is>
          <t>Número azul = capturado del reporte [sourced]. Negro = fórmula [calc].</t>
        </is>
      </c>
    </row>
    <row r="19">
      <c r="A19" t="inlineStr">
        <is>
          <t>Celda amarilla (2026E-2030E) = dato vacío que el equipo proyecta.</t>
        </is>
      </c>
    </row>
    <row r="20">
      <c r="A20" t="inlineStr"/>
    </row>
    <row r="21">
      <c r="A21" s="3" t="inlineStr">
        <is>
          <t>Qué ya está conectado en las columnas de proyección</t>
        </is>
      </c>
    </row>
    <row r="22">
      <c r="A22" t="inlineStr">
        <is>
          <t>Todos los subtotales y totales; efectivo inicial del FE = efectivo final del año anterior; saldo inicial del capital = saldo final del año anterior.</t>
        </is>
      </c>
    </row>
    <row r="23">
      <c r="A23" t="inlineStr"/>
    </row>
    <row r="24">
      <c r="A24" s="3" t="inlineStr">
        <is>
          <t>Qué debe vincular el equipo para cuadrar 2026E-2030E</t>
        </is>
      </c>
    </row>
    <row r="25">
      <c r="A25" t="inlineStr">
        <is>
          <t>1. Utilidad neta del ER (controladora y no controladora) -&gt; hoja Capital; utilidad antes de impuestos del ER -&gt; primer renglón del FE; utilidad neta del ER -&gt; ORI.</t>
        </is>
      </c>
    </row>
    <row r="26">
      <c r="A26" t="inlineStr">
        <is>
          <t>2. Cambios en las cuentas de capital de trabajo del BG -&gt; 'cambios en activos y pasivos' del FE (signo: si sube un activo, sale efectivo).</t>
        </is>
      </c>
    </row>
    <row r="27">
      <c r="A27" t="inlineStr">
        <is>
          <t>3. Capex y depreciación -&gt; saldos de PP&amp;E e intangibles; préstamos obtenidos/pagados -&gt; saldos de deuda; pagos de arrendamiento -&gt; pasivo por arrendamientos.</t>
        </is>
      </c>
    </row>
    <row r="28">
      <c r="A28" t="inlineStr">
        <is>
          <t>4. Dividendos y recompras -&gt; tanto en Capital como en financiamiento del FE.</t>
        </is>
      </c>
    </row>
    <row r="29">
      <c r="A29" t="inlineStr">
        <is>
          <t>5. Efectivo del BG = efectivo final del FE. Con todos los vínculos, la hoja Cuadres muestra OK en todos los años.</t>
        </is>
      </c>
    </row>
    <row r="30">
      <c r="A30" t="inlineStr"/>
    </row>
    <row r="31">
      <c r="A31" s="3" t="inlineStr">
        <is>
          <t>Notas</t>
        </is>
      </c>
    </row>
    <row r="32">
      <c r="A32" t="inlineStr">
        <is>
          <t>Los signos siguen al reporte: gastos del ER en positivo; intereses ganados en negativo dentro del costo integral de financiamiento; salidas del FE en negativo.</t>
        </is>
      </c>
    </row>
    <row r="33">
      <c r="A33" t="inlineStr">
        <is>
          <t>Los intereses de arrendamiento se pagan dentro del renglón 'Pagos de arrendamiento' del FE (data/adjustments.md, ajuste 6).</t>
        </is>
      </c>
    </row>
    <row r="34">
      <c r="A34" t="inlineStr">
        <is>
          <t>Los insumos condensados del modelo (data/financials.csv) agrupan estos renglones; los totales coinciden con este libro.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70" customWidth="1" min="13" max="13"/>
  </cols>
  <sheetData>
    <row r="1">
      <c r="A1" s="1" t="inlineStr">
        <is>
          <t>Grupo Bimbo - Estado consolidado de resultados</t>
        </is>
      </c>
    </row>
    <row r="2">
      <c r="A2" s="2" t="inlineStr">
        <is>
          <t>Operaciones continuas; 2021 reformulado por Ricolino (operación discontinuada desde 2022). Costos por función, como se reportan.</t>
        </is>
      </c>
    </row>
    <row r="3">
      <c r="B3" s="4" t="inlineStr">
        <is>
          <t>Real (auditado)</t>
        </is>
      </c>
      <c r="G3" s="5" t="inlineStr">
        <is>
          <t>Proyección - el equipo proyecta y cuadra</t>
        </is>
      </c>
    </row>
    <row r="4">
      <c r="A4" s="6" t="inlineStr">
        <is>
          <t>Millones de MXN</t>
        </is>
      </c>
      <c r="B4" s="7" t="inlineStr">
        <is>
          <t>2021R</t>
        </is>
      </c>
      <c r="C4" s="7" t="inlineStr">
        <is>
          <t>2022R</t>
        </is>
      </c>
      <c r="D4" s="7" t="inlineStr">
        <is>
          <t>2023R</t>
        </is>
      </c>
      <c r="E4" s="7" t="inlineStr">
        <is>
          <t>2024R</t>
        </is>
      </c>
      <c r="F4" s="7" t="inlineStr">
        <is>
          <t>2025R</t>
        </is>
      </c>
      <c r="G4" s="7" t="inlineStr">
        <is>
          <t>2026E</t>
        </is>
      </c>
      <c r="H4" s="7" t="inlineStr">
        <is>
          <t>2027E</t>
        </is>
      </c>
      <c r="I4" s="7" t="inlineStr">
        <is>
          <t>2028E</t>
        </is>
      </c>
      <c r="J4" s="7" t="inlineStr">
        <is>
          <t>2029E</t>
        </is>
      </c>
      <c r="K4" s="7" t="inlineStr">
        <is>
          <t>2030E</t>
        </is>
      </c>
      <c r="L4" s="6" t="inlineStr">
        <is>
          <t>Etiqueta</t>
        </is>
      </c>
      <c r="M4" s="6" t="inlineStr">
        <is>
          <t>Fuente / nota</t>
        </is>
      </c>
    </row>
    <row r="5">
      <c r="A5" s="8" t="inlineStr">
        <is>
          <t>Operaciones continuas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</row>
    <row r="6">
      <c r="A6" s="10" t="inlineStr">
        <is>
          <t>Ventas netas</t>
        </is>
      </c>
      <c r="B6" s="11" t="n">
        <v>338792</v>
      </c>
      <c r="C6" s="11" t="n">
        <v>398706</v>
      </c>
      <c r="D6" s="11" t="n">
        <v>399879</v>
      </c>
      <c r="E6" s="11" t="n">
        <v>408335</v>
      </c>
      <c r="F6" s="11" t="n">
        <v>426952</v>
      </c>
      <c r="G6" s="12">
        <f>Supuestos!B43</f>
        <v/>
      </c>
      <c r="H6" s="12">
        <f>Supuestos!B142</f>
        <v/>
      </c>
      <c r="I6" s="13" t="n"/>
      <c r="J6" s="13" t="n"/>
      <c r="K6" s="13" t="n"/>
      <c r="L6" s="2" t="inlineStr">
        <is>
          <t>[sourced]</t>
        </is>
      </c>
      <c r="M6" s="2" t="inlineStr">
        <is>
          <t>RA23 p.257 (2021-22); IA25 p.13 (2023-25)</t>
        </is>
      </c>
    </row>
    <row r="7">
      <c r="A7" s="10" t="inlineStr">
        <is>
          <t>Costo de ventas</t>
        </is>
      </c>
      <c r="B7" s="11" t="n">
        <v>157703</v>
      </c>
      <c r="C7" s="11" t="n">
        <v>193325</v>
      </c>
      <c r="D7" s="11" t="n">
        <v>194369</v>
      </c>
      <c r="E7" s="11" t="n">
        <v>193407</v>
      </c>
      <c r="F7" s="11" t="n">
        <v>203465</v>
      </c>
      <c r="G7" s="12">
        <f>Supuestos!B54</f>
        <v/>
      </c>
      <c r="H7" s="12">
        <f>Supuestos!B174</f>
        <v/>
      </c>
      <c r="I7" s="13" t="n"/>
      <c r="J7" s="13" t="n"/>
      <c r="K7" s="13" t="n"/>
      <c r="L7" s="2" t="inlineStr">
        <is>
          <t>[sourced]</t>
        </is>
      </c>
      <c r="M7" s="2" t="inlineStr">
        <is>
          <t>RA23 p.257 (2021-22); IA25 p.13 (2023-25); Positivo = gasto</t>
        </is>
      </c>
    </row>
    <row r="8">
      <c r="A8" s="3" t="inlineStr">
        <is>
          <t>Utilidad bruta</t>
        </is>
      </c>
      <c r="B8" s="14">
        <f>B6-B7</f>
        <v/>
      </c>
      <c r="C8" s="14">
        <f>C6-C7</f>
        <v/>
      </c>
      <c r="D8" s="14">
        <f>D6-D7</f>
        <v/>
      </c>
      <c r="E8" s="14">
        <f>E6-E7</f>
        <v/>
      </c>
      <c r="F8" s="14">
        <f>F6-F7</f>
        <v/>
      </c>
      <c r="G8" s="14">
        <f>G6-G7</f>
        <v/>
      </c>
      <c r="H8" s="14">
        <f>H6-H7</f>
        <v/>
      </c>
      <c r="I8" s="14">
        <f>I6-I7</f>
        <v/>
      </c>
      <c r="J8" s="14">
        <f>J6-J7</f>
        <v/>
      </c>
      <c r="K8" s="14">
        <f>K6-K7</f>
        <v/>
      </c>
      <c r="L8" s="2" t="inlineStr">
        <is>
          <t>[calc]</t>
        </is>
      </c>
      <c r="M8" s="2" t="inlineStr"/>
    </row>
    <row r="9">
      <c r="A9" s="10" t="inlineStr">
        <is>
          <t>Gastos de distribución y venta</t>
        </is>
      </c>
      <c r="B9" s="11" t="n">
        <v>124422</v>
      </c>
      <c r="C9" s="11" t="n">
        <v>140455</v>
      </c>
      <c r="D9" s="11" t="n">
        <v>139477</v>
      </c>
      <c r="E9" s="11" t="n">
        <v>147628</v>
      </c>
      <c r="F9" s="11" t="n">
        <v>154866</v>
      </c>
      <c r="G9" s="12">
        <f>Supuestos!B60</f>
        <v/>
      </c>
      <c r="H9" s="12">
        <f>Supuestos!B237</f>
        <v/>
      </c>
      <c r="I9" s="13" t="n"/>
      <c r="J9" s="13" t="n"/>
      <c r="K9" s="13" t="n"/>
      <c r="L9" s="2" t="inlineStr">
        <is>
          <t>[sourced]</t>
        </is>
      </c>
      <c r="M9" s="2" t="inlineStr">
        <is>
          <t>RA23 p.257 (2021-22); IA25 p.13 (2023-25)</t>
        </is>
      </c>
    </row>
    <row r="10">
      <c r="A10" s="10" t="inlineStr">
        <is>
          <t>Gastos de administración</t>
        </is>
      </c>
      <c r="B10" s="11" t="n">
        <v>23147</v>
      </c>
      <c r="C10" s="11" t="n">
        <v>26172</v>
      </c>
      <c r="D10" s="11" t="n">
        <v>25860</v>
      </c>
      <c r="E10" s="11" t="n">
        <v>27536</v>
      </c>
      <c r="F10" s="11" t="n">
        <v>29023</v>
      </c>
      <c r="G10" s="12">
        <f>Supuestos!B61</f>
        <v/>
      </c>
      <c r="H10" s="12">
        <f>Supuestos!B238</f>
        <v/>
      </c>
      <c r="I10" s="13" t="n"/>
      <c r="J10" s="13" t="n"/>
      <c r="K10" s="13" t="n"/>
      <c r="L10" s="2" t="inlineStr">
        <is>
          <t>[sourced]</t>
        </is>
      </c>
      <c r="M10" s="2" t="inlineStr">
        <is>
          <t>RA23 p.257 (2021-22); IA25 p.13 (2023-25)</t>
        </is>
      </c>
    </row>
    <row r="11">
      <c r="A11" s="10" t="inlineStr">
        <is>
          <t>Gastos de integración</t>
        </is>
      </c>
      <c r="B11" s="11" t="n">
        <v>724</v>
      </c>
      <c r="C11" s="11" t="n">
        <v>367</v>
      </c>
      <c r="D11" s="11" t="n">
        <v>288</v>
      </c>
      <c r="E11" s="11" t="n">
        <v>317</v>
      </c>
      <c r="F11" s="11" t="n">
        <v>541</v>
      </c>
      <c r="G11" s="12">
        <f>Supuestos!B62</f>
        <v/>
      </c>
      <c r="H11" s="12">
        <f>Supuestos!B236</f>
        <v/>
      </c>
      <c r="I11" s="13" t="n"/>
      <c r="J11" s="13" t="n"/>
      <c r="K11" s="13" t="n"/>
      <c r="L11" s="2" t="inlineStr">
        <is>
          <t>[sourced]</t>
        </is>
      </c>
      <c r="M11" s="2" t="inlineStr">
        <is>
          <t>RA23 p.257 (2021-22); IA25 p.13 (2023-25)</t>
        </is>
      </c>
    </row>
    <row r="12">
      <c r="A12" s="10" t="inlineStr">
        <is>
          <t>Otros (ingresos) gastos, neto</t>
        </is>
      </c>
      <c r="B12" s="11" t="n">
        <v>216</v>
      </c>
      <c r="C12" s="11" t="n">
        <v>-15309</v>
      </c>
      <c r="D12" s="11" t="n">
        <v>4430</v>
      </c>
      <c r="E12" s="11" t="n">
        <v>6298</v>
      </c>
      <c r="F12" s="11" t="n">
        <v>4911</v>
      </c>
      <c r="G12" s="12">
        <f>Supuestos!B56</f>
        <v/>
      </c>
      <c r="H12" s="12">
        <f>Supuestos!B235</f>
        <v/>
      </c>
      <c r="I12" s="13" t="n"/>
      <c r="J12" s="13" t="n"/>
      <c r="K12" s="13" t="n"/>
      <c r="L12" s="2" t="inlineStr">
        <is>
          <t>[sourced]</t>
        </is>
      </c>
      <c r="M12" s="2" t="inlineStr">
        <is>
          <t>RA23 p.257 (2021-22); IA25 p.13 (2023-25); 2022 incluye la ganancia sin flujo de los planes de pensiones multipatronales (MEPP)</t>
        </is>
      </c>
    </row>
    <row r="13">
      <c r="A13" s="3" t="inlineStr">
        <is>
          <t>Total de gastos generales</t>
        </is>
      </c>
      <c r="B13" s="14">
        <f>SUM(B9:B12)</f>
        <v/>
      </c>
      <c r="C13" s="14">
        <f>SUM(C9:C12)</f>
        <v/>
      </c>
      <c r="D13" s="14">
        <f>SUM(D9:D12)</f>
        <v/>
      </c>
      <c r="E13" s="14">
        <f>SUM(E9:E12)</f>
        <v/>
      </c>
      <c r="F13" s="14">
        <f>SUM(F9:F12)</f>
        <v/>
      </c>
      <c r="G13" s="14">
        <f>SUM(G9:G12)</f>
        <v/>
      </c>
      <c r="H13" s="14">
        <f>SUM(H9:H12)</f>
        <v/>
      </c>
      <c r="I13" s="14">
        <f>SUM(I9:I12)</f>
        <v/>
      </c>
      <c r="J13" s="14">
        <f>SUM(J9:J12)</f>
        <v/>
      </c>
      <c r="K13" s="14">
        <f>SUM(K9:K12)</f>
        <v/>
      </c>
      <c r="L13" s="2" t="inlineStr">
        <is>
          <t>[calc]</t>
        </is>
      </c>
      <c r="M13" s="2" t="inlineStr"/>
    </row>
    <row r="14">
      <c r="A14" s="3" t="inlineStr">
        <is>
          <t>Utilidad de operación (EBIT)</t>
        </is>
      </c>
      <c r="B14" s="14">
        <f>B8-B13</f>
        <v/>
      </c>
      <c r="C14" s="14">
        <f>C8-C13</f>
        <v/>
      </c>
      <c r="D14" s="14">
        <f>D8-D13</f>
        <v/>
      </c>
      <c r="E14" s="14">
        <f>E8-E13</f>
        <v/>
      </c>
      <c r="F14" s="14">
        <f>F8-F13</f>
        <v/>
      </c>
      <c r="G14" s="14">
        <f>G8-G13</f>
        <v/>
      </c>
      <c r="H14" s="14">
        <f>H8-H13</f>
        <v/>
      </c>
      <c r="I14" s="14">
        <f>I8-I13</f>
        <v/>
      </c>
      <c r="J14" s="14">
        <f>J8-J13</f>
        <v/>
      </c>
      <c r="K14" s="14">
        <f>K8-K13</f>
        <v/>
      </c>
      <c r="L14" s="2" t="inlineStr">
        <is>
          <t>[calc]</t>
        </is>
      </c>
      <c r="M14" s="2" t="inlineStr"/>
    </row>
    <row r="15">
      <c r="A15" t="inlineStr"/>
    </row>
    <row r="16">
      <c r="A16" s="8" t="inlineStr">
        <is>
          <t>Costo integral de financiamiento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>
      <c r="A17" s="10" t="inlineStr">
        <is>
          <t>Intereses a cargo</t>
        </is>
      </c>
      <c r="B17" s="11" t="n">
        <v>7823</v>
      </c>
      <c r="C17" s="11" t="n">
        <v>8049</v>
      </c>
      <c r="D17" s="11" t="n">
        <v>10006</v>
      </c>
      <c r="E17" s="11" t="n">
        <v>13100</v>
      </c>
      <c r="F17" s="11" t="n">
        <v>14464</v>
      </c>
      <c r="G17" s="12">
        <f>Supuestos!B65</f>
        <v/>
      </c>
      <c r="H17" s="12">
        <f>Supuestos!B257</f>
        <v/>
      </c>
      <c r="I17" s="13" t="n"/>
      <c r="J17" s="13" t="n"/>
      <c r="K17" s="13" t="n"/>
      <c r="L17" s="2" t="inlineStr">
        <is>
          <t>[sourced]</t>
        </is>
      </c>
      <c r="M17" s="2" t="inlineStr">
        <is>
          <t>RA23 p.257 (2021-22); IA25 p.13 (2023-25); Incluye intereses de arrendamientos (IFRS 16)</t>
        </is>
      </c>
    </row>
    <row r="18">
      <c r="A18" s="10" t="inlineStr">
        <is>
          <t>Intereses ganados</t>
        </is>
      </c>
      <c r="B18" s="11" t="n">
        <v>-363</v>
      </c>
      <c r="C18" s="11" t="n">
        <v>-740</v>
      </c>
      <c r="D18" s="11" t="n">
        <v>-809</v>
      </c>
      <c r="E18" s="11" t="n">
        <v>-924</v>
      </c>
      <c r="F18" s="11" t="n">
        <v>-897</v>
      </c>
      <c r="G18" s="11" t="n">
        <v>0</v>
      </c>
      <c r="H18" s="11" t="n">
        <v>0</v>
      </c>
      <c r="I18" s="13" t="n"/>
      <c r="J18" s="13" t="n"/>
      <c r="K18" s="13" t="n"/>
      <c r="L18" s="2" t="inlineStr">
        <is>
          <t>[sourced]</t>
        </is>
      </c>
      <c r="M18" s="2" t="inlineStr">
        <is>
          <t>RA23 p.257 (2021-22); IA25 p.13 (2023-25); Negativo = ingreso (como en el reporte)</t>
        </is>
      </c>
    </row>
    <row r="19">
      <c r="A19" s="10" t="inlineStr">
        <is>
          <t>Pérdida cambiaria, neta</t>
        </is>
      </c>
      <c r="B19" s="11" t="n">
        <v>538</v>
      </c>
      <c r="C19" s="11" t="n">
        <v>995</v>
      </c>
      <c r="D19" s="11" t="n">
        <v>1323</v>
      </c>
      <c r="E19" s="11" t="n">
        <v>506</v>
      </c>
      <c r="F19" s="11" t="n">
        <v>384</v>
      </c>
      <c r="G19" s="12">
        <f>Supuestos!B66</f>
        <v/>
      </c>
      <c r="H19" s="11" t="n">
        <v>0</v>
      </c>
      <c r="I19" s="13" t="n"/>
      <c r="J19" s="13" t="n"/>
      <c r="K19" s="13" t="n"/>
      <c r="L19" s="2" t="inlineStr">
        <is>
          <t>[sourced]</t>
        </is>
      </c>
      <c r="M19" s="2" t="inlineStr">
        <is>
          <t>RA23 p.257 (2021-22); IA25 p.13 (2023-25)</t>
        </is>
      </c>
    </row>
    <row r="20">
      <c r="A20" s="10" t="inlineStr">
        <is>
          <t>Pérdida (ganancia) por posición monetaria</t>
        </is>
      </c>
      <c r="B20" s="11" t="n">
        <v>-25</v>
      </c>
      <c r="C20" s="11" t="n">
        <v>-34</v>
      </c>
      <c r="D20" s="11" t="n">
        <v>-73</v>
      </c>
      <c r="E20" s="11" t="n">
        <v>-103</v>
      </c>
      <c r="F20" s="11" t="n">
        <v>50</v>
      </c>
      <c r="G20" s="12">
        <f>Supuestos!B67</f>
        <v/>
      </c>
      <c r="H20" s="12">
        <f>Supuestos!B258</f>
        <v/>
      </c>
      <c r="I20" s="13" t="n"/>
      <c r="J20" s="13" t="n"/>
      <c r="K20" s="13" t="n"/>
      <c r="L20" s="2" t="inlineStr">
        <is>
          <t>[sourced]</t>
        </is>
      </c>
      <c r="M20" s="2" t="inlineStr">
        <is>
          <t>RA23 p.257 (2021-22); IA25 p.13 (2023-25)</t>
        </is>
      </c>
    </row>
    <row r="21">
      <c r="A21" s="3" t="inlineStr">
        <is>
          <t>Total del costo integral de financiamiento</t>
        </is>
      </c>
      <c r="B21" s="14">
        <f>SUM(B17:B20)</f>
        <v/>
      </c>
      <c r="C21" s="14">
        <f>SUM(C17:C20)</f>
        <v/>
      </c>
      <c r="D21" s="14">
        <f>SUM(D17:D20)</f>
        <v/>
      </c>
      <c r="E21" s="14">
        <f>SUM(E17:E20)</f>
        <v/>
      </c>
      <c r="F21" s="14">
        <f>SUM(F17:F20)</f>
        <v/>
      </c>
      <c r="G21" s="14">
        <f>SUM(G17:G20)</f>
        <v/>
      </c>
      <c r="H21" s="14">
        <f>SUM(H17:H20)</f>
        <v/>
      </c>
      <c r="I21" s="14">
        <f>SUM(I17:I20)</f>
        <v/>
      </c>
      <c r="J21" s="14">
        <f>SUM(J17:J20)</f>
        <v/>
      </c>
      <c r="K21" s="14">
        <f>SUM(K17:K20)</f>
        <v/>
      </c>
      <c r="L21" s="2" t="inlineStr">
        <is>
          <t>[calc]</t>
        </is>
      </c>
      <c r="M21" s="2" t="inlineStr"/>
    </row>
    <row r="22">
      <c r="A22" s="10" t="inlineStr">
        <is>
          <t>Participación en los resultados de compañías asociadas</t>
        </is>
      </c>
      <c r="B22" s="11" t="n">
        <v>247</v>
      </c>
      <c r="C22" s="11" t="n">
        <v>452</v>
      </c>
      <c r="D22" s="11" t="n">
        <v>316</v>
      </c>
      <c r="E22" s="11" t="n">
        <v>464</v>
      </c>
      <c r="F22" s="11" t="n">
        <v>-2</v>
      </c>
      <c r="G22" s="12">
        <f>Supuestos!B68</f>
        <v/>
      </c>
      <c r="H22" s="12">
        <f>Supuestos!B259</f>
        <v/>
      </c>
      <c r="I22" s="13" t="n"/>
      <c r="J22" s="13" t="n"/>
      <c r="K22" s="13" t="n"/>
      <c r="L22" s="2" t="inlineStr">
        <is>
          <t>[sourced]</t>
        </is>
      </c>
      <c r="M22" s="2" t="inlineStr">
        <is>
          <t>RA23 p.257 (2021-22); IA25 p.13 (2023-25)</t>
        </is>
      </c>
    </row>
    <row r="23">
      <c r="A23" s="3" t="inlineStr">
        <is>
          <t>Utilidad antes de impuestos de operaciones continuas</t>
        </is>
      </c>
      <c r="B23" s="14">
        <f>B14-B21+B22</f>
        <v/>
      </c>
      <c r="C23" s="14">
        <f>C14-C21+C22</f>
        <v/>
      </c>
      <c r="D23" s="14">
        <f>D14-D21+D22</f>
        <v/>
      </c>
      <c r="E23" s="14">
        <f>E14-E21+E22</f>
        <v/>
      </c>
      <c r="F23" s="14">
        <f>F14-F21+F22</f>
        <v/>
      </c>
      <c r="G23" s="14">
        <f>G14-G21+G22</f>
        <v/>
      </c>
      <c r="H23" s="14">
        <f>H14-H21+H22</f>
        <v/>
      </c>
      <c r="I23" s="14">
        <f>I14-I21+I22</f>
        <v/>
      </c>
      <c r="J23" s="14">
        <f>J14-J21+J22</f>
        <v/>
      </c>
      <c r="K23" s="14">
        <f>K14-K21+K22</f>
        <v/>
      </c>
      <c r="L23" s="2" t="inlineStr">
        <is>
          <t>[calc]</t>
        </is>
      </c>
      <c r="M23" s="2" t="inlineStr"/>
    </row>
    <row r="24">
      <c r="A24" s="10" t="inlineStr">
        <is>
          <t>Impuestos a las ganancias</t>
        </is>
      </c>
      <c r="B24" s="11" t="n">
        <v>8726</v>
      </c>
      <c r="C24" s="11" t="n">
        <v>14381</v>
      </c>
      <c r="D24" s="11" t="n">
        <v>8386</v>
      </c>
      <c r="E24" s="11" t="n">
        <v>6797</v>
      </c>
      <c r="F24" s="11" t="n">
        <v>7197</v>
      </c>
      <c r="G24" s="12">
        <f>G23*Supuestos!B69</f>
        <v/>
      </c>
      <c r="H24" s="12">
        <f>H23*Supuestos!B260</f>
        <v/>
      </c>
      <c r="I24" s="13" t="n"/>
      <c r="J24" s="13" t="n"/>
      <c r="K24" s="13" t="n"/>
      <c r="L24" s="2" t="inlineStr">
        <is>
          <t>[sourced]</t>
        </is>
      </c>
      <c r="M24" s="2" t="inlineStr">
        <is>
          <t>RA23 p.257 (2021-22); IA25 p.13 (2023-25)</t>
        </is>
      </c>
    </row>
    <row r="25">
      <c r="A25" s="3" t="inlineStr">
        <is>
          <t>Utilidad neta de operaciones continuas</t>
        </is>
      </c>
      <c r="B25" s="14">
        <f>B23-B24</f>
        <v/>
      </c>
      <c r="C25" s="14">
        <f>C23-C24</f>
        <v/>
      </c>
      <c r="D25" s="14">
        <f>D23-D24</f>
        <v/>
      </c>
      <c r="E25" s="14">
        <f>E23-E24</f>
        <v/>
      </c>
      <c r="F25" s="14">
        <f>F23-F24</f>
        <v/>
      </c>
      <c r="G25" s="14">
        <f>G23-G24</f>
        <v/>
      </c>
      <c r="H25" s="14">
        <f>H23-H24</f>
        <v/>
      </c>
      <c r="I25" s="14">
        <f>I23-I24</f>
        <v/>
      </c>
      <c r="J25" s="14">
        <f>J23-J24</f>
        <v/>
      </c>
      <c r="K25" s="14">
        <f>K23-K24</f>
        <v/>
      </c>
      <c r="L25" s="2" t="inlineStr">
        <is>
          <t>[calc]</t>
        </is>
      </c>
      <c r="M25" s="2" t="inlineStr"/>
    </row>
    <row r="26">
      <c r="A26" s="10" t="inlineStr">
        <is>
          <t>Utilidad neta de la operación discontinuada, después de impuestos</t>
        </is>
      </c>
      <c r="B26" s="11" t="n">
        <v>1254</v>
      </c>
      <c r="C26" s="11" t="n">
        <v>16988</v>
      </c>
      <c r="D26" s="11" t="n">
        <v>-16</v>
      </c>
      <c r="E26" s="11" t="n">
        <v>-194</v>
      </c>
      <c r="F26" s="11" t="n">
        <v>0</v>
      </c>
      <c r="G26" s="11" t="n">
        <v>0</v>
      </c>
      <c r="H26" s="11" t="n">
        <v>0</v>
      </c>
      <c r="I26" s="13" t="n"/>
      <c r="J26" s="13" t="n"/>
      <c r="K26" s="13" t="n"/>
      <c r="L26" s="2" t="inlineStr">
        <is>
          <t>[sourced]</t>
        </is>
      </c>
      <c r="M26" s="2" t="inlineStr">
        <is>
          <t>RA23 p.257 (2021-22); IA25 p.13 (2023-25); Ricolino (vendida el 1-nov-2022)</t>
        </is>
      </c>
    </row>
    <row r="27">
      <c r="A27" s="3" t="inlineStr">
        <is>
          <t>Utilidad neta consolidada</t>
        </is>
      </c>
      <c r="B27" s="14">
        <f>B25+B26</f>
        <v/>
      </c>
      <c r="C27" s="14">
        <f>C25+C26</f>
        <v/>
      </c>
      <c r="D27" s="14">
        <f>D25+D26</f>
        <v/>
      </c>
      <c r="E27" s="14">
        <f>E25+E26</f>
        <v/>
      </c>
      <c r="F27" s="14">
        <f>F25+F26</f>
        <v/>
      </c>
      <c r="G27" s="14">
        <f>G25+G26</f>
        <v/>
      </c>
      <c r="H27" s="14">
        <f>H25+H26</f>
        <v/>
      </c>
      <c r="I27" s="14">
        <f>I25+I26</f>
        <v/>
      </c>
      <c r="J27" s="14">
        <f>J25+J26</f>
        <v/>
      </c>
      <c r="K27" s="14">
        <f>K25+K26</f>
        <v/>
      </c>
      <c r="L27" s="2" t="inlineStr">
        <is>
          <t>[calc]</t>
        </is>
      </c>
      <c r="M27" s="2" t="inlineStr"/>
    </row>
    <row r="28">
      <c r="A28" t="inlineStr"/>
    </row>
    <row r="29">
      <c r="A29" s="8" t="inlineStr">
        <is>
          <t>Atribución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</row>
    <row r="30">
      <c r="A30" s="10" t="inlineStr">
        <is>
          <t>Participación no controladora</t>
        </is>
      </c>
      <c r="B30" s="11" t="n">
        <v>1466</v>
      </c>
      <c r="C30" s="11" t="n">
        <v>1575</v>
      </c>
      <c r="D30" s="11" t="n">
        <v>1445</v>
      </c>
      <c r="E30" s="11" t="n">
        <v>1499</v>
      </c>
      <c r="F30" s="11" t="n">
        <v>1813</v>
      </c>
      <c r="G30" s="12">
        <f>Supuestos!B70</f>
        <v/>
      </c>
      <c r="H30" s="12">
        <f>Supuestos!B261</f>
        <v/>
      </c>
      <c r="I30" s="13" t="n"/>
      <c r="J30" s="13" t="n"/>
      <c r="K30" s="13" t="n"/>
      <c r="L30" s="2" t="inlineStr">
        <is>
          <t>[sourced]</t>
        </is>
      </c>
      <c r="M30" s="2" t="inlineStr">
        <is>
          <t>RA23 p.257 (2021-22); IA25 p.13 (2023-25); 2021-22 incluyen la participación no controladora discontinuada (30; 402)</t>
        </is>
      </c>
    </row>
    <row r="31">
      <c r="A31" s="10" t="inlineStr">
        <is>
          <t>Participación controladora</t>
        </is>
      </c>
      <c r="B31" s="12">
        <f>B27-B30</f>
        <v/>
      </c>
      <c r="C31" s="12">
        <f>C27-C30</f>
        <v/>
      </c>
      <c r="D31" s="12">
        <f>D27-D30</f>
        <v/>
      </c>
      <c r="E31" s="12">
        <f>E27-E30</f>
        <v/>
      </c>
      <c r="F31" s="12">
        <f>F27-F30</f>
        <v/>
      </c>
      <c r="G31" s="12">
        <f>G27-G30</f>
        <v/>
      </c>
      <c r="H31" s="12">
        <f>H27-H30</f>
        <v/>
      </c>
      <c r="I31" s="12">
        <f>I27-I30</f>
        <v/>
      </c>
      <c r="J31" s="12">
        <f>J27-J30</f>
        <v/>
      </c>
      <c r="K31" s="12">
        <f>K27-K30</f>
        <v/>
      </c>
      <c r="L31" s="2" t="inlineStr">
        <is>
          <t>[calc]</t>
        </is>
      </c>
      <c r="M31" s="2" t="inlineStr"/>
    </row>
    <row r="32">
      <c r="A32" s="10" t="inlineStr">
        <is>
          <t>Promedio ponderado de acciones (millones)</t>
        </is>
      </c>
      <c r="B32" s="15" t="n">
        <v>4487.268</v>
      </c>
      <c r="C32" s="15" t="n">
        <v>4448.693</v>
      </c>
      <c r="D32" s="15" t="n">
        <v>4418.137</v>
      </c>
      <c r="E32" s="15" t="n">
        <v>4357.25</v>
      </c>
      <c r="F32" s="15" t="n">
        <v>4310.531</v>
      </c>
      <c r="G32" s="16">
        <f>Supuestos!B71</f>
        <v/>
      </c>
      <c r="H32" s="16">
        <f>Supuestos!B71</f>
        <v/>
      </c>
      <c r="I32" s="17" t="n"/>
      <c r="J32" s="17" t="n"/>
      <c r="K32" s="17" t="n"/>
      <c r="L32" s="2" t="inlineStr">
        <is>
          <t>[sourced]</t>
        </is>
      </c>
      <c r="M32" s="2" t="inlineStr">
        <is>
          <t>RA23 p.257 (2021-22); IA25 p.13 (2023-25); El reporte las presenta en miles; básica = diluida</t>
        </is>
      </c>
    </row>
    <row r="33">
      <c r="A33" s="10" t="inlineStr">
        <is>
          <t>Utilidad básica por acción (MXN)</t>
        </is>
      </c>
      <c r="B33" s="18">
        <f>IFERROR(B31/B32,0)</f>
        <v/>
      </c>
      <c r="C33" s="18">
        <f>IFERROR(C31/C32,0)</f>
        <v/>
      </c>
      <c r="D33" s="18">
        <f>IFERROR(D31/D32,0)</f>
        <v/>
      </c>
      <c r="E33" s="18">
        <f>IFERROR(E31/E32,0)</f>
        <v/>
      </c>
      <c r="F33" s="18">
        <f>IFERROR(F31/F32,0)</f>
        <v/>
      </c>
      <c r="G33" s="18">
        <f>IFERROR(G31/G32,0)</f>
        <v/>
      </c>
      <c r="H33" s="18">
        <f>IFERROR(H31/H32,0)</f>
        <v/>
      </c>
      <c r="I33" s="18">
        <f>IFERROR(I31/I32,0)</f>
        <v/>
      </c>
      <c r="J33" s="18">
        <f>IFERROR(J31/J32,0)</f>
        <v/>
      </c>
      <c r="K33" s="18">
        <f>IFERROR(K31/K32,0)</f>
        <v/>
      </c>
      <c r="L33" s="2" t="inlineStr">
        <is>
          <t>[calc]</t>
        </is>
      </c>
      <c r="M33" s="2" t="inlineStr"/>
    </row>
    <row r="34">
      <c r="A34" t="inlineStr"/>
    </row>
    <row r="35">
      <c r="A35" s="8" t="inlineStr">
        <is>
          <t>Memorándum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</row>
    <row r="36">
      <c r="A36" s="10" t="inlineStr">
        <is>
          <t>Depreciación y amortización, operaciones continuas (nota de segmentos)</t>
        </is>
      </c>
      <c r="B36" s="11" t="n">
        <v>16126</v>
      </c>
      <c r="C36" s="11" t="n">
        <v>18038</v>
      </c>
      <c r="D36" s="11" t="n">
        <v>18929</v>
      </c>
      <c r="E36" s="11" t="n">
        <v>23051</v>
      </c>
      <c r="F36" s="11" t="n">
        <v>24838</v>
      </c>
      <c r="G36" s="12">
        <f>Supuestos!B55</f>
        <v/>
      </c>
      <c r="H36" s="12">
        <f>Supuestos!B239</f>
        <v/>
      </c>
      <c r="I36" s="13" t="n"/>
      <c r="J36" s="13" t="n"/>
      <c r="K36" s="13" t="n"/>
      <c r="L36" s="2" t="inlineStr">
        <is>
          <t>[sourced]</t>
        </is>
      </c>
      <c r="M36" s="2" t="inlineStr">
        <is>
          <t>RA23 p.358-359; IA25 p.85-86 (data/financials.csv)</t>
        </is>
      </c>
    </row>
    <row r="37">
      <c r="A37" s="10" t="inlineStr">
        <is>
          <t>EBITDA (EBIT + depreciación y amortización)</t>
        </is>
      </c>
      <c r="B37" s="12">
        <f>B14+B36</f>
        <v/>
      </c>
      <c r="C37" s="12">
        <f>C14+C36</f>
        <v/>
      </c>
      <c r="D37" s="12">
        <f>D14+D36</f>
        <v/>
      </c>
      <c r="E37" s="12">
        <f>E14+E36</f>
        <v/>
      </c>
      <c r="F37" s="12">
        <f>F14+F36</f>
        <v/>
      </c>
      <c r="G37" s="12">
        <f>G14+G36</f>
        <v/>
      </c>
      <c r="H37" s="12">
        <f>H14+H36</f>
        <v/>
      </c>
      <c r="I37" s="12">
        <f>I14+I36</f>
        <v/>
      </c>
      <c r="J37" s="12">
        <f>J14+J36</f>
        <v/>
      </c>
      <c r="K37" s="12">
        <f>K14+K36</f>
        <v/>
      </c>
      <c r="L37" s="2" t="inlineStr">
        <is>
          <t>[calc]</t>
        </is>
      </c>
      <c r="M37" s="2" t="inlineStr"/>
    </row>
    <row r="38">
      <c r="A38" s="10" t="inlineStr">
        <is>
          <t>Deterioro y otras partidas que no generan flujo (nota de segmentos)</t>
        </is>
      </c>
      <c r="B38" s="12">
        <f>Regiones!B42+Regiones!B50</f>
        <v/>
      </c>
      <c r="C38" s="12">
        <f>Regiones!C42+Regiones!C50</f>
        <v/>
      </c>
      <c r="D38" s="12">
        <f>Regiones!D42+Regiones!D50</f>
        <v/>
      </c>
      <c r="E38" s="12">
        <f>Regiones!E42+Regiones!E50</f>
        <v/>
      </c>
      <c r="F38" s="12">
        <f>Regiones!F42+Regiones!F50</f>
        <v/>
      </c>
      <c r="G38" s="11" t="n">
        <v>0</v>
      </c>
      <c r="H38" s="11" t="n">
        <v>0</v>
      </c>
      <c r="I38" s="13" t="n"/>
      <c r="J38" s="13" t="n"/>
      <c r="K38" s="13" t="n"/>
      <c r="L38" s="2" t="inlineStr">
        <is>
          <t>[calc]</t>
        </is>
      </c>
      <c r="M38" s="2" t="inlineStr">
        <is>
          <t>Principalmente ajustes de planes de pensiones multipatronales (MEPP)</t>
        </is>
      </c>
    </row>
    <row r="39">
      <c r="A39" s="3" t="inlineStr">
        <is>
          <t>UAFIDA Ajustada (definición de la empresa)</t>
        </is>
      </c>
      <c r="B39" s="14">
        <f>B14+B36+B38</f>
        <v/>
      </c>
      <c r="C39" s="14">
        <f>C14+C36+C38</f>
        <v/>
      </c>
      <c r="D39" s="14">
        <f>D14+D36+D38</f>
        <v/>
      </c>
      <c r="E39" s="14">
        <f>E14+E36+E38</f>
        <v/>
      </c>
      <c r="F39" s="14">
        <f>F14+F36+F38</f>
        <v/>
      </c>
      <c r="G39" s="14">
        <f>G14+G36+G38</f>
        <v/>
      </c>
      <c r="H39" s="14">
        <f>H14+H36+H38</f>
        <v/>
      </c>
      <c r="I39" s="14">
        <f>I14+I36+I38</f>
        <v/>
      </c>
      <c r="J39" s="14">
        <f>J14+J36+J38</f>
        <v/>
      </c>
      <c r="K39" s="14">
        <f>K14+K36+K38</f>
        <v/>
      </c>
      <c r="L39" s="2" t="inlineStr">
        <is>
          <t>[calc]</t>
        </is>
      </c>
      <c r="M39" s="2" t="inlineStr">
        <is>
          <t>Definición de la empresa; en la historia cuadra con la nota de segmentos</t>
        </is>
      </c>
    </row>
  </sheetData>
  <mergeCells count="2">
    <mergeCell ref="G3:K3"/>
    <mergeCell ref="B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90" customWidth="1" min="7" max="7"/>
  </cols>
  <sheetData>
    <row r="1">
      <c r="A1" s="1" t="inlineStr">
        <is>
          <t>Grupo Bimbo - Supuestos 2026E</t>
        </is>
      </c>
    </row>
    <row r="2">
      <c r="A2" s="2" t="inlineStr">
        <is>
          <t>2026 = 9M26 real + estimación del 4T26, anclado en la guía 2026 de Bimbo. La opción A alimenta el ER; la opción B es la comprobación.</t>
        </is>
      </c>
    </row>
    <row r="4">
      <c r="A4" s="6" t="inlineStr">
        <is>
          <t>Millones de MXN</t>
        </is>
      </c>
      <c r="B4" s="6" t="inlineStr">
        <is>
          <t>1T26</t>
        </is>
      </c>
      <c r="C4" s="6" t="inlineStr">
        <is>
          <t>2T26</t>
        </is>
      </c>
      <c r="D4" s="6" t="inlineStr">
        <is>
          <t>3T26</t>
        </is>
      </c>
      <c r="E4" s="6" t="inlineStr">
        <is>
          <t>9M26</t>
        </is>
      </c>
      <c r="F4" s="6" t="inlineStr">
        <is>
          <t>Etiqueta</t>
        </is>
      </c>
      <c r="G4" s="6" t="inlineStr">
        <is>
          <t>Fuente / nota</t>
        </is>
      </c>
    </row>
    <row r="5">
      <c r="A5" s="8" t="inlineStr">
        <is>
          <t>2026 real por trimestre (reportes trimestrales)</t>
        </is>
      </c>
      <c r="B5" s="9" t="n"/>
      <c r="C5" s="9" t="n"/>
      <c r="D5" s="9" t="n"/>
      <c r="E5" s="9" t="n"/>
    </row>
    <row r="6">
      <c r="A6" s="10" t="inlineStr">
        <is>
          <t>Ventas netas</t>
        </is>
      </c>
      <c r="B6" s="11" t="n">
        <v>100319</v>
      </c>
      <c r="C6" s="11" t="n">
        <v>105026</v>
      </c>
      <c r="D6" s="11" t="n">
        <v>106061</v>
      </c>
      <c r="E6" s="19">
        <f>SUM(B6:D6)</f>
        <v/>
      </c>
      <c r="F6" s="2" t="inlineStr">
        <is>
          <t>[sourced]</t>
        </is>
      </c>
      <c r="G6" s="2" t="inlineStr">
        <is>
          <t>Reportes trimestrales, filings/quarterly: 1T26 p.9, 2T26 p.8, 3T26 p.8 (estado de resultados)</t>
        </is>
      </c>
    </row>
    <row r="7">
      <c r="A7" s="10" t="inlineStr">
        <is>
          <t>Costo de ventas</t>
        </is>
      </c>
      <c r="B7" s="11" t="n">
        <v>47662</v>
      </c>
      <c r="C7" s="11" t="n">
        <v>49771</v>
      </c>
      <c r="D7" s="11" t="n">
        <v>49762</v>
      </c>
      <c r="E7" s="19">
        <f>SUM(B7:D7)</f>
        <v/>
      </c>
      <c r="F7" s="2" t="inlineStr">
        <is>
          <t>[sourced]</t>
        </is>
      </c>
      <c r="G7" s="2" t="inlineStr">
        <is>
          <t>Reportes trimestrales, filings/quarterly: 1T26 p.9, 2T26 p.8, 3T26 p.8 (estado de resultados)</t>
        </is>
      </c>
    </row>
    <row r="8">
      <c r="A8" s="10" t="inlineStr">
        <is>
          <t>Utilidad bruta</t>
        </is>
      </c>
      <c r="B8" s="19">
        <f>B6-B7</f>
        <v/>
      </c>
      <c r="C8" s="19">
        <f>C6-C7</f>
        <v/>
      </c>
      <c r="D8" s="19">
        <f>D6-D7</f>
        <v/>
      </c>
      <c r="E8" s="19">
        <f>E6-E7</f>
        <v/>
      </c>
      <c r="F8" s="2" t="inlineStr">
        <is>
          <t>[calc]</t>
        </is>
      </c>
      <c r="G8" s="2" t="inlineStr"/>
    </row>
    <row r="9">
      <c r="A9" s="10" t="inlineStr">
        <is>
          <t>Gastos generales</t>
        </is>
      </c>
      <c r="B9" s="11" t="n">
        <v>44282</v>
      </c>
      <c r="C9" s="11" t="n">
        <v>45378</v>
      </c>
      <c r="D9" s="11" t="n">
        <v>45052</v>
      </c>
      <c r="E9" s="19">
        <f>SUM(B9:D9)</f>
        <v/>
      </c>
      <c r="F9" s="2" t="inlineStr">
        <is>
          <t>[sourced]</t>
        </is>
      </c>
      <c r="G9" s="2" t="inlineStr">
        <is>
          <t>Reportes trimestrales, filings/quarterly: 1T26 p.9, 2T26 p.8, 3T26 p.8 (estado de resultados); distribución y venta + administración + integración</t>
        </is>
      </c>
    </row>
    <row r="10">
      <c r="A10" s="10" t="inlineStr">
        <is>
          <t>Otros (ingresos) gastos, neto</t>
        </is>
      </c>
      <c r="B10" s="11" t="n">
        <v>463</v>
      </c>
      <c r="C10" s="11" t="n">
        <v>1049</v>
      </c>
      <c r="D10" s="11" t="n">
        <v>857</v>
      </c>
      <c r="E10" s="19">
        <f>SUM(B10:D10)</f>
        <v/>
      </c>
      <c r="F10" s="2" t="inlineStr">
        <is>
          <t>[sourced]</t>
        </is>
      </c>
      <c r="G10" s="2" t="inlineStr">
        <is>
          <t>Reportes trimestrales, filings/quarterly: 1T26 p.9, 2T26 p.8, 3T26 p.8 (estado de resultados)</t>
        </is>
      </c>
    </row>
    <row r="11">
      <c r="A11" s="10" t="inlineStr">
        <is>
          <t>Utilidad de operación</t>
        </is>
      </c>
      <c r="B11" s="19">
        <f>B8-B9-B10</f>
        <v/>
      </c>
      <c r="C11" s="19">
        <f>C8-C9-C10</f>
        <v/>
      </c>
      <c r="D11" s="19">
        <f>D8-D9-D10</f>
        <v/>
      </c>
      <c r="E11" s="19">
        <f>E8-E9-E10</f>
        <v/>
      </c>
      <c r="F11" s="2" t="inlineStr">
        <is>
          <t>[calc]</t>
        </is>
      </c>
      <c r="G11" s="2" t="inlineStr">
        <is>
          <t>Suma de renglones; los reportes imprimen 7,911 / 8,827 / 10,390 (redondeo)</t>
        </is>
      </c>
    </row>
    <row r="12">
      <c r="A12" s="10" t="inlineStr">
        <is>
          <t>UAFIDA Ajustada</t>
        </is>
      </c>
      <c r="B12" s="11" t="n">
        <v>14036</v>
      </c>
      <c r="C12" s="11" t="n">
        <v>15113</v>
      </c>
      <c r="D12" s="11" t="n">
        <v>16644</v>
      </c>
      <c r="E12" s="19">
        <f>SUM(B12:D12)</f>
        <v/>
      </c>
      <c r="F12" s="2" t="inlineStr">
        <is>
          <t>[sourced]</t>
        </is>
      </c>
      <c r="G12" s="2" t="inlineStr">
        <is>
          <t>Reportes trimestrales, filings/quarterly: 1T26 p.9, 2T26 p.8, 3T26 p.8 (estado de resultados)</t>
        </is>
      </c>
    </row>
    <row r="13">
      <c r="A13" s="10" t="inlineStr">
        <is>
          <t>Depreciación, amortización, deterioro y partidas sin flujo (UAFIDA - EBIT)</t>
        </is>
      </c>
      <c r="B13" s="19">
        <f>B12-B11</f>
        <v/>
      </c>
      <c r="C13" s="19">
        <f>C12-C11</f>
        <v/>
      </c>
      <c r="D13" s="19">
        <f>D12-D11</f>
        <v/>
      </c>
      <c r="E13" s="19">
        <f>E12-E11</f>
        <v/>
      </c>
      <c r="F13" s="2" t="inlineStr">
        <is>
          <t>[calc]</t>
        </is>
      </c>
      <c r="G13" s="2" t="inlineStr"/>
    </row>
    <row r="14">
      <c r="A14" s="10" t="inlineStr">
        <is>
          <t>Ventas netas, mismo trimestre de 2025</t>
        </is>
      </c>
      <c r="B14" s="11" t="n">
        <v>103448</v>
      </c>
      <c r="C14" s="11" t="n">
        <v>107389</v>
      </c>
      <c r="D14" s="11" t="n">
        <v>107427</v>
      </c>
      <c r="E14" s="19">
        <f>SUM(B14:D14)</f>
        <v/>
      </c>
      <c r="F14" s="2" t="inlineStr">
        <is>
          <t>[sourced]</t>
        </is>
      </c>
      <c r="G14" s="2" t="inlineStr">
        <is>
          <t>Comparativos: 1T26 p.3, 2T26 p.3, 3T26 p.3 (3T25 reexpresado desde 107,421)</t>
        </is>
      </c>
    </row>
    <row r="15">
      <c r="A15" s="10" t="inlineStr">
        <is>
          <t>UAFIDA Ajustada, mismo trimestre de 2025</t>
        </is>
      </c>
      <c r="B15" s="11" t="n">
        <v>12797</v>
      </c>
      <c r="C15" s="11" t="n">
        <v>14890</v>
      </c>
      <c r="D15" s="11" t="n">
        <v>15776</v>
      </c>
      <c r="E15" s="19">
        <f>SUM(B15:D15)</f>
        <v/>
      </c>
      <c r="F15" s="2" t="inlineStr">
        <is>
          <t>[sourced]</t>
        </is>
      </c>
      <c r="G15" s="2" t="inlineStr">
        <is>
          <t>Comparativos en los reportes de 2026 (página del estado de resultados)</t>
        </is>
      </c>
    </row>
    <row r="16">
      <c r="A16" s="10" t="inlineStr">
        <is>
          <t>Margen bruto</t>
        </is>
      </c>
      <c r="B16" s="20">
        <f>B8/B6</f>
        <v/>
      </c>
      <c r="C16" s="20">
        <f>C8/C6</f>
        <v/>
      </c>
      <c r="D16" s="20">
        <f>D8/D6</f>
        <v/>
      </c>
      <c r="E16" s="20">
        <f>E8/E6</f>
        <v/>
      </c>
      <c r="F16" s="2" t="inlineStr">
        <is>
          <t>[calc]</t>
        </is>
      </c>
      <c r="G16" s="2" t="inlineStr"/>
    </row>
    <row r="17">
      <c r="A17" s="10" t="inlineStr">
        <is>
          <t>Gastos generales / ventas netas</t>
        </is>
      </c>
      <c r="B17" s="20">
        <f>B9/B6</f>
        <v/>
      </c>
      <c r="C17" s="20">
        <f>C9/C6</f>
        <v/>
      </c>
      <c r="D17" s="20">
        <f>D9/D6</f>
        <v/>
      </c>
      <c r="E17" s="20">
        <f>E9/E6</f>
        <v/>
      </c>
      <c r="F17" s="2" t="inlineStr">
        <is>
          <t>[calc]</t>
        </is>
      </c>
      <c r="G17" s="2" t="inlineStr"/>
    </row>
    <row r="18">
      <c r="A18" s="10" t="inlineStr">
        <is>
          <t>Otros gastos / ventas netas</t>
        </is>
      </c>
      <c r="B18" s="20">
        <f>B10/B6</f>
        <v/>
      </c>
      <c r="C18" s="20">
        <f>C10/C6</f>
        <v/>
      </c>
      <c r="D18" s="20">
        <f>D10/D6</f>
        <v/>
      </c>
      <c r="E18" s="20">
        <f>E10/E6</f>
        <v/>
      </c>
      <c r="F18" s="2" t="inlineStr">
        <is>
          <t>[calc]</t>
        </is>
      </c>
      <c r="G18" s="2" t="inlineStr"/>
    </row>
    <row r="19">
      <c r="A19" s="10" t="inlineStr">
        <is>
          <t>Depreciación y partidas sin flujo / ventas netas</t>
        </is>
      </c>
      <c r="B19" s="20">
        <f>B13/B6</f>
        <v/>
      </c>
      <c r="C19" s="20">
        <f>C13/C6</f>
        <v/>
      </c>
      <c r="D19" s="20">
        <f>D13/D6</f>
        <v/>
      </c>
      <c r="E19" s="20">
        <f>E13/E6</f>
        <v/>
      </c>
      <c r="F19" s="2" t="inlineStr">
        <is>
          <t>[calc]</t>
        </is>
      </c>
      <c r="G19" s="2" t="inlineStr"/>
    </row>
    <row r="20">
      <c r="A20" s="10" t="inlineStr">
        <is>
          <t>Margen UAFIDA Ajustada</t>
        </is>
      </c>
      <c r="B20" s="20">
        <f>B12/B6</f>
        <v/>
      </c>
      <c r="C20" s="20">
        <f>C12/C6</f>
        <v/>
      </c>
      <c r="D20" s="20">
        <f>D12/D6</f>
        <v/>
      </c>
      <c r="E20" s="20">
        <f>E12/E6</f>
        <v/>
      </c>
      <c r="F20" s="2" t="inlineStr">
        <is>
          <t>[calc]</t>
        </is>
      </c>
      <c r="G20" s="2" t="inlineStr"/>
    </row>
    <row r="21">
      <c r="A21" s="10" t="inlineStr">
        <is>
          <t>Crecimiento de ventas netas en MXN</t>
        </is>
      </c>
      <c r="B21" s="20">
        <f>B6/B14-1</f>
        <v/>
      </c>
      <c r="C21" s="20">
        <f>C6/C14-1</f>
        <v/>
      </c>
      <c r="D21" s="20">
        <f>D6/D14-1</f>
        <v/>
      </c>
      <c r="E21" s="20">
        <f>E6/E14-1</f>
        <v/>
      </c>
      <c r="F21" s="2" t="inlineStr">
        <is>
          <t>[calc]</t>
        </is>
      </c>
      <c r="G21" s="2" t="inlineStr"/>
    </row>
    <row r="22">
      <c r="A22" s="10" t="inlineStr">
        <is>
          <t>Intereses pagados netos</t>
        </is>
      </c>
      <c r="B22" s="11" t="n">
        <v>3273</v>
      </c>
      <c r="C22" s="11" t="n">
        <v>3292</v>
      </c>
      <c r="D22" s="11" t="n">
        <v>2829</v>
      </c>
      <c r="E22" s="19">
        <f>SUM(B22:D22)</f>
        <v/>
      </c>
      <c r="F22" s="2" t="inlineStr">
        <is>
          <t>[sourced]</t>
        </is>
      </c>
      <c r="G22" s="2" t="inlineStr">
        <is>
          <t>Reportes trimestrales, filings/quarterly: 1T26 p.9, 2T26 p.8, 3T26 p.8 (estado de resultados)</t>
        </is>
      </c>
    </row>
    <row r="23">
      <c r="A23" s="10" t="inlineStr">
        <is>
          <t>Pérdida (ganancia) cambiaria, neta</t>
        </is>
      </c>
      <c r="B23" s="11" t="n">
        <v>189</v>
      </c>
      <c r="C23" s="11" t="n">
        <v>227</v>
      </c>
      <c r="D23" s="11" t="n">
        <v>194</v>
      </c>
      <c r="E23" s="19">
        <f>SUM(B23:D23)</f>
        <v/>
      </c>
      <c r="F23" s="2" t="inlineStr">
        <is>
          <t>[sourced]</t>
        </is>
      </c>
      <c r="G23" s="2" t="inlineStr">
        <is>
          <t>Reportes trimestrales, filings/quarterly: 1T26 p.9, 2T26 p.8, 3T26 p.8 (estado de resultados)</t>
        </is>
      </c>
    </row>
    <row r="24">
      <c r="A24" s="10" t="inlineStr">
        <is>
          <t>Pérdida (ganancia) por posición monetaria</t>
        </is>
      </c>
      <c r="B24" s="11" t="n">
        <v>0</v>
      </c>
      <c r="C24" s="11" t="n">
        <v>-56</v>
      </c>
      <c r="D24" s="11" t="n">
        <v>119</v>
      </c>
      <c r="E24" s="19">
        <f>SUM(B24:D24)</f>
        <v/>
      </c>
      <c r="F24" s="2" t="inlineStr">
        <is>
          <t>[sourced]</t>
        </is>
      </c>
      <c r="G24" s="2" t="inlineStr">
        <is>
          <t>Reportes trimestrales, filings/quarterly: 1T26 p.9, 2T26 p.8, 3T26 p.8 (estado de resultados)</t>
        </is>
      </c>
    </row>
    <row r="25">
      <c r="A25" s="10" t="inlineStr">
        <is>
          <t>Participación en los resultados de compañías asociadas</t>
        </is>
      </c>
      <c r="B25" s="11" t="n">
        <v>-7</v>
      </c>
      <c r="C25" s="11" t="n">
        <v>42</v>
      </c>
      <c r="D25" s="11" t="n">
        <v>1</v>
      </c>
      <c r="E25" s="19">
        <f>SUM(B25:D25)</f>
        <v/>
      </c>
      <c r="F25" s="2" t="inlineStr">
        <is>
          <t>[sourced]</t>
        </is>
      </c>
      <c r="G25" s="2" t="inlineStr">
        <is>
          <t>Reportes trimestrales, filings/quarterly: 1T26 p.9, 2T26 p.8, 3T26 p.8 (estado de resultados)</t>
        </is>
      </c>
    </row>
    <row r="26">
      <c r="A26" s="10" t="inlineStr">
        <is>
          <t>Utilidad antes de impuestos (según el reporte)</t>
        </is>
      </c>
      <c r="B26" s="11" t="n">
        <v>4443</v>
      </c>
      <c r="C26" s="11" t="n">
        <v>5406</v>
      </c>
      <c r="D26" s="11" t="n">
        <v>7249</v>
      </c>
      <c r="E26" s="19">
        <f>SUM(B26:D26)</f>
        <v/>
      </c>
      <c r="F26" s="2" t="inlineStr">
        <is>
          <t>[sourced]</t>
        </is>
      </c>
      <c r="G26" s="2" t="inlineStr">
        <is>
          <t>Reportes trimestrales, filings/quarterly: 1T26 p.9, 2T26 p.8, 3T26 p.8 (estado de resultados)</t>
        </is>
      </c>
    </row>
    <row r="27">
      <c r="A27" s="10" t="inlineStr">
        <is>
          <t>Utilidad antes de impuestos, suma de renglones</t>
        </is>
      </c>
      <c r="B27" s="19">
        <f>B11-B22-B23-B24+B25</f>
        <v/>
      </c>
      <c r="C27" s="19">
        <f>C11-C22-C23-C24+C25</f>
        <v/>
      </c>
      <c r="D27" s="19">
        <f>D11-D22-D23-D24+D25</f>
        <v/>
      </c>
      <c r="E27" s="19">
        <f>E11-E22-E23-E24+E25</f>
        <v/>
      </c>
      <c r="F27" s="2" t="inlineStr">
        <is>
          <t>[calc]</t>
        </is>
      </c>
      <c r="G27" s="2" t="inlineStr">
        <is>
          <t>Difiere del reporte por redondeo</t>
        </is>
      </c>
    </row>
    <row r="28">
      <c r="A28" s="10" t="inlineStr">
        <is>
          <t>Impuestos a las ganancias</t>
        </is>
      </c>
      <c r="B28" s="11" t="n">
        <v>1644</v>
      </c>
      <c r="C28" s="11" t="n">
        <v>2000</v>
      </c>
      <c r="D28" s="11" t="n">
        <v>2682</v>
      </c>
      <c r="E28" s="19">
        <f>SUM(B28:D28)</f>
        <v/>
      </c>
      <c r="F28" s="2" t="inlineStr">
        <is>
          <t>[sourced]</t>
        </is>
      </c>
      <c r="G28" s="2" t="inlineStr">
        <is>
          <t>Reportes trimestrales, filings/quarterly: 1T26 p.9, 2T26 p.8, 3T26 p.8 (estado de resultados)</t>
        </is>
      </c>
    </row>
    <row r="29">
      <c r="A29" s="10" t="inlineStr">
        <is>
          <t>Tasa efectiva de impuestos</t>
        </is>
      </c>
      <c r="B29" s="20">
        <f>B28/B26</f>
        <v/>
      </c>
      <c r="C29" s="20">
        <f>C28/C26</f>
        <v/>
      </c>
      <c r="D29" s="20">
        <f>D28/D26</f>
        <v/>
      </c>
      <c r="E29" s="20">
        <f>E28/E26</f>
        <v/>
      </c>
      <c r="F29" s="2" t="inlineStr">
        <is>
          <t>[calc]</t>
        </is>
      </c>
      <c r="G29" s="2" t="inlineStr"/>
    </row>
    <row r="30">
      <c r="A30" s="10" t="inlineStr">
        <is>
          <t>Participación no controladora</t>
        </is>
      </c>
      <c r="B30" s="11" t="n">
        <v>437</v>
      </c>
      <c r="C30" s="11" t="n">
        <v>471</v>
      </c>
      <c r="D30" s="11" t="n">
        <v>458</v>
      </c>
      <c r="E30" s="19">
        <f>SUM(B30:D30)</f>
        <v/>
      </c>
      <c r="F30" s="2" t="inlineStr">
        <is>
          <t>[sourced]</t>
        </is>
      </c>
      <c r="G30" s="2" t="inlineStr">
        <is>
          <t>Reportes trimestrales, filings/quarterly: 1T26 p.9, 2T26 p.8, 3T26 p.8 (estado de resultados)</t>
        </is>
      </c>
    </row>
    <row r="31">
      <c r="A31" t="inlineStr"/>
    </row>
    <row r="32">
      <c r="A32" s="8" t="inlineStr">
        <is>
          <t>Supuestos 2026E (valor en la columna B)</t>
        </is>
      </c>
      <c r="B32" s="9" t="n"/>
      <c r="C32" s="9" t="n"/>
      <c r="D32" s="9" t="n"/>
      <c r="E32" s="9" t="n"/>
    </row>
    <row r="33">
      <c r="A33" s="10" t="inlineStr">
        <is>
          <t>Ventas netas 2025</t>
        </is>
      </c>
      <c r="B33" s="19">
        <f>ER!F6</f>
        <v/>
      </c>
      <c r="F33" s="2" t="inlineStr">
        <is>
          <t>[sourced]</t>
        </is>
      </c>
      <c r="G33" s="2" t="inlineStr">
        <is>
          <t>Estado de resultados</t>
        </is>
      </c>
    </row>
    <row r="34">
      <c r="A34" s="10" t="inlineStr">
        <is>
          <t>Ventas netas 4T25</t>
        </is>
      </c>
      <c r="B34" s="11" t="n">
        <v>108688</v>
      </c>
      <c r="F34" s="2" t="inlineStr">
        <is>
          <t>[sourced]</t>
        </is>
      </c>
      <c r="G34" s="2" t="inlineStr">
        <is>
          <t>Reporte 4T25 p.4</t>
        </is>
      </c>
    </row>
    <row r="35">
      <c r="A35" s="10" t="inlineStr">
        <is>
          <t>UAFIDA Ajustada 4T25</t>
        </is>
      </c>
      <c r="B35" s="19">
        <f>ER!F39-E15</f>
        <v/>
      </c>
      <c r="F35" s="2" t="inlineStr">
        <is>
          <t>[calc]</t>
        </is>
      </c>
      <c r="G35" s="2" t="inlineStr">
        <is>
          <t>2025 menos 9M25</t>
        </is>
      </c>
    </row>
    <row r="36">
      <c r="A36" s="10" t="inlineStr">
        <is>
          <t>Crecimiento de ventas 4T26 sin efecto cambiario</t>
        </is>
      </c>
      <c r="B36" s="21" t="n">
        <v>0.05</v>
      </c>
      <c r="F36" s="2" t="inlineStr">
        <is>
          <t>[assumption]</t>
        </is>
      </c>
      <c r="G36" s="2" t="inlineStr">
        <is>
          <t>Equipo: guía de 'un dígito medio' tomada literal para el último trimestre (presentación 3T26 p.26)</t>
        </is>
      </c>
    </row>
    <row r="37">
      <c r="A37" s="10" t="inlineStr">
        <is>
          <t>Ventas netas México 2025 (después de eliminaciones entre segmentos)</t>
        </is>
      </c>
      <c r="B37" s="11" t="n">
        <v>140360</v>
      </c>
      <c r="F37" s="2" t="inlineStr">
        <is>
          <t>[sourced]</t>
        </is>
      </c>
      <c r="G37" s="2" t="inlineStr">
        <is>
          <t>Nota de segmentos, IA25 p.85</t>
        </is>
      </c>
    </row>
    <row r="38">
      <c r="A38" s="10" t="inlineStr">
        <is>
          <t>Participación de México en ventas netas</t>
        </is>
      </c>
      <c r="B38" s="20">
        <f>B37/B33</f>
        <v/>
      </c>
      <c r="F38" s="2" t="inlineStr">
        <is>
          <t>[calc]</t>
        </is>
      </c>
      <c r="G38" s="2" t="inlineStr">
        <is>
          <t>Se genera en pesos; el resto se convierte (cerca de 2/3 en el extranjero, llamada 2026-02-25 p.7)</t>
        </is>
      </c>
    </row>
    <row r="39">
      <c r="A39" s="10" t="inlineStr">
        <is>
          <t>Tipo de cambio USD/MXN promedio 4T25</t>
        </is>
      </c>
      <c r="B39" s="22" t="n">
        <v>18.3041</v>
      </c>
      <c r="F39" s="2" t="inlineStr">
        <is>
          <t>[calc]</t>
        </is>
      </c>
      <c r="G39" s="2" t="inlineStr">
        <is>
          <t>Promedio de cierres diarios oct-dic 2025, data/market/usdmxn_daily_2025-01_2026-10.csv</t>
        </is>
      </c>
    </row>
    <row r="40">
      <c r="A40" s="10" t="inlineStr">
        <is>
          <t>Tipo de cambio USD/MXN promedio 4T26</t>
        </is>
      </c>
      <c r="B40" s="23" t="n">
        <v>18.5769</v>
      </c>
      <c r="F40" s="2" t="inlineStr">
        <is>
          <t>[assumption]</t>
        </is>
      </c>
      <c r="G40" s="2" t="inlineStr">
        <is>
          <t>Cierres de octubre 2026 al 23-oct más la cotización del 23-oct fija para los días hábiles restantes (tipo de cambio de mercado, decisión del equipo)</t>
        </is>
      </c>
    </row>
    <row r="41">
      <c r="A41" s="10" t="inlineStr">
        <is>
          <t>Factor de conversión cambiaria 4T26 vs 4T25</t>
        </is>
      </c>
      <c r="B41" s="24">
        <f>B38+(1-B38)*B40/B39</f>
        <v/>
      </c>
      <c r="F41" s="2" t="inlineStr">
        <is>
          <t>[calc]</t>
        </is>
      </c>
      <c r="G41" s="2" t="inlineStr">
        <is>
          <t>USD/MXN como aproximación de todas las monedas extranjeras, igual que en la guía de Bimbo</t>
        </is>
      </c>
    </row>
    <row r="42">
      <c r="A42" s="10" t="inlineStr">
        <is>
          <t>Ventas netas 4T26</t>
        </is>
      </c>
      <c r="B42" s="19">
        <f>B34*(1+B36)*B41</f>
        <v/>
      </c>
      <c r="F42" s="2" t="inlineStr">
        <is>
          <t>[calc]</t>
        </is>
      </c>
      <c r="G42" s="2" t="inlineStr"/>
    </row>
    <row r="43">
      <c r="A43" s="10" t="inlineStr">
        <is>
          <t>Ventas netas 2026E</t>
        </is>
      </c>
      <c r="B43" s="19">
        <f>E6+B42</f>
        <v/>
      </c>
      <c r="F43" s="2" t="inlineStr">
        <is>
          <t>[calc]</t>
        </is>
      </c>
      <c r="G43" s="2" t="inlineStr">
        <is>
          <t>9M26 real + 4T26</t>
        </is>
      </c>
    </row>
    <row r="44">
      <c r="A44" s="10" t="inlineStr">
        <is>
          <t>Crecimiento de ventas netas 2026E en MXN</t>
        </is>
      </c>
      <c r="B44" s="20">
        <f>B43/B33-1</f>
        <v/>
      </c>
      <c r="F44" s="2" t="inlineStr">
        <is>
          <t>[calc]</t>
        </is>
      </c>
      <c r="G44" s="2" t="inlineStr">
        <is>
          <t>Guía: entre plano y caída de un dígito bajo en MXN</t>
        </is>
      </c>
    </row>
    <row r="45">
      <c r="A45" s="10" t="inlineStr">
        <is>
          <t>Margen UAFIDA Ajustada 2025</t>
        </is>
      </c>
      <c r="B45" s="20">
        <f>ER!F39/ER!F6</f>
        <v/>
      </c>
      <c r="F45" s="2" t="inlineStr">
        <is>
          <t>[calc]</t>
        </is>
      </c>
      <c r="G45" s="2" t="inlineStr"/>
    </row>
    <row r="46">
      <c r="A46" s="10" t="inlineStr">
        <is>
          <t>Expansión de margen, punto medio de la guía</t>
        </is>
      </c>
      <c r="B46" s="25" t="n">
        <v>0.01025</v>
      </c>
      <c r="F46" s="2" t="inlineStr">
        <is>
          <t>[guidance]</t>
        </is>
      </c>
      <c r="G46" s="2" t="inlineStr">
        <is>
          <t>+85 a +120 pb; filings/quarterly/GB_Investor_PPT_3Q26.pdf p.26</t>
        </is>
      </c>
    </row>
    <row r="47">
      <c r="A47" s="10" t="inlineStr">
        <is>
          <t>Menos ganancia extraordinaria por la participación en La Moderna</t>
        </is>
      </c>
      <c r="B47" s="25" t="n">
        <v>-0.00115</v>
      </c>
      <c r="F47" s="2" t="inlineStr">
        <is>
          <t>[guidance]</t>
        </is>
      </c>
      <c r="G47" s="2" t="inlineStr">
        <is>
          <t>10-13 pb del margen 2026, punto medio; llamada 2026-04-29 p.7 (excluida por decisión del equipo)</t>
        </is>
      </c>
    </row>
    <row r="48">
      <c r="A48" s="10" t="inlineStr">
        <is>
          <t>Margen UAFIDA Ajustada 2026E</t>
        </is>
      </c>
      <c r="B48" s="20">
        <f>B45+B46+B47</f>
        <v/>
      </c>
      <c r="F48" s="2" t="inlineStr">
        <is>
          <t>[calc]</t>
        </is>
      </c>
      <c r="G48" s="2" t="inlineStr"/>
    </row>
    <row r="49">
      <c r="A49" s="10" t="inlineStr">
        <is>
          <t>UAFIDA Ajustada 2026E</t>
        </is>
      </c>
      <c r="B49" s="19">
        <f>B43*B48</f>
        <v/>
      </c>
      <c r="F49" s="2" t="inlineStr">
        <is>
          <t>[calc]</t>
        </is>
      </c>
      <c r="G49" s="2" t="inlineStr"/>
    </row>
    <row r="50">
      <c r="A50" s="10" t="inlineStr">
        <is>
          <t>Margen UAFIDA Ajustada implícito 4T26</t>
        </is>
      </c>
      <c r="B50" s="20">
        <f>(B49-E12)/B42</f>
        <v/>
      </c>
      <c r="F50" s="2" t="inlineStr">
        <is>
          <t>[calc]</t>
        </is>
      </c>
      <c r="G50" s="2" t="inlineStr">
        <is>
          <t>Comparar con 4T25</t>
        </is>
      </c>
    </row>
    <row r="51">
      <c r="A51" s="10" t="inlineStr">
        <is>
          <t>Margen UAFIDA Ajustada 4T25</t>
        </is>
      </c>
      <c r="B51" s="20">
        <f>B35/B34</f>
        <v/>
      </c>
      <c r="F51" s="2" t="inlineStr">
        <is>
          <t>[calc]</t>
        </is>
      </c>
      <c r="G51" s="2" t="inlineStr"/>
    </row>
    <row r="52">
      <c r="A52" t="inlineStr"/>
    </row>
    <row r="53">
      <c r="A53" s="8" t="inlineStr">
        <is>
          <t>Opción A: ER 2026E (margen bruto 9M26; gastos generales cuadran hacia la guía)</t>
        </is>
      </c>
      <c r="B53" s="9" t="n"/>
      <c r="C53" s="9" t="n"/>
      <c r="D53" s="9" t="n"/>
      <c r="E53" s="9" t="n"/>
    </row>
    <row r="54">
      <c r="A54" s="10" t="inlineStr">
        <is>
          <t>Costo de ventas</t>
        </is>
      </c>
      <c r="B54" s="19">
        <f>B43*(1-E16)</f>
        <v/>
      </c>
      <c r="F54" s="2" t="inlineStr">
        <is>
          <t>[calc]</t>
        </is>
      </c>
      <c r="G54" s="2" t="inlineStr">
        <is>
          <t>Margen bruto 9M26</t>
        </is>
      </c>
    </row>
    <row r="55">
      <c r="A55" s="10" t="inlineStr">
        <is>
          <t>Depreciación, amortización y partidas sin flujo</t>
        </is>
      </c>
      <c r="B55" s="19">
        <f>B43*E19</f>
        <v/>
      </c>
      <c r="F55" s="2" t="inlineStr">
        <is>
          <t>[calc]</t>
        </is>
      </c>
      <c r="G55" s="2" t="inlineStr">
        <is>
          <t>Proporción 9M26 de (UAFIDA - EBIT); va al renglón de depreciación del memorándum del ER</t>
        </is>
      </c>
    </row>
    <row r="56">
      <c r="A56" s="10" t="inlineStr">
        <is>
          <t>Otros (ingresos) gastos, neto</t>
        </is>
      </c>
      <c r="B56" s="19">
        <f>B43*E18</f>
        <v/>
      </c>
      <c r="F56" s="2" t="inlineStr">
        <is>
          <t>[calc]</t>
        </is>
      </c>
      <c r="G56" s="2" t="inlineStr">
        <is>
          <t>Proporción 9M26</t>
        </is>
      </c>
    </row>
    <row r="57">
      <c r="A57" s="10" t="inlineStr">
        <is>
          <t>Utilidad de operación</t>
        </is>
      </c>
      <c r="B57" s="19">
        <f>B49-B55</f>
        <v/>
      </c>
      <c r="F57" s="2" t="inlineStr">
        <is>
          <t>[calc]</t>
        </is>
      </c>
      <c r="G57" s="2" t="inlineStr"/>
    </row>
    <row r="58">
      <c r="A58" s="10" t="inlineStr">
        <is>
          <t>Gastos generales (renglón de cuadre)</t>
        </is>
      </c>
      <c r="B58" s="19">
        <f>B43-B54-B56-B57</f>
        <v/>
      </c>
      <c r="F58" s="2" t="inlineStr">
        <is>
          <t>[calc]</t>
        </is>
      </c>
      <c r="G58" s="2" t="inlineStr"/>
    </row>
    <row r="59">
      <c r="A59" s="10" t="inlineStr">
        <is>
          <t>Gastos generales / ventas netas</t>
        </is>
      </c>
      <c r="B59" s="20">
        <f>B58/B43</f>
        <v/>
      </c>
      <c r="F59" s="2" t="inlineStr">
        <is>
          <t>[calc]</t>
        </is>
      </c>
      <c r="G59" s="2" t="inlineStr">
        <is>
          <t>Comparar con 9M26</t>
        </is>
      </c>
    </row>
    <row r="60">
      <c r="A60" s="10" t="inlineStr">
        <is>
          <t xml:space="preserve">  Distribución y venta</t>
        </is>
      </c>
      <c r="B60" s="19">
        <f>B58*ER!F9/(ER!F9+ER!F10+ER!F11)</f>
        <v/>
      </c>
      <c r="F60" s="2" t="inlineStr">
        <is>
          <t>[calc]</t>
        </is>
      </c>
      <c r="G60" s="2" t="inlineStr">
        <is>
          <t>Reparto 2025 de los gastos generales</t>
        </is>
      </c>
    </row>
    <row r="61">
      <c r="A61" s="10" t="inlineStr">
        <is>
          <t xml:space="preserve">  Administración</t>
        </is>
      </c>
      <c r="B61" s="19">
        <f>B58*ER!F10/(ER!F9+ER!F10+ER!F11)</f>
        <v/>
      </c>
      <c r="F61" s="2" t="inlineStr">
        <is>
          <t>[calc]</t>
        </is>
      </c>
      <c r="G61" s="2" t="inlineStr">
        <is>
          <t>Reparto 2025 de los gastos generales</t>
        </is>
      </c>
    </row>
    <row r="62">
      <c r="A62" s="10" t="inlineStr">
        <is>
          <t xml:space="preserve">  Integración</t>
        </is>
      </c>
      <c r="B62" s="19">
        <f>B58*ER!F11/(ER!F9+ER!F10+ER!F11)</f>
        <v/>
      </c>
      <c r="F62" s="2" t="inlineStr">
        <is>
          <t>[calc]</t>
        </is>
      </c>
      <c r="G62" s="2" t="inlineStr">
        <is>
          <t>Reparto 2025 de los gastos generales</t>
        </is>
      </c>
    </row>
    <row r="63">
      <c r="A63" t="inlineStr"/>
    </row>
    <row r="64">
      <c r="A64" s="8" t="inlineStr">
        <is>
          <t>2026E abajo de la utilidad de operación (decisiones del equipo 2026-10-23)</t>
        </is>
      </c>
      <c r="B64" s="9" t="n"/>
      <c r="C64" s="9" t="n"/>
      <c r="D64" s="9" t="n"/>
      <c r="E64" s="9" t="n"/>
    </row>
    <row r="65">
      <c r="A65" s="10" t="inlineStr">
        <is>
          <t>Intereses pagados netos</t>
        </is>
      </c>
      <c r="B65" s="19">
        <f>E22+D22</f>
        <v/>
      </c>
      <c r="F65" s="2" t="inlineStr">
        <is>
          <t>[assumption]</t>
        </is>
      </c>
      <c r="G65" s="2" t="inlineStr">
        <is>
          <t>9M26 real + 4T26 = 3T26; el director de finanzas dijo que el nivel del 3T26 quizá no se mantenga (llamada 3T26). Los reportes solo dan intereses netos: intereses ganados del ER 2026E = 0</t>
        </is>
      </c>
    </row>
    <row r="66">
      <c r="A66" s="10" t="inlineStr">
        <is>
          <t>Pérdida (ganancia) cambiaria, neta</t>
        </is>
      </c>
      <c r="B66" s="19">
        <f>E23*4/3</f>
        <v/>
      </c>
      <c r="F66" s="2" t="inlineStr">
        <is>
          <t>[assumption]</t>
        </is>
      </c>
      <c r="G66" s="2" t="inlineStr">
        <is>
          <t>9M26 real + 4T26 al promedio trimestral de 9M26</t>
        </is>
      </c>
    </row>
    <row r="67">
      <c r="A67" s="10" t="inlineStr">
        <is>
          <t>Pérdida (ganancia) por posición monetaria</t>
        </is>
      </c>
      <c r="B67" s="19">
        <f>E24*4/3</f>
        <v/>
      </c>
      <c r="F67" s="2" t="inlineStr">
        <is>
          <t>[assumption]</t>
        </is>
      </c>
      <c r="G67" s="2" t="inlineStr">
        <is>
          <t>9M26 real + 4T26 al promedio trimestral de 9M26</t>
        </is>
      </c>
    </row>
    <row r="68">
      <c r="A68" s="10" t="inlineStr">
        <is>
          <t>Participación en los resultados de compañías asociadas</t>
        </is>
      </c>
      <c r="B68" s="19">
        <f>E25*4/3</f>
        <v/>
      </c>
      <c r="F68" s="2" t="inlineStr">
        <is>
          <t>[assumption]</t>
        </is>
      </c>
      <c r="G68" s="2" t="inlineStr">
        <is>
          <t>9M26 real + 4T26 al promedio trimestral de 9M26</t>
        </is>
      </c>
    </row>
    <row r="69">
      <c r="A69" s="10" t="inlineStr">
        <is>
          <t>Tasa efectiva de impuestos</t>
        </is>
      </c>
      <c r="B69" s="21" t="n">
        <v>0.37</v>
      </c>
      <c r="F69" s="2" t="inlineStr">
        <is>
          <t>[assumption]</t>
        </is>
      </c>
      <c r="G69" s="2" t="inlineStr">
        <is>
          <t>9M26 = 37.0%, la estimación de Bimbo de su tasa anual (NIC 34); no se proyecta la tasa más baja del 4T de 2024-25</t>
        </is>
      </c>
    </row>
    <row r="70">
      <c r="A70" s="10" t="inlineStr">
        <is>
          <t>Participación no controladora</t>
        </is>
      </c>
      <c r="B70" s="19">
        <f>E30*4/3</f>
        <v/>
      </c>
      <c r="F70" s="2" t="inlineStr">
        <is>
          <t>[assumption]</t>
        </is>
      </c>
      <c r="G70" s="2" t="inlineStr">
        <is>
          <t>9M26 real + 4T26 al promedio trimestral de 9M26</t>
        </is>
      </c>
    </row>
    <row r="71">
      <c r="A71" s="10" t="inlineStr">
        <is>
          <t>Promedio ponderado de acciones (millones)</t>
        </is>
      </c>
      <c r="B71" s="26" t="n">
        <v>4304.744119</v>
      </c>
      <c r="F71" s="2" t="inlineStr">
        <is>
          <t>[assumption]</t>
        </is>
      </c>
      <c r="G71" s="2" t="inlineStr">
        <is>
          <t>Acciones en circulación al 31-dic-2025, 4,304,744,119 (EEFF25 p.80): el punto de partida de 2026; no se restan las recompras de 2026 (20 millones de acciones en el 3T26, llamada 3T26)</t>
        </is>
      </c>
    </row>
    <row r="72">
      <c r="A72" t="inlineStr"/>
    </row>
    <row r="73">
      <c r="A73" s="8" t="inlineStr">
        <is>
          <t>Balance y flujo 2026E (decisiones del equipo 2026-10-23)</t>
        </is>
      </c>
      <c r="B73" s="9" t="n"/>
      <c r="C73" s="9" t="n"/>
      <c r="D73" s="9" t="n"/>
      <c r="E73" s="9" t="n"/>
    </row>
    <row r="74">
      <c r="A74" s="10" t="inlineStr">
        <is>
          <t>USD/MXN promedio 9M26</t>
        </is>
      </c>
      <c r="B74" s="22" t="n">
        <v>17.4031</v>
      </c>
      <c r="F74" s="2" t="inlineStr">
        <is>
          <t>[calc]</t>
        </is>
      </c>
      <c r="G74" s="2" t="inlineStr">
        <is>
          <t>Promedio de cierres diarios ene-sep 2026, data/market/usdmxn_daily_2025-01_2026-10.csv</t>
        </is>
      </c>
    </row>
    <row r="75">
      <c r="A75" s="10" t="inlineStr">
        <is>
          <t>USD/MXN promedio 2026E</t>
        </is>
      </c>
      <c r="B75" s="24">
        <f>(3*B74+B40)/4</f>
        <v/>
      </c>
      <c r="F75" s="2" t="inlineStr">
        <is>
          <t>[calc]</t>
        </is>
      </c>
      <c r="G75" s="2" t="inlineStr">
        <is>
          <t>Tres trimestres al promedio 9M26 y uno al 4T26</t>
        </is>
      </c>
    </row>
    <row r="76">
      <c r="A76" s="10" t="inlineStr">
        <is>
          <t>Capex 2026E (millones de US$)</t>
        </is>
      </c>
      <c r="B76" s="11" t="n">
        <v>1050</v>
      </c>
      <c r="F76" s="2" t="inlineStr">
        <is>
          <t>[guidance]</t>
        </is>
      </c>
      <c r="G76" s="2" t="inlineStr">
        <is>
          <t>Punto medio de US$1.0-1.1 mil millones del director de finanzas (llamada 3T26); presentación US$1.0-1.2 mil millones (GB_Investor_PPT_3Q26 p.26)</t>
        </is>
      </c>
    </row>
    <row r="77">
      <c r="A77" s="10" t="inlineStr">
        <is>
          <t>Capex 2026E</t>
        </is>
      </c>
      <c r="B77" s="19">
        <f>B76*B75</f>
        <v/>
      </c>
      <c r="F77" s="2" t="inlineStr">
        <is>
          <t>[calc]</t>
        </is>
      </c>
      <c r="G77" s="2" t="inlineStr">
        <is>
          <t>Compras de propiedades, planta y equipo en el FE</t>
        </is>
      </c>
    </row>
    <row r="78">
      <c r="A78" s="10" t="inlineStr">
        <is>
          <t>Depreciación de derechos de uso</t>
        </is>
      </c>
      <c r="B78" s="27" t="n">
        <v>6142</v>
      </c>
      <c r="F78" s="2" t="inlineStr">
        <is>
          <t>[assumption]</t>
        </is>
      </c>
      <c r="G78" s="2" t="inlineStr">
        <is>
          <t>2025 (EEFF25 p.41); derechos de uso y pasivo por arrendamiento al nivel de 2025: los contratos nuevos reemplazan a los que vencen</t>
        </is>
      </c>
    </row>
    <row r="79">
      <c r="A79" s="10" t="inlineStr">
        <is>
          <t>Intereses por arrendamiento</t>
        </is>
      </c>
      <c r="B79" s="27" t="n">
        <v>2137</v>
      </c>
      <c r="F79" s="2" t="inlineStr">
        <is>
          <t>[assumption]</t>
        </is>
      </c>
      <c r="G79" s="2" t="inlineStr">
        <is>
          <t>2025 (EEFF25 p.43); se pagan dentro de los pagos de arrendamiento</t>
        </is>
      </c>
    </row>
    <row r="80">
      <c r="A80" s="10" t="inlineStr">
        <is>
          <t>Amortización de intangibles</t>
        </is>
      </c>
      <c r="B80" s="27" t="n">
        <v>2175</v>
      </c>
      <c r="F80" s="2" t="inlineStr">
        <is>
          <t>[assumption]</t>
        </is>
      </c>
      <c r="G80" s="2" t="inlineStr">
        <is>
          <t>2025 (EEFF25 p.45); sin compras de intangibles</t>
        </is>
      </c>
    </row>
    <row r="81">
      <c r="A81" s="10" t="inlineStr">
        <is>
          <t>Depreciación de propiedades, planta y equipo y otras partidas sin flujo</t>
        </is>
      </c>
      <c r="B81" s="19">
        <f>B55-B78-B80</f>
        <v/>
      </c>
      <c r="F81" s="2" t="inlineStr">
        <is>
          <t>[calc]</t>
        </is>
      </c>
      <c r="G81" s="2" t="inlineStr">
        <is>
          <t>Depreciación del ER menos depreciación de derechos de uso y amortización</t>
        </is>
      </c>
    </row>
    <row r="82">
      <c r="A82" s="10" t="inlineStr">
        <is>
          <t>Días de cobro (promedio FY2021-FY2025, sobre ventas netas)</t>
        </is>
      </c>
      <c r="B82" s="28">
        <f>AVERAGE(BG!B7/ER!B6*365,BG!C7/ER!C6*365,BG!D7/ER!D6*365,BG!E7/ER!E6*365,BG!F7/ER!F6*365)</f>
        <v/>
      </c>
      <c r="F82" s="2" t="inlineStr">
        <is>
          <t>[calc]</t>
        </is>
      </c>
      <c r="G82" s="2" t="inlineStr">
        <is>
          <t>Equipo 2026-10-25: estables en 29-33 días en FY2021-FY2025, se usa el promedio</t>
        </is>
      </c>
    </row>
    <row r="83">
      <c r="A83" s="10" t="inlineStr">
        <is>
          <t>Días de inventario (2025, sobre costo de ventas)</t>
        </is>
      </c>
      <c r="B83" s="28">
        <f>BG!F8/ER!F7*365</f>
        <v/>
      </c>
      <c r="F83" s="2" t="inlineStr">
        <is>
          <t>[calc]</t>
        </is>
      </c>
      <c r="G83" s="2" t="inlineStr">
        <is>
          <t>Igual que en 2025</t>
        </is>
      </c>
    </row>
    <row r="84">
      <c r="A84" s="10" t="inlineStr">
        <is>
          <t>Días de proveedores (2025, sobre costo de ventas)</t>
        </is>
      </c>
      <c r="B84" s="28">
        <f>BG!F26/ER!F7*365</f>
        <v/>
      </c>
      <c r="F84" s="2" t="inlineStr">
        <is>
          <t>[calc]</t>
        </is>
      </c>
      <c r="G84" s="2" t="inlineStr">
        <is>
          <t>Igual que en 2025</t>
        </is>
      </c>
    </row>
    <row r="85">
      <c r="A85" s="10" t="inlineStr">
        <is>
          <t>Deuda a corto plazo al 30-sep-2026</t>
        </is>
      </c>
      <c r="B85" s="11" t="n">
        <v>13636</v>
      </c>
      <c r="F85" s="2" t="inlineStr">
        <is>
          <t>[sourced]</t>
        </is>
      </c>
      <c r="G85" s="2" t="inlineStr">
        <is>
          <t>Reporte 3T26 p.8</t>
        </is>
      </c>
    </row>
    <row r="86">
      <c r="A86" s="10" t="inlineStr">
        <is>
          <t>Deuda a largo plazo al 30-sep-2026</t>
        </is>
      </c>
      <c r="B86" s="11" t="n">
        <v>139166</v>
      </c>
      <c r="F86" s="2" t="inlineStr">
        <is>
          <t>[sourced]</t>
        </is>
      </c>
      <c r="G86" s="2" t="inlineStr">
        <is>
          <t>Reporte 3T26 p.8</t>
        </is>
      </c>
    </row>
    <row r="87">
      <c r="A87" s="10" t="inlineStr">
        <is>
          <t>Préstamos bancarios que vencen en el resto de 2026 (millones de US$)</t>
        </is>
      </c>
      <c r="B87" s="11" t="n">
        <v>87</v>
      </c>
      <c r="F87" s="2" t="inlineStr">
        <is>
          <t>[sourced]</t>
        </is>
      </c>
      <c r="G87" s="2" t="inlineStr">
        <is>
          <t>Perfil de amortización, reporte 3T26 p.6</t>
        </is>
      </c>
    </row>
    <row r="88">
      <c r="A88" s="10" t="inlineStr">
        <is>
          <t>USD/MXN del perfil de amortización</t>
        </is>
      </c>
      <c r="B88" s="22" t="n">
        <v>17.84</v>
      </c>
      <c r="F88" s="2" t="inlineStr">
        <is>
          <t>[sourced]</t>
        </is>
      </c>
      <c r="G88" s="2" t="inlineStr">
        <is>
          <t>Reporte 3T26 p.6, nota 11</t>
        </is>
      </c>
    </row>
    <row r="89">
      <c r="A89" s="10" t="inlineStr">
        <is>
          <t>Vencimiento 2026 pagado en el 4T26</t>
        </is>
      </c>
      <c r="B89" s="19">
        <f>B87*B88</f>
        <v/>
      </c>
      <c r="F89" s="2" t="inlineStr">
        <is>
          <t>[assumption]</t>
        </is>
      </c>
      <c r="G89" s="2" t="inlineStr">
        <is>
          <t>Solo el vencimiento contractual; sin prepagos ni deuda nueva; el efectivo es el resultado</t>
        </is>
      </c>
    </row>
    <row r="90">
      <c r="A90" s="10" t="inlineStr">
        <is>
          <t>Dividendo por acción 2026 (MXN)</t>
        </is>
      </c>
      <c r="B90" s="15" t="n">
        <v>1.075</v>
      </c>
      <c r="F90" s="2" t="inlineStr">
        <is>
          <t>[sourced]</t>
        </is>
      </c>
      <c r="G90" s="2" t="inlineStr">
        <is>
          <t>Aviso BMV 30-abr-2026 (bmv.com.mx/docs-pub/derechos/derechos_1554405_1.pdf), pagado el 13-may-2026</t>
        </is>
      </c>
    </row>
    <row r="91">
      <c r="A91" s="10" t="inlineStr">
        <is>
          <t>Dividendos decretados, controladora</t>
        </is>
      </c>
      <c r="B91" s="19">
        <f>B90*B71</f>
        <v/>
      </c>
      <c r="F91" s="2" t="inlineStr">
        <is>
          <t>[calc]</t>
        </is>
      </c>
      <c r="G91" s="2" t="inlineStr">
        <is>
          <t>Sobre las acciones en circulación al 31-dic-2025</t>
        </is>
      </c>
    </row>
    <row r="92">
      <c r="A92" s="10" t="inlineStr">
        <is>
          <t>Dividendos a la participación no controladora</t>
        </is>
      </c>
      <c r="B92" s="27" t="n">
        <v>135</v>
      </c>
      <c r="F92" s="2" t="inlineStr">
        <is>
          <t>[assumption]</t>
        </is>
      </c>
      <c r="G92" s="2" t="inlineStr">
        <is>
          <t>2025 (estado de variaciones en el capital)</t>
        </is>
      </c>
    </row>
    <row r="93">
      <c r="A93" s="10" t="inlineStr">
        <is>
          <t>Devuelto a los accionistas 9M26 (dividendos + recompras)</t>
        </is>
      </c>
      <c r="B93" s="11" t="n">
        <v>6000</v>
      </c>
      <c r="F93" s="2" t="inlineStr">
        <is>
          <t>[guidance]</t>
        </is>
      </c>
      <c r="G93" s="2" t="inlineStr">
        <is>
          <t>Director de finanzas: 'devolver 6 mil millones de pesos' (llamada 3T26, aproximado)</t>
        </is>
      </c>
    </row>
    <row r="94">
      <c r="A94" s="10" t="inlineStr">
        <is>
          <t>Recompra de acciones 3T26</t>
        </is>
      </c>
      <c r="B94" s="11" t="n">
        <v>1200</v>
      </c>
      <c r="F94" s="2" t="inlineStr">
        <is>
          <t>[guidance]</t>
        </is>
      </c>
      <c r="G94" s="2" t="inlineStr">
        <is>
          <t>CFO: 20 millones de acciones, cerca de 1,200 millones de pesos en el trimestre (llamada 3T26)</t>
        </is>
      </c>
    </row>
    <row r="95">
      <c r="A95" s="10" t="inlineStr">
        <is>
          <t>Recompra de acciones 2026E</t>
        </is>
      </c>
      <c r="B95" s="19">
        <f>B93-B91+B94</f>
        <v/>
      </c>
      <c r="F95" s="2" t="inlineStr">
        <is>
          <t>[assumption]</t>
        </is>
      </c>
      <c r="G95" s="2" t="inlineStr">
        <is>
          <t>Equipo 2026-10-25: implícito 9M26 + 4T26 al ritmo del 3T26 (CFO: el programa continúa, llamada 3T26)</t>
        </is>
      </c>
    </row>
    <row r="96">
      <c r="A96" t="inlineStr"/>
    </row>
    <row r="97">
      <c r="A97" s="8" t="inlineStr">
        <is>
          <t>Comprobación opción B: todas las proporciones de 9M26</t>
        </is>
      </c>
      <c r="B97" s="9" t="n"/>
      <c r="C97" s="9" t="n"/>
      <c r="D97" s="9" t="n"/>
      <c r="E97" s="9" t="n"/>
    </row>
    <row r="98">
      <c r="A98" s="10" t="inlineStr">
        <is>
          <t>Utilidad de operación</t>
        </is>
      </c>
      <c r="B98" s="19">
        <f>B43*(E16-E17-E18)</f>
        <v/>
      </c>
      <c r="F98" s="2" t="inlineStr">
        <is>
          <t>[calc]</t>
        </is>
      </c>
      <c r="G98" s="2" t="inlineStr"/>
    </row>
    <row r="99">
      <c r="A99" s="10" t="inlineStr">
        <is>
          <t>UAFIDA Ajustada</t>
        </is>
      </c>
      <c r="B99" s="19">
        <f>B98+B55</f>
        <v/>
      </c>
      <c r="F99" s="2" t="inlineStr">
        <is>
          <t>[calc]</t>
        </is>
      </c>
      <c r="G99" s="2" t="inlineStr"/>
    </row>
    <row r="100">
      <c r="A100" s="10" t="inlineStr">
        <is>
          <t>Margen UAFIDA Ajustada</t>
        </is>
      </c>
      <c r="B100" s="20">
        <f>B99/B43</f>
        <v/>
      </c>
      <c r="F100" s="2" t="inlineStr">
        <is>
          <t>[calc]</t>
        </is>
      </c>
      <c r="G100" s="2" t="inlineStr"/>
    </row>
    <row r="101">
      <c r="A101" s="10" t="inlineStr">
        <is>
          <t>Diferencia B - A</t>
        </is>
      </c>
      <c r="B101" s="19">
        <f>B99-B49</f>
        <v/>
      </c>
      <c r="F101" s="2" t="inlineStr">
        <is>
          <t>[calc]</t>
        </is>
      </c>
      <c r="G101" s="2" t="inlineStr"/>
    </row>
    <row r="102">
      <c r="A102" s="10" t="inlineStr">
        <is>
          <t>Diferencia B - A (pb de ventas netas)</t>
        </is>
      </c>
      <c r="B102" s="28">
        <f>B101/B43*10000</f>
        <v/>
      </c>
      <c r="F102" s="2" t="inlineStr">
        <is>
          <t>[calc]</t>
        </is>
      </c>
      <c r="G102" s="2" t="inlineStr">
        <is>
          <t>Una diferencia pequeña indica que la guía es consistente con 9M26</t>
        </is>
      </c>
    </row>
    <row r="103">
      <c r="A103" t="inlineStr"/>
    </row>
    <row r="104">
      <c r="A104" s="8" t="inlineStr">
        <is>
          <t>Ventas netas FY2027E por región: crecimiento orgánico = ratio x crecimiento del PIB nominal (decisiones del equipo 2026-10-25)</t>
        </is>
      </c>
      <c r="B104" s="9" t="n"/>
      <c r="C104" s="9" t="n"/>
      <c r="D104" s="9" t="n"/>
      <c r="E104" s="9" t="n"/>
    </row>
    <row r="105">
      <c r="A105" s="10" t="inlineStr">
        <is>
          <t>Ventas netas por trimestre, Norteamérica</t>
        </is>
      </c>
      <c r="B105" s="11" t="n">
        <v>40533</v>
      </c>
      <c r="C105" s="11" t="n">
        <v>44368</v>
      </c>
      <c r="D105" s="11" t="n">
        <v>44241</v>
      </c>
      <c r="E105" s="19">
        <f>SUM(B105:D105)</f>
        <v/>
      </c>
      <c r="F105" s="2" t="inlineStr">
        <is>
          <t>[sourced]</t>
        </is>
      </c>
      <c r="G105" s="2" t="inlineStr">
        <is>
          <t>Rep. 1T26 p.3, 2T26 p.3, 3T26 p.3 (antes de eliminaciones entre regiones)</t>
        </is>
      </c>
    </row>
    <row r="106">
      <c r="A106" s="10" t="inlineStr">
        <is>
          <t>Ventas netas por trimestre, México</t>
        </is>
      </c>
      <c r="B106" s="11" t="n">
        <v>39726</v>
      </c>
      <c r="C106" s="11" t="n">
        <v>40279</v>
      </c>
      <c r="D106" s="11" t="n">
        <v>40905</v>
      </c>
      <c r="E106" s="19">
        <f>SUM(B106:D106)</f>
        <v/>
      </c>
      <c r="F106" s="2" t="inlineStr">
        <is>
          <t>[sourced]</t>
        </is>
      </c>
      <c r="G106" s="2" t="inlineStr">
        <is>
          <t>Rep. 1T26 p.3, 2T26 p.3, 3T26 p.3 (antes de eliminaciones entre regiones)</t>
        </is>
      </c>
    </row>
    <row r="107">
      <c r="A107" s="10" t="inlineStr">
        <is>
          <t>Ventas netas por trimestre, Latinoamérica</t>
        </is>
      </c>
      <c r="B107" s="11" t="n">
        <v>11545</v>
      </c>
      <c r="C107" s="11" t="n">
        <v>11620</v>
      </c>
      <c r="D107" s="11" t="n">
        <v>12047</v>
      </c>
      <c r="E107" s="19">
        <f>SUM(B107:D107)</f>
        <v/>
      </c>
      <c r="F107" s="2" t="inlineStr">
        <is>
          <t>[sourced]</t>
        </is>
      </c>
      <c r="G107" s="2" t="inlineStr">
        <is>
          <t>Rep. 1T26 p.3, 2T26 p.3, 3T26 p.3 (antes de eliminaciones entre regiones)</t>
        </is>
      </c>
    </row>
    <row r="108">
      <c r="A108" s="10" t="inlineStr">
        <is>
          <t>Ventas netas por trimestre, EAA</t>
        </is>
      </c>
      <c r="B108" s="11" t="n">
        <v>12631</v>
      </c>
      <c r="C108" s="11" t="n">
        <v>13188</v>
      </c>
      <c r="D108" s="11" t="n">
        <v>13371</v>
      </c>
      <c r="E108" s="19">
        <f>SUM(B108:D108)</f>
        <v/>
      </c>
      <c r="F108" s="2" t="inlineStr">
        <is>
          <t>[sourced]</t>
        </is>
      </c>
      <c r="G108" s="2" t="inlineStr">
        <is>
          <t>Rep. 1T26 p.3, 2T26 p.3, 3T26 p.3 (antes de eliminaciones entre regiones)</t>
        </is>
      </c>
    </row>
    <row r="109">
      <c r="A109" s="10" t="inlineStr">
        <is>
          <t>Ratio orgánico, Norteamérica</t>
        </is>
      </c>
      <c r="B109" s="23" t="n">
        <v>0.1678</v>
      </c>
      <c r="F109" s="2" t="inlineStr">
        <is>
          <t>[assumption]</t>
        </is>
      </c>
      <c r="G109" s="2" t="inlineStr">
        <is>
          <t>Equipo: crecimiento orgánico 9M26 sin tipo de cambio / crecimiento del PIB nominal 2026; data/macro/nominal_gdp_growth_2016-2030.xlsx, hoja Organic_pass</t>
        </is>
      </c>
    </row>
    <row r="110">
      <c r="A110" s="10" t="inlineStr">
        <is>
          <t>Crecimiento del PIB nominal 2027 en moneda local, Norteamérica</t>
        </is>
      </c>
      <c r="B110" s="25" t="n">
        <v>0.0544</v>
      </c>
      <c r="F110" s="2" t="inlineStr">
        <is>
          <t>[calc]</t>
        </is>
      </c>
      <c r="G110" s="2" t="inlineStr">
        <is>
          <t>Niveles de Capital IQ; data/macro/nominal_gdp_growth_2016-2030.xlsx, hoja Data (EUA, decisión del equipo: solo EUA)</t>
        </is>
      </c>
    </row>
    <row r="111">
      <c r="A111" s="10" t="inlineStr">
        <is>
          <t>Crecimiento orgánico de ventas FY2027E sin tipo de cambio, Norteamérica</t>
        </is>
      </c>
      <c r="B111" s="20">
        <f>B109*B110</f>
        <v/>
      </c>
      <c r="F111" s="2" t="inlineStr">
        <is>
          <t>[calc]</t>
        </is>
      </c>
      <c r="G111" s="2" t="inlineStr">
        <is>
          <t>Ratio x crecimiento del PIB</t>
        </is>
      </c>
    </row>
    <row r="112">
      <c r="A112" s="10" t="inlineStr">
        <is>
          <t>Peso en ventas regionales 9M26, Norteamérica</t>
        </is>
      </c>
      <c r="B112" s="20">
        <f>E105/(E105+E106+E107+E108)</f>
        <v/>
      </c>
      <c r="F112" s="2" t="inlineStr">
        <is>
          <t>[calc]</t>
        </is>
      </c>
      <c r="G112" s="2" t="inlineStr"/>
    </row>
    <row r="113">
      <c r="A113" s="10" t="inlineStr">
        <is>
          <t>Ratio orgánico, México</t>
        </is>
      </c>
      <c r="B113" s="23" t="n">
        <v>0.7747000000000001</v>
      </c>
      <c r="F113" s="2" t="inlineStr">
        <is>
          <t>[assumption]</t>
        </is>
      </c>
      <c r="G113" s="2" t="inlineStr">
        <is>
          <t>Equipo: crecimiento orgánico 9M26 sin tipo de cambio / crecimiento del PIB nominal 2026; data/macro/nominal_gdp_growth_2016-2030.xlsx, hoja Organic_pass</t>
        </is>
      </c>
    </row>
    <row r="114">
      <c r="A114" s="10" t="inlineStr">
        <is>
          <t>Crecimiento del PIB nominal 2027 en moneda local, México</t>
        </is>
      </c>
      <c r="B114" s="25" t="n">
        <v>0.0669</v>
      </c>
      <c r="F114" s="2" t="inlineStr">
        <is>
          <t>[calc]</t>
        </is>
      </c>
      <c r="G114" s="2" t="inlineStr">
        <is>
          <t>Niveles de Capital IQ; data/macro/nominal_gdp_growth_2016-2030.xlsx, hoja Data (MEX)</t>
        </is>
      </c>
    </row>
    <row r="115">
      <c r="A115" s="10" t="inlineStr">
        <is>
          <t>Crecimiento orgánico de ventas FY2027E sin tipo de cambio, México</t>
        </is>
      </c>
      <c r="B115" s="20">
        <f>B113*B114</f>
        <v/>
      </c>
      <c r="F115" s="2" t="inlineStr">
        <is>
          <t>[calc]</t>
        </is>
      </c>
      <c r="G115" s="2" t="inlineStr">
        <is>
          <t>Ratio x crecimiento del PIB</t>
        </is>
      </c>
    </row>
    <row r="116">
      <c r="A116" s="10" t="inlineStr">
        <is>
          <t>Peso en ventas regionales 9M26, México</t>
        </is>
      </c>
      <c r="B116" s="20">
        <f>E106/(E105+E106+E107+E108)</f>
        <v/>
      </c>
      <c r="F116" s="2" t="inlineStr">
        <is>
          <t>[calc]</t>
        </is>
      </c>
      <c r="G116" s="2" t="inlineStr"/>
    </row>
    <row r="117">
      <c r="A117" s="10" t="inlineStr">
        <is>
          <t>Ratio orgánico, Latinoamérica</t>
        </is>
      </c>
      <c r="B117" s="23" t="n">
        <v>0.6688</v>
      </c>
      <c r="F117" s="2" t="inlineStr">
        <is>
          <t>[assumption]</t>
        </is>
      </c>
      <c r="G117" s="2" t="inlineStr">
        <is>
          <t>Equipo: crecimiento orgánico 9M26 sin tipo de cambio / crecimiento del PIB nominal 2026; data/macro/nominal_gdp_growth_2016-2030.xlsx, hoja Organic_pass</t>
        </is>
      </c>
    </row>
    <row r="118">
      <c r="A118" s="10" t="inlineStr">
        <is>
          <t>Crecimiento del PIB nominal 2027 en moneda local, Latinoamérica</t>
        </is>
      </c>
      <c r="B118" s="25" t="n">
        <v>0.0795</v>
      </c>
      <c r="F118" s="2" t="inlineStr">
        <is>
          <t>[calc]</t>
        </is>
      </c>
      <c r="G118" s="2" t="inlineStr">
        <is>
          <t>Niveles de Capital IQ; data/macro/nominal_gdp_growth_2016-2030.xlsx, hoja Regional_agg (pesos con tipo de cambio del año anterior)</t>
        </is>
      </c>
    </row>
    <row r="119">
      <c r="A119" s="10" t="inlineStr">
        <is>
          <t>Crecimiento orgánico de ventas FY2027E sin tipo de cambio, Latinoamérica</t>
        </is>
      </c>
      <c r="B119" s="20">
        <f>B117*B118</f>
        <v/>
      </c>
      <c r="F119" s="2" t="inlineStr">
        <is>
          <t>[calc]</t>
        </is>
      </c>
      <c r="G119" s="2" t="inlineStr">
        <is>
          <t>Ratio x crecimiento del PIB</t>
        </is>
      </c>
    </row>
    <row r="120">
      <c r="A120" s="10" t="inlineStr">
        <is>
          <t>Peso en ventas regionales 9M26, Latinoamérica</t>
        </is>
      </c>
      <c r="B120" s="20">
        <f>E107/(E105+E106+E107+E108)</f>
        <v/>
      </c>
      <c r="F120" s="2" t="inlineStr">
        <is>
          <t>[calc]</t>
        </is>
      </c>
      <c r="G120" s="2" t="inlineStr"/>
    </row>
    <row r="121">
      <c r="A121" s="10" t="inlineStr">
        <is>
          <t>Ratio orgánico, EAA</t>
        </is>
      </c>
      <c r="B121" s="23" t="n">
        <v>0.5611</v>
      </c>
      <c r="F121" s="2" t="inlineStr">
        <is>
          <t>[assumption]</t>
        </is>
      </c>
      <c r="G121" s="2" t="inlineStr">
        <is>
          <t>Equipo: crecimiento orgánico 9M26 sin tipo de cambio / crecimiento del PIB nominal 2026; data/macro/nominal_gdp_growth_2016-2030.xlsx, hoja Organic_pass</t>
        </is>
      </c>
    </row>
    <row r="122">
      <c r="A122" s="10" t="inlineStr">
        <is>
          <t>Crecimiento del PIB nominal 2027 en moneda local, EAA</t>
        </is>
      </c>
      <c r="B122" s="25" t="n">
        <v>0.0622</v>
      </c>
      <c r="F122" s="2" t="inlineStr">
        <is>
          <t>[calc]</t>
        </is>
      </c>
      <c r="G122" s="2" t="inlineStr">
        <is>
          <t>Niveles de Capital IQ; data/macro/nominal_gdp_growth_2016-2030.xlsx, hoja Regional_agg (pesos con tipo de cambio del año anterior)</t>
        </is>
      </c>
    </row>
    <row r="123">
      <c r="A123" s="10" t="inlineStr">
        <is>
          <t>Crecimiento orgánico de ventas FY2027E sin tipo de cambio, EAA</t>
        </is>
      </c>
      <c r="B123" s="20">
        <f>B121*B122</f>
        <v/>
      </c>
      <c r="F123" s="2" t="inlineStr">
        <is>
          <t>[calc]</t>
        </is>
      </c>
      <c r="G123" s="2" t="inlineStr">
        <is>
          <t>Ratio x crecimiento del PIB</t>
        </is>
      </c>
    </row>
    <row r="124">
      <c r="A124" s="10" t="inlineStr">
        <is>
          <t>Peso en ventas regionales 9M26, EAA</t>
        </is>
      </c>
      <c r="B124" s="20">
        <f>E108/(E105+E106+E107+E108)</f>
        <v/>
      </c>
      <c r="F124" s="2" t="inlineStr">
        <is>
          <t>[calc]</t>
        </is>
      </c>
      <c r="G124" s="2" t="inlineStr"/>
    </row>
    <row r="125">
      <c r="A125" s="10" t="inlineStr">
        <is>
          <t>Crecimiento de ventas netas FY2027E sin tipo de cambio</t>
        </is>
      </c>
      <c r="B125" s="20">
        <f>B111*B112+B115*B116+B119*B120+B123*B124</f>
        <v/>
      </c>
      <c r="F125" s="2" t="inlineStr">
        <is>
          <t>[calc]</t>
        </is>
      </c>
      <c r="G125" s="2" t="inlineStr">
        <is>
          <t>Regiones ponderadas por ventas 9M26; las eliminaciones entre regiones se mueven con el total</t>
        </is>
      </c>
    </row>
    <row r="126">
      <c r="A126" s="10" t="inlineStr">
        <is>
          <t>Factor cambiario moneda local a USD FY2027E, Norteamérica</t>
        </is>
      </c>
      <c r="B126" s="22" t="n">
        <v>1</v>
      </c>
      <c r="F126" s="2" t="inlineStr">
        <is>
          <t>[calc]</t>
        </is>
      </c>
      <c r="G126" s="2" t="inlineStr">
        <is>
          <t>Solo EUA (decisión del equipo para el PIB): se gana en USD</t>
        </is>
      </c>
    </row>
    <row r="127">
      <c r="A127" s="10" t="inlineStr">
        <is>
          <t>Factor cambiario a MXN FY2027E, Norteamérica</t>
        </is>
      </c>
      <c r="B127" s="24">
        <f>B126*B181/B75</f>
        <v/>
      </c>
      <c r="F127" s="2" t="inlineStr">
        <is>
          <t>[calc]</t>
        </is>
      </c>
      <c r="G127" s="2" t="inlineStr">
        <is>
          <t>Moneda local a USD x USD/MXN promedio FY2027E / FY2026E</t>
        </is>
      </c>
    </row>
    <row r="128">
      <c r="A128" s="10" t="inlineStr">
        <is>
          <t>Ventas netas FY2026E, Norteamérica</t>
        </is>
      </c>
      <c r="B128" s="19">
        <f>B43*B112</f>
        <v/>
      </c>
      <c r="F128" s="2" t="inlineStr">
        <is>
          <t>[calc]</t>
        </is>
      </c>
      <c r="G128" s="2" t="inlineStr">
        <is>
          <t>FY2026E repartido con la mezcla regional 9M26 (equipo 2026-10-25: sin estacionalidad en el 4T); eliminaciones a prorrata</t>
        </is>
      </c>
    </row>
    <row r="129">
      <c r="A129" s="10" t="inlineStr">
        <is>
          <t>Ventas netas FY2027E, Norteamérica</t>
        </is>
      </c>
      <c r="B129" s="19">
        <f>B128*(1+B111)*B127</f>
        <v/>
      </c>
      <c r="F129" s="2" t="inlineStr">
        <is>
          <t>[calc]</t>
        </is>
      </c>
      <c r="G129" s="2" t="inlineStr">
        <is>
          <t>FY2026E x (1 + crecimiento orgánico en moneda local) x factor cambiario a MXN</t>
        </is>
      </c>
    </row>
    <row r="130">
      <c r="A130" s="10" t="inlineStr">
        <is>
          <t>Factor cambiario moneda local a USD FY2027E, México</t>
        </is>
      </c>
      <c r="B130" s="22" t="n">
        <v>1</v>
      </c>
      <c r="F130" s="2" t="inlineStr">
        <is>
          <t>[calc]</t>
        </is>
      </c>
      <c r="G130" s="2" t="inlineStr">
        <is>
          <t>Negocio en pesos: sin conversión</t>
        </is>
      </c>
    </row>
    <row r="131">
      <c r="A131" s="10" t="inlineStr">
        <is>
          <t>Factor cambiario a MXN FY2027E, México</t>
        </is>
      </c>
      <c r="B131" s="24">
        <f>1</f>
        <v/>
      </c>
      <c r="F131" s="2" t="inlineStr">
        <is>
          <t>[calc]</t>
        </is>
      </c>
      <c r="G131" s="2" t="inlineStr">
        <is>
          <t>Negocio en pesos</t>
        </is>
      </c>
    </row>
    <row r="132">
      <c r="A132" s="10" t="inlineStr">
        <is>
          <t>Ventas netas FY2026E, México</t>
        </is>
      </c>
      <c r="B132" s="19">
        <f>B43*B116</f>
        <v/>
      </c>
      <c r="F132" s="2" t="inlineStr">
        <is>
          <t>[calc]</t>
        </is>
      </c>
      <c r="G132" s="2" t="inlineStr">
        <is>
          <t>FY2026E repartido con la mezcla regional 9M26 (equipo 2026-10-25: sin estacionalidad en el 4T); eliminaciones a prorrata</t>
        </is>
      </c>
    </row>
    <row r="133">
      <c r="A133" s="10" t="inlineStr">
        <is>
          <t>Ventas netas FY2027E, México</t>
        </is>
      </c>
      <c r="B133" s="19">
        <f>B132*(1+B115)*B131</f>
        <v/>
      </c>
      <c r="F133" s="2" t="inlineStr">
        <is>
          <t>[calc]</t>
        </is>
      </c>
      <c r="G133" s="2" t="inlineStr">
        <is>
          <t>FY2026E x (1 + crecimiento orgánico en moneda local) x factor cambiario a MXN</t>
        </is>
      </c>
    </row>
    <row r="134">
      <c r="A134" s="10" t="inlineStr">
        <is>
          <t>Factor cambiario moneda local a USD FY2027E, Latinoamérica</t>
        </is>
      </c>
      <c r="B134" s="22" t="n">
        <v>0.9749</v>
      </c>
      <c r="F134" s="2" t="inlineStr">
        <is>
          <t>[calc]</t>
        </is>
      </c>
      <c r="G134" s="2" t="inlineStr">
        <is>
          <t>data/macro/nominal_gdp_growth_2016-2030.xlsx, hoja Regional_FX</t>
        </is>
      </c>
    </row>
    <row r="135">
      <c r="A135" s="10" t="inlineStr">
        <is>
          <t>Factor cambiario a MXN FY2027E, Latinoamérica</t>
        </is>
      </c>
      <c r="B135" s="24">
        <f>B134*B181/B75</f>
        <v/>
      </c>
      <c r="F135" s="2" t="inlineStr">
        <is>
          <t>[calc]</t>
        </is>
      </c>
      <c r="G135" s="2" t="inlineStr">
        <is>
          <t>Moneda local a USD x USD/MXN promedio FY2027E / FY2026E</t>
        </is>
      </c>
    </row>
    <row r="136">
      <c r="A136" s="10" t="inlineStr">
        <is>
          <t>Ventas netas FY2026E, Latinoamérica</t>
        </is>
      </c>
      <c r="B136" s="19">
        <f>B43*B120</f>
        <v/>
      </c>
      <c r="F136" s="2" t="inlineStr">
        <is>
          <t>[calc]</t>
        </is>
      </c>
      <c r="G136" s="2" t="inlineStr">
        <is>
          <t>FY2026E repartido con la mezcla regional 9M26 (equipo 2026-10-25: sin estacionalidad en el 4T); eliminaciones a prorrata</t>
        </is>
      </c>
    </row>
    <row r="137">
      <c r="A137" s="10" t="inlineStr">
        <is>
          <t>Ventas netas FY2027E, Latinoamérica</t>
        </is>
      </c>
      <c r="B137" s="19">
        <f>B136*(1+B119)*B135</f>
        <v/>
      </c>
      <c r="F137" s="2" t="inlineStr">
        <is>
          <t>[calc]</t>
        </is>
      </c>
      <c r="G137" s="2" t="inlineStr">
        <is>
          <t>FY2026E x (1 + crecimiento orgánico en moneda local) x factor cambiario a MXN</t>
        </is>
      </c>
    </row>
    <row r="138">
      <c r="A138" s="10" t="inlineStr">
        <is>
          <t>Factor cambiario moneda local a USD FY2027E, EAA</t>
        </is>
      </c>
      <c r="B138" s="22" t="n">
        <v>0.9917</v>
      </c>
      <c r="F138" s="2" t="inlineStr">
        <is>
          <t>[calc]</t>
        </is>
      </c>
      <c r="G138" s="2" t="inlineStr">
        <is>
          <t>data/macro/nominal_gdp_growth_2016-2030.xlsx, hoja Regional_FX</t>
        </is>
      </c>
    </row>
    <row r="139">
      <c r="A139" s="10" t="inlineStr">
        <is>
          <t>Factor cambiario a MXN FY2027E, EAA</t>
        </is>
      </c>
      <c r="B139" s="24">
        <f>B138*B181/B75</f>
        <v/>
      </c>
      <c r="F139" s="2" t="inlineStr">
        <is>
          <t>[calc]</t>
        </is>
      </c>
      <c r="G139" s="2" t="inlineStr">
        <is>
          <t>Moneda local a USD x USD/MXN promedio FY2027E / FY2026E</t>
        </is>
      </c>
    </row>
    <row r="140">
      <c r="A140" s="10" t="inlineStr">
        <is>
          <t>Ventas netas FY2026E, EAA</t>
        </is>
      </c>
      <c r="B140" s="19">
        <f>B43*B124</f>
        <v/>
      </c>
      <c r="F140" s="2" t="inlineStr">
        <is>
          <t>[calc]</t>
        </is>
      </c>
      <c r="G140" s="2" t="inlineStr">
        <is>
          <t>FY2026E repartido con la mezcla regional 9M26 (equipo 2026-10-25: sin estacionalidad en el 4T); eliminaciones a prorrata</t>
        </is>
      </c>
    </row>
    <row r="141">
      <c r="A141" s="10" t="inlineStr">
        <is>
          <t>Ventas netas FY2027E, EAA</t>
        </is>
      </c>
      <c r="B141" s="19">
        <f>B140*(1+B123)*B139</f>
        <v/>
      </c>
      <c r="F141" s="2" t="inlineStr">
        <is>
          <t>[calc]</t>
        </is>
      </c>
      <c r="G141" s="2" t="inlineStr">
        <is>
          <t>FY2026E x (1 + crecimiento orgánico en moneda local) x factor cambiario a MXN</t>
        </is>
      </c>
    </row>
    <row r="142">
      <c r="A142" s="10" t="inlineStr">
        <is>
          <t>Ventas netas FY2027E</t>
        </is>
      </c>
      <c r="B142" s="19">
        <f>B129+B133+B137+B141</f>
        <v/>
      </c>
      <c r="F142" s="2" t="inlineStr">
        <is>
          <t>[calc]</t>
        </is>
      </c>
      <c r="G142" s="2" t="inlineStr">
        <is>
          <t>Suma de regiones; sustituye el CAGR FY2022-FY2026E (retro del asesor, memory.md 2026-10-24)</t>
        </is>
      </c>
    </row>
    <row r="143">
      <c r="A143" s="10" t="inlineStr">
        <is>
          <t>Crecimiento de ventas netas FY2027E en MXN</t>
        </is>
      </c>
      <c r="B143" s="20">
        <f>B142/B43-1</f>
        <v/>
      </c>
      <c r="F143" s="2" t="inlineStr">
        <is>
          <t>[calc]</t>
        </is>
      </c>
      <c r="G143" s="2" t="inlineStr">
        <is>
          <t>Crecimiento en la moneda de reporte</t>
        </is>
      </c>
    </row>
    <row r="144">
      <c r="A144" s="10" t="inlineStr">
        <is>
          <t xml:space="preserve">  del cual crecimiento del negocio (orgánico, sin tipo de cambio)</t>
        </is>
      </c>
      <c r="B144" s="20">
        <f>B125</f>
        <v/>
      </c>
      <c r="F144" s="2" t="inlineStr">
        <is>
          <t>[calc]</t>
        </is>
      </c>
      <c r="G144" s="2" t="inlineStr">
        <is>
          <t>Asesor: separar negocio y tipo de cambio</t>
        </is>
      </c>
    </row>
    <row r="145">
      <c r="A145" s="10" t="inlineStr">
        <is>
          <t xml:space="preserve">  del cual efecto del tipo de cambio</t>
        </is>
      </c>
      <c r="B145" s="20">
        <f>B143-B144</f>
        <v/>
      </c>
      <c r="F145" s="2" t="inlineStr">
        <is>
          <t>[calc]</t>
        </is>
      </c>
      <c r="G145" s="2" t="inlineStr">
        <is>
          <t>Crecimiento en MXN menos crecimiento sin tipo de cambio, como lo reporta Bimbo</t>
        </is>
      </c>
    </row>
    <row r="146">
      <c r="A146" t="inlineStr"/>
    </row>
    <row r="147">
      <c r="A147" s="8" t="inlineStr">
        <is>
          <t>Costo de ventas FY2027E por naturaleza (decisiones del equipo 2026-10-23)</t>
        </is>
      </c>
      <c r="B147" s="9" t="n"/>
      <c r="C147" s="9" t="n"/>
      <c r="D147" s="9" t="n"/>
      <c r="E147" s="9" t="n"/>
    </row>
    <row r="148">
      <c r="A148" s="10" t="inlineStr">
        <is>
          <t>Materia prima FY2025</t>
        </is>
      </c>
      <c r="B148" s="11" t="n">
        <v>129712</v>
      </c>
      <c r="F148" s="2" t="inlineStr">
        <is>
          <t>[sourced]</t>
        </is>
      </c>
      <c r="G148" s="2" t="inlineStr">
        <is>
          <t>Costos por naturaleza, EEFF25 p.82</t>
        </is>
      </c>
    </row>
    <row r="149">
      <c r="A149" s="10" t="inlineStr">
        <is>
          <t>Sueldos y prestaciones FY2025</t>
        </is>
      </c>
      <c r="B149" s="11" t="n">
        <v>40113</v>
      </c>
      <c r="F149" s="2" t="inlineStr">
        <is>
          <t>[sourced]</t>
        </is>
      </c>
      <c r="G149" s="2" t="inlineStr">
        <is>
          <t>Costos por naturaleza, EEFF25 p.82</t>
        </is>
      </c>
    </row>
    <row r="150">
      <c r="A150" s="10" t="inlineStr">
        <is>
          <t>Fletes, combustibles y mantenimiento FY2025</t>
        </is>
      </c>
      <c r="B150" s="11" t="n">
        <v>18374</v>
      </c>
      <c r="F150" s="2" t="inlineStr">
        <is>
          <t>[sourced]</t>
        </is>
      </c>
      <c r="G150" s="2" t="inlineStr">
        <is>
          <t>Costos por naturaleza, EEFF25 p.82</t>
        </is>
      </c>
    </row>
    <row r="151">
      <c r="A151" s="10" t="inlineStr">
        <is>
          <t>Depreciación FY2025</t>
        </is>
      </c>
      <c r="B151" s="11" t="n">
        <v>10070</v>
      </c>
      <c r="F151" s="2" t="inlineStr">
        <is>
          <t>[sourced]</t>
        </is>
      </c>
      <c r="G151" s="2" t="inlineStr">
        <is>
          <t>Costos por naturaleza, EEFF25 p.82</t>
        </is>
      </c>
    </row>
    <row r="152">
      <c r="A152" s="10" t="inlineStr">
        <is>
          <t>Otros costos de ventas FY2025</t>
        </is>
      </c>
      <c r="B152" s="11" t="n">
        <v>5196</v>
      </c>
      <c r="F152" s="2" t="inlineStr">
        <is>
          <t>[sourced]</t>
        </is>
      </c>
      <c r="G152" s="2" t="inlineStr">
        <is>
          <t>EEFF25 p.82: servicios profesionales 1,607 + arrendamientos de bajo valor 1,634 + impuestos indirectos 1,391 + viajes 230 + otros 334</t>
        </is>
      </c>
    </row>
    <row r="153">
      <c r="A153" s="10" t="inlineStr">
        <is>
          <t>Cuadre: renglones menos costo de ventas del ER FY2025 (debe ser 0)</t>
        </is>
      </c>
      <c r="B153" s="19">
        <f>B148+B149+B150+B151+B152-ER!F7</f>
        <v/>
      </c>
      <c r="F153" s="2" t="inlineStr">
        <is>
          <t>[calc]</t>
        </is>
      </c>
      <c r="G153" s="2" t="inlineStr"/>
    </row>
    <row r="154">
      <c r="A154" s="10" t="inlineStr">
        <is>
          <t>Elasticidad de materia prima / ventas al trigo del año anterior</t>
        </is>
      </c>
      <c r="B154" s="23" t="n">
        <v>0.109</v>
      </c>
      <c r="F154" s="2" t="inlineStr">
        <is>
          <t>[assumption]</t>
        </is>
      </c>
      <c r="G154" s="2" t="inlineStr">
        <is>
          <t>Ajuste log-log aprobado por el equipo FY2018-FY2025, rezago de un año, R2 0.70 (mismo año 0.099, R2 0.48); notas de costos por naturaleza RA BMV 2020 p.283, RA 2022 p.308, RA 2024 p.317, EEFF25 p.82</t>
        </is>
      </c>
    </row>
    <row r="155">
      <c r="A155" s="10" t="inlineStr">
        <is>
          <t>Precio del trigo 2024 (US$/t, promedio anual)</t>
        </is>
      </c>
      <c r="B155" s="29" t="n">
        <v>201.1949</v>
      </c>
      <c r="F155" s="2" t="inlineStr">
        <is>
          <t>[sourced]</t>
        </is>
      </c>
      <c r="G155" s="2" t="inlineStr">
        <is>
          <t>Precio global del trigo del FMI, FRED PWHEAMTUSDM</t>
        </is>
      </c>
    </row>
    <row r="156">
      <c r="A156" s="10" t="inlineStr">
        <is>
          <t>Precio del trigo 2025 (US$/t, promedio anual)</t>
        </is>
      </c>
      <c r="B156" s="29" t="n">
        <v>173.0919</v>
      </c>
      <c r="F156" s="2" t="inlineStr">
        <is>
          <t>[sourced]</t>
        </is>
      </c>
      <c r="G156" s="2" t="inlineStr">
        <is>
          <t>Precio global del trigo del FMI, FRED PWHEAMTUSDM</t>
        </is>
      </c>
    </row>
    <row r="157">
      <c r="A157" s="10" t="inlineStr">
        <is>
          <t>Precio del trigo ene-sep 2026 (US$/t, promedio)</t>
        </is>
      </c>
      <c r="B157" s="29" t="n">
        <v>208.2778</v>
      </c>
      <c r="F157" s="2" t="inlineStr">
        <is>
          <t>[sourced]</t>
        </is>
      </c>
      <c r="G157" s="2" t="inlineStr">
        <is>
          <t>Promedio de los nueve datos mensuales, FRED PWHEAMTUSDM</t>
        </is>
      </c>
    </row>
    <row r="158">
      <c r="A158" s="10" t="inlineStr">
        <is>
          <t>Precio del trigo sep-2026 (US$/t)</t>
        </is>
      </c>
      <c r="B158" s="29" t="n">
        <v>246.8518</v>
      </c>
      <c r="F158" s="2" t="inlineStr">
        <is>
          <t>[sourced]</t>
        </is>
      </c>
      <c r="G158" s="2" t="inlineStr">
        <is>
          <t>FRED PWHEAMTUSDM</t>
        </is>
      </c>
    </row>
    <row r="159">
      <c r="A159" s="10" t="inlineStr">
        <is>
          <t>Precio del trigo 2026E (US$/t, promedio anual)</t>
        </is>
      </c>
      <c r="B159" s="30">
        <f>(9*B157+3*B158)/12</f>
        <v/>
      </c>
      <c r="F159" s="2" t="inlineStr">
        <is>
          <t>[assumption]</t>
        </is>
      </c>
      <c r="G159" s="2" t="inlineStr">
        <is>
          <t>Equipo: nueve meses reales + oct-dic al nivel de sep-2026; se sustituyen por datos reales cuando FRED los publique</t>
        </is>
      </c>
    </row>
    <row r="160">
      <c r="A160" s="10" t="inlineStr">
        <is>
          <t>Materia prima / ventas FY2025</t>
        </is>
      </c>
      <c r="B160" s="31">
        <f>B148/B33</f>
        <v/>
      </c>
      <c r="F160" s="2" t="inlineStr">
        <is>
          <t>[calc]</t>
        </is>
      </c>
      <c r="G160" s="2" t="inlineStr"/>
    </row>
    <row r="161">
      <c r="A161" s="10" t="inlineStr">
        <is>
          <t>Materia prima / ventas FY2026E</t>
        </is>
      </c>
      <c r="B161" s="31">
        <f>B160*(B156/B155)^B154</f>
        <v/>
      </c>
      <c r="F161" s="2" t="inlineStr">
        <is>
          <t>[calc]</t>
        </is>
      </c>
      <c r="G161" s="2" t="inlineStr">
        <is>
          <t>Razón FY2025 movida por el cambio del trigo de 2025 (rezago de un año)</t>
        </is>
      </c>
    </row>
    <row r="162">
      <c r="A162" s="10" t="inlineStr">
        <is>
          <t>Materia prima FY2026E</t>
        </is>
      </c>
      <c r="B162" s="19">
        <f>B43*B161</f>
        <v/>
      </c>
      <c r="F162" s="2" t="inlineStr">
        <is>
          <t>[calc]</t>
        </is>
      </c>
      <c r="G162" s="2" t="inlineStr"/>
    </row>
    <row r="163">
      <c r="A163" s="10" t="inlineStr">
        <is>
          <t>Otros renglones del costo de ventas FY2026E (total menos materia prima)</t>
        </is>
      </c>
      <c r="B163" s="19">
        <f>B54-B162</f>
        <v/>
      </c>
      <c r="F163" s="2" t="inlineStr">
        <is>
          <t>[calc]</t>
        </is>
      </c>
      <c r="G163" s="2" t="inlineStr">
        <is>
          <t>Costo de ventas FY2026E (opción A) menos materia prima</t>
        </is>
      </c>
    </row>
    <row r="164">
      <c r="A164" s="10" t="inlineStr">
        <is>
          <t xml:space="preserve">  Sueldos y prestaciones FY2026E</t>
        </is>
      </c>
      <c r="B164" s="19">
        <f>B163*B149/(B149+B150+B151+B152)</f>
        <v/>
      </c>
      <c r="F164" s="2" t="inlineStr">
        <is>
          <t>[calc]</t>
        </is>
      </c>
      <c r="G164" s="2" t="inlineStr">
        <is>
          <t>Mezcla FY2025 de los renglones distintos a materia prima</t>
        </is>
      </c>
    </row>
    <row r="165">
      <c r="A165" s="10" t="inlineStr">
        <is>
          <t xml:space="preserve">  Fletes, combustibles y mantenimiento FY2026E</t>
        </is>
      </c>
      <c r="B165" s="19">
        <f>B163*B150/(B149+B150+B151+B152)</f>
        <v/>
      </c>
      <c r="F165" s="2" t="inlineStr">
        <is>
          <t>[calc]</t>
        </is>
      </c>
      <c r="G165" s="2" t="inlineStr">
        <is>
          <t>Mezcla FY2025 de los renglones distintos a materia prima</t>
        </is>
      </c>
    </row>
    <row r="166">
      <c r="A166" s="10" t="inlineStr">
        <is>
          <t xml:space="preserve">  Depreciación FY2026E</t>
        </is>
      </c>
      <c r="B166" s="19">
        <f>B163*B151/(B149+B150+B151+B152)</f>
        <v/>
      </c>
      <c r="F166" s="2" t="inlineStr">
        <is>
          <t>[calc]</t>
        </is>
      </c>
      <c r="G166" s="2" t="inlineStr">
        <is>
          <t>Mezcla FY2025 de los renglones distintos a materia prima</t>
        </is>
      </c>
    </row>
    <row r="167">
      <c r="A167" s="10" t="inlineStr">
        <is>
          <t xml:space="preserve">  Otros FY2026E</t>
        </is>
      </c>
      <c r="B167" s="19">
        <f>B163*B152/(B149+B150+B151+B152)</f>
        <v/>
      </c>
      <c r="F167" s="2" t="inlineStr">
        <is>
          <t>[calc]</t>
        </is>
      </c>
      <c r="G167" s="2" t="inlineStr">
        <is>
          <t>Mezcla FY2025 de los renglones distintos a materia prima</t>
        </is>
      </c>
    </row>
    <row r="168">
      <c r="A168" s="10" t="inlineStr">
        <is>
          <t>Materia prima / ventas FY2027E</t>
        </is>
      </c>
      <c r="B168" s="31">
        <f>B161*(B159/B156)^B154</f>
        <v/>
      </c>
      <c r="F168" s="2" t="inlineStr">
        <is>
          <t>[calc]</t>
        </is>
      </c>
      <c r="G168" s="2" t="inlineStr">
        <is>
          <t>Razón FY2026E movida por el cambio del trigo de 2026E (rezago de un año)</t>
        </is>
      </c>
    </row>
    <row r="169">
      <c r="A169" s="10" t="inlineStr">
        <is>
          <t>Materia prima FY2027E</t>
        </is>
      </c>
      <c r="B169" s="19">
        <f>B142*B168</f>
        <v/>
      </c>
      <c r="F169" s="2" t="inlineStr">
        <is>
          <t>[calc]</t>
        </is>
      </c>
      <c r="G169" s="2" t="inlineStr"/>
    </row>
    <row r="170">
      <c r="A170" s="10" t="inlineStr">
        <is>
          <t>Sueldos y prestaciones FY2027E</t>
        </is>
      </c>
      <c r="B170" s="19">
        <f>B164/B43*B142</f>
        <v/>
      </c>
      <c r="F170" s="2" t="inlineStr">
        <is>
          <t>[assumption]</t>
        </is>
      </c>
      <c r="G170" s="2" t="inlineStr">
        <is>
          <t>Equipo: sin ajuste especial (salario mínimo y jornada de 46 horas solo como riesgo); razón FY2026E sobre ventas</t>
        </is>
      </c>
    </row>
    <row r="171">
      <c r="A171" s="10" t="inlineStr">
        <is>
          <t>Fletes, combustibles y mantenimiento FY2027E</t>
        </is>
      </c>
      <c r="B171" s="19">
        <f>B165/B43*B142</f>
        <v/>
      </c>
      <c r="F171" s="2" t="inlineStr">
        <is>
          <t>[assumption]</t>
        </is>
      </c>
      <c r="G171" s="2" t="inlineStr">
        <is>
          <t>Equipo: razón FY2026E sobre ventas; el peso del combustible en este renglón no se publica (GRI 302-1 solo da el total del grupo, dos terceras partes del diésel lo queman transportistas terceros), así que el diésel queda como riesgo y sensibilidad</t>
        </is>
      </c>
    </row>
    <row r="172">
      <c r="A172" s="10" t="inlineStr">
        <is>
          <t>Depreciación FY2027E</t>
        </is>
      </c>
      <c r="B172" s="19">
        <f>B166*B187/B186</f>
        <v/>
      </c>
      <c r="F172" s="2" t="inlineStr">
        <is>
          <t>[calc]</t>
        </is>
      </c>
      <c r="G172" s="2" t="inlineStr">
        <is>
          <t>Renglón FY2026E movido con la depreciación de PP&amp;E (ligada al capex, abajo)</t>
        </is>
      </c>
    </row>
    <row r="173">
      <c r="A173" s="10" t="inlineStr">
        <is>
          <t>Otros costos de ventas FY2027E</t>
        </is>
      </c>
      <c r="B173" s="19">
        <f>B167/B43*B142</f>
        <v/>
      </c>
      <c r="F173" s="2" t="inlineStr">
        <is>
          <t>[assumption]</t>
        </is>
      </c>
      <c r="G173" s="2" t="inlineStr">
        <is>
          <t>Razón FY2026E sobre ventas</t>
        </is>
      </c>
    </row>
    <row r="174">
      <c r="A174" s="10" t="inlineStr">
        <is>
          <t>Costo de ventas FY2027E</t>
        </is>
      </c>
      <c r="B174" s="19">
        <f>B169+B170+B171+B172+B173</f>
        <v/>
      </c>
      <c r="F174" s="2" t="inlineStr">
        <is>
          <t>[calc]</t>
        </is>
      </c>
      <c r="G174" s="2" t="inlineStr">
        <is>
          <t>Alimenta el ER</t>
        </is>
      </c>
    </row>
    <row r="175">
      <c r="A175" s="10" t="inlineStr">
        <is>
          <t>Margen bruto FY2027E</t>
        </is>
      </c>
      <c r="B175" s="20">
        <f>1-B174/B142</f>
        <v/>
      </c>
      <c r="F175" s="2" t="inlineStr">
        <is>
          <t>[calc]</t>
        </is>
      </c>
      <c r="G175" s="2" t="inlineStr">
        <is>
          <t>Resultado, no objetivo; consenso 52.0% (CIQ, 20-sep-2026) solo como referencia</t>
        </is>
      </c>
    </row>
    <row r="176">
      <c r="A176" t="inlineStr"/>
    </row>
    <row r="177">
      <c r="A177" s="8" t="inlineStr">
        <is>
          <t>Capex y depreciación de PP&amp;E FY2027E (decisiones del equipo 2026-10-23)</t>
        </is>
      </c>
      <c r="B177" s="9" t="n"/>
      <c r="C177" s="9" t="n"/>
      <c r="D177" s="9" t="n"/>
      <c r="E177" s="9" t="n"/>
    </row>
    <row r="178">
      <c r="A178" s="10" t="inlineStr">
        <is>
          <t>Capex FY2026 guía original, punto medio (millones de US$)</t>
        </is>
      </c>
      <c r="B178" s="11" t="n">
        <v>1300</v>
      </c>
      <c r="F178" s="2" t="inlineStr">
        <is>
          <t>[guidance]</t>
        </is>
      </c>
      <c r="G178" s="2" t="inlineStr">
        <is>
          <t>US$1.2-1.4bn, presentación 4T25 p.17 (26-feb-2026); recortada a US$1.0-1.2bn en julio (presentación 2T26) al diferir proyectos</t>
        </is>
      </c>
    </row>
    <row r="179">
      <c r="A179" s="10" t="inlineStr">
        <is>
          <t>Proyectos diferidos de 2026 a 2027 (millones de US$)</t>
        </is>
      </c>
      <c r="B179" s="19">
        <f>B178-B76</f>
        <v/>
      </c>
      <c r="F179" s="2" t="inlineStr">
        <is>
          <t>[calc]</t>
        </is>
      </c>
      <c r="G179" s="2" t="inlineStr">
        <is>
          <t>Punto medio de la guía original menos capex FY2026E</t>
        </is>
      </c>
    </row>
    <row r="180">
      <c r="A180" s="10" t="inlineStr">
        <is>
          <t>Capex FY2027E (millones de US$)</t>
        </is>
      </c>
      <c r="B180" s="19">
        <f>B76+B179</f>
        <v/>
      </c>
      <c r="F180" s="2" t="inlineStr">
        <is>
          <t>[assumption]</t>
        </is>
      </c>
      <c r="G180" s="2" t="inlineStr">
        <is>
          <t>Equipo: nivel FY2026E + todos los proyectos diferidos se ejecutan en 2027 (prudente: más salida de caja); el CFO dijo 'a little bit higher' que 2026 (llamada 3T26)</t>
        </is>
      </c>
    </row>
    <row r="181">
      <c r="A181" s="10" t="inlineStr">
        <is>
          <t>USD/MXN promedio FY2027E</t>
        </is>
      </c>
      <c r="B181" s="24">
        <f>(17.50+18.04)/2</f>
        <v/>
      </c>
      <c r="F181" s="2" t="inlineStr">
        <is>
          <t>[calc]</t>
        </is>
      </c>
      <c r="G181" s="2" t="inlineStr">
        <is>
          <t>Promedio de las medianas de cierre 2026 (17.50) y 2027 (18.04) de la encuesta Banxico de sep-2026</t>
        </is>
      </c>
    </row>
    <row r="182">
      <c r="A182" s="10" t="inlineStr">
        <is>
          <t>Capex FY2027E</t>
        </is>
      </c>
      <c r="B182" s="19">
        <f>B180*B181</f>
        <v/>
      </c>
      <c r="F182" s="2" t="inlineStr">
        <is>
          <t>[calc]</t>
        </is>
      </c>
      <c r="G182" s="2" t="inlineStr">
        <is>
          <t>Compras de propiedades, planta y equipo en el FE</t>
        </is>
      </c>
    </row>
    <row r="183">
      <c r="A183" s="10" t="inlineStr">
        <is>
          <t>Depreciación de PP&amp;E FY2025</t>
        </is>
      </c>
      <c r="B183" s="11" t="n">
        <v>16375</v>
      </c>
      <c r="F183" s="2" t="inlineStr">
        <is>
          <t>[sourced]</t>
        </is>
      </c>
      <c r="G183" s="2" t="inlineStr">
        <is>
          <t>Conciliación de PP&amp;E, EEFF25 p.38</t>
        </is>
      </c>
    </row>
    <row r="184">
      <c r="A184" s="10" t="inlineStr">
        <is>
          <t>PP&amp;E neto al 31-dic-2024</t>
        </is>
      </c>
      <c r="B184" s="11" t="n">
        <v>155376</v>
      </c>
      <c r="F184" s="2" t="inlineStr">
        <is>
          <t>[sourced]</t>
        </is>
      </c>
      <c r="G184" s="2" t="inlineStr">
        <is>
          <t>Conciliación de PP&amp;E, EEFF25 p.38</t>
        </is>
      </c>
    </row>
    <row r="185">
      <c r="A185" s="10" t="inlineStr">
        <is>
          <t>Tasa de depreciación de PP&amp;E (sobre PP&amp;E neto inicial)</t>
        </is>
      </c>
      <c r="B185" s="20">
        <f>B183/B184</f>
        <v/>
      </c>
      <c r="F185" s="2" t="inlineStr">
        <is>
          <t>[calc]</t>
        </is>
      </c>
      <c r="G185" s="2" t="inlineStr">
        <is>
          <t>FY2025; línea recta, vidas útiles EEFF25 p.28</t>
        </is>
      </c>
    </row>
    <row r="186">
      <c r="A186" s="10" t="inlineStr">
        <is>
          <t>Depreciación de PP&amp;E FY2026E a esa tasa</t>
        </is>
      </c>
      <c r="B186" s="19">
        <f>B185*BG!F14</f>
        <v/>
      </c>
      <c r="F186" s="2" t="inlineStr">
        <is>
          <t>[calc]</t>
        </is>
      </c>
      <c r="G186" s="2" t="inlineStr">
        <is>
          <t>Tasa x PP&amp;E neto dic-25</t>
        </is>
      </c>
    </row>
    <row r="187">
      <c r="A187" s="10" t="inlineStr">
        <is>
          <t>Depreciación de PP&amp;E FY2027E</t>
        </is>
      </c>
      <c r="B187" s="19">
        <f>B185*BG!G14</f>
        <v/>
      </c>
      <c r="F187" s="2" t="inlineStr">
        <is>
          <t>[calc]</t>
        </is>
      </c>
      <c r="G187" s="2" t="inlineStr">
        <is>
          <t>Tasa x PP&amp;E neto dic-26: el capex 2026 se deprecia en 2027; el capex 2027 sobre todo desde 2028</t>
        </is>
      </c>
    </row>
    <row r="188">
      <c r="A188" t="inlineStr"/>
    </row>
    <row r="189">
      <c r="A189" s="8" t="inlineStr">
        <is>
          <t>Gastos generales y otros gastos FY2027E por naturaleza (decisiones del equipo 2026-10-23)</t>
        </is>
      </c>
      <c r="B189" s="9" t="n"/>
      <c r="C189" s="9" t="n"/>
      <c r="D189" s="9" t="n"/>
      <c r="E189" s="9" t="n"/>
    </row>
    <row r="190">
      <c r="A190" s="10" t="inlineStr">
        <is>
          <t>Sueldos y prestaciones FY2025</t>
        </is>
      </c>
      <c r="B190" s="11" t="n">
        <v>84493</v>
      </c>
      <c r="F190" s="2" t="inlineStr">
        <is>
          <t>[sourced]</t>
        </is>
      </c>
      <c r="G190" s="2" t="inlineStr">
        <is>
          <t>Gastos por naturaleza, EEFF25 p.82</t>
        </is>
      </c>
    </row>
    <row r="191">
      <c r="A191" s="10" t="inlineStr">
        <is>
          <t>Fletes, combustibles y mantenimiento FY2025</t>
        </is>
      </c>
      <c r="B191" s="11" t="n">
        <v>42263</v>
      </c>
      <c r="F191" s="2" t="inlineStr">
        <is>
          <t>[sourced]</t>
        </is>
      </c>
      <c r="G191" s="2" t="inlineStr">
        <is>
          <t>Gastos por naturaleza, EEFF25 p.82</t>
        </is>
      </c>
    </row>
    <row r="192">
      <c r="A192" s="10" t="inlineStr">
        <is>
          <t>Publicidad y gastos promocionales FY2025</t>
        </is>
      </c>
      <c r="B192" s="11" t="n">
        <v>15637</v>
      </c>
      <c r="F192" s="2" t="inlineStr">
        <is>
          <t>[sourced]</t>
        </is>
      </c>
      <c r="G192" s="2" t="inlineStr">
        <is>
          <t>Gastos por naturaleza, EEFF25 p.82</t>
        </is>
      </c>
    </row>
    <row r="193">
      <c r="A193" s="10" t="inlineStr">
        <is>
          <t>Servicios profesionales y consultorías FY2025</t>
        </is>
      </c>
      <c r="B193" s="11" t="n">
        <v>12180</v>
      </c>
      <c r="F193" s="2" t="inlineStr">
        <is>
          <t>[sourced]</t>
        </is>
      </c>
      <c r="G193" s="2" t="inlineStr">
        <is>
          <t>Gastos por naturaleza, EEFF25 p.82</t>
        </is>
      </c>
    </row>
    <row r="194">
      <c r="A194" s="10" t="inlineStr">
        <is>
          <t>Costos logísticos FY2025</t>
        </is>
      </c>
      <c r="B194" s="11" t="n">
        <v>6109</v>
      </c>
      <c r="F194" s="2" t="inlineStr">
        <is>
          <t>[sourced]</t>
        </is>
      </c>
      <c r="G194" s="2" t="inlineStr">
        <is>
          <t>Gastos por naturaleza, EEFF25 p.82</t>
        </is>
      </c>
    </row>
    <row r="195">
      <c r="A195" s="10" t="inlineStr">
        <is>
          <t>Cancelación y revaluación de planes de pensiones multipatronales FY2025</t>
        </is>
      </c>
      <c r="B195" s="11" t="n">
        <v>27</v>
      </c>
      <c r="F195" s="2" t="inlineStr">
        <is>
          <t>[sourced]</t>
        </is>
      </c>
      <c r="G195" s="2" t="inlineStr">
        <is>
          <t>Gastos por naturaleza, EEFF25 p.82</t>
        </is>
      </c>
    </row>
    <row r="196">
      <c r="A196" s="10" t="inlineStr">
        <is>
          <t>Gastos de integración FY2025</t>
        </is>
      </c>
      <c r="B196" s="11" t="n">
        <v>541</v>
      </c>
      <c r="F196" s="2" t="inlineStr">
        <is>
          <t>[sourced]</t>
        </is>
      </c>
      <c r="G196" s="2" t="inlineStr">
        <is>
          <t>Gastos por naturaleza, EEFF25 p.82</t>
        </is>
      </c>
    </row>
    <row r="197">
      <c r="A197" s="10" t="inlineStr">
        <is>
          <t>Impuestos indirectos FY2025</t>
        </is>
      </c>
      <c r="B197" s="11" t="n">
        <v>1759</v>
      </c>
      <c r="F197" s="2" t="inlineStr">
        <is>
          <t>[sourced]</t>
        </is>
      </c>
      <c r="G197" s="2" t="inlineStr">
        <is>
          <t>Gastos por naturaleza, EEFF25 p.82</t>
        </is>
      </c>
    </row>
    <row r="198">
      <c r="A198" s="10" t="inlineStr">
        <is>
          <t>Gastos de reestructuración FY2025</t>
        </is>
      </c>
      <c r="B198" s="11" t="n">
        <v>3908</v>
      </c>
      <c r="F198" s="2" t="inlineStr">
        <is>
          <t>[sourced]</t>
        </is>
      </c>
      <c r="G198" s="2" t="inlineStr">
        <is>
          <t>Gastos por naturaleza, EEFF25 p.82</t>
        </is>
      </c>
    </row>
    <row r="199">
      <c r="A199" s="10" t="inlineStr">
        <is>
          <t>Arrendamientos de bajo valor y corto plazo FY2025</t>
        </is>
      </c>
      <c r="B199" s="11" t="n">
        <v>3330</v>
      </c>
      <c r="F199" s="2" t="inlineStr">
        <is>
          <t>[sourced]</t>
        </is>
      </c>
      <c r="G199" s="2" t="inlineStr">
        <is>
          <t>Gastos por naturaleza, EEFF25 p.82</t>
        </is>
      </c>
    </row>
    <row r="200">
      <c r="A200" s="10" t="inlineStr">
        <is>
          <t>Gastos de viaje FY2025</t>
        </is>
      </c>
      <c r="B200" s="11" t="n">
        <v>1842</v>
      </c>
      <c r="F200" s="2" t="inlineStr">
        <is>
          <t>[sourced]</t>
        </is>
      </c>
      <c r="G200" s="2" t="inlineStr">
        <is>
          <t>Gastos por naturaleza, EEFF25 p.82</t>
        </is>
      </c>
    </row>
    <row r="201">
      <c r="A201" s="10" t="inlineStr">
        <is>
          <t>Otros FY2025</t>
        </is>
      </c>
      <c r="B201" s="11" t="n">
        <v>2484</v>
      </c>
      <c r="F201" s="2" t="inlineStr">
        <is>
          <t>[sourced]</t>
        </is>
      </c>
      <c r="G201" s="2" t="inlineStr">
        <is>
          <t>Gastos por naturaleza, EEFF25 p.82</t>
        </is>
      </c>
    </row>
    <row r="202">
      <c r="A202" s="10" t="inlineStr">
        <is>
          <t>Depreciación y amortización FY2025</t>
        </is>
      </c>
      <c r="B202" s="11" t="n">
        <v>14768</v>
      </c>
      <c r="F202" s="2" t="inlineStr">
        <is>
          <t>[sourced]</t>
        </is>
      </c>
      <c r="G202" s="2" t="inlineStr">
        <is>
          <t>Gastos por naturaleza, EEFF25 p.82</t>
        </is>
      </c>
    </row>
    <row r="203">
      <c r="A203" s="10" t="inlineStr">
        <is>
          <t>Cuadre: renglones menos gastos generales y otros gastos del ER FY2025 (debe ser 0)</t>
        </is>
      </c>
      <c r="B203" s="19">
        <f>B202+B190+B191+B192+B193+B194+B195+B196+B197+B198+B199+B200+B201-SUM(ER!F9:F12)</f>
        <v/>
      </c>
      <c r="F203" s="2" t="inlineStr">
        <is>
          <t>[calc]</t>
        </is>
      </c>
      <c r="G203" s="2" t="inlineStr"/>
    </row>
    <row r="204">
      <c r="A204" s="10" t="inlineStr">
        <is>
          <t>Partidas no recurrentes dentro de Otros FY2025 (deterioro de marcas 67, utilidad en venta de PP&amp;E -6)</t>
        </is>
      </c>
      <c r="B204" s="11" t="n">
        <v>61</v>
      </c>
      <c r="F204" s="2" t="inlineStr">
        <is>
          <t>[sourced]</t>
        </is>
      </c>
      <c r="G204" s="2" t="inlineStr">
        <is>
          <t>Otros gastos, neto, EEFF25 p.83 (nota 22)</t>
        </is>
      </c>
    </row>
    <row r="205">
      <c r="A205" s="10" t="inlineStr">
        <is>
          <t>Otros (ingresos) gastos, neto FY2025</t>
        </is>
      </c>
      <c r="B205" s="11" t="n">
        <v>4911</v>
      </c>
      <c r="F205" s="2" t="inlineStr">
        <is>
          <t>[sourced]</t>
        </is>
      </c>
      <c r="G205" s="2" t="inlineStr">
        <is>
          <t>EEFF25 p.83 (nota 22)</t>
        </is>
      </c>
    </row>
    <row r="206">
      <c r="A206" s="10" t="inlineStr">
        <is>
          <t>Parte recurrente de otros gastos, neto FY2025 (amortización 146 + provisión laboral 1 + otros 768)</t>
        </is>
      </c>
      <c r="B206" s="11" t="n">
        <v>915</v>
      </c>
      <c r="F206" s="2" t="inlineStr">
        <is>
          <t>[sourced]</t>
        </is>
      </c>
      <c r="G206" s="2" t="inlineStr">
        <is>
          <t>EEFF25 p.83 (nota 22); se excluyen reestructura, planes multipatronales, deterioros y utilidades</t>
        </is>
      </c>
    </row>
    <row r="207">
      <c r="A207" s="10" t="inlineStr">
        <is>
          <t>Depreciación y amortización en gastos FY2026E</t>
        </is>
      </c>
      <c r="B207" s="19">
        <f>B55-B166</f>
        <v/>
      </c>
      <c r="F207" s="2" t="inlineStr">
        <is>
          <t>[calc]</t>
        </is>
      </c>
      <c r="G207" s="2" t="inlineStr">
        <is>
          <t>D&amp;A del ER FY2026E menos depreciación en costo de ventas</t>
        </is>
      </c>
    </row>
    <row r="208">
      <c r="A208" s="10" t="inlineStr">
        <is>
          <t>Otros renglones de gasto FY2026E (total menos D&amp;A)</t>
        </is>
      </c>
      <c r="B208" s="19">
        <f>B58+B56-B207</f>
        <v/>
      </c>
      <c r="F208" s="2" t="inlineStr">
        <is>
          <t>[calc]</t>
        </is>
      </c>
      <c r="G208" s="2" t="inlineStr">
        <is>
          <t>Gastos generales + otros gastos FY2026E (opción A) menos D&amp;A; se reparte abajo con la mezcla FY2025</t>
        </is>
      </c>
    </row>
    <row r="209">
      <c r="A209" s="10" t="inlineStr">
        <is>
          <t xml:space="preserve">  Sueldos y prestaciones FY2026E</t>
        </is>
      </c>
      <c r="B209" s="19">
        <f>B208*B190/(B190+B191+B192+B193+B194+B195+B196+B197+B198+B199+B200+B201)</f>
        <v/>
      </c>
      <c r="F209" s="2" t="inlineStr">
        <is>
          <t>[calc]</t>
        </is>
      </c>
      <c r="G209" s="2" t="inlineStr">
        <is>
          <t>Mezcla FY2025 de los renglones distintos a D&amp;A</t>
        </is>
      </c>
    </row>
    <row r="210">
      <c r="A210" s="10" t="inlineStr">
        <is>
          <t xml:space="preserve">  Fletes, combustibles y mantenimiento FY2026E</t>
        </is>
      </c>
      <c r="B210" s="19">
        <f>B208*B191/(B190+B191+B192+B193+B194+B195+B196+B197+B198+B199+B200+B201)</f>
        <v/>
      </c>
      <c r="F210" s="2" t="inlineStr">
        <is>
          <t>[calc]</t>
        </is>
      </c>
      <c r="G210" s="2" t="inlineStr">
        <is>
          <t>Mezcla FY2025 de los renglones distintos a D&amp;A</t>
        </is>
      </c>
    </row>
    <row r="211">
      <c r="A211" s="10" t="inlineStr">
        <is>
          <t xml:space="preserve">  Publicidad y gastos promocionales FY2026E</t>
        </is>
      </c>
      <c r="B211" s="19">
        <f>B208*B192/(B190+B191+B192+B193+B194+B195+B196+B197+B198+B199+B200+B201)</f>
        <v/>
      </c>
      <c r="F211" s="2" t="inlineStr">
        <is>
          <t>[calc]</t>
        </is>
      </c>
      <c r="G211" s="2" t="inlineStr">
        <is>
          <t>Mezcla FY2025 de los renglones distintos a D&amp;A</t>
        </is>
      </c>
    </row>
    <row r="212">
      <c r="A212" s="10" t="inlineStr">
        <is>
          <t xml:space="preserve">  Servicios profesionales y consultorías FY2026E</t>
        </is>
      </c>
      <c r="B212" s="19">
        <f>B208*B193/(B190+B191+B192+B193+B194+B195+B196+B197+B198+B199+B200+B201)</f>
        <v/>
      </c>
      <c r="F212" s="2" t="inlineStr">
        <is>
          <t>[calc]</t>
        </is>
      </c>
      <c r="G212" s="2" t="inlineStr">
        <is>
          <t>Mezcla FY2025 de los renglones distintos a D&amp;A</t>
        </is>
      </c>
    </row>
    <row r="213">
      <c r="A213" s="10" t="inlineStr">
        <is>
          <t xml:space="preserve">  Costos logísticos FY2026E</t>
        </is>
      </c>
      <c r="B213" s="19">
        <f>B208*B194/(B190+B191+B192+B193+B194+B195+B196+B197+B198+B199+B200+B201)</f>
        <v/>
      </c>
      <c r="F213" s="2" t="inlineStr">
        <is>
          <t>[calc]</t>
        </is>
      </c>
      <c r="G213" s="2" t="inlineStr">
        <is>
          <t>Mezcla FY2025 de los renglones distintos a D&amp;A</t>
        </is>
      </c>
    </row>
    <row r="214">
      <c r="A214" s="10" t="inlineStr">
        <is>
          <t xml:space="preserve">  Cancelación y revaluación de planes de pensiones multipatronales FY2026E</t>
        </is>
      </c>
      <c r="B214" s="19">
        <f>B208*B195/(B190+B191+B192+B193+B194+B195+B196+B197+B198+B199+B200+B201)</f>
        <v/>
      </c>
      <c r="F214" s="2" t="inlineStr">
        <is>
          <t>[calc]</t>
        </is>
      </c>
      <c r="G214" s="2" t="inlineStr">
        <is>
          <t>Mezcla FY2025 de los renglones distintos a D&amp;A</t>
        </is>
      </c>
    </row>
    <row r="215">
      <c r="A215" s="10" t="inlineStr">
        <is>
          <t xml:space="preserve">  Gastos de integración FY2026E</t>
        </is>
      </c>
      <c r="B215" s="19">
        <f>B208*B196/(B190+B191+B192+B193+B194+B195+B196+B197+B198+B199+B200+B201)</f>
        <v/>
      </c>
      <c r="F215" s="2" t="inlineStr">
        <is>
          <t>[calc]</t>
        </is>
      </c>
      <c r="G215" s="2" t="inlineStr">
        <is>
          <t>Mezcla FY2025 de los renglones distintos a D&amp;A</t>
        </is>
      </c>
    </row>
    <row r="216">
      <c r="A216" s="10" t="inlineStr">
        <is>
          <t xml:space="preserve">  Impuestos indirectos FY2026E</t>
        </is>
      </c>
      <c r="B216" s="19">
        <f>B208*B197/(B190+B191+B192+B193+B194+B195+B196+B197+B198+B199+B200+B201)</f>
        <v/>
      </c>
      <c r="F216" s="2" t="inlineStr">
        <is>
          <t>[calc]</t>
        </is>
      </c>
      <c r="G216" s="2" t="inlineStr">
        <is>
          <t>Mezcla FY2025 de los renglones distintos a D&amp;A</t>
        </is>
      </c>
    </row>
    <row r="217">
      <c r="A217" s="10" t="inlineStr">
        <is>
          <t xml:space="preserve">  Gastos de reestructuración FY2026E</t>
        </is>
      </c>
      <c r="B217" s="19">
        <f>B208*B198/(B190+B191+B192+B193+B194+B195+B196+B197+B198+B199+B200+B201)</f>
        <v/>
      </c>
      <c r="F217" s="2" t="inlineStr">
        <is>
          <t>[calc]</t>
        </is>
      </c>
      <c r="G217" s="2" t="inlineStr">
        <is>
          <t>Mezcla FY2025 de los renglones distintos a D&amp;A</t>
        </is>
      </c>
    </row>
    <row r="218">
      <c r="A218" s="10" t="inlineStr">
        <is>
          <t xml:space="preserve">  Arrendamientos de bajo valor y corto plazo FY2026E</t>
        </is>
      </c>
      <c r="B218" s="19">
        <f>B208*B199/(B190+B191+B192+B193+B194+B195+B196+B197+B198+B199+B200+B201)</f>
        <v/>
      </c>
      <c r="F218" s="2" t="inlineStr">
        <is>
          <t>[calc]</t>
        </is>
      </c>
      <c r="G218" s="2" t="inlineStr">
        <is>
          <t>Mezcla FY2025 de los renglones distintos a D&amp;A</t>
        </is>
      </c>
    </row>
    <row r="219">
      <c r="A219" s="10" t="inlineStr">
        <is>
          <t xml:space="preserve">  Gastos de viaje FY2026E</t>
        </is>
      </c>
      <c r="B219" s="19">
        <f>B208*B200/(B190+B191+B192+B193+B194+B195+B196+B197+B198+B199+B200+B201)</f>
        <v/>
      </c>
      <c r="F219" s="2" t="inlineStr">
        <is>
          <t>[calc]</t>
        </is>
      </c>
      <c r="G219" s="2" t="inlineStr">
        <is>
          <t>Mezcla FY2025 de los renglones distintos a D&amp;A</t>
        </is>
      </c>
    </row>
    <row r="220">
      <c r="A220" s="10" t="inlineStr">
        <is>
          <t xml:space="preserve">  Otros FY2026E</t>
        </is>
      </c>
      <c r="B220" s="19">
        <f>B208*B201/(B190+B191+B192+B193+B194+B195+B196+B197+B198+B199+B200+B201)</f>
        <v/>
      </c>
      <c r="F220" s="2" t="inlineStr">
        <is>
          <t>[calc]</t>
        </is>
      </c>
      <c r="G220" s="2" t="inlineStr">
        <is>
          <t>Mezcla FY2025 de los renglones distintos a D&amp;A</t>
        </is>
      </c>
    </row>
    <row r="221">
      <c r="A221" s="10" t="inlineStr">
        <is>
          <t>Sueldos y prestaciones FY2027E</t>
        </is>
      </c>
      <c r="B221" s="19">
        <f>B209/B43*B142</f>
        <v/>
      </c>
      <c r="F221" s="2" t="inlineStr">
        <is>
          <t>[assumption]</t>
        </is>
      </c>
      <c r="G221" s="2" t="inlineStr">
        <is>
          <t>Equipo: sin ajuste especial (salario mínimo y jornada de 46 horas solo como riesgo); razón FY2026E sobre ventas</t>
        </is>
      </c>
    </row>
    <row r="222">
      <c r="A222" s="10" t="inlineStr">
        <is>
          <t>Fletes, combustibles y mantenimiento FY2027E</t>
        </is>
      </c>
      <c r="B222" s="19">
        <f>B210/B43*B142</f>
        <v/>
      </c>
      <c r="F222" s="2" t="inlineStr">
        <is>
          <t>[assumption]</t>
        </is>
      </c>
      <c r="G222" s="2" t="inlineStr">
        <is>
          <t>Equipo: razón FY2026E sobre ventas; el diésel queda como riesgo (no se publica el peso del combustible)</t>
        </is>
      </c>
    </row>
    <row r="223">
      <c r="A223" s="10" t="inlineStr">
        <is>
          <t>Publicidad y gastos promocionales FY2027E</t>
        </is>
      </c>
      <c r="B223" s="19">
        <f>B211/B43*B142</f>
        <v/>
      </c>
      <c r="F223" s="2" t="inlineStr">
        <is>
          <t>[assumption]</t>
        </is>
      </c>
      <c r="G223" s="2" t="inlineStr">
        <is>
          <t>Razón FY2026E sobre ventas</t>
        </is>
      </c>
    </row>
    <row r="224">
      <c r="A224" s="10" t="inlineStr">
        <is>
          <t>Servicios profesionales y consultorías FY2027E</t>
        </is>
      </c>
      <c r="B224" s="19">
        <f>B212/B43*B142</f>
        <v/>
      </c>
      <c r="F224" s="2" t="inlineStr">
        <is>
          <t>[assumption]</t>
        </is>
      </c>
      <c r="G224" s="2" t="inlineStr">
        <is>
          <t>Razón FY2026E sobre ventas</t>
        </is>
      </c>
    </row>
    <row r="225">
      <c r="A225" s="10" t="inlineStr">
        <is>
          <t>Costos logísticos FY2027E</t>
        </is>
      </c>
      <c r="B225" s="19">
        <f>B213/B43*B142</f>
        <v/>
      </c>
      <c r="F225" s="2" t="inlineStr">
        <is>
          <t>[assumption]</t>
        </is>
      </c>
      <c r="G225" s="2" t="inlineStr">
        <is>
          <t>Razón FY2026E sobre ventas</t>
        </is>
      </c>
    </row>
    <row r="226">
      <c r="A226" s="10" t="inlineStr">
        <is>
          <t>Cancelación y revaluación de planes de pensiones multipatronales FY2027E</t>
        </is>
      </c>
      <c r="B226" s="27" t="n">
        <v>0</v>
      </c>
      <c r="F226" s="2" t="inlineStr">
        <is>
          <t>[assumption]</t>
        </is>
      </c>
      <c r="G226" s="2" t="inlineStr">
        <is>
          <t>No recurrente: no se proyecta (equipo 2026-10-25, retro del asesor: orgánico, sin partidas no recurrentes)</t>
        </is>
      </c>
    </row>
    <row r="227">
      <c r="A227" s="10" t="inlineStr">
        <is>
          <t>Gastos de integración FY2027E</t>
        </is>
      </c>
      <c r="B227" s="27" t="n">
        <v>0</v>
      </c>
      <c r="F227" s="2" t="inlineStr">
        <is>
          <t>[assumption]</t>
        </is>
      </c>
      <c r="G227" s="2" t="inlineStr">
        <is>
          <t>No recurrente: no se proyecta (equipo 2026-10-25, retro del asesor: orgánico, sin partidas no recurrentes)</t>
        </is>
      </c>
    </row>
    <row r="228">
      <c r="A228" s="10" t="inlineStr">
        <is>
          <t>Impuestos indirectos FY2027E</t>
        </is>
      </c>
      <c r="B228" s="19">
        <f>B216/B43*B142</f>
        <v/>
      </c>
      <c r="F228" s="2" t="inlineStr">
        <is>
          <t>[assumption]</t>
        </is>
      </c>
      <c r="G228" s="2" t="inlineStr">
        <is>
          <t>Razón FY2026E sobre ventas</t>
        </is>
      </c>
    </row>
    <row r="229">
      <c r="A229" s="10" t="inlineStr">
        <is>
          <t>Gastos de reestructuración FY2027E</t>
        </is>
      </c>
      <c r="B229" s="27" t="n">
        <v>0</v>
      </c>
      <c r="F229" s="2" t="inlineStr">
        <is>
          <t>[assumption]</t>
        </is>
      </c>
      <c r="G229" s="2" t="inlineStr">
        <is>
          <t>No recurrente: no se proyecta (equipo 2026-10-25, retro del asesor: orgánico, sin partidas no recurrentes)</t>
        </is>
      </c>
    </row>
    <row r="230">
      <c r="A230" s="10" t="inlineStr">
        <is>
          <t>Arrendamientos de bajo valor y corto plazo FY2027E</t>
        </is>
      </c>
      <c r="B230" s="19">
        <f>B218/B43*B142</f>
        <v/>
      </c>
      <c r="F230" s="2" t="inlineStr">
        <is>
          <t>[assumption]</t>
        </is>
      </c>
      <c r="G230" s="2" t="inlineStr">
        <is>
          <t>Razón FY2026E sobre ventas</t>
        </is>
      </c>
    </row>
    <row r="231">
      <c r="A231" s="10" t="inlineStr">
        <is>
          <t>Gastos de viaje FY2027E</t>
        </is>
      </c>
      <c r="B231" s="19">
        <f>B219/B43*B142</f>
        <v/>
      </c>
      <c r="F231" s="2" t="inlineStr">
        <is>
          <t>[assumption]</t>
        </is>
      </c>
      <c r="G231" s="2" t="inlineStr">
        <is>
          <t>Razón FY2026E sobre ventas</t>
        </is>
      </c>
    </row>
    <row r="232">
      <c r="A232" s="10" t="inlineStr">
        <is>
          <t>Otros FY2027E</t>
        </is>
      </c>
      <c r="B232" s="19">
        <f>B220/B43*B142*(1-B204/B201)</f>
        <v/>
      </c>
      <c r="F232" s="2" t="inlineStr">
        <is>
          <t>[assumption]</t>
        </is>
      </c>
      <c r="G232" s="2" t="inlineStr">
        <is>
          <t>Razón a ventas FY2026E, menos la parte no recurrente de FY2025 (deterioro, utilidad en PP&amp;E)</t>
        </is>
      </c>
    </row>
    <row r="233">
      <c r="A233" s="10" t="inlineStr">
        <is>
          <t>Depreciación y amortización en gastos FY2027E</t>
        </is>
      </c>
      <c r="B233" s="19">
        <f>B78+B80+(B207-B78-B80)*B187/B186</f>
        <v/>
      </c>
      <c r="F233" s="2" t="inlineStr">
        <is>
          <t>[calc]</t>
        </is>
      </c>
      <c r="G233" s="2" t="inlineStr">
        <is>
          <t>Depreciación de derechos de uso y amortización de intangibles en su nivel FY2025; la parte de PP&amp;E se mueve con la depreciación de PP&amp;E</t>
        </is>
      </c>
    </row>
    <row r="234">
      <c r="A234" s="10" t="inlineStr">
        <is>
          <t>Gastos generales y otros gastos FY2027E</t>
        </is>
      </c>
      <c r="B234" s="19">
        <f>B233+B221+B222+B223+B224+B225+B226+B227+B228+B229+B230+B231+B232</f>
        <v/>
      </c>
      <c r="F234" s="2" t="inlineStr">
        <is>
          <t>[calc]</t>
        </is>
      </c>
      <c r="G234" s="2" t="inlineStr">
        <is>
          <t>Alimenta el ER</t>
        </is>
      </c>
    </row>
    <row r="235">
      <c r="A235" s="10" t="inlineStr">
        <is>
          <t xml:space="preserve">  Otros (ingresos) gastos, neto</t>
        </is>
      </c>
      <c r="B235" s="19">
        <f>B56*B206/B205/B43*B142</f>
        <v/>
      </c>
      <c r="F235" s="2" t="inlineStr">
        <is>
          <t>[calc]</t>
        </is>
      </c>
      <c r="G235" s="2" t="inlineStr">
        <is>
          <t>Razón a ventas FY2026E, solo la parte recurrente (mezcla FY2025, EEFF25 p.83): sin reestructura, planes multipatronales, deterioros ni utilidades</t>
        </is>
      </c>
    </row>
    <row r="236">
      <c r="A236" s="10" t="inlineStr">
        <is>
          <t xml:space="preserve">  Integración</t>
        </is>
      </c>
      <c r="B236" s="19">
        <f>B227</f>
        <v/>
      </c>
      <c r="F236" s="2" t="inlineStr">
        <is>
          <t>[calc]</t>
        </is>
      </c>
      <c r="G236" s="2" t="inlineStr"/>
    </row>
    <row r="237">
      <c r="A237" s="10" t="inlineStr">
        <is>
          <t xml:space="preserve">  Distribución y venta</t>
        </is>
      </c>
      <c r="B237" s="19">
        <f>(B234-B235-B236)*ER!F9/(ER!F9+ER!F10)</f>
        <v/>
      </c>
      <c r="F237" s="2" t="inlineStr">
        <is>
          <t>[calc]</t>
        </is>
      </c>
      <c r="G237" s="2" t="inlineStr">
        <is>
          <t>Reparto FY2025 entre distribución y administración</t>
        </is>
      </c>
    </row>
    <row r="238">
      <c r="A238" s="10" t="inlineStr">
        <is>
          <t xml:space="preserve">  Administración</t>
        </is>
      </c>
      <c r="B238" s="19">
        <f>B234-B235-B236-B237</f>
        <v/>
      </c>
      <c r="F238" s="2" t="inlineStr">
        <is>
          <t>[calc]</t>
        </is>
      </c>
      <c r="G238" s="2" t="inlineStr"/>
    </row>
    <row r="239">
      <c r="A239" s="10" t="inlineStr">
        <is>
          <t>D&amp;A FY2027E (memo del ER)</t>
        </is>
      </c>
      <c r="B239" s="19">
        <f>B172+B233</f>
        <v/>
      </c>
      <c r="F239" s="2" t="inlineStr">
        <is>
          <t>[calc]</t>
        </is>
      </c>
      <c r="G239" s="2" t="inlineStr">
        <is>
          <t>Depreciación en costo de ventas + D&amp;A en gastos</t>
        </is>
      </c>
    </row>
    <row r="240">
      <c r="A240" s="10" t="inlineStr">
        <is>
          <t>Gastos generales y otros gastos / ventas FY2027E</t>
        </is>
      </c>
      <c r="B240" s="20">
        <f>B234/B142</f>
        <v/>
      </c>
      <c r="F240" s="2" t="inlineStr">
        <is>
          <t>[calc]</t>
        </is>
      </c>
      <c r="G240" s="2" t="inlineStr">
        <is>
          <t>Comparar con FY2026E</t>
        </is>
      </c>
    </row>
    <row r="241">
      <c r="A241" s="10" t="inlineStr">
        <is>
          <t>Gastos generales y otros gastos / ventas FY2026E</t>
        </is>
      </c>
      <c r="B241" s="20">
        <f>(B58+B56)/B43</f>
        <v/>
      </c>
      <c r="F241" s="2" t="inlineStr">
        <is>
          <t>[calc]</t>
        </is>
      </c>
      <c r="G241" s="2" t="inlineStr"/>
    </row>
    <row r="242">
      <c r="A242" s="10" t="inlineStr">
        <is>
          <t>Utilidad de operación FY2027E</t>
        </is>
      </c>
      <c r="B242" s="19">
        <f>B142-B174-B234</f>
        <v/>
      </c>
      <c r="F242" s="2" t="inlineStr">
        <is>
          <t>[calc]</t>
        </is>
      </c>
      <c r="G242" s="2" t="inlineStr"/>
    </row>
    <row r="243">
      <c r="A243" s="10" t="inlineStr">
        <is>
          <t>Margen EBITDA ajustado FY2027E</t>
        </is>
      </c>
      <c r="B243" s="20">
        <f>(B242+B239)/B142</f>
        <v/>
      </c>
      <c r="F243" s="2" t="inlineStr">
        <is>
          <t>[calc]</t>
        </is>
      </c>
      <c r="G243" s="2" t="inlineStr">
        <is>
          <t>Resultado, no meta; comparar con FY2026E sin reestructura</t>
        </is>
      </c>
    </row>
    <row r="244">
      <c r="A244" s="10" t="inlineStr">
        <is>
          <t>Margen UAFIDA ajustada FY2026E sin reestructura (solo para comparar)</t>
        </is>
      </c>
      <c r="B244" s="20">
        <f>(B49+B217)/B43</f>
        <v/>
      </c>
      <c r="F244" s="2" t="inlineStr">
        <is>
          <t>[calc]</t>
        </is>
      </c>
      <c r="G244" s="2" t="inlineStr">
        <is>
          <t>FY2026E conserva la reestructura registrada en 9M26; FY2027E no tiene, así que FY2027E se compara con este renglón</t>
        </is>
      </c>
    </row>
    <row r="245">
      <c r="A245" t="inlineStr"/>
    </row>
    <row r="246">
      <c r="A246" s="8" t="inlineStr">
        <is>
          <t>FY2027E debajo de la utilidad de operación (decisiones del equipo 2026-10-23)</t>
        </is>
      </c>
      <c r="B246" s="9" t="n"/>
      <c r="C246" s="9" t="n"/>
      <c r="D246" s="9" t="n"/>
      <c r="E246" s="9" t="n"/>
    </row>
    <row r="247">
      <c r="A247" s="10" t="inlineStr">
        <is>
          <t>Deuda bruta al 31-dic-2026E</t>
        </is>
      </c>
      <c r="B247" s="19">
        <f>BG!G25+BG!G35</f>
        <v/>
      </c>
      <c r="F247" s="2" t="inlineStr">
        <is>
          <t>[calc]</t>
        </is>
      </c>
      <c r="G247" s="2" t="inlineStr">
        <is>
          <t>Balance general FY2026E</t>
        </is>
      </c>
    </row>
    <row r="248">
      <c r="A248" s="10" t="inlineStr">
        <is>
          <t>Deuda que vence en 2027 (millones de US$)</t>
        </is>
      </c>
      <c r="B248" s="11" t="n">
        <v>677</v>
      </c>
      <c r="F248" s="2" t="inlineStr">
        <is>
          <t>[sourced]</t>
        </is>
      </c>
      <c r="G248" s="2" t="inlineStr">
        <is>
          <t>Perfil de amortización, reporte 3T26 p.6</t>
        </is>
      </c>
    </row>
    <row r="249">
      <c r="A249" s="10" t="inlineStr">
        <is>
          <t>Vencimiento 2027 pagado</t>
        </is>
      </c>
      <c r="B249" s="19">
        <f>B248*B88</f>
        <v/>
      </c>
      <c r="F249" s="2" t="inlineStr">
        <is>
          <t>[sourced]</t>
        </is>
      </c>
      <c r="G249" s="2" t="inlineStr">
        <is>
          <t>Vencimiento contractual al USD/MXN 17.84 del perfil (sobre todo Bimbo 17, MXN 9,633, vence 24-sep-2027)</t>
        </is>
      </c>
    </row>
    <row r="250">
      <c r="A250" s="10" t="inlineStr">
        <is>
          <t>Deuda nueva FY2027E (refinanciamiento del vencimiento 2027)</t>
        </is>
      </c>
      <c r="B250" s="19">
        <f>B249</f>
        <v/>
      </c>
      <c r="F250" s="2" t="inlineStr">
        <is>
          <t>[assumption]</t>
        </is>
      </c>
      <c r="G250" s="2" t="inlineStr">
        <is>
          <t>Equipo 2026-10-25: se refinancia completo, como Bimbo hizo en 2025 (MXN 15 mil millones) y 2026 (MXN 12 mil millones, Bimbo 16 prepagado el 10-feb-2026); la deuda neta es la misma en ambos casos</t>
        </is>
      </c>
    </row>
    <row r="251">
      <c r="A251" s="10" t="inlineStr">
        <is>
          <t>Deuda que vence en 2028 (millones de US$)</t>
        </is>
      </c>
      <c r="B251" s="11" t="n">
        <v>833</v>
      </c>
      <c r="F251" s="2" t="inlineStr">
        <is>
          <t>[sourced]</t>
        </is>
      </c>
      <c r="G251" s="2" t="inlineStr">
        <is>
          <t>Perfil de vencimientos, presentación a inversionistas 2T26 p.17 (el más reciente con 2028; en los archivos el perfil 3T26 solo muestra 2027)</t>
        </is>
      </c>
    </row>
    <row r="252">
      <c r="A252" s="10" t="inlineStr">
        <is>
          <t>Vencimiento 2028, porción circulante al 31-dic-2027E</t>
        </is>
      </c>
      <c r="B252" s="19">
        <f>B251*B88</f>
        <v/>
      </c>
      <c r="F252" s="2" t="inlineStr">
        <is>
          <t>[calc]</t>
        </is>
      </c>
      <c r="G252" s="2" t="inlineStr">
        <is>
          <t>Se reclasifica de largo a corto plazo: vence dentro de los 12 meses siguientes a la fecha del balance</t>
        </is>
      </c>
    </row>
    <row r="253">
      <c r="A253" s="10" t="inlineStr">
        <is>
          <t>Deuda bruta al 31-dic-2027E</t>
        </is>
      </c>
      <c r="B253" s="19">
        <f>B247-B249+B250</f>
        <v/>
      </c>
      <c r="F253" s="2" t="inlineStr">
        <is>
          <t>[calc]</t>
        </is>
      </c>
      <c r="G253" s="2" t="inlineStr">
        <is>
          <t>En pesos a 17.84 (equipo): la conversión del saldo cubierto va a ORI</t>
        </is>
      </c>
    </row>
    <row r="254">
      <c r="A254" s="10" t="inlineStr">
        <is>
          <t>Costo promedio de la deuda (incluye derivados)</t>
        </is>
      </c>
      <c r="B254" s="25" t="n">
        <v>0.065</v>
      </c>
      <c r="F254" s="2" t="inlineStr">
        <is>
          <t>[sourced]</t>
        </is>
      </c>
      <c r="G254" s="2" t="inlineStr">
        <is>
          <t>Rep. 3T26 p.6</t>
        </is>
      </c>
    </row>
    <row r="255">
      <c r="A255" s="10" t="inlineStr">
        <is>
          <t>Proporción de deuda fuera de pesos</t>
        </is>
      </c>
      <c r="B255" s="25" t="n">
        <v>0.6</v>
      </c>
      <c r="F255" s="2" t="inlineStr">
        <is>
          <t>[sourced]</t>
        </is>
      </c>
      <c r="G255" s="2" t="inlineStr">
        <is>
          <t>43% USD, 12% EUR, 3% CAD, 2% GBP; rep. 3T26 p.6</t>
        </is>
      </c>
    </row>
    <row r="256">
      <c r="A256" s="10" t="inlineStr">
        <is>
          <t>Factor cambiario sobre intereses</t>
        </is>
      </c>
      <c r="B256" s="24">
        <f>(1-B255)+B255*B181/B88</f>
        <v/>
      </c>
      <c r="F256" s="2" t="inlineStr">
        <is>
          <t>[calc]</t>
        </is>
      </c>
      <c r="G256" s="2" t="inlineStr">
        <is>
          <t>Equipo: el tipo de cambio entra por los intereses; USD/MXN promedio FY2027E vs el 17.84 del saldo</t>
        </is>
      </c>
    </row>
    <row r="257">
      <c r="A257" s="10" t="inlineStr">
        <is>
          <t>Intereses a cargo FY2027E</t>
        </is>
      </c>
      <c r="B257" s="19">
        <f>(B247+B253)/2*B254*B256+B79</f>
        <v/>
      </c>
      <c r="F257" s="2" t="inlineStr">
        <is>
          <t>[calc]</t>
        </is>
      </c>
      <c r="G257" s="2" t="inlineStr">
        <is>
          <t>Deuda bruta promedio x 6.5% x factor cambiario + intereses de arrendamiento (FY2025, EEFF25 p.83)</t>
        </is>
      </c>
    </row>
    <row r="258">
      <c r="A258" s="10" t="inlineStr">
        <is>
          <t>Pérdida (ganancia) por posición monetaria FY2027E</t>
        </is>
      </c>
      <c r="B258" s="19">
        <f>B67</f>
        <v/>
      </c>
      <c r="F258" s="2" t="inlineStr">
        <is>
          <t>[assumption]</t>
        </is>
      </c>
      <c r="G258" s="2" t="inlineStr">
        <is>
          <t>En su nivel FY2026E</t>
        </is>
      </c>
    </row>
    <row r="259">
      <c r="A259" s="10" t="inlineStr">
        <is>
          <t>Participación en resultados de asociadas FY2027E</t>
        </is>
      </c>
      <c r="B259" s="19">
        <f>B68</f>
        <v/>
      </c>
      <c r="F259" s="2" t="inlineStr">
        <is>
          <t>[assumption]</t>
        </is>
      </c>
      <c r="G259" s="2" t="inlineStr">
        <is>
          <t>En su nivel FY2026E</t>
        </is>
      </c>
    </row>
    <row r="260">
      <c r="A260" s="10" t="inlineStr">
        <is>
          <t>Tasa efectiva de impuestos FY2027E</t>
        </is>
      </c>
      <c r="B260" s="21" t="n">
        <v>0.37</v>
      </c>
      <c r="F260" s="2" t="inlineStr">
        <is>
          <t>[assumption]</t>
        </is>
      </c>
      <c r="G260" s="2" t="inlineStr">
        <is>
          <t>PROPUESTA, pendiente del equipo: se mantiene la tasa 9M de FY2026E; Brasil madura hasta el 3T27, así que el efecto de pérdidas fiscales no reconocidas (+4.18 pp en FY2025, EEFF25 p.57) sigue todo el año</t>
        </is>
      </c>
    </row>
    <row r="261">
      <c r="A261" s="10" t="inlineStr">
        <is>
          <t>Participación no controladora FY2027E</t>
        </is>
      </c>
      <c r="B261" s="19">
        <f>B70/B43*B142</f>
        <v/>
      </c>
      <c r="F261" s="2" t="inlineStr">
        <is>
          <t>[calc]</t>
        </is>
      </c>
      <c r="G261" s="2" t="inlineStr">
        <is>
          <t>Razón FY2026E sobre ventas: los distribuidores de EUA ganan sobre ventas, no sobre los intereses ni impuestos de Bimbo</t>
        </is>
      </c>
    </row>
    <row r="262">
      <c r="A262" t="inlineStr"/>
    </row>
    <row r="263">
      <c r="A263" s="8" t="inlineStr">
        <is>
          <t>Balance y flujo FY2027E (mismos métodos que FY2026E)</t>
        </is>
      </c>
      <c r="B263" s="9" t="n"/>
      <c r="C263" s="9" t="n"/>
      <c r="D263" s="9" t="n"/>
      <c r="E263" s="9" t="n"/>
    </row>
    <row r="264">
      <c r="A264" s="10" t="inlineStr">
        <is>
          <t>Inflación al consumidor de México 2027 (promedio anual)</t>
        </is>
      </c>
      <c r="B264" s="25" t="n">
        <v>0.039</v>
      </c>
      <c r="F264" s="2" t="inlineStr">
        <is>
          <t>[sourced]</t>
        </is>
      </c>
      <c r="G264" s="2" t="inlineStr">
        <is>
          <t>Capital IQ consumerPriceInflation, data/capitaliq/capiq-sales-drivers-M1_2026-10-24.md; data/macro/nominal_gdp_growth_2016-2030.xlsx, hoja IAS29_test</t>
        </is>
      </c>
    </row>
    <row r="265">
      <c r="A265" s="10" t="inlineStr">
        <is>
          <t>Dividendo por acción 2027 (MXN)</t>
        </is>
      </c>
      <c r="B265" s="19">
        <f>B90*(1+B264)</f>
        <v/>
      </c>
      <c r="F265" s="2" t="inlineStr">
        <is>
          <t>[assumption]</t>
        </is>
      </c>
      <c r="G265" s="2" t="inlineStr">
        <is>
          <t>CFO: crecer el dividendo 'ligeramente arriba de la inflación' (llamada 3T26); 'ligeramente' no se cuantifica, así que a la inflación</t>
        </is>
      </c>
    </row>
    <row r="266">
      <c r="A266" s="10" t="inlineStr">
        <is>
          <t>Dividendos decretados FY2027E, controladora</t>
        </is>
      </c>
      <c r="B266" s="19">
        <f>B265*B71</f>
        <v/>
      </c>
      <c r="F266" s="2" t="inlineStr">
        <is>
          <t>[calc]</t>
        </is>
      </c>
      <c r="G266" s="2" t="inlineStr">
        <is>
          <t>Mismo número de acciones que FY2026E</t>
        </is>
      </c>
    </row>
    <row r="267">
      <c r="A267" s="10" t="inlineStr">
        <is>
          <t>Dividendos a la participación no controladora FY2027E</t>
        </is>
      </c>
      <c r="B267" s="19">
        <f>B92</f>
        <v/>
      </c>
      <c r="F267" s="2" t="inlineStr">
        <is>
          <t>[assumption]</t>
        </is>
      </c>
      <c r="G267" s="2" t="inlineStr">
        <is>
          <t>Igual que FY2026E (FY2025)</t>
        </is>
      </c>
    </row>
    <row r="268">
      <c r="A268" s="10" t="inlineStr">
        <is>
          <t>Recompra de acciones FY2027E</t>
        </is>
      </c>
      <c r="B268" s="19">
        <f>-AVERAGE(FE!B62:F62)</f>
        <v/>
      </c>
      <c r="F268" s="2" t="inlineStr">
        <is>
          <t>[assumption]</t>
        </is>
      </c>
      <c r="G268" s="2" t="inlineStr">
        <is>
          <t>Equipo 2026-10-25: promedio FY2021-FY2025 (estado de flujos); CFO: el programa continúa, sin monto (llamada 3T26)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70" customWidth="1" min="13" max="13"/>
  </cols>
  <sheetData>
    <row r="1">
      <c r="A1" s="1" t="inlineStr">
        <is>
          <t>Grupo Bimbo - Ventas netas y UAFIDA Ajustada por región (historia)</t>
        </is>
      </c>
    </row>
    <row r="2">
      <c r="A2" s="2" t="inlineStr">
        <is>
          <t>Nota de segmentos auditada, solo como referencia para calibrar las tesis. No se proyecta ni se cuadra por región.</t>
        </is>
      </c>
    </row>
    <row r="3">
      <c r="B3" s="4" t="inlineStr">
        <is>
          <t>Real (auditado)</t>
        </is>
      </c>
      <c r="G3" s="5" t="inlineStr">
        <is>
          <t>Proyección - el equipo proyecta y cuadra</t>
        </is>
      </c>
    </row>
    <row r="4">
      <c r="A4" s="6" t="inlineStr">
        <is>
          <t>Millones de MXN</t>
        </is>
      </c>
      <c r="B4" s="7" t="inlineStr">
        <is>
          <t>2021R</t>
        </is>
      </c>
      <c r="C4" s="7" t="inlineStr">
        <is>
          <t>2022R</t>
        </is>
      </c>
      <c r="D4" s="7" t="inlineStr">
        <is>
          <t>2023R</t>
        </is>
      </c>
      <c r="E4" s="7" t="inlineStr">
        <is>
          <t>2024R</t>
        </is>
      </c>
      <c r="F4" s="7" t="inlineStr">
        <is>
          <t>2025R</t>
        </is>
      </c>
      <c r="G4" s="7" t="inlineStr">
        <is>
          <t>2026E</t>
        </is>
      </c>
      <c r="H4" s="7" t="inlineStr">
        <is>
          <t>2027E</t>
        </is>
      </c>
      <c r="I4" s="7" t="inlineStr">
        <is>
          <t>2028E</t>
        </is>
      </c>
      <c r="J4" s="7" t="inlineStr">
        <is>
          <t>2029E</t>
        </is>
      </c>
      <c r="K4" s="7" t="inlineStr">
        <is>
          <t>2030E</t>
        </is>
      </c>
      <c r="L4" s="6" t="inlineStr">
        <is>
          <t>Etiqueta</t>
        </is>
      </c>
      <c r="M4" s="6" t="inlineStr">
        <is>
          <t>Fuente / nota</t>
        </is>
      </c>
    </row>
    <row r="5">
      <c r="A5" s="8" t="inlineStr">
        <is>
          <t>Ventas netas por región (antes de eliminaciones entre segmentos)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</row>
    <row r="6">
      <c r="A6" s="10" t="inlineStr">
        <is>
          <t>México</t>
        </is>
      </c>
      <c r="B6" s="11" t="n">
        <v>109089</v>
      </c>
      <c r="C6" s="11" t="n">
        <v>130401</v>
      </c>
      <c r="D6" s="11" t="n">
        <v>145387</v>
      </c>
      <c r="E6" s="11" t="n">
        <v>151164</v>
      </c>
      <c r="F6" s="11" t="n">
        <v>154809</v>
      </c>
      <c r="G6" s="19" t="n"/>
      <c r="H6" s="19" t="n"/>
      <c r="I6" s="19" t="n"/>
      <c r="J6" s="19" t="n"/>
      <c r="K6" s="19" t="n"/>
      <c r="L6" s="2" t="inlineStr">
        <is>
          <t>[sourced]</t>
        </is>
      </c>
      <c r="M6" s="2" t="inlineStr">
        <is>
          <t>Nota de segmentos: RA23 p.359 (2021), p.358 (2022); IA25 p.86 (2023-24), p.85 (2025)</t>
        </is>
      </c>
    </row>
    <row r="7">
      <c r="A7" s="10" t="inlineStr">
        <is>
          <t>Norteamérica</t>
        </is>
      </c>
      <c r="B7" s="11" t="n">
        <v>175369</v>
      </c>
      <c r="C7" s="11" t="n">
        <v>205674</v>
      </c>
      <c r="D7" s="11" t="n">
        <v>192534</v>
      </c>
      <c r="E7" s="11" t="n">
        <v>189330</v>
      </c>
      <c r="F7" s="11" t="n">
        <v>190211</v>
      </c>
      <c r="G7" s="19" t="n"/>
      <c r="H7" s="19" t="n"/>
      <c r="I7" s="19" t="n"/>
      <c r="J7" s="19" t="n"/>
      <c r="K7" s="19" t="n"/>
      <c r="L7" s="2" t="inlineStr">
        <is>
          <t>[sourced]</t>
        </is>
      </c>
      <c r="M7" s="2" t="inlineStr">
        <is>
          <t>Nota de segmentos: RA23 p.359 (2021), p.358 (2022); IA25 p.86 (2023-24), p.85 (2025)</t>
        </is>
      </c>
    </row>
    <row r="8">
      <c r="A8" s="10" t="inlineStr">
        <is>
          <t>Latinoamérica</t>
        </is>
      </c>
      <c r="B8" s="11" t="n">
        <v>31109</v>
      </c>
      <c r="C8" s="11" t="n">
        <v>38411</v>
      </c>
      <c r="D8" s="11" t="n">
        <v>36647</v>
      </c>
      <c r="E8" s="11" t="n">
        <v>39879</v>
      </c>
      <c r="F8" s="11" t="n">
        <v>44120</v>
      </c>
      <c r="G8" s="19" t="n"/>
      <c r="H8" s="19" t="n"/>
      <c r="I8" s="19" t="n"/>
      <c r="J8" s="19" t="n"/>
      <c r="K8" s="19" t="n"/>
      <c r="L8" s="2" t="inlineStr">
        <is>
          <t>[sourced]</t>
        </is>
      </c>
      <c r="M8" s="2" t="inlineStr">
        <is>
          <t>Nota de segmentos: RA23 p.359 (2021), p.358 (2022); IA25 p.86 (2023-24), p.85 (2025)</t>
        </is>
      </c>
    </row>
    <row r="9">
      <c r="A9" s="10" t="inlineStr">
        <is>
          <t>Europa, Asia y África (EAA)</t>
        </is>
      </c>
      <c r="B9" s="11" t="n">
        <v>34195</v>
      </c>
      <c r="C9" s="11" t="n">
        <v>37536</v>
      </c>
      <c r="D9" s="11" t="n">
        <v>40545</v>
      </c>
      <c r="E9" s="11" t="n">
        <v>45044</v>
      </c>
      <c r="F9" s="11" t="n">
        <v>54214</v>
      </c>
      <c r="G9" s="19" t="n"/>
      <c r="H9" s="19" t="n"/>
      <c r="I9" s="19" t="n"/>
      <c r="J9" s="19" t="n"/>
      <c r="K9" s="19" t="n"/>
      <c r="L9" s="2" t="inlineStr">
        <is>
          <t>[sourced]</t>
        </is>
      </c>
      <c r="M9" s="2" t="inlineStr">
        <is>
          <t>Nota de segmentos: RA23 p.359 (2021), p.358 (2022); IA25 p.86 (2023-24), p.85 (2025)</t>
        </is>
      </c>
    </row>
    <row r="10">
      <c r="A10" s="10" t="inlineStr">
        <is>
          <t>Eliminaciones entre segmentos</t>
        </is>
      </c>
      <c r="B10" s="11" t="n">
        <v>-10970</v>
      </c>
      <c r="C10" s="11" t="n">
        <v>-13316</v>
      </c>
      <c r="D10" s="11" t="n">
        <v>-15234</v>
      </c>
      <c r="E10" s="11" t="n">
        <v>-17082</v>
      </c>
      <c r="F10" s="11" t="n">
        <v>-16402</v>
      </c>
      <c r="G10" s="19" t="n"/>
      <c r="H10" s="19" t="n"/>
      <c r="I10" s="19" t="n"/>
      <c r="J10" s="19" t="n"/>
      <c r="K10" s="19" t="n"/>
      <c r="L10" s="2" t="inlineStr">
        <is>
          <t>[sourced]</t>
        </is>
      </c>
      <c r="M10" s="2" t="inlineStr">
        <is>
          <t>Nota de segmentos: RA23 p.359 (2021), p.358 (2022); IA25 p.86 (2023-24), p.85 (2025)</t>
        </is>
      </c>
    </row>
    <row r="11">
      <c r="A11" s="3" t="inlineStr">
        <is>
          <t>Ventas netas consolidadas</t>
        </is>
      </c>
      <c r="B11" s="14">
        <f>SUM(B6:B10)</f>
        <v/>
      </c>
      <c r="C11" s="14">
        <f>SUM(C6:C10)</f>
        <v/>
      </c>
      <c r="D11" s="14">
        <f>SUM(D6:D10)</f>
        <v/>
      </c>
      <c r="E11" s="14">
        <f>SUM(E6:E10)</f>
        <v/>
      </c>
      <c r="F11" s="14">
        <f>SUM(F6:F10)</f>
        <v/>
      </c>
      <c r="G11" s="32" t="n"/>
      <c r="H11" s="32" t="n"/>
      <c r="I11" s="32" t="n"/>
      <c r="J11" s="32" t="n"/>
      <c r="K11" s="32" t="n"/>
      <c r="L11" s="2" t="inlineStr">
        <is>
          <t>[calc]</t>
        </is>
      </c>
      <c r="M11" s="2" t="inlineStr">
        <is>
          <t>Igual a las ventas netas del ER</t>
        </is>
      </c>
    </row>
    <row r="12">
      <c r="A12" t="inlineStr"/>
    </row>
    <row r="13">
      <c r="A13" s="8" t="inlineStr">
        <is>
          <t>Crecimiento de ventas netas (en MXN, incluye efecto cambiario)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</row>
    <row r="14">
      <c r="A14" s="10" t="inlineStr">
        <is>
          <t>México</t>
        </is>
      </c>
      <c r="B14" s="20" t="n"/>
      <c r="C14" s="33">
        <f>IFERROR(C6/B6-1,0)</f>
        <v/>
      </c>
      <c r="D14" s="33">
        <f>IFERROR(D6/C6-1,0)</f>
        <v/>
      </c>
      <c r="E14" s="33">
        <f>IFERROR(E6/D6-1,0)</f>
        <v/>
      </c>
      <c r="F14" s="33">
        <f>IFERROR(F6/E6-1,0)</f>
        <v/>
      </c>
      <c r="G14" s="20" t="n"/>
      <c r="H14" s="20" t="n"/>
      <c r="I14" s="20" t="n"/>
      <c r="J14" s="20" t="n"/>
      <c r="K14" s="20" t="n"/>
      <c r="L14" s="2" t="inlineStr">
        <is>
          <t>[calc]</t>
        </is>
      </c>
      <c r="M14" s="2" t="inlineStr"/>
    </row>
    <row r="15">
      <c r="A15" s="10" t="inlineStr">
        <is>
          <t>Norteamérica</t>
        </is>
      </c>
      <c r="B15" s="20" t="n"/>
      <c r="C15" s="33">
        <f>IFERROR(C7/B7-1,0)</f>
        <v/>
      </c>
      <c r="D15" s="33">
        <f>IFERROR(D7/C7-1,0)</f>
        <v/>
      </c>
      <c r="E15" s="33">
        <f>IFERROR(E7/D7-1,0)</f>
        <v/>
      </c>
      <c r="F15" s="33">
        <f>IFERROR(F7/E7-1,0)</f>
        <v/>
      </c>
      <c r="G15" s="20" t="n"/>
      <c r="H15" s="20" t="n"/>
      <c r="I15" s="20" t="n"/>
      <c r="J15" s="20" t="n"/>
      <c r="K15" s="20" t="n"/>
      <c r="L15" s="2" t="inlineStr">
        <is>
          <t>[calc]</t>
        </is>
      </c>
      <c r="M15" s="2" t="inlineStr"/>
    </row>
    <row r="16">
      <c r="A16" s="10" t="inlineStr">
        <is>
          <t>Latinoamérica</t>
        </is>
      </c>
      <c r="B16" s="20" t="n"/>
      <c r="C16" s="33">
        <f>IFERROR(C8/B8-1,0)</f>
        <v/>
      </c>
      <c r="D16" s="33">
        <f>IFERROR(D8/C8-1,0)</f>
        <v/>
      </c>
      <c r="E16" s="33">
        <f>IFERROR(E8/D8-1,0)</f>
        <v/>
      </c>
      <c r="F16" s="33">
        <f>IFERROR(F8/E8-1,0)</f>
        <v/>
      </c>
      <c r="G16" s="20" t="n"/>
      <c r="H16" s="20" t="n"/>
      <c r="I16" s="20" t="n"/>
      <c r="J16" s="20" t="n"/>
      <c r="K16" s="20" t="n"/>
      <c r="L16" s="2" t="inlineStr">
        <is>
          <t>[calc]</t>
        </is>
      </c>
      <c r="M16" s="2" t="inlineStr"/>
    </row>
    <row r="17">
      <c r="A17" s="10" t="inlineStr">
        <is>
          <t>Europa, Asia y África (EAA)</t>
        </is>
      </c>
      <c r="B17" s="20" t="n"/>
      <c r="C17" s="33">
        <f>IFERROR(C9/B9-1,0)</f>
        <v/>
      </c>
      <c r="D17" s="33">
        <f>IFERROR(D9/C9-1,0)</f>
        <v/>
      </c>
      <c r="E17" s="33">
        <f>IFERROR(E9/D9-1,0)</f>
        <v/>
      </c>
      <c r="F17" s="33">
        <f>IFERROR(F9/E9-1,0)</f>
        <v/>
      </c>
      <c r="G17" s="20" t="n"/>
      <c r="H17" s="20" t="n"/>
      <c r="I17" s="20" t="n"/>
      <c r="J17" s="20" t="n"/>
      <c r="K17" s="20" t="n"/>
      <c r="L17" s="2" t="inlineStr">
        <is>
          <t>[calc]</t>
        </is>
      </c>
      <c r="M17" s="2" t="inlineStr"/>
    </row>
    <row r="18">
      <c r="A18" s="3" t="inlineStr">
        <is>
          <t>Ventas netas consolidadas</t>
        </is>
      </c>
      <c r="B18" s="34" t="n"/>
      <c r="C18" s="35">
        <f>IFERROR(C11/B11-1,0)</f>
        <v/>
      </c>
      <c r="D18" s="35">
        <f>IFERROR(D11/C11-1,0)</f>
        <v/>
      </c>
      <c r="E18" s="35">
        <f>IFERROR(E11/D11-1,0)</f>
        <v/>
      </c>
      <c r="F18" s="35">
        <f>IFERROR(F11/E11-1,0)</f>
        <v/>
      </c>
      <c r="G18" s="34" t="n"/>
      <c r="H18" s="34" t="n"/>
      <c r="I18" s="34" t="n"/>
      <c r="J18" s="34" t="n"/>
      <c r="K18" s="34" t="n"/>
      <c r="L18" s="2" t="inlineStr">
        <is>
          <t>[calc]</t>
        </is>
      </c>
      <c r="M18" s="2" t="inlineStr"/>
    </row>
    <row r="19">
      <c r="A19" t="inlineStr"/>
    </row>
    <row r="20">
      <c r="A20" s="8" t="inlineStr">
        <is>
          <t>Utilidad de operación por región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>
      <c r="A21" s="10" t="inlineStr">
        <is>
          <t>México</t>
        </is>
      </c>
      <c r="B21" s="11" t="n">
        <v>16731</v>
      </c>
      <c r="C21" s="11" t="n">
        <v>18824</v>
      </c>
      <c r="D21" s="11" t="n">
        <v>21882</v>
      </c>
      <c r="E21" s="11" t="n">
        <v>23726</v>
      </c>
      <c r="F21" s="11" t="n">
        <v>23442</v>
      </c>
      <c r="G21" s="19" t="n"/>
      <c r="H21" s="19" t="n"/>
      <c r="I21" s="19" t="n"/>
      <c r="J21" s="19" t="n"/>
      <c r="K21" s="19" t="n"/>
      <c r="L21" s="2" t="inlineStr">
        <is>
          <t>[sourced]</t>
        </is>
      </c>
      <c r="M21" s="2" t="inlineStr">
        <is>
          <t>Nota de segmentos: RA23 p.359 (2021), p.358 (2022); IA25 p.86 (2023-24), p.85 (2025)</t>
        </is>
      </c>
    </row>
    <row r="22">
      <c r="A22" s="10" t="inlineStr">
        <is>
          <t>Norteamérica</t>
        </is>
      </c>
      <c r="B22" s="11" t="n">
        <v>15171</v>
      </c>
      <c r="C22" s="11" t="n">
        <v>33263</v>
      </c>
      <c r="D22" s="11" t="n">
        <v>11175</v>
      </c>
      <c r="E22" s="11" t="n">
        <v>5920</v>
      </c>
      <c r="F22" s="11" t="n">
        <v>6272</v>
      </c>
      <c r="G22" s="19" t="n"/>
      <c r="H22" s="19" t="n"/>
      <c r="I22" s="19" t="n"/>
      <c r="J22" s="19" t="n"/>
      <c r="K22" s="19" t="n"/>
      <c r="L22" s="2" t="inlineStr">
        <is>
          <t>[sourced]</t>
        </is>
      </c>
      <c r="M22" s="2" t="inlineStr">
        <is>
          <t>Nota de segmentos: RA23 p.359 (2021), p.358 (2022); IA25 p.86 (2023-24), p.85 (2025)</t>
        </is>
      </c>
    </row>
    <row r="23">
      <c r="A23" s="10" t="inlineStr">
        <is>
          <t>Latinoamérica</t>
        </is>
      </c>
      <c r="B23" s="11" t="n">
        <v>78</v>
      </c>
      <c r="C23" s="11" t="n">
        <v>1087</v>
      </c>
      <c r="D23" s="11" t="n">
        <v>1294</v>
      </c>
      <c r="E23" s="11" t="n">
        <v>1191</v>
      </c>
      <c r="F23" s="11" t="n">
        <v>607</v>
      </c>
      <c r="G23" s="19" t="n"/>
      <c r="H23" s="19" t="n"/>
      <c r="I23" s="19" t="n"/>
      <c r="J23" s="19" t="n"/>
      <c r="K23" s="19" t="n"/>
      <c r="L23" s="2" t="inlineStr">
        <is>
          <t>[sourced]</t>
        </is>
      </c>
      <c r="M23" s="2" t="inlineStr">
        <is>
          <t>Nota de segmentos: RA23 p.359 (2021), p.358 (2022); IA25 p.86 (2023-24), p.85 (2025)</t>
        </is>
      </c>
    </row>
    <row r="24">
      <c r="A24" s="10" t="inlineStr">
        <is>
          <t>Europa, Asia y África (EAA)</t>
        </is>
      </c>
      <c r="B24" s="11" t="n">
        <v>292</v>
      </c>
      <c r="C24" s="11" t="n">
        <v>-486</v>
      </c>
      <c r="D24" s="11" t="n">
        <v>326</v>
      </c>
      <c r="E24" s="11" t="n">
        <v>1227</v>
      </c>
      <c r="F24" s="11" t="n">
        <v>2498</v>
      </c>
      <c r="G24" s="19" t="n"/>
      <c r="H24" s="19" t="n"/>
      <c r="I24" s="19" t="n"/>
      <c r="J24" s="19" t="n"/>
      <c r="K24" s="19" t="n"/>
      <c r="L24" s="2" t="inlineStr">
        <is>
          <t>[sourced]</t>
        </is>
      </c>
      <c r="M24" s="2" t="inlineStr">
        <is>
          <t>Nota de segmentos: RA23 p.359 (2021), p.358 (2022); IA25 p.86 (2023-24), p.85 (2025)</t>
        </is>
      </c>
    </row>
    <row r="25">
      <c r="A25" s="10" t="inlineStr">
        <is>
          <t>Eliminaciones (regalías intercompañía)</t>
        </is>
      </c>
      <c r="B25" s="11" t="n">
        <v>308</v>
      </c>
      <c r="C25" s="11" t="n">
        <v>1008</v>
      </c>
      <c r="D25" s="11" t="n">
        <v>778</v>
      </c>
      <c r="E25" s="11" t="n">
        <v>1085</v>
      </c>
      <c r="F25" s="11" t="n">
        <v>1327</v>
      </c>
      <c r="G25" s="19" t="n"/>
      <c r="H25" s="19" t="n"/>
      <c r="I25" s="19" t="n"/>
      <c r="J25" s="19" t="n"/>
      <c r="K25" s="19" t="n"/>
      <c r="L25" s="2" t="inlineStr">
        <is>
          <t>[sourced]</t>
        </is>
      </c>
      <c r="M25" s="2" t="inlineStr">
        <is>
          <t>Nota de segmentos: RA23 p.359 (2021), p.358 (2022); IA25 p.86 (2023-24), p.85 (2025)</t>
        </is>
      </c>
    </row>
    <row r="26">
      <c r="A26" s="3" t="inlineStr">
        <is>
          <t>Total</t>
        </is>
      </c>
      <c r="B26" s="14">
        <f>SUM(B21:B25)</f>
        <v/>
      </c>
      <c r="C26" s="14">
        <f>SUM(C21:C25)</f>
        <v/>
      </c>
      <c r="D26" s="14">
        <f>SUM(D21:D25)</f>
        <v/>
      </c>
      <c r="E26" s="14">
        <f>SUM(E21:E25)</f>
        <v/>
      </c>
      <c r="F26" s="14">
        <f>SUM(F21:F25)</f>
        <v/>
      </c>
      <c r="G26" s="32" t="n"/>
      <c r="H26" s="32" t="n"/>
      <c r="I26" s="32" t="n"/>
      <c r="J26" s="32" t="n"/>
      <c r="K26" s="32" t="n"/>
      <c r="L26" s="2" t="inlineStr">
        <is>
          <t>[calc]</t>
        </is>
      </c>
      <c r="M26" s="2" t="inlineStr">
        <is>
          <t>Igual a la utilidad de operación del ER</t>
        </is>
      </c>
    </row>
    <row r="27">
      <c r="A27" t="inlineStr"/>
    </row>
    <row r="28">
      <c r="A28" s="8" t="inlineStr">
        <is>
          <t>Depreciación y amortización por región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>
      <c r="A29" s="10" t="inlineStr">
        <is>
          <t>México</t>
        </is>
      </c>
      <c r="B29" s="11" t="n">
        <v>3907</v>
      </c>
      <c r="C29" s="11" t="n">
        <v>4424</v>
      </c>
      <c r="D29" s="11" t="n">
        <v>5524</v>
      </c>
      <c r="E29" s="11" t="n">
        <v>6895</v>
      </c>
      <c r="F29" s="11" t="n">
        <v>7859</v>
      </c>
      <c r="G29" s="19" t="n"/>
      <c r="H29" s="19" t="n"/>
      <c r="I29" s="19" t="n"/>
      <c r="J29" s="19" t="n"/>
      <c r="K29" s="19" t="n"/>
      <c r="L29" s="2" t="inlineStr">
        <is>
          <t>[sourced]</t>
        </is>
      </c>
      <c r="M29" s="2" t="inlineStr">
        <is>
          <t>Nota de segmentos: RA23 p.359 (2021), p.358 (2022); IA25 p.86 (2023-24), p.85 (2025)</t>
        </is>
      </c>
    </row>
    <row r="30">
      <c r="A30" s="10" t="inlineStr">
        <is>
          <t>Norteamérica</t>
        </is>
      </c>
      <c r="B30" s="11" t="n">
        <v>8470</v>
      </c>
      <c r="C30" s="11" t="n">
        <v>9248</v>
      </c>
      <c r="D30" s="11" t="n">
        <v>8946</v>
      </c>
      <c r="E30" s="11" t="n">
        <v>10878</v>
      </c>
      <c r="F30" s="11" t="n">
        <v>10793</v>
      </c>
      <c r="G30" s="19" t="n"/>
      <c r="H30" s="19" t="n"/>
      <c r="I30" s="19" t="n"/>
      <c r="J30" s="19" t="n"/>
      <c r="K30" s="19" t="n"/>
      <c r="L30" s="2" t="inlineStr">
        <is>
          <t>[sourced]</t>
        </is>
      </c>
      <c r="M30" s="2" t="inlineStr">
        <is>
          <t>Nota de segmentos: RA23 p.359 (2021), p.358 (2022); IA25 p.86 (2023-24), p.85 (2025)</t>
        </is>
      </c>
    </row>
    <row r="31">
      <c r="A31" s="10" t="inlineStr">
        <is>
          <t>Latinoamérica</t>
        </is>
      </c>
      <c r="B31" s="11" t="n">
        <v>1687</v>
      </c>
      <c r="C31" s="11" t="n">
        <v>2278</v>
      </c>
      <c r="D31" s="11" t="n">
        <v>2215</v>
      </c>
      <c r="E31" s="11" t="n">
        <v>2507</v>
      </c>
      <c r="F31" s="11" t="n">
        <v>2945</v>
      </c>
      <c r="G31" s="19" t="n"/>
      <c r="H31" s="19" t="n"/>
      <c r="I31" s="19" t="n"/>
      <c r="J31" s="19" t="n"/>
      <c r="K31" s="19" t="n"/>
      <c r="L31" s="2" t="inlineStr">
        <is>
          <t>[sourced]</t>
        </is>
      </c>
      <c r="M31" s="2" t="inlineStr">
        <is>
          <t>Nota de segmentos: RA23 p.359 (2021), p.358 (2022); IA25 p.86 (2023-24), p.85 (2025)</t>
        </is>
      </c>
    </row>
    <row r="32">
      <c r="A32" s="10" t="inlineStr">
        <is>
          <t>Europa, Asia y África (EAA)</t>
        </is>
      </c>
      <c r="B32" s="11" t="n">
        <v>2062</v>
      </c>
      <c r="C32" s="11" t="n">
        <v>2088</v>
      </c>
      <c r="D32" s="11" t="n">
        <v>2244</v>
      </c>
      <c r="E32" s="11" t="n">
        <v>2772</v>
      </c>
      <c r="F32" s="11" t="n">
        <v>3241</v>
      </c>
      <c r="G32" s="19" t="n"/>
      <c r="H32" s="19" t="n"/>
      <c r="I32" s="19" t="n"/>
      <c r="J32" s="19" t="n"/>
      <c r="K32" s="19" t="n"/>
      <c r="L32" s="2" t="inlineStr">
        <is>
          <t>[sourced]</t>
        </is>
      </c>
      <c r="M32" s="2" t="inlineStr">
        <is>
          <t>Nota de segmentos: RA23 p.359 (2021), p.358 (2022); IA25 p.86 (2023-24), p.85 (2025)</t>
        </is>
      </c>
    </row>
    <row r="33">
      <c r="A33" s="10" t="inlineStr">
        <is>
          <t>Eliminaciones</t>
        </is>
      </c>
      <c r="B33" s="11" t="n">
        <v>0</v>
      </c>
      <c r="C33" s="11" t="n">
        <v>0</v>
      </c>
      <c r="D33" s="11" t="n">
        <v>0</v>
      </c>
      <c r="E33" s="11" t="n">
        <v>-1</v>
      </c>
      <c r="F33" s="11" t="n">
        <v>0</v>
      </c>
      <c r="G33" s="19" t="n"/>
      <c r="H33" s="19" t="n"/>
      <c r="I33" s="19" t="n"/>
      <c r="J33" s="19" t="n"/>
      <c r="K33" s="19" t="n"/>
      <c r="L33" s="2" t="inlineStr">
        <is>
          <t>[sourced]</t>
        </is>
      </c>
      <c r="M33" s="2" t="inlineStr">
        <is>
          <t>Nota de segmentos: RA23 p.359 (2021), p.358 (2022); IA25 p.86 (2023-24), p.85 (2025)</t>
        </is>
      </c>
    </row>
    <row r="34">
      <c r="A34" s="3" t="inlineStr">
        <is>
          <t>Total</t>
        </is>
      </c>
      <c r="B34" s="14">
        <f>SUM(B29:B33)</f>
        <v/>
      </c>
      <c r="C34" s="14">
        <f>SUM(C29:C33)</f>
        <v/>
      </c>
      <c r="D34" s="14">
        <f>SUM(D29:D33)</f>
        <v/>
      </c>
      <c r="E34" s="14">
        <f>SUM(E29:E33)</f>
        <v/>
      </c>
      <c r="F34" s="14">
        <f>SUM(F29:F33)</f>
        <v/>
      </c>
      <c r="G34" s="32" t="n"/>
      <c r="H34" s="32" t="n"/>
      <c r="I34" s="32" t="n"/>
      <c r="J34" s="32" t="n"/>
      <c r="K34" s="32" t="n"/>
      <c r="L34" s="2" t="inlineStr">
        <is>
          <t>[calc]</t>
        </is>
      </c>
      <c r="M34" s="2" t="inlineStr">
        <is>
          <t>Igual a la depreciación y amortización del memorándum del ER</t>
        </is>
      </c>
    </row>
    <row r="35">
      <c r="A35" t="inlineStr"/>
    </row>
    <row r="36">
      <c r="A36" s="8" t="inlineStr">
        <is>
          <t>Deterioro (reversión) de activos de larga duración por región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>
      <c r="A37" s="10" t="inlineStr">
        <is>
          <t>México</t>
        </is>
      </c>
      <c r="B37" s="11" t="n">
        <v>133</v>
      </c>
      <c r="C37" s="11" t="n">
        <v>72</v>
      </c>
      <c r="D37" s="11" t="n">
        <v>78</v>
      </c>
      <c r="E37" s="11" t="n">
        <v>141</v>
      </c>
      <c r="F37" s="11" t="n">
        <v>329</v>
      </c>
      <c r="G37" s="19" t="n"/>
      <c r="H37" s="19" t="n"/>
      <c r="I37" s="19" t="n"/>
      <c r="J37" s="19" t="n"/>
      <c r="K37" s="19" t="n"/>
      <c r="L37" s="2" t="inlineStr">
        <is>
          <t>[sourced]</t>
        </is>
      </c>
      <c r="M37" s="2" t="inlineStr">
        <is>
          <t>Nota de segmentos: RA23 p.359 (2021), p.358 (2022); IA25 p.86 (2023-24), p.85 (2025)</t>
        </is>
      </c>
    </row>
    <row r="38">
      <c r="A38" s="10" t="inlineStr">
        <is>
          <t>Norteamérica</t>
        </is>
      </c>
      <c r="B38" s="11" t="n">
        <v>57</v>
      </c>
      <c r="C38" s="11" t="n">
        <v>-890</v>
      </c>
      <c r="D38" s="11" t="n">
        <v>-79</v>
      </c>
      <c r="E38" s="11" t="n">
        <v>-4</v>
      </c>
      <c r="F38" s="11" t="n">
        <v>25</v>
      </c>
      <c r="G38" s="19" t="n"/>
      <c r="H38" s="19" t="n"/>
      <c r="I38" s="19" t="n"/>
      <c r="J38" s="19" t="n"/>
      <c r="K38" s="19" t="n"/>
      <c r="L38" s="2" t="inlineStr">
        <is>
          <t>[sourced]</t>
        </is>
      </c>
      <c r="M38" s="2" t="inlineStr">
        <is>
          <t>Nota de segmentos: RA23 p.359 (2021), p.358 (2022); IA25 p.86 (2023-24), p.85 (2025)</t>
        </is>
      </c>
    </row>
    <row r="39">
      <c r="A39" s="10" t="inlineStr">
        <is>
          <t>Latinoamérica</t>
        </is>
      </c>
      <c r="B39" s="11" t="n">
        <v>142</v>
      </c>
      <c r="C39" s="11" t="n">
        <v>46</v>
      </c>
      <c r="D39" s="11" t="n">
        <v>22</v>
      </c>
      <c r="E39" s="11" t="n">
        <v>-101</v>
      </c>
      <c r="F39" s="11" t="n">
        <v>0</v>
      </c>
      <c r="G39" s="19" t="n"/>
      <c r="H39" s="19" t="n"/>
      <c r="I39" s="19" t="n"/>
      <c r="J39" s="19" t="n"/>
      <c r="K39" s="19" t="n"/>
      <c r="L39" s="2" t="inlineStr">
        <is>
          <t>[sourced]</t>
        </is>
      </c>
      <c r="M39" s="2" t="inlineStr">
        <is>
          <t>Nota de segmentos: RA23 p.359 (2021), p.358 (2022); IA25 p.86 (2023-24), p.85 (2025)</t>
        </is>
      </c>
    </row>
    <row r="40">
      <c r="A40" s="10" t="inlineStr">
        <is>
          <t>Europa, Asia y África (EAA)</t>
        </is>
      </c>
      <c r="B40" s="11" t="n">
        <v>350</v>
      </c>
      <c r="C40" s="11" t="n">
        <v>1024</v>
      </c>
      <c r="D40" s="11" t="n">
        <v>362</v>
      </c>
      <c r="E40" s="11" t="n">
        <v>213</v>
      </c>
      <c r="F40" s="11" t="n">
        <v>91</v>
      </c>
      <c r="G40" s="19" t="n"/>
      <c r="H40" s="19" t="n"/>
      <c r="I40" s="19" t="n"/>
      <c r="J40" s="19" t="n"/>
      <c r="K40" s="19" t="n"/>
      <c r="L40" s="2" t="inlineStr">
        <is>
          <t>[sourced]</t>
        </is>
      </c>
      <c r="M40" s="2" t="inlineStr">
        <is>
          <t>Nota de segmentos: RA23 p.359 (2021), p.358 (2022); IA25 p.86 (2023-24), p.85 (2025)</t>
        </is>
      </c>
    </row>
    <row r="41">
      <c r="A41" s="10" t="inlineStr">
        <is>
          <t>Eliminaciones</t>
        </is>
      </c>
      <c r="B41" s="11" t="n">
        <v>0</v>
      </c>
      <c r="C41" s="11" t="n">
        <v>0</v>
      </c>
      <c r="D41" s="11" t="n">
        <v>0</v>
      </c>
      <c r="E41" s="11" t="n">
        <v>0</v>
      </c>
      <c r="F41" s="11" t="n">
        <v>0</v>
      </c>
      <c r="G41" s="19" t="n"/>
      <c r="H41" s="19" t="n"/>
      <c r="I41" s="19" t="n"/>
      <c r="J41" s="19" t="n"/>
      <c r="K41" s="19" t="n"/>
      <c r="L41" s="2" t="inlineStr">
        <is>
          <t>[sourced]</t>
        </is>
      </c>
      <c r="M41" s="2" t="inlineStr">
        <is>
          <t>Nota de segmentos: RA23 p.359 (2021), p.358 (2022); IA25 p.86 (2023-24), p.85 (2025)</t>
        </is>
      </c>
    </row>
    <row r="42">
      <c r="A42" s="3" t="inlineStr">
        <is>
          <t>Total</t>
        </is>
      </c>
      <c r="B42" s="14">
        <f>SUM(B37:B41)</f>
        <v/>
      </c>
      <c r="C42" s="14">
        <f>SUM(C37:C41)</f>
        <v/>
      </c>
      <c r="D42" s="14">
        <f>SUM(D37:D41)</f>
        <v/>
      </c>
      <c r="E42" s="14">
        <f>SUM(E37:E41)</f>
        <v/>
      </c>
      <c r="F42" s="14">
        <f>SUM(F37:F41)</f>
        <v/>
      </c>
      <c r="G42" s="32" t="n"/>
      <c r="H42" s="32" t="n"/>
      <c r="I42" s="32" t="n"/>
      <c r="J42" s="32" t="n"/>
      <c r="K42" s="32" t="n"/>
      <c r="L42" s="2" t="inlineStr">
        <is>
          <t>[calc]</t>
        </is>
      </c>
      <c r="M42" s="2" t="inlineStr"/>
    </row>
    <row r="43">
      <c r="A43" t="inlineStr"/>
    </row>
    <row r="44">
      <c r="A44" s="8" t="inlineStr">
        <is>
          <t>Otras partidas que no generan flujo por región (principalmente MEPP)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</row>
    <row r="45">
      <c r="A45" s="10" t="inlineStr">
        <is>
          <t>México</t>
        </is>
      </c>
      <c r="B45" s="11" t="n">
        <v>0</v>
      </c>
      <c r="C45" s="11" t="n">
        <v>0</v>
      </c>
      <c r="D45" s="11" t="n">
        <v>0</v>
      </c>
      <c r="E45" s="11" t="n">
        <v>0</v>
      </c>
      <c r="F45" s="11" t="n">
        <v>0</v>
      </c>
      <c r="G45" s="19" t="n"/>
      <c r="H45" s="19" t="n"/>
      <c r="I45" s="19" t="n"/>
      <c r="J45" s="19" t="n"/>
      <c r="K45" s="19" t="n"/>
      <c r="L45" s="2" t="inlineStr">
        <is>
          <t>[sourced]</t>
        </is>
      </c>
      <c r="M45" s="2" t="inlineStr">
        <is>
          <t>Nota de segmentos: RA23 p.359 (2021), p.358 (2022); IA25 p.86 (2023-24), p.85 (2025)</t>
        </is>
      </c>
    </row>
    <row r="46">
      <c r="A46" s="10" t="inlineStr">
        <is>
          <t>Norteamérica</t>
        </is>
      </c>
      <c r="B46" s="11" t="n">
        <v>-2246</v>
      </c>
      <c r="C46" s="11" t="n">
        <v>-19010</v>
      </c>
      <c r="D46" s="11" t="n">
        <v>175</v>
      </c>
      <c r="E46" s="11" t="n">
        <v>-982</v>
      </c>
      <c r="F46" s="11" t="n">
        <v>27</v>
      </c>
      <c r="G46" s="19" t="n"/>
      <c r="H46" s="19" t="n"/>
      <c r="I46" s="19" t="n"/>
      <c r="J46" s="19" t="n"/>
      <c r="K46" s="19" t="n"/>
      <c r="L46" s="2" t="inlineStr">
        <is>
          <t>[sourced]</t>
        </is>
      </c>
      <c r="M46" s="2" t="inlineStr">
        <is>
          <t>Nota de segmentos: RA23 p.359 (2021), p.358 (2022); IA25 p.86 (2023-24), p.85 (2025)</t>
        </is>
      </c>
    </row>
    <row r="47">
      <c r="A47" s="10" t="inlineStr">
        <is>
          <t>Latinoamérica</t>
        </is>
      </c>
      <c r="B47" s="11" t="n">
        <v>19</v>
      </c>
      <c r="C47" s="11" t="n">
        <v>22</v>
      </c>
      <c r="D47" s="11" t="n">
        <v>0</v>
      </c>
      <c r="E47" s="11" t="n">
        <v>6</v>
      </c>
      <c r="F47" s="11" t="n">
        <v>0</v>
      </c>
      <c r="G47" s="19" t="n"/>
      <c r="H47" s="19" t="n"/>
      <c r="I47" s="19" t="n"/>
      <c r="J47" s="19" t="n"/>
      <c r="K47" s="19" t="n"/>
      <c r="L47" s="2" t="inlineStr">
        <is>
          <t>[sourced]</t>
        </is>
      </c>
      <c r="M47" s="2" t="inlineStr">
        <is>
          <t>Nota de segmentos: RA23 p.359 (2021), p.358 (2022); IA25 p.86 (2023-24), p.85 (2025)</t>
        </is>
      </c>
    </row>
    <row r="48">
      <c r="A48" s="10" t="inlineStr">
        <is>
          <t>Europa, Asia y África (EAA)</t>
        </is>
      </c>
      <c r="B48" s="11" t="n">
        <v>0</v>
      </c>
      <c r="C48" s="11" t="n">
        <v>0</v>
      </c>
      <c r="D48" s="11" t="n">
        <v>0</v>
      </c>
      <c r="E48" s="11" t="n">
        <v>0</v>
      </c>
      <c r="F48" s="11" t="n">
        <v>0</v>
      </c>
      <c r="G48" s="19" t="n"/>
      <c r="H48" s="19" t="n"/>
      <c r="I48" s="19" t="n"/>
      <c r="J48" s="19" t="n"/>
      <c r="K48" s="19" t="n"/>
      <c r="L48" s="2" t="inlineStr">
        <is>
          <t>[sourced]</t>
        </is>
      </c>
      <c r="M48" s="2" t="inlineStr">
        <is>
          <t>Nota de segmentos: RA23 p.359 (2021), p.358 (2022); IA25 p.86 (2023-24), p.85 (2025)</t>
        </is>
      </c>
    </row>
    <row r="49">
      <c r="A49" s="10" t="inlineStr">
        <is>
          <t>Eliminaciones</t>
        </is>
      </c>
      <c r="B49" s="11" t="n">
        <v>211</v>
      </c>
      <c r="C49" s="11" t="n">
        <v>448</v>
      </c>
      <c r="D49" s="11" t="n">
        <v>0</v>
      </c>
      <c r="E49" s="11" t="n">
        <v>0</v>
      </c>
      <c r="F49" s="11" t="n">
        <v>0</v>
      </c>
      <c r="G49" s="19" t="n"/>
      <c r="H49" s="19" t="n"/>
      <c r="I49" s="19" t="n"/>
      <c r="J49" s="19" t="n"/>
      <c r="K49" s="19" t="n"/>
      <c r="L49" s="2" t="inlineStr">
        <is>
          <t>[sourced]</t>
        </is>
      </c>
      <c r="M49" s="2" t="inlineStr">
        <is>
          <t>Nota de segmentos: RA23 p.359 (2021), p.358 (2022); IA25 p.86 (2023-24), p.85 (2025)</t>
        </is>
      </c>
    </row>
    <row r="50">
      <c r="A50" s="3" t="inlineStr">
        <is>
          <t>Total</t>
        </is>
      </c>
      <c r="B50" s="14">
        <f>SUM(B45:B49)</f>
        <v/>
      </c>
      <c r="C50" s="14">
        <f>SUM(C45:C49)</f>
        <v/>
      </c>
      <c r="D50" s="14">
        <f>SUM(D45:D49)</f>
        <v/>
      </c>
      <c r="E50" s="14">
        <f>SUM(E45:E49)</f>
        <v/>
      </c>
      <c r="F50" s="14">
        <f>SUM(F45:F49)</f>
        <v/>
      </c>
      <c r="G50" s="32" t="n"/>
      <c r="H50" s="32" t="n"/>
      <c r="I50" s="32" t="n"/>
      <c r="J50" s="32" t="n"/>
      <c r="K50" s="32" t="n"/>
      <c r="L50" s="2" t="inlineStr">
        <is>
          <t>[calc]</t>
        </is>
      </c>
      <c r="M50" s="2" t="inlineStr"/>
    </row>
    <row r="51">
      <c r="A51" t="inlineStr"/>
    </row>
    <row r="52">
      <c r="A52" s="8" t="inlineStr">
        <is>
          <t>UAFIDA Ajustada por región (utilidad de operación + depreciación y amortización + deterioro + partidas sin flujo)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</row>
    <row r="53">
      <c r="A53" s="10" t="inlineStr">
        <is>
          <t>México</t>
        </is>
      </c>
      <c r="B53" s="12">
        <f>B21+B29+B37+B45</f>
        <v/>
      </c>
      <c r="C53" s="12">
        <f>C21+C29+C37+C45</f>
        <v/>
      </c>
      <c r="D53" s="12">
        <f>D21+D29+D37+D45</f>
        <v/>
      </c>
      <c r="E53" s="12">
        <f>E21+E29+E37+E45</f>
        <v/>
      </c>
      <c r="F53" s="12">
        <f>F21+F29+F37+F45</f>
        <v/>
      </c>
      <c r="G53" s="19" t="n"/>
      <c r="H53" s="19" t="n"/>
      <c r="I53" s="19" t="n"/>
      <c r="J53" s="19" t="n"/>
      <c r="K53" s="19" t="n"/>
      <c r="L53" s="2" t="inlineStr">
        <is>
          <t>[calc]</t>
        </is>
      </c>
      <c r="M53" s="2" t="inlineStr"/>
    </row>
    <row r="54">
      <c r="A54" s="10" t="inlineStr">
        <is>
          <t>Norteamérica</t>
        </is>
      </c>
      <c r="B54" s="12">
        <f>B22+B30+B38+B46</f>
        <v/>
      </c>
      <c r="C54" s="12">
        <f>C22+C30+C38+C46</f>
        <v/>
      </c>
      <c r="D54" s="12">
        <f>D22+D30+D38+D46</f>
        <v/>
      </c>
      <c r="E54" s="12">
        <f>E22+E30+E38+E46</f>
        <v/>
      </c>
      <c r="F54" s="12">
        <f>F22+F30+F38+F46</f>
        <v/>
      </c>
      <c r="G54" s="19" t="n"/>
      <c r="H54" s="19" t="n"/>
      <c r="I54" s="19" t="n"/>
      <c r="J54" s="19" t="n"/>
      <c r="K54" s="19" t="n"/>
      <c r="L54" s="2" t="inlineStr">
        <is>
          <t>[calc]</t>
        </is>
      </c>
      <c r="M54" s="2" t="inlineStr"/>
    </row>
    <row r="55">
      <c r="A55" s="10" t="inlineStr">
        <is>
          <t>Latinoamérica</t>
        </is>
      </c>
      <c r="B55" s="12">
        <f>B23+B31+B39+B47</f>
        <v/>
      </c>
      <c r="C55" s="12">
        <f>C23+C31+C39+C47</f>
        <v/>
      </c>
      <c r="D55" s="12">
        <f>D23+D31+D39+D47</f>
        <v/>
      </c>
      <c r="E55" s="12">
        <f>E23+E31+E39+E47</f>
        <v/>
      </c>
      <c r="F55" s="12">
        <f>F23+F31+F39+F47</f>
        <v/>
      </c>
      <c r="G55" s="19" t="n"/>
      <c r="H55" s="19" t="n"/>
      <c r="I55" s="19" t="n"/>
      <c r="J55" s="19" t="n"/>
      <c r="K55" s="19" t="n"/>
      <c r="L55" s="2" t="inlineStr">
        <is>
          <t>[calc]</t>
        </is>
      </c>
      <c r="M55" s="2" t="inlineStr"/>
    </row>
    <row r="56">
      <c r="A56" s="10" t="inlineStr">
        <is>
          <t>Europa, Asia y África (EAA)</t>
        </is>
      </c>
      <c r="B56" s="12">
        <f>B24+B32+B40+B48</f>
        <v/>
      </c>
      <c r="C56" s="12">
        <f>C24+C32+C40+C48</f>
        <v/>
      </c>
      <c r="D56" s="12">
        <f>D24+D32+D40+D48</f>
        <v/>
      </c>
      <c r="E56" s="12">
        <f>E24+E32+E40+E48</f>
        <v/>
      </c>
      <c r="F56" s="12">
        <f>F24+F32+F40+F48</f>
        <v/>
      </c>
      <c r="G56" s="19" t="n"/>
      <c r="H56" s="19" t="n"/>
      <c r="I56" s="19" t="n"/>
      <c r="J56" s="19" t="n"/>
      <c r="K56" s="19" t="n"/>
      <c r="L56" s="2" t="inlineStr">
        <is>
          <t>[calc]</t>
        </is>
      </c>
      <c r="M56" s="2" t="inlineStr"/>
    </row>
    <row r="57">
      <c r="A57" s="10" t="inlineStr">
        <is>
          <t>Eliminaciones (regalías intercompañía)</t>
        </is>
      </c>
      <c r="B57" s="12">
        <f>B25+B33+B41+B49</f>
        <v/>
      </c>
      <c r="C57" s="12">
        <f>C25+C33+C41+C49</f>
        <v/>
      </c>
      <c r="D57" s="12">
        <f>D25+D33+D41+D49</f>
        <v/>
      </c>
      <c r="E57" s="12">
        <f>E25+E33+E41+E49</f>
        <v/>
      </c>
      <c r="F57" s="12">
        <f>F25+F33+F41+F49</f>
        <v/>
      </c>
      <c r="G57" s="19" t="n"/>
      <c r="H57" s="19" t="n"/>
      <c r="I57" s="19" t="n"/>
      <c r="J57" s="19" t="n"/>
      <c r="K57" s="19" t="n"/>
      <c r="L57" s="2" t="inlineStr">
        <is>
          <t>[calc]</t>
        </is>
      </c>
      <c r="M57" s="2" t="inlineStr"/>
    </row>
    <row r="58">
      <c r="A58" s="3" t="inlineStr">
        <is>
          <t>UAFIDA Ajustada total</t>
        </is>
      </c>
      <c r="B58" s="14">
        <f>SUM(B53:B57)</f>
        <v/>
      </c>
      <c r="C58" s="14">
        <f>SUM(C53:C57)</f>
        <v/>
      </c>
      <c r="D58" s="14">
        <f>SUM(D53:D57)</f>
        <v/>
      </c>
      <c r="E58" s="14">
        <f>SUM(E53:E57)</f>
        <v/>
      </c>
      <c r="F58" s="14">
        <f>SUM(F53:F57)</f>
        <v/>
      </c>
      <c r="G58" s="32" t="n"/>
      <c r="H58" s="32" t="n"/>
      <c r="I58" s="32" t="n"/>
      <c r="J58" s="32" t="n"/>
      <c r="K58" s="32" t="n"/>
      <c r="L58" s="2" t="inlineStr">
        <is>
          <t>[calc]</t>
        </is>
      </c>
      <c r="M58" s="2" t="inlineStr">
        <is>
          <t>Igual a la UAFIDA Ajustada del ER (EBIT + depreciación y amortización + partidas sin flujo)</t>
        </is>
      </c>
    </row>
    <row r="59">
      <c r="A59" t="inlineStr"/>
    </row>
    <row r="60">
      <c r="A60" s="8" t="inlineStr">
        <is>
          <t>Margen de UAFIDA Ajustada sobre ventas netas de cada región</t>
        </is>
      </c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</row>
    <row r="61">
      <c r="A61" s="10" t="inlineStr">
        <is>
          <t>México</t>
        </is>
      </c>
      <c r="B61" s="33">
        <f>IFERROR(B53/B6,0)</f>
        <v/>
      </c>
      <c r="C61" s="33">
        <f>IFERROR(C53/C6,0)</f>
        <v/>
      </c>
      <c r="D61" s="33">
        <f>IFERROR(D53/D6,0)</f>
        <v/>
      </c>
      <c r="E61" s="33">
        <f>IFERROR(E53/E6,0)</f>
        <v/>
      </c>
      <c r="F61" s="33">
        <f>IFERROR(F53/F6,0)</f>
        <v/>
      </c>
      <c r="G61" s="20" t="n"/>
      <c r="H61" s="20" t="n"/>
      <c r="I61" s="20" t="n"/>
      <c r="J61" s="20" t="n"/>
      <c r="K61" s="20" t="n"/>
      <c r="L61" s="2" t="inlineStr">
        <is>
          <t>[calc]</t>
        </is>
      </c>
      <c r="M61" s="2" t="inlineStr">
        <is>
          <t>Misma base que los reportes trimestrales</t>
        </is>
      </c>
    </row>
    <row r="62">
      <c r="A62" s="10" t="inlineStr">
        <is>
          <t>Norteamérica</t>
        </is>
      </c>
      <c r="B62" s="33">
        <f>IFERROR(B54/B7,0)</f>
        <v/>
      </c>
      <c r="C62" s="33">
        <f>IFERROR(C54/C7,0)</f>
        <v/>
      </c>
      <c r="D62" s="33">
        <f>IFERROR(D54/D7,0)</f>
        <v/>
      </c>
      <c r="E62" s="33">
        <f>IFERROR(E54/E7,0)</f>
        <v/>
      </c>
      <c r="F62" s="33">
        <f>IFERROR(F54/F7,0)</f>
        <v/>
      </c>
      <c r="G62" s="20" t="n"/>
      <c r="H62" s="20" t="n"/>
      <c r="I62" s="20" t="n"/>
      <c r="J62" s="20" t="n"/>
      <c r="K62" s="20" t="n"/>
      <c r="L62" s="2" t="inlineStr">
        <is>
          <t>[calc]</t>
        </is>
      </c>
      <c r="M62" s="2" t="inlineStr">
        <is>
          <t>Misma base que los reportes trimestrales</t>
        </is>
      </c>
    </row>
    <row r="63">
      <c r="A63" s="10" t="inlineStr">
        <is>
          <t>Latinoamérica</t>
        </is>
      </c>
      <c r="B63" s="33">
        <f>IFERROR(B55/B8,0)</f>
        <v/>
      </c>
      <c r="C63" s="33">
        <f>IFERROR(C55/C8,0)</f>
        <v/>
      </c>
      <c r="D63" s="33">
        <f>IFERROR(D55/D8,0)</f>
        <v/>
      </c>
      <c r="E63" s="33">
        <f>IFERROR(E55/E8,0)</f>
        <v/>
      </c>
      <c r="F63" s="33">
        <f>IFERROR(F55/F8,0)</f>
        <v/>
      </c>
      <c r="G63" s="20" t="n"/>
      <c r="H63" s="20" t="n"/>
      <c r="I63" s="20" t="n"/>
      <c r="J63" s="20" t="n"/>
      <c r="K63" s="20" t="n"/>
      <c r="L63" s="2" t="inlineStr">
        <is>
          <t>[calc]</t>
        </is>
      </c>
      <c r="M63" s="2" t="inlineStr">
        <is>
          <t>Misma base que los reportes trimestrales</t>
        </is>
      </c>
    </row>
    <row r="64">
      <c r="A64" s="10" t="inlineStr">
        <is>
          <t>Europa, Asia y África (EAA)</t>
        </is>
      </c>
      <c r="B64" s="33">
        <f>IFERROR(B56/B9,0)</f>
        <v/>
      </c>
      <c r="C64" s="33">
        <f>IFERROR(C56/C9,0)</f>
        <v/>
      </c>
      <c r="D64" s="33">
        <f>IFERROR(D56/D9,0)</f>
        <v/>
      </c>
      <c r="E64" s="33">
        <f>IFERROR(E56/E9,0)</f>
        <v/>
      </c>
      <c r="F64" s="33">
        <f>IFERROR(F56/F9,0)</f>
        <v/>
      </c>
      <c r="G64" s="20" t="n"/>
      <c r="H64" s="20" t="n"/>
      <c r="I64" s="20" t="n"/>
      <c r="J64" s="20" t="n"/>
      <c r="K64" s="20" t="n"/>
      <c r="L64" s="2" t="inlineStr">
        <is>
          <t>[calc]</t>
        </is>
      </c>
      <c r="M64" s="2" t="inlineStr">
        <is>
          <t>Misma base que los reportes trimestrales</t>
        </is>
      </c>
    </row>
    <row r="65">
      <c r="A65" s="3" t="inlineStr">
        <is>
          <t>Consolidado</t>
        </is>
      </c>
      <c r="B65" s="35">
        <f>IFERROR(B58/B11,0)</f>
        <v/>
      </c>
      <c r="C65" s="35">
        <f>IFERROR(C58/C11,0)</f>
        <v/>
      </c>
      <c r="D65" s="35">
        <f>IFERROR(D58/D11,0)</f>
        <v/>
      </c>
      <c r="E65" s="35">
        <f>IFERROR(E58/E11,0)</f>
        <v/>
      </c>
      <c r="F65" s="35">
        <f>IFERROR(F58/F11,0)</f>
        <v/>
      </c>
      <c r="G65" s="34" t="n"/>
      <c r="H65" s="34" t="n"/>
      <c r="I65" s="34" t="n"/>
      <c r="J65" s="34" t="n"/>
      <c r="K65" s="34" t="n"/>
      <c r="L65" s="2" t="inlineStr">
        <is>
          <t>[calc]</t>
        </is>
      </c>
      <c r="M65" s="2" t="inlineStr"/>
    </row>
  </sheetData>
  <mergeCells count="2">
    <mergeCell ref="G3:K3"/>
    <mergeCell ref="B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70" customWidth="1" min="13" max="13"/>
  </cols>
  <sheetData>
    <row r="1">
      <c r="A1" s="1" t="inlineStr">
        <is>
          <t>Grupo Bimbo - Estado consolidado de otros resultados integrales</t>
        </is>
      </c>
    </row>
    <row r="2">
      <c r="A2" s="2" t="inlineStr">
        <is>
          <t>Como se reporta. Positivo = utilidad.</t>
        </is>
      </c>
    </row>
    <row r="3">
      <c r="B3" s="4" t="inlineStr">
        <is>
          <t>Real (auditado)</t>
        </is>
      </c>
      <c r="G3" s="5" t="inlineStr">
        <is>
          <t>Proyección - el equipo proyecta y cuadra</t>
        </is>
      </c>
    </row>
    <row r="4">
      <c r="A4" s="6" t="inlineStr">
        <is>
          <t>Millones de MXN</t>
        </is>
      </c>
      <c r="B4" s="7" t="inlineStr">
        <is>
          <t>2021R</t>
        </is>
      </c>
      <c r="C4" s="7" t="inlineStr">
        <is>
          <t>2022R</t>
        </is>
      </c>
      <c r="D4" s="7" t="inlineStr">
        <is>
          <t>2023R</t>
        </is>
      </c>
      <c r="E4" s="7" t="inlineStr">
        <is>
          <t>2024R</t>
        </is>
      </c>
      <c r="F4" s="7" t="inlineStr">
        <is>
          <t>2025R</t>
        </is>
      </c>
      <c r="G4" s="7" t="inlineStr">
        <is>
          <t>2026E</t>
        </is>
      </c>
      <c r="H4" s="7" t="inlineStr">
        <is>
          <t>2027E</t>
        </is>
      </c>
      <c r="I4" s="7" t="inlineStr">
        <is>
          <t>2028E</t>
        </is>
      </c>
      <c r="J4" s="7" t="inlineStr">
        <is>
          <t>2029E</t>
        </is>
      </c>
      <c r="K4" s="7" t="inlineStr">
        <is>
          <t>2030E</t>
        </is>
      </c>
      <c r="L4" s="6" t="inlineStr">
        <is>
          <t>Etiqueta</t>
        </is>
      </c>
      <c r="M4" s="6" t="inlineStr">
        <is>
          <t>Fuente / nota</t>
        </is>
      </c>
    </row>
    <row r="5">
      <c r="A5" s="3" t="inlineStr">
        <is>
          <t>Utilidad neta consolidada</t>
        </is>
      </c>
      <c r="B5" s="36" t="n">
        <v>17382</v>
      </c>
      <c r="C5" s="36" t="n">
        <v>48485</v>
      </c>
      <c r="D5" s="36" t="n">
        <v>16922</v>
      </c>
      <c r="E5" s="36" t="n">
        <v>14043</v>
      </c>
      <c r="F5" s="36" t="n">
        <v>12946</v>
      </c>
      <c r="G5" s="37">
        <f>ER!G27</f>
        <v/>
      </c>
      <c r="H5" s="37">
        <f>ER!H27</f>
        <v/>
      </c>
      <c r="I5" s="38" t="n"/>
      <c r="J5" s="38" t="n"/>
      <c r="K5" s="38" t="n"/>
      <c r="L5" s="2" t="inlineStr">
        <is>
          <t>[sourced]</t>
        </is>
      </c>
      <c r="M5" s="2" t="inlineStr">
        <is>
          <t>RA23 p.258 (2021-22); IA25 p.14 (2023-25); Debe ser igual a la utilidad neta consolidada del ER</t>
        </is>
      </c>
    </row>
    <row r="6">
      <c r="A6" t="inlineStr"/>
    </row>
    <row r="7">
      <c r="A7" s="8" t="inlineStr">
        <is>
          <t>Partidas que no se reclasificarán a resultados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</row>
    <row r="8">
      <c r="A8" s="10" t="inlineStr">
        <is>
          <t>Valuación de instrumentos financieros de capital</t>
        </is>
      </c>
      <c r="B8" s="11" t="n">
        <v>-112</v>
      </c>
      <c r="C8" s="11" t="n">
        <v>-32</v>
      </c>
      <c r="D8" s="11" t="n">
        <v>-236</v>
      </c>
      <c r="E8" s="11" t="n">
        <v>-43</v>
      </c>
      <c r="F8" s="11" t="n">
        <v>-118</v>
      </c>
      <c r="G8" s="11" t="n">
        <v>0</v>
      </c>
      <c r="H8" s="11" t="n">
        <v>0</v>
      </c>
      <c r="I8" s="13" t="n"/>
      <c r="J8" s="13" t="n"/>
      <c r="K8" s="13" t="n"/>
      <c r="L8" s="2" t="inlineStr">
        <is>
          <t>[sourced]</t>
        </is>
      </c>
      <c r="M8" s="2" t="inlineStr">
        <is>
          <t>RA23 p.258 (2021-22); IA25 p.14 (2023-25)</t>
        </is>
      </c>
    </row>
    <row r="9">
      <c r="A9" s="10" t="inlineStr">
        <is>
          <t>Utilidades (pérdidas) actuariales de planes de beneficios definidos</t>
        </is>
      </c>
      <c r="B9" s="11" t="n">
        <v>1543</v>
      </c>
      <c r="C9" s="11" t="n">
        <v>800</v>
      </c>
      <c r="D9" s="11" t="n">
        <v>-349</v>
      </c>
      <c r="E9" s="11" t="n">
        <v>802</v>
      </c>
      <c r="F9" s="11" t="n">
        <v>-433</v>
      </c>
      <c r="G9" s="11" t="n">
        <v>0</v>
      </c>
      <c r="H9" s="11" t="n">
        <v>0</v>
      </c>
      <c r="I9" s="13" t="n"/>
      <c r="J9" s="13" t="n"/>
      <c r="K9" s="13" t="n"/>
      <c r="L9" s="2" t="inlineStr">
        <is>
          <t>[sourced]</t>
        </is>
      </c>
      <c r="M9" s="2" t="inlineStr">
        <is>
          <t>RA23 p.258 (2021-22); IA25 p.14 (2023-25)</t>
        </is>
      </c>
    </row>
    <row r="10">
      <c r="A10" s="10" t="inlineStr">
        <is>
          <t>Impuesto a las ganancias</t>
        </is>
      </c>
      <c r="B10" s="11" t="n">
        <v>-432</v>
      </c>
      <c r="C10" s="11" t="n">
        <v>-207</v>
      </c>
      <c r="D10" s="11" t="n">
        <v>164</v>
      </c>
      <c r="E10" s="11" t="n">
        <v>-540</v>
      </c>
      <c r="F10" s="11" t="n">
        <v>369</v>
      </c>
      <c r="G10" s="11" t="n">
        <v>0</v>
      </c>
      <c r="H10" s="11" t="n">
        <v>0</v>
      </c>
      <c r="I10" s="13" t="n"/>
      <c r="J10" s="13" t="n"/>
      <c r="K10" s="13" t="n"/>
      <c r="L10" s="2" t="inlineStr">
        <is>
          <t>[sourced]</t>
        </is>
      </c>
      <c r="M10" s="2" t="inlineStr">
        <is>
          <t>RA23 p.258 (2021-22); IA25 p.14 (2023-25)</t>
        </is>
      </c>
    </row>
    <row r="11">
      <c r="A11" s="3" t="inlineStr">
        <is>
          <t>Subtotal</t>
        </is>
      </c>
      <c r="B11" s="14">
        <f>SUM(B8:B10)</f>
        <v/>
      </c>
      <c r="C11" s="14">
        <f>SUM(C8:C10)</f>
        <v/>
      </c>
      <c r="D11" s="14">
        <f>SUM(D8:D10)</f>
        <v/>
      </c>
      <c r="E11" s="14">
        <f>SUM(E8:E10)</f>
        <v/>
      </c>
      <c r="F11" s="14">
        <f>SUM(F8:F10)</f>
        <v/>
      </c>
      <c r="G11" s="14">
        <f>SUM(G8:G10)</f>
        <v/>
      </c>
      <c r="H11" s="14">
        <f>SUM(H8:H10)</f>
        <v/>
      </c>
      <c r="I11" s="14">
        <f>SUM(I8:I10)</f>
        <v/>
      </c>
      <c r="J11" s="14">
        <f>SUM(J8:J10)</f>
        <v/>
      </c>
      <c r="K11" s="14">
        <f>SUM(K8:K10)</f>
        <v/>
      </c>
      <c r="L11" s="2" t="inlineStr">
        <is>
          <t>[calc]</t>
        </is>
      </c>
      <c r="M11" s="2" t="inlineStr"/>
    </row>
    <row r="12">
      <c r="A12" s="8" t="inlineStr">
        <is>
          <t>Partidas que se reclasificarán a resultados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>
      <c r="A13" s="10" t="inlineStr">
        <is>
          <t>Efectos de cobertura económica neta</t>
        </is>
      </c>
      <c r="B13" s="11" t="n">
        <v>-723</v>
      </c>
      <c r="C13" s="11" t="n">
        <v>667</v>
      </c>
      <c r="D13" s="11" t="n">
        <v>1100</v>
      </c>
      <c r="E13" s="11" t="n">
        <v>-3407</v>
      </c>
      <c r="F13" s="11" t="n">
        <v>2096</v>
      </c>
      <c r="G13" s="11" t="n">
        <v>0</v>
      </c>
      <c r="H13" s="11" t="n">
        <v>0</v>
      </c>
      <c r="I13" s="13" t="n"/>
      <c r="J13" s="13" t="n"/>
      <c r="K13" s="13" t="n"/>
      <c r="L13" s="2" t="inlineStr">
        <is>
          <t>[sourced]</t>
        </is>
      </c>
      <c r="M13" s="2" t="inlineStr">
        <is>
          <t>RA23 p.258 (2021-22); IA25 p.14 (2023-25)</t>
        </is>
      </c>
    </row>
    <row r="14">
      <c r="A14" s="10" t="inlineStr">
        <is>
          <t>Efectos de conversión de operaciones extranjeras</t>
        </is>
      </c>
      <c r="B14" s="11" t="n">
        <v>2114</v>
      </c>
      <c r="C14" s="11" t="n">
        <v>-9862</v>
      </c>
      <c r="D14" s="11" t="n">
        <v>-15635</v>
      </c>
      <c r="E14" s="11" t="n">
        <v>15551</v>
      </c>
      <c r="F14" s="11" t="n">
        <v>-10811</v>
      </c>
      <c r="G14" s="11" t="n">
        <v>0</v>
      </c>
      <c r="H14" s="11" t="n">
        <v>0</v>
      </c>
      <c r="I14" s="13" t="n"/>
      <c r="J14" s="13" t="n"/>
      <c r="K14" s="13" t="n"/>
      <c r="L14" s="2" t="inlineStr">
        <is>
          <t>[sourced]</t>
        </is>
      </c>
      <c r="M14" s="2" t="inlineStr">
        <is>
          <t>RA23 p.258 (2021-22); IA25 p.14 (2023-25)</t>
        </is>
      </c>
    </row>
    <row r="15">
      <c r="A15" s="10" t="inlineStr">
        <is>
          <t>Variación neta de instrumentos de cobertura de flujos de efectivo</t>
        </is>
      </c>
      <c r="B15" s="11" t="n">
        <v>2988</v>
      </c>
      <c r="C15" s="11" t="n">
        <v>-2213</v>
      </c>
      <c r="D15" s="11" t="n">
        <v>938</v>
      </c>
      <c r="E15" s="11" t="n">
        <v>287</v>
      </c>
      <c r="F15" s="11" t="n">
        <v>-1800</v>
      </c>
      <c r="G15" s="11" t="n">
        <v>0</v>
      </c>
      <c r="H15" s="11" t="n">
        <v>0</v>
      </c>
      <c r="I15" s="13" t="n"/>
      <c r="J15" s="13" t="n"/>
      <c r="K15" s="13" t="n"/>
      <c r="L15" s="2" t="inlineStr">
        <is>
          <t>[sourced]</t>
        </is>
      </c>
      <c r="M15" s="2" t="inlineStr">
        <is>
          <t>RA23 p.258 (2021-22); IA25 p.14 (2023-25)</t>
        </is>
      </c>
    </row>
    <row r="16">
      <c r="A16" s="10" t="inlineStr">
        <is>
          <t>Impuesto a las ganancias</t>
        </is>
      </c>
      <c r="B16" s="11" t="n">
        <v>-937</v>
      </c>
      <c r="C16" s="11" t="n">
        <v>142</v>
      </c>
      <c r="D16" s="11" t="n">
        <v>-772</v>
      </c>
      <c r="E16" s="11" t="n">
        <v>1164</v>
      </c>
      <c r="F16" s="11" t="n">
        <v>-348</v>
      </c>
      <c r="G16" s="11" t="n">
        <v>0</v>
      </c>
      <c r="H16" s="11" t="n">
        <v>0</v>
      </c>
      <c r="I16" s="13" t="n"/>
      <c r="J16" s="13" t="n"/>
      <c r="K16" s="13" t="n"/>
      <c r="L16" s="2" t="inlineStr">
        <is>
          <t>[sourced]</t>
        </is>
      </c>
      <c r="M16" s="2" t="inlineStr">
        <is>
          <t>RA23 p.258 (2021-22); IA25 p.14 (2023-25)</t>
        </is>
      </c>
    </row>
    <row r="17">
      <c r="A17" s="3" t="inlineStr">
        <is>
          <t>Subtotal</t>
        </is>
      </c>
      <c r="B17" s="14">
        <f>SUM(B13:B16)</f>
        <v/>
      </c>
      <c r="C17" s="14">
        <f>SUM(C13:C16)</f>
        <v/>
      </c>
      <c r="D17" s="14">
        <f>SUM(D13:D16)</f>
        <v/>
      </c>
      <c r="E17" s="14">
        <f>SUM(E13:E16)</f>
        <v/>
      </c>
      <c r="F17" s="14">
        <f>SUM(F13:F16)</f>
        <v/>
      </c>
      <c r="G17" s="14">
        <f>SUM(G13:G16)</f>
        <v/>
      </c>
      <c r="H17" s="14">
        <f>SUM(H13:H16)</f>
        <v/>
      </c>
      <c r="I17" s="14">
        <f>SUM(I13:I16)</f>
        <v/>
      </c>
      <c r="J17" s="14">
        <f>SUM(J13:J16)</f>
        <v/>
      </c>
      <c r="K17" s="14">
        <f>SUM(K13:K16)</f>
        <v/>
      </c>
      <c r="L17" s="2" t="inlineStr">
        <is>
          <t>[calc]</t>
        </is>
      </c>
      <c r="M17" s="2" t="inlineStr"/>
    </row>
    <row r="18">
      <c r="A18" s="3" t="inlineStr">
        <is>
          <t>Total de otros resultados integrales</t>
        </is>
      </c>
      <c r="B18" s="14">
        <f>B11+B17</f>
        <v/>
      </c>
      <c r="C18" s="14">
        <f>C11+C17</f>
        <v/>
      </c>
      <c r="D18" s="14">
        <f>D11+D17</f>
        <v/>
      </c>
      <c r="E18" s="14">
        <f>E11+E17</f>
        <v/>
      </c>
      <c r="F18" s="14">
        <f>F11+F17</f>
        <v/>
      </c>
      <c r="G18" s="14">
        <f>G11+G17</f>
        <v/>
      </c>
      <c r="H18" s="14">
        <f>H11+H17</f>
        <v/>
      </c>
      <c r="I18" s="14">
        <f>I11+I17</f>
        <v/>
      </c>
      <c r="J18" s="14">
        <f>J11+J17</f>
        <v/>
      </c>
      <c r="K18" s="14">
        <f>K11+K17</f>
        <v/>
      </c>
      <c r="L18" s="2" t="inlineStr">
        <is>
          <t>[calc]</t>
        </is>
      </c>
      <c r="M18" s="2" t="inlineStr"/>
    </row>
    <row r="19">
      <c r="A19" s="3" t="inlineStr">
        <is>
          <t>Resultado integral consolidado</t>
        </is>
      </c>
      <c r="B19" s="14">
        <f>B5+B18</f>
        <v/>
      </c>
      <c r="C19" s="14">
        <f>C5+C18</f>
        <v/>
      </c>
      <c r="D19" s="14">
        <f>D5+D18</f>
        <v/>
      </c>
      <c r="E19" s="14">
        <f>E5+E18</f>
        <v/>
      </c>
      <c r="F19" s="14">
        <f>F5+F18</f>
        <v/>
      </c>
      <c r="G19" s="14">
        <f>G5+G18</f>
        <v/>
      </c>
      <c r="H19" s="14">
        <f>H5+H18</f>
        <v/>
      </c>
      <c r="I19" s="14">
        <f>I5+I18</f>
        <v/>
      </c>
      <c r="J19" s="14">
        <f>J5+J18</f>
        <v/>
      </c>
      <c r="K19" s="14">
        <f>K5+K18</f>
        <v/>
      </c>
      <c r="L19" s="2" t="inlineStr">
        <is>
          <t>[calc]</t>
        </is>
      </c>
      <c r="M19" s="2" t="inlineStr"/>
    </row>
    <row r="20">
      <c r="A20" s="10" t="inlineStr">
        <is>
          <t xml:space="preserve">  Atribuible a la participación no controladora</t>
        </is>
      </c>
      <c r="B20" s="11" t="n">
        <v>1470</v>
      </c>
      <c r="C20" s="11" t="n">
        <v>1155</v>
      </c>
      <c r="D20" s="11" t="n">
        <v>1540</v>
      </c>
      <c r="E20" s="11" t="n">
        <v>1677</v>
      </c>
      <c r="F20" s="11" t="n">
        <v>2012</v>
      </c>
      <c r="G20" s="12">
        <f>ER!G30</f>
        <v/>
      </c>
      <c r="H20" s="12">
        <f>ER!H30</f>
        <v/>
      </c>
      <c r="I20" s="13" t="n"/>
      <c r="J20" s="13" t="n"/>
      <c r="K20" s="13" t="n"/>
      <c r="L20" s="2" t="inlineStr">
        <is>
          <t>[sourced]</t>
        </is>
      </c>
      <c r="M20" s="2" t="inlineStr">
        <is>
          <t>RA23 p.258 (2021-22); IA25 p.14 (2023-25)</t>
        </is>
      </c>
    </row>
    <row r="21">
      <c r="A21" s="10" t="inlineStr">
        <is>
          <t xml:space="preserve">  Atribuible a la participación controladora</t>
        </is>
      </c>
      <c r="B21" s="12">
        <f>B19-B20</f>
        <v/>
      </c>
      <c r="C21" s="12">
        <f>C19-C20</f>
        <v/>
      </c>
      <c r="D21" s="12">
        <f>D19-D20</f>
        <v/>
      </c>
      <c r="E21" s="12">
        <f>E19-E20</f>
        <v/>
      </c>
      <c r="F21" s="12">
        <f>F19-F20</f>
        <v/>
      </c>
      <c r="G21" s="12">
        <f>G19-G20</f>
        <v/>
      </c>
      <c r="H21" s="12">
        <f>H19-H20</f>
        <v/>
      </c>
      <c r="I21" s="12">
        <f>I19-I20</f>
        <v/>
      </c>
      <c r="J21" s="12">
        <f>J19-J20</f>
        <v/>
      </c>
      <c r="K21" s="12">
        <f>K19-K20</f>
        <v/>
      </c>
      <c r="L21" s="2" t="inlineStr">
        <is>
          <t>[calc]</t>
        </is>
      </c>
      <c r="M21" s="2" t="inlineStr"/>
    </row>
  </sheetData>
  <mergeCells count="2">
    <mergeCell ref="G3:K3"/>
    <mergeCell ref="B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70" customWidth="1" min="13" max="13"/>
  </cols>
  <sheetData>
    <row r="1">
      <c r="A1" s="1" t="inlineStr">
        <is>
          <t>Grupo Bimbo - Estado consolidado de situación financiera (balance general) al 31 de diciembre</t>
        </is>
      </c>
    </row>
    <row r="2">
      <c r="A2" s="2" t="inlineStr">
        <is>
          <t>Como se reporta: todos los renglones del estado.</t>
        </is>
      </c>
    </row>
    <row r="3">
      <c r="B3" s="4" t="inlineStr">
        <is>
          <t>Real (auditado)</t>
        </is>
      </c>
      <c r="G3" s="5" t="inlineStr">
        <is>
          <t>Proyección - el equipo proyecta y cuadra</t>
        </is>
      </c>
    </row>
    <row r="4">
      <c r="A4" s="6" t="inlineStr">
        <is>
          <t>Millones de MXN</t>
        </is>
      </c>
      <c r="B4" s="7" t="inlineStr">
        <is>
          <t>2021R</t>
        </is>
      </c>
      <c r="C4" s="7" t="inlineStr">
        <is>
          <t>2022R</t>
        </is>
      </c>
      <c r="D4" s="7" t="inlineStr">
        <is>
          <t>2023R</t>
        </is>
      </c>
      <c r="E4" s="7" t="inlineStr">
        <is>
          <t>2024R</t>
        </is>
      </c>
      <c r="F4" s="7" t="inlineStr">
        <is>
          <t>2025R</t>
        </is>
      </c>
      <c r="G4" s="7" t="inlineStr">
        <is>
          <t>2026E</t>
        </is>
      </c>
      <c r="H4" s="7" t="inlineStr">
        <is>
          <t>2027E</t>
        </is>
      </c>
      <c r="I4" s="7" t="inlineStr">
        <is>
          <t>2028E</t>
        </is>
      </c>
      <c r="J4" s="7" t="inlineStr">
        <is>
          <t>2029E</t>
        </is>
      </c>
      <c r="K4" s="7" t="inlineStr">
        <is>
          <t>2030E</t>
        </is>
      </c>
      <c r="L4" s="6" t="inlineStr">
        <is>
          <t>Etiqueta</t>
        </is>
      </c>
      <c r="M4" s="6" t="inlineStr">
        <is>
          <t>Fuente / nota</t>
        </is>
      </c>
    </row>
    <row r="5">
      <c r="A5" s="8" t="inlineStr">
        <is>
          <t>Activo circulante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</row>
    <row r="6">
      <c r="A6" s="10" t="inlineStr">
        <is>
          <t>Efectivo y equivalentes de efectivo</t>
        </is>
      </c>
      <c r="B6" s="11" t="n">
        <v>8748</v>
      </c>
      <c r="C6" s="11" t="n">
        <v>12313</v>
      </c>
      <c r="D6" s="11" t="n">
        <v>6353</v>
      </c>
      <c r="E6" s="11" t="n">
        <v>8057</v>
      </c>
      <c r="F6" s="11" t="n">
        <v>8535</v>
      </c>
      <c r="G6" s="12">
        <f>FE!G68</f>
        <v/>
      </c>
      <c r="H6" s="12">
        <f>FE!H68</f>
        <v/>
      </c>
      <c r="I6" s="13" t="n"/>
      <c r="J6" s="13" t="n"/>
      <c r="K6" s="13" t="n"/>
      <c r="L6" s="2" t="inlineStr">
        <is>
          <t>[sourced]</t>
        </is>
      </c>
      <c r="M6" s="2" t="inlineStr">
        <is>
          <t>RA23 p.256 (2021-22); IA25 p.12 (2023-25); Debe ser igual al efectivo final del FE</t>
        </is>
      </c>
    </row>
    <row r="7">
      <c r="A7" s="10" t="inlineStr">
        <is>
          <t>Cuentas por cobrar a clientes y otras, neto</t>
        </is>
      </c>
      <c r="B7" s="11" t="n">
        <v>27170</v>
      </c>
      <c r="C7" s="11" t="n">
        <v>32185</v>
      </c>
      <c r="D7" s="11" t="n">
        <v>33269</v>
      </c>
      <c r="E7" s="11" t="n">
        <v>36659</v>
      </c>
      <c r="F7" s="11" t="n">
        <v>35782</v>
      </c>
      <c r="G7" s="12">
        <f>ER!G6*Supuestos!B82/365</f>
        <v/>
      </c>
      <c r="H7" s="12">
        <f>ER!H6*Supuestos!B82/365</f>
        <v/>
      </c>
      <c r="I7" s="13" t="n"/>
      <c r="J7" s="13" t="n"/>
      <c r="K7" s="13" t="n"/>
      <c r="L7" s="2" t="inlineStr">
        <is>
          <t>[sourced]</t>
        </is>
      </c>
      <c r="M7" s="2" t="inlineStr">
        <is>
          <t>RA23 p.256 (2021-22); IA25 p.12 (2023-25)</t>
        </is>
      </c>
    </row>
    <row r="8">
      <c r="A8" s="10" t="inlineStr">
        <is>
          <t>Inventarios</t>
        </is>
      </c>
      <c r="B8" s="11" t="n">
        <v>13710</v>
      </c>
      <c r="C8" s="11" t="n">
        <v>16989</v>
      </c>
      <c r="D8" s="11" t="n">
        <v>16120</v>
      </c>
      <c r="E8" s="11" t="n">
        <v>18832</v>
      </c>
      <c r="F8" s="11" t="n">
        <v>17151</v>
      </c>
      <c r="G8" s="12">
        <f>ER!G7*Supuestos!B83/365</f>
        <v/>
      </c>
      <c r="H8" s="12">
        <f>ER!H7*Supuestos!B83/365</f>
        <v/>
      </c>
      <c r="I8" s="13" t="n"/>
      <c r="J8" s="13" t="n"/>
      <c r="K8" s="13" t="n"/>
      <c r="L8" s="2" t="inlineStr">
        <is>
          <t>[sourced]</t>
        </is>
      </c>
      <c r="M8" s="2" t="inlineStr">
        <is>
          <t>RA23 p.256 (2021-22); IA25 p.12 (2023-25)</t>
        </is>
      </c>
    </row>
    <row r="9">
      <c r="A9" s="10" t="inlineStr">
        <is>
          <t>Pagos anticipados</t>
        </is>
      </c>
      <c r="B9" s="11" t="n">
        <v>2296</v>
      </c>
      <c r="C9" s="11" t="n">
        <v>928</v>
      </c>
      <c r="D9" s="11" t="n">
        <v>1378</v>
      </c>
      <c r="E9" s="11" t="n">
        <v>1371</v>
      </c>
      <c r="F9" s="11" t="n">
        <v>1798</v>
      </c>
      <c r="G9" s="12">
        <f>F9</f>
        <v/>
      </c>
      <c r="H9" s="12">
        <f>G9</f>
        <v/>
      </c>
      <c r="I9" s="13" t="n"/>
      <c r="J9" s="13" t="n"/>
      <c r="K9" s="13" t="n"/>
      <c r="L9" s="2" t="inlineStr">
        <is>
          <t>[sourced]</t>
        </is>
      </c>
      <c r="M9" s="2" t="inlineStr">
        <is>
          <t>RA23 p.256 (2021-22); IA25 p.12 (2023-25)</t>
        </is>
      </c>
    </row>
    <row r="10">
      <c r="A10" s="10" t="inlineStr">
        <is>
          <t>Instrumentos financieros derivados</t>
        </is>
      </c>
      <c r="B10" s="11" t="n">
        <v>1293</v>
      </c>
      <c r="C10" s="11" t="n">
        <v>38</v>
      </c>
      <c r="D10" s="11" t="n">
        <v>119</v>
      </c>
      <c r="E10" s="11" t="n">
        <v>1417</v>
      </c>
      <c r="F10" s="11" t="n">
        <v>60</v>
      </c>
      <c r="G10" s="12">
        <f>F10</f>
        <v/>
      </c>
      <c r="H10" s="12">
        <f>G10</f>
        <v/>
      </c>
      <c r="I10" s="13" t="n"/>
      <c r="J10" s="13" t="n"/>
      <c r="K10" s="13" t="n"/>
      <c r="L10" s="2" t="inlineStr">
        <is>
          <t>[sourced]</t>
        </is>
      </c>
      <c r="M10" s="2" t="inlineStr">
        <is>
          <t>RA23 p.256 (2021-22); IA25 p.12 (2023-25)</t>
        </is>
      </c>
    </row>
    <row r="11">
      <c r="A11" s="10" t="inlineStr">
        <is>
          <t>Depósitos en cuentas de garantía de instrumentos financieros derivados</t>
        </is>
      </c>
      <c r="B11" s="11" t="n">
        <v>0</v>
      </c>
      <c r="C11" s="11" t="n">
        <v>879</v>
      </c>
      <c r="D11" s="11" t="n">
        <v>1519</v>
      </c>
      <c r="E11" s="11" t="n">
        <v>577</v>
      </c>
      <c r="F11" s="11" t="n">
        <v>459</v>
      </c>
      <c r="G11" s="12">
        <f>F11</f>
        <v/>
      </c>
      <c r="H11" s="12">
        <f>G11</f>
        <v/>
      </c>
      <c r="I11" s="13" t="n"/>
      <c r="J11" s="13" t="n"/>
      <c r="K11" s="13" t="n"/>
      <c r="L11" s="2" t="inlineStr">
        <is>
          <t>[sourced]</t>
        </is>
      </c>
      <c r="M11" s="2" t="inlineStr">
        <is>
          <t>RA23 p.256 (2021-22); IA25 p.12 (2023-25)</t>
        </is>
      </c>
    </row>
    <row r="12">
      <c r="A12" s="10" t="inlineStr">
        <is>
          <t>Activos clasificados como mantenidos para su venta</t>
        </is>
      </c>
      <c r="B12" s="11" t="n">
        <v>194</v>
      </c>
      <c r="C12" s="11" t="n">
        <v>138</v>
      </c>
      <c r="D12" s="11" t="n">
        <v>156</v>
      </c>
      <c r="E12" s="11" t="n">
        <v>267</v>
      </c>
      <c r="F12" s="11" t="n">
        <v>886</v>
      </c>
      <c r="G12" s="12">
        <f>F12</f>
        <v/>
      </c>
      <c r="H12" s="12">
        <f>G12</f>
        <v/>
      </c>
      <c r="I12" s="13" t="n"/>
      <c r="J12" s="13" t="n"/>
      <c r="K12" s="13" t="n"/>
      <c r="L12" s="2" t="inlineStr">
        <is>
          <t>[sourced]</t>
        </is>
      </c>
      <c r="M12" s="2" t="inlineStr">
        <is>
          <t>RA23 p.256 (2021-22); IA25 p.12 (2023-25)</t>
        </is>
      </c>
    </row>
    <row r="13">
      <c r="A13" s="3" t="inlineStr">
        <is>
          <t>Total del activo circulante</t>
        </is>
      </c>
      <c r="B13" s="14">
        <f>SUM(B6:B12)</f>
        <v/>
      </c>
      <c r="C13" s="14">
        <f>SUM(C6:C12)</f>
        <v/>
      </c>
      <c r="D13" s="14">
        <f>SUM(D6:D12)</f>
        <v/>
      </c>
      <c r="E13" s="14">
        <f>SUM(E6:E12)</f>
        <v/>
      </c>
      <c r="F13" s="14">
        <f>SUM(F6:F12)</f>
        <v/>
      </c>
      <c r="G13" s="14">
        <f>SUM(G6:G12)</f>
        <v/>
      </c>
      <c r="H13" s="14">
        <f>SUM(H6:H12)</f>
        <v/>
      </c>
      <c r="I13" s="14">
        <f>SUM(I6:I12)</f>
        <v/>
      </c>
      <c r="J13" s="14">
        <f>SUM(J6:J12)</f>
        <v/>
      </c>
      <c r="K13" s="14">
        <f>SUM(K6:K12)</f>
        <v/>
      </c>
      <c r="L13" s="2" t="inlineStr">
        <is>
          <t>[calc]</t>
        </is>
      </c>
      <c r="M13" s="2" t="inlineStr"/>
    </row>
    <row r="14">
      <c r="A14" s="10" t="inlineStr">
        <is>
          <t>Propiedades, planta y equipo, neto</t>
        </is>
      </c>
      <c r="B14" s="11" t="n">
        <v>103891</v>
      </c>
      <c r="C14" s="11" t="n">
        <v>113505</v>
      </c>
      <c r="D14" s="11" t="n">
        <v>129156</v>
      </c>
      <c r="E14" s="11" t="n">
        <v>155376</v>
      </c>
      <c r="F14" s="11" t="n">
        <v>157423</v>
      </c>
      <c r="G14" s="12">
        <f>F14+Supuestos!B77-Supuestos!B81</f>
        <v/>
      </c>
      <c r="H14" s="12">
        <f>G14+Supuestos!B182-(ER!H36-Supuestos!B78-Supuestos!B80)</f>
        <v/>
      </c>
      <c r="I14" s="13" t="n"/>
      <c r="J14" s="13" t="n"/>
      <c r="K14" s="13" t="n"/>
      <c r="L14" s="2" t="inlineStr">
        <is>
          <t>[sourced]</t>
        </is>
      </c>
      <c r="M14" s="2" t="inlineStr">
        <is>
          <t>RA23 p.256 (2021-22); IA25 p.12 (2023-25)</t>
        </is>
      </c>
    </row>
    <row r="15">
      <c r="A15" s="10" t="inlineStr">
        <is>
          <t>Activos por derecho de uso, neto</t>
        </is>
      </c>
      <c r="B15" s="11" t="n">
        <v>30754</v>
      </c>
      <c r="C15" s="11" t="n">
        <v>28477</v>
      </c>
      <c r="D15" s="11" t="n">
        <v>25848</v>
      </c>
      <c r="E15" s="11" t="n">
        <v>34220</v>
      </c>
      <c r="F15" s="11" t="n">
        <v>32757</v>
      </c>
      <c r="G15" s="12">
        <f>F15</f>
        <v/>
      </c>
      <c r="H15" s="12">
        <f>G15</f>
        <v/>
      </c>
      <c r="I15" s="13" t="n"/>
      <c r="J15" s="13" t="n"/>
      <c r="K15" s="13" t="n"/>
      <c r="L15" s="2" t="inlineStr">
        <is>
          <t>[sourced]</t>
        </is>
      </c>
      <c r="M15" s="2" t="inlineStr">
        <is>
          <t>RA23 p.256 (2021-22); IA25 p.12 (2023-25)</t>
        </is>
      </c>
    </row>
    <row r="16">
      <c r="A16" s="10" t="inlineStr">
        <is>
          <t>Inversión en asociadas</t>
        </is>
      </c>
      <c r="B16" s="11" t="n">
        <v>3891</v>
      </c>
      <c r="C16" s="11" t="n">
        <v>4398</v>
      </c>
      <c r="D16" s="11" t="n">
        <v>5031</v>
      </c>
      <c r="E16" s="11" t="n">
        <v>7531</v>
      </c>
      <c r="F16" s="11" t="n">
        <v>7018</v>
      </c>
      <c r="G16" s="12">
        <f>F16+ER!G22</f>
        <v/>
      </c>
      <c r="H16" s="12">
        <f>G16+ER!H22</f>
        <v/>
      </c>
      <c r="I16" s="13" t="n"/>
      <c r="J16" s="13" t="n"/>
      <c r="K16" s="13" t="n"/>
      <c r="L16" s="2" t="inlineStr">
        <is>
          <t>[sourced]</t>
        </is>
      </c>
      <c r="M16" s="2" t="inlineStr">
        <is>
          <t>RA23 p.256 (2021-22); IA25 p.12 (2023-25)</t>
        </is>
      </c>
    </row>
    <row r="17">
      <c r="A17" s="10" t="inlineStr">
        <is>
          <t>Instrumentos financieros derivados</t>
        </is>
      </c>
      <c r="B17" s="11" t="n">
        <v>1962</v>
      </c>
      <c r="C17" s="11" t="n">
        <v>2005</v>
      </c>
      <c r="D17" s="11" t="n">
        <v>468</v>
      </c>
      <c r="E17" s="11" t="n">
        <v>784</v>
      </c>
      <c r="F17" s="11" t="n">
        <v>657</v>
      </c>
      <c r="G17" s="12">
        <f>F17</f>
        <v/>
      </c>
      <c r="H17" s="12">
        <f>G17</f>
        <v/>
      </c>
      <c r="I17" s="13" t="n"/>
      <c r="J17" s="13" t="n"/>
      <c r="K17" s="13" t="n"/>
      <c r="L17" s="2" t="inlineStr">
        <is>
          <t>[sourced]</t>
        </is>
      </c>
      <c r="M17" s="2" t="inlineStr">
        <is>
          <t>RA23 p.256 (2021-22); IA25 p.12 (2023-25)</t>
        </is>
      </c>
    </row>
    <row r="18">
      <c r="A18" s="10" t="inlineStr">
        <is>
          <t>Impuestos a las ganancias diferidos</t>
        </is>
      </c>
      <c r="B18" s="11" t="n">
        <v>7861</v>
      </c>
      <c r="C18" s="11" t="n">
        <v>3962</v>
      </c>
      <c r="D18" s="11" t="n">
        <v>7313</v>
      </c>
      <c r="E18" s="11" t="n">
        <v>6884</v>
      </c>
      <c r="F18" s="11" t="n">
        <v>6908</v>
      </c>
      <c r="G18" s="12">
        <f>F18</f>
        <v/>
      </c>
      <c r="H18" s="12">
        <f>G18</f>
        <v/>
      </c>
      <c r="I18" s="13" t="n"/>
      <c r="J18" s="13" t="n"/>
      <c r="K18" s="13" t="n"/>
      <c r="L18" s="2" t="inlineStr">
        <is>
          <t>[sourced]</t>
        </is>
      </c>
      <c r="M18" s="2" t="inlineStr">
        <is>
          <t>RA23 p.256 (2021-22); IA25 p.12 (2023-25)</t>
        </is>
      </c>
    </row>
    <row r="19">
      <c r="A19" s="10" t="inlineStr">
        <is>
          <t>Activos intangibles, neto</t>
        </is>
      </c>
      <c r="B19" s="11" t="n">
        <v>56965</v>
      </c>
      <c r="C19" s="11" t="n">
        <v>59062</v>
      </c>
      <c r="D19" s="11" t="n">
        <v>55101</v>
      </c>
      <c r="E19" s="11" t="n">
        <v>65808</v>
      </c>
      <c r="F19" s="11" t="n">
        <v>62947</v>
      </c>
      <c r="G19" s="12">
        <f>F19-Supuestos!B80</f>
        <v/>
      </c>
      <c r="H19" s="12">
        <f>G19-Supuestos!B80</f>
        <v/>
      </c>
      <c r="I19" s="13" t="n"/>
      <c r="J19" s="13" t="n"/>
      <c r="K19" s="13" t="n"/>
      <c r="L19" s="2" t="inlineStr">
        <is>
          <t>[sourced]</t>
        </is>
      </c>
      <c r="M19" s="2" t="inlineStr">
        <is>
          <t>RA23 p.256 (2021-22); IA25 p.12 (2023-25)</t>
        </is>
      </c>
    </row>
    <row r="20">
      <c r="A20" s="10" t="inlineStr">
        <is>
          <t>Crédito mercantil</t>
        </is>
      </c>
      <c r="B20" s="11" t="n">
        <v>74565</v>
      </c>
      <c r="C20" s="11" t="n">
        <v>68085</v>
      </c>
      <c r="D20" s="11" t="n">
        <v>62000</v>
      </c>
      <c r="E20" s="11" t="n">
        <v>75100</v>
      </c>
      <c r="F20" s="11" t="n">
        <v>72568</v>
      </c>
      <c r="G20" s="12">
        <f>F20</f>
        <v/>
      </c>
      <c r="H20" s="12">
        <f>G20</f>
        <v/>
      </c>
      <c r="I20" s="13" t="n"/>
      <c r="J20" s="13" t="n"/>
      <c r="K20" s="13" t="n"/>
      <c r="L20" s="2" t="inlineStr">
        <is>
          <t>[sourced]</t>
        </is>
      </c>
      <c r="M20" s="2" t="inlineStr">
        <is>
          <t>RA23 p.256 (2021-22); IA25 p.12 (2023-25)</t>
        </is>
      </c>
    </row>
    <row r="21">
      <c r="A21" s="10" t="inlineStr">
        <is>
          <t>Otros activos, neto</t>
        </is>
      </c>
      <c r="B21" s="11" t="n">
        <v>4340</v>
      </c>
      <c r="C21" s="11" t="n">
        <v>4800</v>
      </c>
      <c r="D21" s="11" t="n">
        <v>4271</v>
      </c>
      <c r="E21" s="11" t="n">
        <v>3921</v>
      </c>
      <c r="F21" s="11" t="n">
        <v>4856</v>
      </c>
      <c r="G21" s="12">
        <f>F21</f>
        <v/>
      </c>
      <c r="H21" s="12">
        <f>G21</f>
        <v/>
      </c>
      <c r="I21" s="13" t="n"/>
      <c r="J21" s="13" t="n"/>
      <c r="K21" s="13" t="n"/>
      <c r="L21" s="2" t="inlineStr">
        <is>
          <t>[sourced]</t>
        </is>
      </c>
      <c r="M21" s="2" t="inlineStr">
        <is>
          <t>RA23 p.256 (2021-22); IA25 p.12 (2023-25)</t>
        </is>
      </c>
    </row>
    <row r="22">
      <c r="A22" s="3" t="inlineStr">
        <is>
          <t>TOTAL DEL ACTIVO</t>
        </is>
      </c>
      <c r="B22" s="14">
        <f>B13+SUM(B14:B21)</f>
        <v/>
      </c>
      <c r="C22" s="14">
        <f>C13+SUM(C14:C21)</f>
        <v/>
      </c>
      <c r="D22" s="14">
        <f>D13+SUM(D14:D21)</f>
        <v/>
      </c>
      <c r="E22" s="14">
        <f>E13+SUM(E14:E21)</f>
        <v/>
      </c>
      <c r="F22" s="14">
        <f>F13+SUM(F14:F21)</f>
        <v/>
      </c>
      <c r="G22" s="14">
        <f>G13+SUM(G14:G21)</f>
        <v/>
      </c>
      <c r="H22" s="14">
        <f>H13+SUM(H14:H21)</f>
        <v/>
      </c>
      <c r="I22" s="14">
        <f>I13+SUM(I14:I21)</f>
        <v/>
      </c>
      <c r="J22" s="14">
        <f>J13+SUM(J14:J21)</f>
        <v/>
      </c>
      <c r="K22" s="14">
        <f>K13+SUM(K14:K21)</f>
        <v/>
      </c>
      <c r="L22" s="2" t="inlineStr">
        <is>
          <t>[calc]</t>
        </is>
      </c>
      <c r="M22" s="2" t="inlineStr"/>
    </row>
    <row r="23">
      <c r="A23" t="inlineStr"/>
    </row>
    <row r="24">
      <c r="A24" s="8" t="inlineStr">
        <is>
          <t>Pasivo a corto plazo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>
      <c r="A25" s="10" t="inlineStr">
        <is>
          <t>Porción a corto plazo de la deuda a largo plazo</t>
        </is>
      </c>
      <c r="B25" s="11" t="n">
        <v>10625</v>
      </c>
      <c r="C25" s="11" t="n">
        <v>6435</v>
      </c>
      <c r="D25" s="11" t="n">
        <v>12932</v>
      </c>
      <c r="E25" s="11" t="n">
        <v>4862</v>
      </c>
      <c r="F25" s="11" t="n">
        <v>12635</v>
      </c>
      <c r="G25" s="12">
        <f>Supuestos!B85-Supuestos!B89</f>
        <v/>
      </c>
      <c r="H25" s="12">
        <f>Supuestos!B252</f>
        <v/>
      </c>
      <c r="I25" s="13" t="n"/>
      <c r="J25" s="13" t="n"/>
      <c r="K25" s="13" t="n"/>
      <c r="L25" s="2" t="inlineStr">
        <is>
          <t>[sourced]</t>
        </is>
      </c>
      <c r="M25" s="2" t="inlineStr">
        <is>
          <t>RA23 p.256 (2021-22); IA25 p.12 (2023-25)</t>
        </is>
      </c>
    </row>
    <row r="26">
      <c r="A26" s="10" t="inlineStr">
        <is>
          <t>Cuentas por pagar a proveedores</t>
        </is>
      </c>
      <c r="B26" s="11" t="n">
        <v>35752</v>
      </c>
      <c r="C26" s="11" t="n">
        <v>44058</v>
      </c>
      <c r="D26" s="11" t="n">
        <v>40409</v>
      </c>
      <c r="E26" s="11" t="n">
        <v>40815</v>
      </c>
      <c r="F26" s="11" t="n">
        <v>39074</v>
      </c>
      <c r="G26" s="12">
        <f>ER!G7*Supuestos!B84/365</f>
        <v/>
      </c>
      <c r="H26" s="12">
        <f>ER!H7*Supuestos!B84/365</f>
        <v/>
      </c>
      <c r="I26" s="13" t="n"/>
      <c r="J26" s="13" t="n"/>
      <c r="K26" s="13" t="n"/>
      <c r="L26" s="2" t="inlineStr">
        <is>
          <t>[sourced]</t>
        </is>
      </c>
      <c r="M26" s="2" t="inlineStr">
        <is>
          <t>RA23 p.256 (2021-22); IA25 p.12 (2023-25)</t>
        </is>
      </c>
    </row>
    <row r="27">
      <c r="A27" s="10" t="inlineStr">
        <is>
          <t>Otras cuentas por pagar y pasivos acumulados</t>
        </is>
      </c>
      <c r="B27" s="11" t="n">
        <v>24102</v>
      </c>
      <c r="C27" s="11" t="n">
        <v>24198</v>
      </c>
      <c r="D27" s="11" t="n">
        <v>22072</v>
      </c>
      <c r="E27" s="11" t="n">
        <v>27280</v>
      </c>
      <c r="F27" s="11" t="n">
        <v>26395</v>
      </c>
      <c r="G27" s="12">
        <f>F27</f>
        <v/>
      </c>
      <c r="H27" s="12">
        <f>G27</f>
        <v/>
      </c>
      <c r="I27" s="13" t="n"/>
      <c r="J27" s="13" t="n"/>
      <c r="K27" s="13" t="n"/>
      <c r="L27" s="2" t="inlineStr">
        <is>
          <t>[sourced]</t>
        </is>
      </c>
      <c r="M27" s="2" t="inlineStr">
        <is>
          <t>RA23 p.256 (2021-22); IA25 p.12 (2023-25)</t>
        </is>
      </c>
    </row>
    <row r="28">
      <c r="A28" s="10" t="inlineStr">
        <is>
          <t>Pasivo por arrendamientos</t>
        </is>
      </c>
      <c r="B28" s="11" t="n">
        <v>5793</v>
      </c>
      <c r="C28" s="11" t="n">
        <v>5930</v>
      </c>
      <c r="D28" s="11" t="n">
        <v>5751</v>
      </c>
      <c r="E28" s="11" t="n">
        <v>7140</v>
      </c>
      <c r="F28" s="11" t="n">
        <v>7076</v>
      </c>
      <c r="G28" s="12">
        <f>F28</f>
        <v/>
      </c>
      <c r="H28" s="12">
        <f>G28</f>
        <v/>
      </c>
      <c r="I28" s="13" t="n"/>
      <c r="J28" s="13" t="n"/>
      <c r="K28" s="13" t="n"/>
      <c r="L28" s="2" t="inlineStr">
        <is>
          <t>[sourced]</t>
        </is>
      </c>
      <c r="M28" s="2" t="inlineStr">
        <is>
          <t>RA23 p.256 (2021-22); IA25 p.12 (2023-25)</t>
        </is>
      </c>
    </row>
    <row r="29">
      <c r="A29" s="10" t="inlineStr">
        <is>
          <t>Cuentas por pagar a partes relacionadas</t>
        </is>
      </c>
      <c r="B29" s="11" t="n">
        <v>1527</v>
      </c>
      <c r="C29" s="11" t="n">
        <v>1240</v>
      </c>
      <c r="D29" s="11" t="n">
        <v>1412</v>
      </c>
      <c r="E29" s="11" t="n">
        <v>1260</v>
      </c>
      <c r="F29" s="11" t="n">
        <v>1154</v>
      </c>
      <c r="G29" s="12">
        <f>F29</f>
        <v/>
      </c>
      <c r="H29" s="12">
        <f>G29</f>
        <v/>
      </c>
      <c r="I29" s="13" t="n"/>
      <c r="J29" s="13" t="n"/>
      <c r="K29" s="13" t="n"/>
      <c r="L29" s="2" t="inlineStr">
        <is>
          <t>[sourced]</t>
        </is>
      </c>
      <c r="M29" s="2" t="inlineStr">
        <is>
          <t>RA23 p.256 (2021-22); IA25 p.12 (2023-25)</t>
        </is>
      </c>
    </row>
    <row r="30">
      <c r="A30" s="10" t="inlineStr">
        <is>
          <t>Impuesto a las ganancias por pagar</t>
        </is>
      </c>
      <c r="B30" s="11" t="n">
        <v>708</v>
      </c>
      <c r="C30" s="11" t="n">
        <v>4604</v>
      </c>
      <c r="D30" s="11" t="n">
        <v>665</v>
      </c>
      <c r="E30" s="11" t="n">
        <v>1535</v>
      </c>
      <c r="F30" s="11" t="n">
        <v>1059</v>
      </c>
      <c r="G30" s="12">
        <f>F30</f>
        <v/>
      </c>
      <c r="H30" s="12">
        <f>G30</f>
        <v/>
      </c>
      <c r="I30" s="13" t="n"/>
      <c r="J30" s="13" t="n"/>
      <c r="K30" s="13" t="n"/>
      <c r="L30" s="2" t="inlineStr">
        <is>
          <t>[sourced]</t>
        </is>
      </c>
      <c r="M30" s="2" t="inlineStr">
        <is>
          <t>RA23 p.256 (2021-22); IA25 p.12 (2023-25)</t>
        </is>
      </c>
    </row>
    <row r="31">
      <c r="A31" s="10" t="inlineStr">
        <is>
          <t>Participación de los trabajadores en las utilidades (PTU)</t>
        </is>
      </c>
      <c r="B31" s="11" t="n">
        <v>1692</v>
      </c>
      <c r="C31" s="11" t="n">
        <v>1811</v>
      </c>
      <c r="D31" s="11" t="n">
        <v>1787</v>
      </c>
      <c r="E31" s="11" t="n">
        <v>1752</v>
      </c>
      <c r="F31" s="11" t="n">
        <v>1592</v>
      </c>
      <c r="G31" s="12">
        <f>F31</f>
        <v/>
      </c>
      <c r="H31" s="12">
        <f>G31</f>
        <v/>
      </c>
      <c r="I31" s="13" t="n"/>
      <c r="J31" s="13" t="n"/>
      <c r="K31" s="13" t="n"/>
      <c r="L31" s="2" t="inlineStr">
        <is>
          <t>[sourced]</t>
        </is>
      </c>
      <c r="M31" s="2" t="inlineStr">
        <is>
          <t>RA23 p.256 (2021-22); IA25 p.12 (2023-25)</t>
        </is>
      </c>
    </row>
    <row r="32">
      <c r="A32" s="10" t="inlineStr">
        <is>
          <t>Instrumentos financieros derivados</t>
        </is>
      </c>
      <c r="B32" s="11" t="n">
        <v>169</v>
      </c>
      <c r="C32" s="11" t="n">
        <v>1458</v>
      </c>
      <c r="D32" s="11" t="n">
        <v>2164</v>
      </c>
      <c r="E32" s="11" t="n">
        <v>511</v>
      </c>
      <c r="F32" s="11" t="n">
        <v>1588</v>
      </c>
      <c r="G32" s="12">
        <f>F32</f>
        <v/>
      </c>
      <c r="H32" s="12">
        <f>G32</f>
        <v/>
      </c>
      <c r="I32" s="13" t="n"/>
      <c r="J32" s="13" t="n"/>
      <c r="K32" s="13" t="n"/>
      <c r="L32" s="2" t="inlineStr">
        <is>
          <t>[sourced]</t>
        </is>
      </c>
      <c r="M32" s="2" t="inlineStr">
        <is>
          <t>RA23 p.256 (2021-22); IA25 p.12 (2023-25)</t>
        </is>
      </c>
    </row>
    <row r="33">
      <c r="A33" s="10" t="inlineStr">
        <is>
          <t>Otros pasivos a corto plazo</t>
        </is>
      </c>
      <c r="B33" s="11" t="n">
        <v>392</v>
      </c>
      <c r="C33" s="11" t="n">
        <v>0</v>
      </c>
      <c r="D33" s="11" t="n">
        <v>0</v>
      </c>
      <c r="E33" s="11" t="n">
        <v>0</v>
      </c>
      <c r="F33" s="11" t="n">
        <v>0</v>
      </c>
      <c r="G33" s="12">
        <f>F33</f>
        <v/>
      </c>
      <c r="H33" s="12">
        <f>G33</f>
        <v/>
      </c>
      <c r="I33" s="13" t="n"/>
      <c r="J33" s="13" t="n"/>
      <c r="K33" s="13" t="n"/>
      <c r="L33" s="2" t="inlineStr">
        <is>
          <t>[sourced]</t>
        </is>
      </c>
      <c r="M33" s="2" t="inlineStr">
        <is>
          <t>RA23 p.256 (2021-22); IA25 p.12 (2023-25)</t>
        </is>
      </c>
    </row>
    <row r="34">
      <c r="A34" s="3" t="inlineStr">
        <is>
          <t>Total del pasivo a corto plazo</t>
        </is>
      </c>
      <c r="B34" s="14">
        <f>SUM(B25:B33)</f>
        <v/>
      </c>
      <c r="C34" s="14">
        <f>SUM(C25:C33)</f>
        <v/>
      </c>
      <c r="D34" s="14">
        <f>SUM(D25:D33)</f>
        <v/>
      </c>
      <c r="E34" s="14">
        <f>SUM(E25:E33)</f>
        <v/>
      </c>
      <c r="F34" s="14">
        <f>SUM(F25:F33)</f>
        <v/>
      </c>
      <c r="G34" s="14">
        <f>SUM(G25:G33)</f>
        <v/>
      </c>
      <c r="H34" s="14">
        <f>SUM(H25:H33)</f>
        <v/>
      </c>
      <c r="I34" s="14">
        <f>SUM(I25:I33)</f>
        <v/>
      </c>
      <c r="J34" s="14">
        <f>SUM(J25:J33)</f>
        <v/>
      </c>
      <c r="K34" s="14">
        <f>SUM(K25:K33)</f>
        <v/>
      </c>
      <c r="L34" s="2" t="inlineStr">
        <is>
          <t>[calc]</t>
        </is>
      </c>
      <c r="M34" s="2" t="inlineStr"/>
    </row>
    <row r="35">
      <c r="A35" s="10" t="inlineStr">
        <is>
          <t>Deuda a largo plazo</t>
        </is>
      </c>
      <c r="B35" s="11" t="n">
        <v>82230</v>
      </c>
      <c r="C35" s="11" t="n">
        <v>77619</v>
      </c>
      <c r="D35" s="11" t="n">
        <v>97003</v>
      </c>
      <c r="E35" s="11" t="n">
        <v>146043</v>
      </c>
      <c r="F35" s="11" t="n">
        <v>141028</v>
      </c>
      <c r="G35" s="12">
        <f>Supuestos!B86</f>
        <v/>
      </c>
      <c r="H35" s="12">
        <f>G25+G35-Supuestos!B249+Supuestos!B250-Supuestos!B252</f>
        <v/>
      </c>
      <c r="I35" s="13" t="n"/>
      <c r="J35" s="13" t="n"/>
      <c r="K35" s="13" t="n"/>
      <c r="L35" s="2" t="inlineStr">
        <is>
          <t>[sourced]</t>
        </is>
      </c>
      <c r="M35" s="2" t="inlineStr">
        <is>
          <t>RA23 p.256 (2021-22); IA25 p.12 (2023-25)</t>
        </is>
      </c>
    </row>
    <row r="36">
      <c r="A36" s="10" t="inlineStr">
        <is>
          <t>Pasivo por arrendamientos</t>
        </is>
      </c>
      <c r="B36" s="11" t="n">
        <v>25356</v>
      </c>
      <c r="C36" s="11" t="n">
        <v>23255</v>
      </c>
      <c r="D36" s="11" t="n">
        <v>21064</v>
      </c>
      <c r="E36" s="11" t="n">
        <v>28661</v>
      </c>
      <c r="F36" s="11" t="n">
        <v>27714</v>
      </c>
      <c r="G36" s="12">
        <f>F36</f>
        <v/>
      </c>
      <c r="H36" s="12">
        <f>G36</f>
        <v/>
      </c>
      <c r="I36" s="13" t="n"/>
      <c r="J36" s="13" t="n"/>
      <c r="K36" s="13" t="n"/>
      <c r="L36" s="2" t="inlineStr">
        <is>
          <t>[sourced]</t>
        </is>
      </c>
      <c r="M36" s="2" t="inlineStr">
        <is>
          <t>RA23 p.256 (2021-22); IA25 p.12 (2023-25)</t>
        </is>
      </c>
    </row>
    <row r="37">
      <c r="A37" s="10" t="inlineStr">
        <is>
          <t>Instrumentos financieros derivados</t>
        </is>
      </c>
      <c r="B37" s="11" t="n">
        <v>67</v>
      </c>
      <c r="C37" s="11" t="n">
        <v>590</v>
      </c>
      <c r="D37" s="11" t="n">
        <v>1888</v>
      </c>
      <c r="E37" s="11" t="n">
        <v>689</v>
      </c>
      <c r="F37" s="11" t="n">
        <v>2314</v>
      </c>
      <c r="G37" s="12">
        <f>F37</f>
        <v/>
      </c>
      <c r="H37" s="12">
        <f>G37</f>
        <v/>
      </c>
      <c r="I37" s="13" t="n"/>
      <c r="J37" s="13" t="n"/>
      <c r="K37" s="13" t="n"/>
      <c r="L37" s="2" t="inlineStr">
        <is>
          <t>[sourced]</t>
        </is>
      </c>
      <c r="M37" s="2" t="inlineStr">
        <is>
          <t>RA23 p.256 (2021-22); IA25 p.12 (2023-25)</t>
        </is>
      </c>
    </row>
    <row r="38">
      <c r="A38" s="10" t="inlineStr">
        <is>
          <t>Beneficios a empleados</t>
        </is>
      </c>
      <c r="B38" s="11" t="n">
        <v>30712</v>
      </c>
      <c r="C38" s="11" t="n">
        <v>9382</v>
      </c>
      <c r="D38" s="11" t="n">
        <v>7217</v>
      </c>
      <c r="E38" s="11" t="n">
        <v>6635</v>
      </c>
      <c r="F38" s="11" t="n">
        <v>6507</v>
      </c>
      <c r="G38" s="12">
        <f>F38</f>
        <v/>
      </c>
      <c r="H38" s="12">
        <f>G38</f>
        <v/>
      </c>
      <c r="I38" s="13" t="n"/>
      <c r="J38" s="13" t="n"/>
      <c r="K38" s="13" t="n"/>
      <c r="L38" s="2" t="inlineStr">
        <is>
          <t>[sourced]</t>
        </is>
      </c>
      <c r="M38" s="2" t="inlineStr">
        <is>
          <t>RA23 p.256 (2021-22); IA25 p.12 (2023-25); La caída de 2022 = liquidación de MEPP</t>
        </is>
      </c>
    </row>
    <row r="39">
      <c r="A39" s="10" t="inlineStr">
        <is>
          <t>Impuestos a las ganancias diferidos</t>
        </is>
      </c>
      <c r="B39" s="11" t="n">
        <v>7087</v>
      </c>
      <c r="C39" s="11" t="n">
        <v>7575</v>
      </c>
      <c r="D39" s="11" t="n">
        <v>9224</v>
      </c>
      <c r="E39" s="11" t="n">
        <v>8891</v>
      </c>
      <c r="F39" s="11" t="n">
        <v>8415</v>
      </c>
      <c r="G39" s="12">
        <f>F39</f>
        <v/>
      </c>
      <c r="H39" s="12">
        <f>G39</f>
        <v/>
      </c>
      <c r="I39" s="13" t="n"/>
      <c r="J39" s="13" t="n"/>
      <c r="K39" s="13" t="n"/>
      <c r="L39" s="2" t="inlineStr">
        <is>
          <t>[sourced]</t>
        </is>
      </c>
      <c r="M39" s="2" t="inlineStr">
        <is>
          <t>RA23 p.256 (2021-22); IA25 p.12 (2023-25)</t>
        </is>
      </c>
    </row>
    <row r="40">
      <c r="A40" s="10" t="inlineStr">
        <is>
          <t>Otros pasivos a largo plazo</t>
        </is>
      </c>
      <c r="B40" s="11" t="n">
        <v>9822</v>
      </c>
      <c r="C40" s="11" t="n">
        <v>12007</v>
      </c>
      <c r="D40" s="11" t="n">
        <v>12886</v>
      </c>
      <c r="E40" s="11" t="n">
        <v>13032</v>
      </c>
      <c r="F40" s="11" t="n">
        <v>12999</v>
      </c>
      <c r="G40" s="12">
        <f>F40</f>
        <v/>
      </c>
      <c r="H40" s="12">
        <f>G40</f>
        <v/>
      </c>
      <c r="I40" s="13" t="n"/>
      <c r="J40" s="13" t="n"/>
      <c r="K40" s="13" t="n"/>
      <c r="L40" s="2" t="inlineStr">
        <is>
          <t>[sourced]</t>
        </is>
      </c>
      <c r="M40" s="2" t="inlineStr">
        <is>
          <t>RA23 p.256 (2021-22); IA25 p.12 (2023-25)</t>
        </is>
      </c>
    </row>
    <row r="41">
      <c r="A41" s="3" t="inlineStr">
        <is>
          <t>TOTAL DEL PASIVO</t>
        </is>
      </c>
      <c r="B41" s="14">
        <f>B34+SUM(B35:B40)</f>
        <v/>
      </c>
      <c r="C41" s="14">
        <f>C34+SUM(C35:C40)</f>
        <v/>
      </c>
      <c r="D41" s="14">
        <f>D34+SUM(D35:D40)</f>
        <v/>
      </c>
      <c r="E41" s="14">
        <f>E34+SUM(E35:E40)</f>
        <v/>
      </c>
      <c r="F41" s="14">
        <f>F34+SUM(F35:F40)</f>
        <v/>
      </c>
      <c r="G41" s="14">
        <f>G34+SUM(G35:G40)</f>
        <v/>
      </c>
      <c r="H41" s="14">
        <f>H34+SUM(H35:H40)</f>
        <v/>
      </c>
      <c r="I41" s="14">
        <f>I34+SUM(I35:I40)</f>
        <v/>
      </c>
      <c r="J41" s="14">
        <f>J34+SUM(J35:J40)</f>
        <v/>
      </c>
      <c r="K41" s="14">
        <f>K34+SUM(K35:K40)</f>
        <v/>
      </c>
      <c r="L41" s="2" t="inlineStr">
        <is>
          <t>[calc]</t>
        </is>
      </c>
      <c r="M41" s="2" t="inlineStr"/>
    </row>
    <row r="42">
      <c r="A42" t="inlineStr"/>
    </row>
    <row r="43">
      <c r="A43" s="8" t="inlineStr">
        <is>
          <t>Capital contable</t>
        </is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</row>
    <row r="44">
      <c r="A44" s="10" t="inlineStr">
        <is>
          <t>Capital social</t>
        </is>
      </c>
      <c r="B44" s="11" t="n">
        <v>4021</v>
      </c>
      <c r="C44" s="11" t="n">
        <v>3984</v>
      </c>
      <c r="D44" s="11" t="n">
        <v>3946</v>
      </c>
      <c r="E44" s="11" t="n">
        <v>3887</v>
      </c>
      <c r="F44" s="11" t="n">
        <v>3866</v>
      </c>
      <c r="G44" s="12">
        <f>F44</f>
        <v/>
      </c>
      <c r="H44" s="12">
        <f>G44</f>
        <v/>
      </c>
      <c r="I44" s="13" t="n"/>
      <c r="J44" s="13" t="n"/>
      <c r="K44" s="13" t="n"/>
      <c r="L44" s="2" t="inlineStr">
        <is>
          <t>[sourced]</t>
        </is>
      </c>
      <c r="M44" s="2" t="inlineStr">
        <is>
          <t>RA23 p.256 (2021-22); IA25 p.12 (2023-25)</t>
        </is>
      </c>
    </row>
    <row r="45">
      <c r="A45" s="10" t="inlineStr">
        <is>
          <t>Utilidades retenidas</t>
        </is>
      </c>
      <c r="B45" s="11" t="n">
        <v>73384</v>
      </c>
      <c r="C45" s="11" t="n">
        <v>111486</v>
      </c>
      <c r="D45" s="11" t="n">
        <v>118718</v>
      </c>
      <c r="E45" s="11" t="n">
        <v>122763</v>
      </c>
      <c r="F45" s="11" t="n">
        <v>127596</v>
      </c>
      <c r="G45" s="12">
        <f>F45+SUM(Capital!G7:Capital!G14)</f>
        <v/>
      </c>
      <c r="H45" s="12">
        <f>G45+SUM(Capital!H7:Capital!H14)</f>
        <v/>
      </c>
      <c r="I45" s="13" t="n"/>
      <c r="J45" s="13" t="n"/>
      <c r="K45" s="13" t="n"/>
      <c r="L45" s="2" t="inlineStr">
        <is>
          <t>[sourced]</t>
        </is>
      </c>
      <c r="M45" s="2" t="inlineStr">
        <is>
          <t>RA23 p.256 (2021-22); IA25 p.12 (2023-25)</t>
        </is>
      </c>
    </row>
    <row r="46">
      <c r="A46" s="10" t="inlineStr">
        <is>
          <t>Otro instrumento financiero de capital (bonos perpetuos)</t>
        </is>
      </c>
      <c r="B46" s="11" t="n">
        <v>8867</v>
      </c>
      <c r="C46" s="11" t="n">
        <v>8098</v>
      </c>
      <c r="D46" s="11" t="n">
        <v>0</v>
      </c>
      <c r="E46" s="11" t="n">
        <v>0</v>
      </c>
      <c r="F46" s="11" t="n">
        <v>0</v>
      </c>
      <c r="G46" s="12">
        <f>F46</f>
        <v/>
      </c>
      <c r="H46" s="12">
        <f>G46</f>
        <v/>
      </c>
      <c r="I46" s="13" t="n"/>
      <c r="J46" s="13" t="n"/>
      <c r="K46" s="13" t="n"/>
      <c r="L46" s="2" t="inlineStr">
        <is>
          <t>[sourced]</t>
        </is>
      </c>
      <c r="M46" s="2" t="inlineStr">
        <is>
          <t>RA23 p.256 (2021-22); IA25 p.12 (2023-25); Reclasificado a deuda en 2023</t>
        </is>
      </c>
    </row>
    <row r="47">
      <c r="A47" s="10" t="inlineStr">
        <is>
          <t>Efecto acumulado de conversión de operaciones extranjeras</t>
        </is>
      </c>
      <c r="B47" s="11" t="n">
        <v>10297</v>
      </c>
      <c r="C47" s="11" t="n">
        <v>1132</v>
      </c>
      <c r="D47" s="11" t="n">
        <v>-13832</v>
      </c>
      <c r="E47" s="11" t="n">
        <v>-868</v>
      </c>
      <c r="F47" s="11" t="n">
        <v>-10377</v>
      </c>
      <c r="G47" s="12">
        <f>F47</f>
        <v/>
      </c>
      <c r="H47" s="12">
        <f>G47</f>
        <v/>
      </c>
      <c r="I47" s="13" t="n"/>
      <c r="J47" s="13" t="n"/>
      <c r="K47" s="13" t="n"/>
      <c r="L47" s="2" t="inlineStr">
        <is>
          <t>[sourced]</t>
        </is>
      </c>
      <c r="M47" s="2" t="inlineStr">
        <is>
          <t>RA23 p.256 (2021-22); IA25 p.12 (2023-25)</t>
        </is>
      </c>
    </row>
    <row r="48">
      <c r="A48" s="10" t="inlineStr">
        <is>
          <t>Utilidades actuariales de planes de beneficios definidos</t>
        </is>
      </c>
      <c r="B48" s="11" t="n">
        <v>696</v>
      </c>
      <c r="C48" s="11" t="n">
        <v>1152</v>
      </c>
      <c r="D48" s="11" t="n">
        <v>734</v>
      </c>
      <c r="E48" s="11" t="n">
        <v>1315</v>
      </c>
      <c r="F48" s="11" t="n">
        <v>1008</v>
      </c>
      <c r="G48" s="12">
        <f>F48</f>
        <v/>
      </c>
      <c r="H48" s="12">
        <f>G48</f>
        <v/>
      </c>
      <c r="I48" s="13" t="n"/>
      <c r="J48" s="13" t="n"/>
      <c r="K48" s="13" t="n"/>
      <c r="L48" s="2" t="inlineStr">
        <is>
          <t>[sourced]</t>
        </is>
      </c>
      <c r="M48" s="2" t="inlineStr">
        <is>
          <t>RA23 p.256 (2021-22); IA25 p.12 (2023-25)</t>
        </is>
      </c>
    </row>
    <row r="49">
      <c r="A49" s="10" t="inlineStr">
        <is>
          <t>Valuación de instrumentos financieros de capital</t>
        </is>
      </c>
      <c r="B49" s="11" t="n">
        <v>-742</v>
      </c>
      <c r="C49" s="11" t="n">
        <v>-690</v>
      </c>
      <c r="D49" s="11" t="n">
        <v>-857</v>
      </c>
      <c r="E49" s="11" t="n">
        <v>-1011</v>
      </c>
      <c r="F49" s="11" t="n">
        <v>-1132</v>
      </c>
      <c r="G49" s="12">
        <f>F49</f>
        <v/>
      </c>
      <c r="H49" s="12">
        <f>G49</f>
        <v/>
      </c>
      <c r="I49" s="13" t="n"/>
      <c r="J49" s="13" t="n"/>
      <c r="K49" s="13" t="n"/>
      <c r="L49" s="2" t="inlineStr">
        <is>
          <t>[sourced]</t>
        </is>
      </c>
      <c r="M49" s="2" t="inlineStr">
        <is>
          <t>RA23 p.256 (2021-22); IA25 p.12 (2023-25)</t>
        </is>
      </c>
    </row>
    <row r="50">
      <c r="A50" s="10" t="inlineStr">
        <is>
          <t>(Pérdidas) utilidades por realizar de coberturas de flujos de efectivo</t>
        </is>
      </c>
      <c r="B50" s="11" t="n">
        <v>577</v>
      </c>
      <c r="C50" s="11" t="n">
        <v>-1051</v>
      </c>
      <c r="D50" s="11" t="n">
        <v>-387</v>
      </c>
      <c r="E50" s="11" t="n">
        <v>-142</v>
      </c>
      <c r="F50" s="11" t="n">
        <v>-1449</v>
      </c>
      <c r="G50" s="12">
        <f>F50</f>
        <v/>
      </c>
      <c r="H50" s="12">
        <f>G50</f>
        <v/>
      </c>
      <c r="I50" s="13" t="n"/>
      <c r="J50" s="13" t="n"/>
      <c r="K50" s="13" t="n"/>
      <c r="L50" s="2" t="inlineStr">
        <is>
          <t>[sourced]</t>
        </is>
      </c>
      <c r="M50" s="2" t="inlineStr">
        <is>
          <t>RA23 p.256 (2021-22); IA25 p.12 (2023-25)</t>
        </is>
      </c>
    </row>
    <row r="51">
      <c r="A51" s="3" t="inlineStr">
        <is>
          <t>Participación controladora</t>
        </is>
      </c>
      <c r="B51" s="14">
        <f>SUM(B44:B50)</f>
        <v/>
      </c>
      <c r="C51" s="14">
        <f>SUM(C44:C50)</f>
        <v/>
      </c>
      <c r="D51" s="14">
        <f>SUM(D44:D50)</f>
        <v/>
      </c>
      <c r="E51" s="14">
        <f>SUM(E44:E50)</f>
        <v/>
      </c>
      <c r="F51" s="14">
        <f>SUM(F44:F50)</f>
        <v/>
      </c>
      <c r="G51" s="14">
        <f>SUM(G44:G50)</f>
        <v/>
      </c>
      <c r="H51" s="14">
        <f>SUM(H44:H50)</f>
        <v/>
      </c>
      <c r="I51" s="14">
        <f>SUM(I44:I50)</f>
        <v/>
      </c>
      <c r="J51" s="14">
        <f>SUM(J44:J50)</f>
        <v/>
      </c>
      <c r="K51" s="14">
        <f>SUM(K44:K50)</f>
        <v/>
      </c>
      <c r="L51" s="2" t="inlineStr">
        <is>
          <t>[calc]</t>
        </is>
      </c>
      <c r="M51" s="2" t="inlineStr"/>
    </row>
    <row r="52">
      <c r="A52" s="10" t="inlineStr">
        <is>
          <t>Participación no controladora</t>
        </is>
      </c>
      <c r="B52" s="11" t="n">
        <v>4506</v>
      </c>
      <c r="C52" s="11" t="n">
        <v>3491</v>
      </c>
      <c r="D52" s="11" t="n">
        <v>3306</v>
      </c>
      <c r="E52" s="11" t="n">
        <v>1754</v>
      </c>
      <c r="F52" s="11" t="n">
        <v>743</v>
      </c>
      <c r="G52" s="12">
        <f>Capital!G25</f>
        <v/>
      </c>
      <c r="H52" s="12">
        <f>Capital!H25</f>
        <v/>
      </c>
      <c r="I52" s="13" t="n"/>
      <c r="J52" s="13" t="n"/>
      <c r="K52" s="13" t="n"/>
      <c r="L52" s="2" t="inlineStr">
        <is>
          <t>[sourced]</t>
        </is>
      </c>
      <c r="M52" s="2" t="inlineStr">
        <is>
          <t>RA23 p.256 (2021-22); IA25 p.12 (2023-25)</t>
        </is>
      </c>
    </row>
    <row r="53">
      <c r="A53" s="3" t="inlineStr">
        <is>
          <t>TOTAL DEL CAPITAL CONTABLE</t>
        </is>
      </c>
      <c r="B53" s="14">
        <f>B51+B52</f>
        <v/>
      </c>
      <c r="C53" s="14">
        <f>C51+C52</f>
        <v/>
      </c>
      <c r="D53" s="14">
        <f>D51+D52</f>
        <v/>
      </c>
      <c r="E53" s="14">
        <f>E51+E52</f>
        <v/>
      </c>
      <c r="F53" s="14">
        <f>F51+F52</f>
        <v/>
      </c>
      <c r="G53" s="14">
        <f>G51+G52</f>
        <v/>
      </c>
      <c r="H53" s="14">
        <f>H51+H52</f>
        <v/>
      </c>
      <c r="I53" s="14">
        <f>I51+I52</f>
        <v/>
      </c>
      <c r="J53" s="14">
        <f>J51+J52</f>
        <v/>
      </c>
      <c r="K53" s="14">
        <f>K51+K52</f>
        <v/>
      </c>
      <c r="L53" s="2" t="inlineStr">
        <is>
          <t>[calc]</t>
        </is>
      </c>
      <c r="M53" s="2" t="inlineStr"/>
    </row>
    <row r="54">
      <c r="A54" s="3" t="inlineStr">
        <is>
          <t>TOTAL PASIVO Y CAPITAL CONTABLE</t>
        </is>
      </c>
      <c r="B54" s="14">
        <f>B41+B53</f>
        <v/>
      </c>
      <c r="C54" s="14">
        <f>C41+C53</f>
        <v/>
      </c>
      <c r="D54" s="14">
        <f>D41+D53</f>
        <v/>
      </c>
      <c r="E54" s="14">
        <f>E41+E53</f>
        <v/>
      </c>
      <c r="F54" s="14">
        <f>F41+F53</f>
        <v/>
      </c>
      <c r="G54" s="14">
        <f>G41+G53</f>
        <v/>
      </c>
      <c r="H54" s="14">
        <f>H41+H53</f>
        <v/>
      </c>
      <c r="I54" s="14">
        <f>I41+I53</f>
        <v/>
      </c>
      <c r="J54" s="14">
        <f>J41+J53</f>
        <v/>
      </c>
      <c r="K54" s="14">
        <f>K41+K53</f>
        <v/>
      </c>
      <c r="L54" s="2" t="inlineStr">
        <is>
          <t>[calc]</t>
        </is>
      </c>
      <c r="M54" s="2" t="inlineStr"/>
    </row>
    <row r="55">
      <c r="A55" t="inlineStr"/>
    </row>
    <row r="56">
      <c r="A56" s="10" t="inlineStr">
        <is>
          <t>Cuadre: activo total - (pasivo + capital)</t>
        </is>
      </c>
      <c r="B56" s="12">
        <f>B22-B54</f>
        <v/>
      </c>
      <c r="C56" s="12">
        <f>C22-C54</f>
        <v/>
      </c>
      <c r="D56" s="12">
        <f>D22-D54</f>
        <v/>
      </c>
      <c r="E56" s="12">
        <f>E22-E54</f>
        <v/>
      </c>
      <c r="F56" s="12">
        <f>F22-F54</f>
        <v/>
      </c>
      <c r="G56" s="12">
        <f>G22-G54</f>
        <v/>
      </c>
      <c r="H56" s="12">
        <f>H22-H54</f>
        <v/>
      </c>
      <c r="I56" s="12">
        <f>I22-I54</f>
        <v/>
      </c>
      <c r="J56" s="12">
        <f>J22-J54</f>
        <v/>
      </c>
      <c r="K56" s="12">
        <f>K22-K54</f>
        <v/>
      </c>
      <c r="L56" s="2" t="inlineStr">
        <is>
          <t>[calc]</t>
        </is>
      </c>
      <c r="M56" s="2" t="inlineStr">
        <is>
          <t>Debe ser 0</t>
        </is>
      </c>
    </row>
  </sheetData>
  <mergeCells count="2">
    <mergeCell ref="G3:K3"/>
    <mergeCell ref="B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70" customWidth="1" min="13" max="13"/>
  </cols>
  <sheetData>
    <row r="1">
      <c r="A1" s="1" t="inlineStr">
        <is>
          <t>Grupo Bimbo - Estado consolidado de flujos de efectivo</t>
        </is>
      </c>
    </row>
    <row r="2">
      <c r="A2" s="2" t="inlineStr">
        <is>
          <t>Método indirecto, como se reporta. Signo como en el reporte: negativo = salida de efectivo. 2021-22 incluyen Ricolino hasta su venta.</t>
        </is>
      </c>
    </row>
    <row r="3">
      <c r="B3" s="4" t="inlineStr">
        <is>
          <t>Real (auditado)</t>
        </is>
      </c>
      <c r="G3" s="5" t="inlineStr">
        <is>
          <t>Proyección - el equipo proyecta y cuadra</t>
        </is>
      </c>
    </row>
    <row r="4">
      <c r="A4" s="6" t="inlineStr">
        <is>
          <t>Millones de MXN</t>
        </is>
      </c>
      <c r="B4" s="7" t="inlineStr">
        <is>
          <t>2021R</t>
        </is>
      </c>
      <c r="C4" s="7" t="inlineStr">
        <is>
          <t>2022R</t>
        </is>
      </c>
      <c r="D4" s="7" t="inlineStr">
        <is>
          <t>2023R</t>
        </is>
      </c>
      <c r="E4" s="7" t="inlineStr">
        <is>
          <t>2024R</t>
        </is>
      </c>
      <c r="F4" s="7" t="inlineStr">
        <is>
          <t>2025R</t>
        </is>
      </c>
      <c r="G4" s="7" t="inlineStr">
        <is>
          <t>2026E</t>
        </is>
      </c>
      <c r="H4" s="7" t="inlineStr">
        <is>
          <t>2027E</t>
        </is>
      </c>
      <c r="I4" s="7" t="inlineStr">
        <is>
          <t>2028E</t>
        </is>
      </c>
      <c r="J4" s="7" t="inlineStr">
        <is>
          <t>2029E</t>
        </is>
      </c>
      <c r="K4" s="7" t="inlineStr">
        <is>
          <t>2030E</t>
        </is>
      </c>
      <c r="L4" s="6" t="inlineStr">
        <is>
          <t>Etiqueta</t>
        </is>
      </c>
      <c r="M4" s="6" t="inlineStr">
        <is>
          <t>Fuente / nota</t>
        </is>
      </c>
    </row>
    <row r="5">
      <c r="A5" s="8" t="inlineStr">
        <is>
          <t>Actividades de operación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</row>
    <row r="6">
      <c r="A6" s="10" t="inlineStr">
        <is>
          <t>Utilidad antes de impuestos de operaciones continuas</t>
        </is>
      </c>
      <c r="B6" s="11" t="n">
        <v>24854</v>
      </c>
      <c r="C6" s="11" t="n">
        <v>45878</v>
      </c>
      <c r="D6" s="11" t="n">
        <v>25324</v>
      </c>
      <c r="E6" s="11" t="n">
        <v>21034</v>
      </c>
      <c r="F6" s="11" t="n">
        <v>20143</v>
      </c>
      <c r="G6" s="12">
        <f>ER!G23</f>
        <v/>
      </c>
      <c r="H6" s="12">
        <f>ER!H23</f>
        <v/>
      </c>
      <c r="I6" s="13" t="n"/>
      <c r="J6" s="13" t="n"/>
      <c r="K6" s="13" t="n"/>
      <c r="L6" s="2" t="inlineStr">
        <is>
          <t>[sourced]</t>
        </is>
      </c>
      <c r="M6" s="2" t="inlineStr">
        <is>
          <t>RA23 p.260 (2021-22); IA25 p.16 (2023-25); Debe ser igual al ER</t>
        </is>
      </c>
    </row>
    <row r="7">
      <c r="A7" s="10" t="inlineStr">
        <is>
          <t>Utilidad (pérdida) antes de impuestos de operaciones discontinuadas</t>
        </is>
      </c>
      <c r="B7" s="11" t="n">
        <v>1499</v>
      </c>
      <c r="C7" s="11" t="n">
        <v>23516</v>
      </c>
      <c r="D7" s="11" t="n">
        <v>-23</v>
      </c>
      <c r="E7" s="11" t="n">
        <v>-277</v>
      </c>
      <c r="F7" s="11" t="n">
        <v>0</v>
      </c>
      <c r="G7" s="11" t="n">
        <v>0</v>
      </c>
      <c r="H7" s="11" t="n">
        <v>0</v>
      </c>
      <c r="I7" s="13" t="n"/>
      <c r="J7" s="13" t="n"/>
      <c r="K7" s="13" t="n"/>
      <c r="L7" s="2" t="inlineStr">
        <is>
          <t>[sourced]</t>
        </is>
      </c>
      <c r="M7" s="2" t="inlineStr">
        <is>
          <t>RA23 p.260 (2021-22); IA25 p.16 (2023-25)</t>
        </is>
      </c>
    </row>
    <row r="8">
      <c r="A8" s="3" t="inlineStr">
        <is>
          <t>Utilidad antes de impuestos</t>
        </is>
      </c>
      <c r="B8" s="14">
        <f>B6+B7</f>
        <v/>
      </c>
      <c r="C8" s="14">
        <f>C6+C7</f>
        <v/>
      </c>
      <c r="D8" s="14">
        <f>D6+D7</f>
        <v/>
      </c>
      <c r="E8" s="14">
        <f>E6+E7</f>
        <v/>
      </c>
      <c r="F8" s="14">
        <f>F6+F7</f>
        <v/>
      </c>
      <c r="G8" s="14">
        <f>G6+G7</f>
        <v/>
      </c>
      <c r="H8" s="14">
        <f>H6+H7</f>
        <v/>
      </c>
      <c r="I8" s="14">
        <f>I6+I7</f>
        <v/>
      </c>
      <c r="J8" s="14">
        <f>J6+J7</f>
        <v/>
      </c>
      <c r="K8" s="14">
        <f>K6+K7</f>
        <v/>
      </c>
      <c r="L8" s="2" t="inlineStr">
        <is>
          <t>[calc]</t>
        </is>
      </c>
      <c r="M8" s="2" t="inlineStr"/>
    </row>
    <row r="9">
      <c r="A9" s="8" t="inlineStr">
        <is>
          <t>Ajustes por: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</row>
    <row r="10">
      <c r="A10" s="10" t="inlineStr">
        <is>
          <t>Depreciación y amortización</t>
        </is>
      </c>
      <c r="B10" s="11" t="n">
        <v>16375</v>
      </c>
      <c r="C10" s="11" t="n">
        <v>18282</v>
      </c>
      <c r="D10" s="11" t="n">
        <v>18929</v>
      </c>
      <c r="E10" s="11" t="n">
        <v>23051</v>
      </c>
      <c r="F10" s="11" t="n">
        <v>24838</v>
      </c>
      <c r="G10" s="12">
        <f>ER!G36</f>
        <v/>
      </c>
      <c r="H10" s="12">
        <f>ER!H36</f>
        <v/>
      </c>
      <c r="I10" s="13" t="n"/>
      <c r="J10" s="13" t="n"/>
      <c r="K10" s="13" t="n"/>
      <c r="L10" s="2" t="inlineStr">
        <is>
          <t>[sourced]</t>
        </is>
      </c>
      <c r="M10" s="2" t="inlineStr">
        <is>
          <t>RA23 p.260 (2021-22); IA25 p.16 (2023-25); 2021-22 incluyen depreciación y amortización discontinuada (249; 244)</t>
        </is>
      </c>
    </row>
    <row r="11">
      <c r="A11" s="10" t="inlineStr">
        <is>
          <t>Pérdida (ganancia) en venta de propiedades, planta y equipo</t>
        </is>
      </c>
      <c r="B11" s="11" t="n">
        <v>-157</v>
      </c>
      <c r="C11" s="11" t="n">
        <v>650</v>
      </c>
      <c r="D11" s="11" t="n">
        <v>751</v>
      </c>
      <c r="E11" s="11" t="n">
        <v>-192</v>
      </c>
      <c r="F11" s="11" t="n">
        <v>68</v>
      </c>
      <c r="G11" s="11" t="n">
        <v>0</v>
      </c>
      <c r="H11" s="11" t="n">
        <v>0</v>
      </c>
      <c r="I11" s="13" t="n"/>
      <c r="J11" s="13" t="n"/>
      <c r="K11" s="13" t="n"/>
      <c r="L11" s="2" t="inlineStr">
        <is>
          <t>[sourced]</t>
        </is>
      </c>
      <c r="M11" s="2" t="inlineStr">
        <is>
          <t>RA23 p.260 (2021-22); IA25 p.16 (2023-25)</t>
        </is>
      </c>
    </row>
    <row r="12">
      <c r="A12" s="10" t="inlineStr">
        <is>
          <t>Bajas de propiedades, planta y equipo por siniestro</t>
        </is>
      </c>
      <c r="B12" s="11" t="n">
        <v>379</v>
      </c>
      <c r="C12" s="11" t="n">
        <v>0</v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3" t="n"/>
      <c r="J12" s="13" t="n"/>
      <c r="K12" s="13" t="n"/>
      <c r="L12" s="2" t="inlineStr">
        <is>
          <t>[sourced]</t>
        </is>
      </c>
      <c r="M12" s="2" t="inlineStr">
        <is>
          <t>RA23 p.260 (2021-22); IA25 p.16 (2023-25)</t>
        </is>
      </c>
    </row>
    <row r="13">
      <c r="A13" s="10" t="inlineStr">
        <is>
          <t>Participación en los resultados de compañías asociadas</t>
        </is>
      </c>
      <c r="B13" s="11" t="n">
        <v>-247</v>
      </c>
      <c r="C13" s="11" t="n">
        <v>-452</v>
      </c>
      <c r="D13" s="11" t="n">
        <v>-316</v>
      </c>
      <c r="E13" s="11" t="n">
        <v>-464</v>
      </c>
      <c r="F13" s="11" t="n">
        <v>2</v>
      </c>
      <c r="G13" s="12">
        <f>-ER!G22</f>
        <v/>
      </c>
      <c r="H13" s="12">
        <f>-ER!H22</f>
        <v/>
      </c>
      <c r="I13" s="13" t="n"/>
      <c r="J13" s="13" t="n"/>
      <c r="K13" s="13" t="n"/>
      <c r="L13" s="2" t="inlineStr">
        <is>
          <t>[sourced]</t>
        </is>
      </c>
      <c r="M13" s="2" t="inlineStr">
        <is>
          <t>RA23 p.260 (2021-22); IA25 p.16 (2023-25)</t>
        </is>
      </c>
    </row>
    <row r="14">
      <c r="A14" s="10" t="inlineStr">
        <is>
          <t>Deterioro de activos de larga duración</t>
        </is>
      </c>
      <c r="B14" s="11" t="n">
        <v>694</v>
      </c>
      <c r="C14" s="11" t="n">
        <v>1046</v>
      </c>
      <c r="D14" s="11" t="n">
        <v>383</v>
      </c>
      <c r="E14" s="11" t="n">
        <v>249</v>
      </c>
      <c r="F14" s="11" t="n">
        <v>445</v>
      </c>
      <c r="G14" s="11" t="n">
        <v>0</v>
      </c>
      <c r="H14" s="11" t="n">
        <v>0</v>
      </c>
      <c r="I14" s="13" t="n"/>
      <c r="J14" s="13" t="n"/>
      <c r="K14" s="13" t="n"/>
      <c r="L14" s="2" t="inlineStr">
        <is>
          <t>[sourced]</t>
        </is>
      </c>
      <c r="M14" s="2" t="inlineStr">
        <is>
          <t>RA23 p.260 (2021-22); IA25 p.16 (2023-25)</t>
        </is>
      </c>
    </row>
    <row r="15">
      <c r="A15" s="10" t="inlineStr">
        <is>
          <t>Ganancia en disposición de operación discontinuada</t>
        </is>
      </c>
      <c r="B15" s="11" t="n">
        <v>0</v>
      </c>
      <c r="C15" s="11" t="n">
        <v>-22038</v>
      </c>
      <c r="D15" s="11" t="n">
        <v>0</v>
      </c>
      <c r="E15" s="11" t="n">
        <v>277</v>
      </c>
      <c r="F15" s="11" t="n">
        <v>0</v>
      </c>
      <c r="G15" s="11" t="n">
        <v>0</v>
      </c>
      <c r="H15" s="11" t="n">
        <v>0</v>
      </c>
      <c r="I15" s="13" t="n"/>
      <c r="J15" s="13" t="n"/>
      <c r="K15" s="13" t="n"/>
      <c r="L15" s="2" t="inlineStr">
        <is>
          <t>[sourced]</t>
        </is>
      </c>
      <c r="M15" s="2" t="inlineStr">
        <is>
          <t>RA23 p.260 (2021-22); IA25 p.16 (2023-25)</t>
        </is>
      </c>
    </row>
    <row r="16">
      <c r="A16" s="10" t="inlineStr">
        <is>
          <t>Planes de pensiones multipatronales y otros pasivos a largo plazo</t>
        </is>
      </c>
      <c r="B16" s="11" t="n">
        <v>-2247</v>
      </c>
      <c r="C16" s="11" t="n">
        <v>-19010</v>
      </c>
      <c r="D16" s="11" t="n">
        <v>0</v>
      </c>
      <c r="E16" s="11" t="n">
        <v>-982</v>
      </c>
      <c r="F16" s="11" t="n">
        <v>27</v>
      </c>
      <c r="G16" s="11" t="n">
        <v>0</v>
      </c>
      <c r="H16" s="11" t="n">
        <v>0</v>
      </c>
      <c r="I16" s="13" t="n"/>
      <c r="J16" s="13" t="n"/>
      <c r="K16" s="13" t="n"/>
      <c r="L16" s="2" t="inlineStr">
        <is>
          <t>[sourced]</t>
        </is>
      </c>
      <c r="M16" s="2" t="inlineStr">
        <is>
          <t>RA23 p.260 (2021-22); IA25 p.16 (2023-25)</t>
        </is>
      </c>
    </row>
    <row r="17">
      <c r="A17" s="10" t="inlineStr">
        <is>
          <t>Costo laboral del servicio actual</t>
        </is>
      </c>
      <c r="B17" s="11" t="n">
        <v>1128</v>
      </c>
      <c r="C17" s="11" t="n">
        <v>1013</v>
      </c>
      <c r="D17" s="11" t="n">
        <v>837</v>
      </c>
      <c r="E17" s="11" t="n">
        <v>942</v>
      </c>
      <c r="F17" s="11" t="n">
        <v>909</v>
      </c>
      <c r="G17" s="11" t="n">
        <v>0</v>
      </c>
      <c r="H17" s="11" t="n">
        <v>0</v>
      </c>
      <c r="I17" s="13" t="n"/>
      <c r="J17" s="13" t="n"/>
      <c r="K17" s="13" t="n"/>
      <c r="L17" s="2" t="inlineStr">
        <is>
          <t>[sourced]</t>
        </is>
      </c>
      <c r="M17" s="2" t="inlineStr">
        <is>
          <t>RA23 p.260 (2021-22); IA25 p.16 (2023-25)</t>
        </is>
      </c>
    </row>
    <row r="18">
      <c r="A18" s="10" t="inlineStr">
        <is>
          <t>Intereses a cargo</t>
        </is>
      </c>
      <c r="B18" s="11" t="n">
        <v>7884</v>
      </c>
      <c r="C18" s="11" t="n">
        <v>8049</v>
      </c>
      <c r="D18" s="11" t="n">
        <v>10006</v>
      </c>
      <c r="E18" s="11" t="n">
        <v>13100</v>
      </c>
      <c r="F18" s="11" t="n">
        <v>14464</v>
      </c>
      <c r="G18" s="12">
        <f>ER!G17</f>
        <v/>
      </c>
      <c r="H18" s="12">
        <f>ER!H17</f>
        <v/>
      </c>
      <c r="I18" s="13" t="n"/>
      <c r="J18" s="13" t="n"/>
      <c r="K18" s="13" t="n"/>
      <c r="L18" s="2" t="inlineStr">
        <is>
          <t>[sourced]</t>
        </is>
      </c>
      <c r="M18" s="2" t="inlineStr">
        <is>
          <t>RA23 p.260 (2021-22); IA25 p.16 (2023-25)</t>
        </is>
      </c>
    </row>
    <row r="19">
      <c r="A19" s="10" t="inlineStr">
        <is>
          <t>Intereses ganados</t>
        </is>
      </c>
      <c r="B19" s="11" t="n">
        <v>-373</v>
      </c>
      <c r="C19" s="11" t="n">
        <v>-740</v>
      </c>
      <c r="D19" s="11" t="n">
        <v>-809</v>
      </c>
      <c r="E19" s="11" t="n">
        <v>-924</v>
      </c>
      <c r="F19" s="11" t="n">
        <v>-897</v>
      </c>
      <c r="G19" s="12">
        <f>ER!G18</f>
        <v/>
      </c>
      <c r="H19" s="12">
        <f>ER!H18</f>
        <v/>
      </c>
      <c r="I19" s="13" t="n"/>
      <c r="J19" s="13" t="n"/>
      <c r="K19" s="13" t="n"/>
      <c r="L19" s="2" t="inlineStr">
        <is>
          <t>[sourced]</t>
        </is>
      </c>
      <c r="M19" s="2" t="inlineStr">
        <is>
          <t>RA23 p.260 (2021-22); IA25 p.16 (2023-25)</t>
        </is>
      </c>
    </row>
    <row r="20">
      <c r="A20" s="10" t="inlineStr">
        <is>
          <t>Gastos de arrendamientos de corto plazo y bajo valor</t>
        </is>
      </c>
      <c r="B20" s="11" t="n">
        <v>2183</v>
      </c>
      <c r="C20" s="11" t="n">
        <v>2519</v>
      </c>
      <c r="D20" s="11" t="n">
        <v>3968</v>
      </c>
      <c r="E20" s="11" t="n">
        <v>4526</v>
      </c>
      <c r="F20" s="11" t="n">
        <v>4964</v>
      </c>
      <c r="G20" s="11" t="n">
        <v>0</v>
      </c>
      <c r="H20" s="11" t="n">
        <v>0</v>
      </c>
      <c r="I20" s="13" t="n"/>
      <c r="J20" s="13" t="n"/>
      <c r="K20" s="13" t="n"/>
      <c r="L20" s="2" t="inlineStr">
        <is>
          <t>[sourced]</t>
        </is>
      </c>
      <c r="M20" s="2" t="inlineStr">
        <is>
          <t>RA23 p.260 (2021-22); IA25 p.16 (2023-25)</t>
        </is>
      </c>
    </row>
    <row r="21">
      <c r="A21" s="8" t="inlineStr">
        <is>
          <t>Cambios en activos y pasivos: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</row>
    <row r="22">
      <c r="A22" s="10" t="inlineStr">
        <is>
          <t>Cuentas por cobrar a clientes y otras</t>
        </is>
      </c>
      <c r="B22" s="11" t="n">
        <v>666</v>
      </c>
      <c r="C22" s="11" t="n">
        <v>-6647</v>
      </c>
      <c r="D22" s="11" t="n">
        <v>-4206</v>
      </c>
      <c r="E22" s="11" t="n">
        <v>-319</v>
      </c>
      <c r="F22" s="11" t="n">
        <v>601</v>
      </c>
      <c r="G22" s="12">
        <f>BG!F7-BG!G7</f>
        <v/>
      </c>
      <c r="H22" s="12">
        <f>BG!G7-BG!H7</f>
        <v/>
      </c>
      <c r="I22" s="13" t="n"/>
      <c r="J22" s="13" t="n"/>
      <c r="K22" s="13" t="n"/>
      <c r="L22" s="2" t="inlineStr">
        <is>
          <t>[sourced]</t>
        </is>
      </c>
      <c r="M22" s="2" t="inlineStr">
        <is>
          <t>RA23 p.260 (2021-22); IA25 p.16 (2023-25)</t>
        </is>
      </c>
    </row>
    <row r="23">
      <c r="A23" s="10" t="inlineStr">
        <is>
          <t>Inventarios</t>
        </is>
      </c>
      <c r="B23" s="11" t="n">
        <v>-2320</v>
      </c>
      <c r="C23" s="11" t="n">
        <v>-4163</v>
      </c>
      <c r="D23" s="11" t="n">
        <v>-1078</v>
      </c>
      <c r="E23" s="11" t="n">
        <v>-1104</v>
      </c>
      <c r="F23" s="11" t="n">
        <v>901</v>
      </c>
      <c r="G23" s="12">
        <f>BG!F8-BG!G8</f>
        <v/>
      </c>
      <c r="H23" s="12">
        <f>BG!G8-BG!H8</f>
        <v/>
      </c>
      <c r="I23" s="13" t="n"/>
      <c r="J23" s="13" t="n"/>
      <c r="K23" s="13" t="n"/>
      <c r="L23" s="2" t="inlineStr">
        <is>
          <t>[sourced]</t>
        </is>
      </c>
      <c r="M23" s="2" t="inlineStr">
        <is>
          <t>RA23 p.260 (2021-22); IA25 p.16 (2023-25)</t>
        </is>
      </c>
    </row>
    <row r="24">
      <c r="A24" s="10" t="inlineStr">
        <is>
          <t>Pagos anticipados</t>
        </is>
      </c>
      <c r="B24" s="11" t="n">
        <v>-365</v>
      </c>
      <c r="C24" s="11" t="n">
        <v>1261</v>
      </c>
      <c r="D24" s="11" t="n">
        <v>-625</v>
      </c>
      <c r="E24" s="11" t="n">
        <v>189</v>
      </c>
      <c r="F24" s="11" t="n">
        <v>-594</v>
      </c>
      <c r="G24" s="11" t="n">
        <v>0</v>
      </c>
      <c r="H24" s="11" t="n">
        <v>0</v>
      </c>
      <c r="I24" s="13" t="n"/>
      <c r="J24" s="13" t="n"/>
      <c r="K24" s="13" t="n"/>
      <c r="L24" s="2" t="inlineStr">
        <is>
          <t>[sourced]</t>
        </is>
      </c>
      <c r="M24" s="2" t="inlineStr">
        <is>
          <t>RA23 p.260 (2021-22); IA25 p.16 (2023-25)</t>
        </is>
      </c>
    </row>
    <row r="25">
      <c r="A25" s="10" t="inlineStr">
        <is>
          <t>Cuentas por pagar a proveedores</t>
        </is>
      </c>
      <c r="B25" s="11" t="n">
        <v>8286</v>
      </c>
      <c r="C25" s="11" t="n">
        <v>9920</v>
      </c>
      <c r="D25" s="11" t="n">
        <v>-851</v>
      </c>
      <c r="E25" s="11" t="n">
        <v>-2825</v>
      </c>
      <c r="F25" s="11" t="n">
        <v>-1108</v>
      </c>
      <c r="G25" s="12">
        <f>BG!G26-BG!F26</f>
        <v/>
      </c>
      <c r="H25" s="12">
        <f>BG!H26-BG!G26</f>
        <v/>
      </c>
      <c r="I25" s="13" t="n"/>
      <c r="J25" s="13" t="n"/>
      <c r="K25" s="13" t="n"/>
      <c r="L25" s="2" t="inlineStr">
        <is>
          <t>[sourced]</t>
        </is>
      </c>
      <c r="M25" s="2" t="inlineStr">
        <is>
          <t>RA23 p.260 (2021-22); IA25 p.16 (2023-25)</t>
        </is>
      </c>
    </row>
    <row r="26">
      <c r="A26" s="10" t="inlineStr">
        <is>
          <t>Otras cuentas por pagar y pasivos acumulados</t>
        </is>
      </c>
      <c r="B26" s="11" t="n">
        <v>-1025</v>
      </c>
      <c r="C26" s="11" t="n">
        <v>-3395</v>
      </c>
      <c r="D26" s="11" t="n">
        <v>390</v>
      </c>
      <c r="E26" s="11" t="n">
        <v>-3827</v>
      </c>
      <c r="F26" s="11" t="n">
        <v>-560</v>
      </c>
      <c r="G26" s="11" t="n">
        <v>0</v>
      </c>
      <c r="H26" s="11" t="n">
        <v>0</v>
      </c>
      <c r="I26" s="13" t="n"/>
      <c r="J26" s="13" t="n"/>
      <c r="K26" s="13" t="n"/>
      <c r="L26" s="2" t="inlineStr">
        <is>
          <t>[sourced]</t>
        </is>
      </c>
      <c r="M26" s="2" t="inlineStr">
        <is>
          <t>RA23 p.260 (2021-22); IA25 p.16 (2023-25)</t>
        </is>
      </c>
    </row>
    <row r="27">
      <c r="A27" s="10" t="inlineStr">
        <is>
          <t>Cuentas por pagar a partes relacionadas</t>
        </is>
      </c>
      <c r="B27" s="11" t="n">
        <v>209</v>
      </c>
      <c r="C27" s="11" t="n">
        <v>287</v>
      </c>
      <c r="D27" s="11" t="n">
        <v>-172</v>
      </c>
      <c r="E27" s="11" t="n">
        <v>153</v>
      </c>
      <c r="F27" s="11" t="n">
        <v>105</v>
      </c>
      <c r="G27" s="11" t="n">
        <v>0</v>
      </c>
      <c r="H27" s="11" t="n">
        <v>0</v>
      </c>
      <c r="I27" s="13" t="n"/>
      <c r="J27" s="13" t="n"/>
      <c r="K27" s="13" t="n"/>
      <c r="L27" s="2" t="inlineStr">
        <is>
          <t>[sourced]</t>
        </is>
      </c>
      <c r="M27" s="2" t="inlineStr">
        <is>
          <t>RA23 p.260 (2021-22); IA25 p.16 (2023-25)</t>
        </is>
      </c>
    </row>
    <row r="28">
      <c r="A28" s="10" t="inlineStr">
        <is>
          <t>Impuestos a las ganancias pagados</t>
        </is>
      </c>
      <c r="B28" s="11" t="n">
        <v>-7578</v>
      </c>
      <c r="C28" s="11" t="n">
        <v>-11824</v>
      </c>
      <c r="D28" s="11" t="n">
        <v>-13831</v>
      </c>
      <c r="E28" s="11" t="n">
        <v>-6472</v>
      </c>
      <c r="F28" s="11" t="n">
        <v>-8955</v>
      </c>
      <c r="G28" s="12">
        <f>-ER!G24</f>
        <v/>
      </c>
      <c r="H28" s="12">
        <f>-ER!H24</f>
        <v/>
      </c>
      <c r="I28" s="13" t="n"/>
      <c r="J28" s="13" t="n"/>
      <c r="K28" s="13" t="n"/>
      <c r="L28" s="2" t="inlineStr">
        <is>
          <t>[sourced]</t>
        </is>
      </c>
      <c r="M28" s="2" t="inlineStr">
        <is>
          <t>RA23 p.260 (2021-22); IA25 p.16 (2023-25)</t>
        </is>
      </c>
    </row>
    <row r="29">
      <c r="A29" s="10" t="inlineStr">
        <is>
          <t>Depósitos en cuentas de garantía de instrumentos financieros derivados</t>
        </is>
      </c>
      <c r="B29" s="11" t="n">
        <v>6</v>
      </c>
      <c r="C29" s="11" t="n">
        <v>-1271</v>
      </c>
      <c r="D29" s="11" t="n">
        <v>-640</v>
      </c>
      <c r="E29" s="11" t="n">
        <v>942</v>
      </c>
      <c r="F29" s="11" t="n">
        <v>118</v>
      </c>
      <c r="G29" s="11" t="n">
        <v>0</v>
      </c>
      <c r="H29" s="11" t="n">
        <v>0</v>
      </c>
      <c r="I29" s="13" t="n"/>
      <c r="J29" s="13" t="n"/>
      <c r="K29" s="13" t="n"/>
      <c r="L29" s="2" t="inlineStr">
        <is>
          <t>[sourced]</t>
        </is>
      </c>
      <c r="M29" s="2" t="inlineStr">
        <is>
          <t>RA23 p.260 (2021-22); IA25 p.16 (2023-25)</t>
        </is>
      </c>
    </row>
    <row r="30">
      <c r="A30" s="10" t="inlineStr">
        <is>
          <t>Participación de los trabajadores en las utilidades (PTU)</t>
        </is>
      </c>
      <c r="B30" s="11" t="n">
        <v>675</v>
      </c>
      <c r="C30" s="11" t="n">
        <v>122</v>
      </c>
      <c r="D30" s="11" t="n">
        <v>-21</v>
      </c>
      <c r="E30" s="11" t="n">
        <v>-36</v>
      </c>
      <c r="F30" s="11" t="n">
        <v>-159</v>
      </c>
      <c r="G30" s="11" t="n">
        <v>0</v>
      </c>
      <c r="H30" s="11" t="n">
        <v>0</v>
      </c>
      <c r="I30" s="13" t="n"/>
      <c r="J30" s="13" t="n"/>
      <c r="K30" s="13" t="n"/>
      <c r="L30" s="2" t="inlineStr">
        <is>
          <t>[sourced]</t>
        </is>
      </c>
      <c r="M30" s="2" t="inlineStr">
        <is>
          <t>RA23 p.260 (2021-22); IA25 p.16 (2023-25)</t>
        </is>
      </c>
    </row>
    <row r="31">
      <c r="A31" s="10" t="inlineStr">
        <is>
          <t>Beneficios a empleados y previsión social</t>
        </is>
      </c>
      <c r="B31" s="11" t="n">
        <v>-2567</v>
      </c>
      <c r="C31" s="11" t="n">
        <v>-754</v>
      </c>
      <c r="D31" s="11" t="n">
        <v>-2637</v>
      </c>
      <c r="E31" s="11" t="n">
        <v>-2608</v>
      </c>
      <c r="F31" s="11" t="n">
        <v>-2595</v>
      </c>
      <c r="G31" s="11" t="n">
        <v>0</v>
      </c>
      <c r="H31" s="11" t="n">
        <v>0</v>
      </c>
      <c r="I31" s="13" t="n"/>
      <c r="J31" s="13" t="n"/>
      <c r="K31" s="13" t="n"/>
      <c r="L31" s="2" t="inlineStr">
        <is>
          <t>[sourced]</t>
        </is>
      </c>
      <c r="M31" s="2" t="inlineStr">
        <is>
          <t>RA23 p.260 (2021-22); IA25 p.16 (2023-25)</t>
        </is>
      </c>
    </row>
    <row r="32">
      <c r="A32" s="10" t="inlineStr">
        <is>
          <t>Dividendos por cobrar a la operación discontinuada</t>
        </is>
      </c>
      <c r="B32" s="11" t="n">
        <v>0</v>
      </c>
      <c r="C32" s="11" t="n">
        <v>-879</v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3" t="n"/>
      <c r="J32" s="13" t="n"/>
      <c r="K32" s="13" t="n"/>
      <c r="L32" s="2" t="inlineStr">
        <is>
          <t>[sourced]</t>
        </is>
      </c>
      <c r="M32" s="2" t="inlineStr">
        <is>
          <t>RA23 p.260 (2021-22); IA25 p.16 (2023-25)</t>
        </is>
      </c>
    </row>
    <row r="33">
      <c r="A33" s="10" t="inlineStr">
        <is>
          <t>Pagos de arrendamientos de corto plazo y bajo valor</t>
        </is>
      </c>
      <c r="B33" s="11" t="n">
        <v>-2183</v>
      </c>
      <c r="C33" s="11" t="n">
        <v>-2519</v>
      </c>
      <c r="D33" s="11" t="n">
        <v>-3968</v>
      </c>
      <c r="E33" s="11" t="n">
        <v>-4526</v>
      </c>
      <c r="F33" s="11" t="n">
        <v>-4964</v>
      </c>
      <c r="G33" s="11" t="n">
        <v>0</v>
      </c>
      <c r="H33" s="11" t="n">
        <v>0</v>
      </c>
      <c r="I33" s="13" t="n"/>
      <c r="J33" s="13" t="n"/>
      <c r="K33" s="13" t="n"/>
      <c r="L33" s="2" t="inlineStr">
        <is>
          <t>[sourced]</t>
        </is>
      </c>
      <c r="M33" s="2" t="inlineStr">
        <is>
          <t>RA23 p.260 (2021-22); IA25 p.16 (2023-25)</t>
        </is>
      </c>
    </row>
    <row r="34">
      <c r="A34" s="3" t="inlineStr">
        <is>
          <t>Flujos netos de efectivo de actividades de operación</t>
        </is>
      </c>
      <c r="B34" s="14">
        <f>SUM(B8:B33)</f>
        <v/>
      </c>
      <c r="C34" s="14">
        <f>SUM(C8:C33)</f>
        <v/>
      </c>
      <c r="D34" s="14">
        <f>SUM(D8:D33)</f>
        <v/>
      </c>
      <c r="E34" s="14">
        <f>SUM(E8:E33)</f>
        <v/>
      </c>
      <c r="F34" s="14">
        <f>SUM(F8:F33)</f>
        <v/>
      </c>
      <c r="G34" s="14">
        <f>SUM(G8:G33)</f>
        <v/>
      </c>
      <c r="H34" s="14">
        <f>SUM(H8:H33)</f>
        <v/>
      </c>
      <c r="I34" s="14">
        <f>SUM(I8:I33)</f>
        <v/>
      </c>
      <c r="J34" s="14">
        <f>SUM(J8:J33)</f>
        <v/>
      </c>
      <c r="K34" s="14">
        <f>SUM(K8:K33)</f>
        <v/>
      </c>
      <c r="L34" s="2" t="inlineStr">
        <is>
          <t>[calc]</t>
        </is>
      </c>
      <c r="M34" s="2" t="inlineStr"/>
    </row>
    <row r="35">
      <c r="A35" t="inlineStr"/>
    </row>
    <row r="36">
      <c r="A36" s="8" t="inlineStr">
        <is>
          <t>Actividades de inversión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>
      <c r="A37" s="10" t="inlineStr">
        <is>
          <t>Adquisición de propiedades, planta y equipo</t>
        </is>
      </c>
      <c r="B37" s="11" t="n">
        <v>-20671</v>
      </c>
      <c r="C37" s="11" t="n">
        <v>-28669</v>
      </c>
      <c r="D37" s="11" t="n">
        <v>-34754</v>
      </c>
      <c r="E37" s="11" t="n">
        <v>-29402</v>
      </c>
      <c r="F37" s="11" t="n">
        <v>-22530</v>
      </c>
      <c r="G37" s="12">
        <f>-Supuestos!B77</f>
        <v/>
      </c>
      <c r="H37" s="12">
        <f>-Supuestos!B182</f>
        <v/>
      </c>
      <c r="I37" s="13" t="n"/>
      <c r="J37" s="13" t="n"/>
      <c r="K37" s="13" t="n"/>
      <c r="L37" s="2" t="inlineStr">
        <is>
          <t>[sourced]</t>
        </is>
      </c>
      <c r="M37" s="2" t="inlineStr">
        <is>
          <t>RA23 p.260 (2021-22); IA25 p.16 (2023-25)</t>
        </is>
      </c>
    </row>
    <row r="38">
      <c r="A38" s="10" t="inlineStr">
        <is>
          <t>Adquisiciones de negocios y participaciones no controladoras, neto de efectivo recibido</t>
        </is>
      </c>
      <c r="B38" s="11" t="n">
        <v>-10637</v>
      </c>
      <c r="C38" s="11" t="n">
        <v>-6520</v>
      </c>
      <c r="D38" s="11" t="n">
        <v>-6548</v>
      </c>
      <c r="E38" s="11" t="n">
        <v>-5988</v>
      </c>
      <c r="F38" s="11" t="n">
        <v>-11294</v>
      </c>
      <c r="G38" s="11" t="n">
        <v>0</v>
      </c>
      <c r="H38" s="11" t="n">
        <v>0</v>
      </c>
      <c r="I38" s="13" t="n"/>
      <c r="J38" s="13" t="n"/>
      <c r="K38" s="13" t="n"/>
      <c r="L38" s="2" t="inlineStr">
        <is>
          <t>[sourced]</t>
        </is>
      </c>
      <c r="M38" s="2" t="inlineStr">
        <is>
          <t>RA23 p.260 (2021-22); IA25 p.16 (2023-25)</t>
        </is>
      </c>
    </row>
    <row r="39">
      <c r="A39" s="10" t="inlineStr">
        <is>
          <t>Precio cobrado por venta de operación discontinuada</t>
        </is>
      </c>
      <c r="B39" s="11" t="n">
        <v>0</v>
      </c>
      <c r="C39" s="11" t="n">
        <v>25797</v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3" t="n"/>
      <c r="J39" s="13" t="n"/>
      <c r="K39" s="13" t="n"/>
      <c r="L39" s="2" t="inlineStr">
        <is>
          <t>[sourced]</t>
        </is>
      </c>
      <c r="M39" s="2" t="inlineStr">
        <is>
          <t>RA23 p.260 (2021-22); IA25 p.16 (2023-25); Ricolino</t>
        </is>
      </c>
    </row>
    <row r="40">
      <c r="A40" s="10" t="inlineStr">
        <is>
          <t>Cobros por venta de propiedades, planta y equipo</t>
        </is>
      </c>
      <c r="B40" s="11" t="n">
        <v>882</v>
      </c>
      <c r="C40" s="11" t="n">
        <v>20</v>
      </c>
      <c r="D40" s="11" t="n">
        <v>152</v>
      </c>
      <c r="E40" s="11" t="n">
        <v>984</v>
      </c>
      <c r="F40" s="11" t="n">
        <v>824</v>
      </c>
      <c r="G40" s="11" t="n">
        <v>0</v>
      </c>
      <c r="H40" s="11" t="n">
        <v>0</v>
      </c>
      <c r="I40" s="13" t="n"/>
      <c r="J40" s="13" t="n"/>
      <c r="K40" s="13" t="n"/>
      <c r="L40" s="2" t="inlineStr">
        <is>
          <t>[sourced]</t>
        </is>
      </c>
      <c r="M40" s="2" t="inlineStr">
        <is>
          <t>RA23 p.260 (2021-22); IA25 p.16 (2023-25)</t>
        </is>
      </c>
    </row>
    <row r="41">
      <c r="A41" s="10" t="inlineStr">
        <is>
          <t>Cobros por recuperación de seguro</t>
        </is>
      </c>
      <c r="B41" s="11" t="n">
        <v>201</v>
      </c>
      <c r="C41" s="11" t="n">
        <v>272</v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3" t="n"/>
      <c r="J41" s="13" t="n"/>
      <c r="K41" s="13" t="n"/>
      <c r="L41" s="2" t="inlineStr">
        <is>
          <t>[sourced]</t>
        </is>
      </c>
      <c r="M41" s="2" t="inlineStr">
        <is>
          <t>RA23 p.260 (2021-22); IA25 p.16 (2023-25)</t>
        </is>
      </c>
    </row>
    <row r="42">
      <c r="A42" s="10" t="inlineStr">
        <is>
          <t>Adquisición de activos intangibles, neta de bajas</t>
        </is>
      </c>
      <c r="B42" s="11" t="n">
        <v>-622</v>
      </c>
      <c r="C42" s="11" t="n">
        <v>-798</v>
      </c>
      <c r="D42" s="11" t="n">
        <v>-918</v>
      </c>
      <c r="E42" s="11" t="n">
        <v>-772</v>
      </c>
      <c r="F42" s="11" t="n">
        <v>-311</v>
      </c>
      <c r="G42" s="11" t="n">
        <v>0</v>
      </c>
      <c r="H42" s="11" t="n">
        <v>0</v>
      </c>
      <c r="I42" s="13" t="n"/>
      <c r="J42" s="13" t="n"/>
      <c r="K42" s="13" t="n"/>
      <c r="L42" s="2" t="inlineStr">
        <is>
          <t>[sourced]</t>
        </is>
      </c>
      <c r="M42" s="2" t="inlineStr">
        <is>
          <t>RA23 p.260 (2021-22); IA25 p.16 (2023-25)</t>
        </is>
      </c>
    </row>
    <row r="43">
      <c r="A43" s="10" t="inlineStr">
        <is>
          <t>Incremento de derechos de distribución en entidades estructuradas</t>
        </is>
      </c>
      <c r="B43" s="11" t="n">
        <v>-77</v>
      </c>
      <c r="C43" s="11" t="n">
        <v>3</v>
      </c>
      <c r="D43" s="11" t="n">
        <v>-129</v>
      </c>
      <c r="E43" s="11" t="n">
        <v>-705</v>
      </c>
      <c r="F43" s="11" t="n">
        <v>-52</v>
      </c>
      <c r="G43" s="11" t="n">
        <v>0</v>
      </c>
      <c r="H43" s="11" t="n">
        <v>0</v>
      </c>
      <c r="I43" s="13" t="n"/>
      <c r="J43" s="13" t="n"/>
      <c r="K43" s="13" t="n"/>
      <c r="L43" s="2" t="inlineStr">
        <is>
          <t>[sourced]</t>
        </is>
      </c>
      <c r="M43" s="2" t="inlineStr">
        <is>
          <t>RA23 p.260 (2021-22); IA25 p.16 (2023-25)</t>
        </is>
      </c>
    </row>
    <row r="44">
      <c r="A44" s="10" t="inlineStr">
        <is>
          <t>Otros activos</t>
        </is>
      </c>
      <c r="B44" s="11" t="n">
        <v>-1433</v>
      </c>
      <c r="C44" s="11" t="n">
        <v>-794</v>
      </c>
      <c r="D44" s="11" t="n">
        <v>-577</v>
      </c>
      <c r="E44" s="11" t="n">
        <v>455</v>
      </c>
      <c r="F44" s="11" t="n">
        <v>-860</v>
      </c>
      <c r="G44" s="11" t="n">
        <v>0</v>
      </c>
      <c r="H44" s="11" t="n">
        <v>0</v>
      </c>
      <c r="I44" s="13" t="n"/>
      <c r="J44" s="13" t="n"/>
      <c r="K44" s="13" t="n"/>
      <c r="L44" s="2" t="inlineStr">
        <is>
          <t>[sourced]</t>
        </is>
      </c>
      <c r="M44" s="2" t="inlineStr">
        <is>
          <t>RA23 p.260 (2021-22); IA25 p.16 (2023-25)</t>
        </is>
      </c>
    </row>
    <row r="45">
      <c r="A45" s="10" t="inlineStr">
        <is>
          <t>Dividendos cobrados a asociadas y terceros</t>
        </is>
      </c>
      <c r="B45" s="11" t="n">
        <v>59</v>
      </c>
      <c r="C45" s="11" t="n">
        <v>954</v>
      </c>
      <c r="D45" s="11" t="n">
        <v>86</v>
      </c>
      <c r="E45" s="11" t="n">
        <v>207</v>
      </c>
      <c r="F45" s="11" t="n">
        <v>158</v>
      </c>
      <c r="G45" s="11" t="n">
        <v>0</v>
      </c>
      <c r="H45" s="11" t="n">
        <v>0</v>
      </c>
      <c r="I45" s="13" t="n"/>
      <c r="J45" s="13" t="n"/>
      <c r="K45" s="13" t="n"/>
      <c r="L45" s="2" t="inlineStr">
        <is>
          <t>[sourced]</t>
        </is>
      </c>
      <c r="M45" s="2" t="inlineStr">
        <is>
          <t>RA23 p.260 (2021-22); IA25 p.16 (2023-25)</t>
        </is>
      </c>
    </row>
    <row r="46">
      <c r="A46" s="10" t="inlineStr">
        <is>
          <t>Intereses cobrados</t>
        </is>
      </c>
      <c r="B46" s="11" t="n">
        <v>373</v>
      </c>
      <c r="C46" s="11" t="n">
        <v>740</v>
      </c>
      <c r="D46" s="11" t="n">
        <v>809</v>
      </c>
      <c r="E46" s="11" t="n">
        <v>924</v>
      </c>
      <c r="F46" s="11" t="n">
        <v>897</v>
      </c>
      <c r="G46" s="12">
        <f>-ER!G18</f>
        <v/>
      </c>
      <c r="H46" s="12">
        <f>-ER!H18</f>
        <v/>
      </c>
      <c r="I46" s="13" t="n"/>
      <c r="J46" s="13" t="n"/>
      <c r="K46" s="13" t="n"/>
      <c r="L46" s="2" t="inlineStr">
        <is>
          <t>[sourced]</t>
        </is>
      </c>
      <c r="M46" s="2" t="inlineStr">
        <is>
          <t>RA23 p.260 (2021-22); IA25 p.16 (2023-25)</t>
        </is>
      </c>
    </row>
    <row r="47">
      <c r="A47" s="10" t="inlineStr">
        <is>
          <t>Compra de participación no controladora</t>
        </is>
      </c>
      <c r="B47" s="11" t="n">
        <v>0</v>
      </c>
      <c r="C47" s="11" t="n">
        <v>0</v>
      </c>
      <c r="D47" s="11" t="n">
        <v>0</v>
      </c>
      <c r="E47" s="11" t="n">
        <v>0</v>
      </c>
      <c r="F47" s="11" t="n">
        <v>-1468</v>
      </c>
      <c r="G47" s="11" t="n">
        <v>0</v>
      </c>
      <c r="H47" s="11" t="n">
        <v>0</v>
      </c>
      <c r="I47" s="13" t="n"/>
      <c r="J47" s="13" t="n"/>
      <c r="K47" s="13" t="n"/>
      <c r="L47" s="2" t="inlineStr">
        <is>
          <t>[sourced]</t>
        </is>
      </c>
      <c r="M47" s="2" t="inlineStr">
        <is>
          <t>RA23 p.260 (2021-22); IA25 p.16 (2023-25); Bimbo Colombia 40%</t>
        </is>
      </c>
    </row>
    <row r="48">
      <c r="A48" s="10" t="inlineStr">
        <is>
          <t>Aportaciones netas de capital social en asociadas</t>
        </is>
      </c>
      <c r="B48" s="11" t="n">
        <v>-534</v>
      </c>
      <c r="C48" s="11" t="n">
        <v>-127</v>
      </c>
      <c r="D48" s="11" t="n">
        <v>-561</v>
      </c>
      <c r="E48" s="11" t="n">
        <v>-1841</v>
      </c>
      <c r="F48" s="11" t="n">
        <v>-16</v>
      </c>
      <c r="G48" s="11" t="n">
        <v>0</v>
      </c>
      <c r="H48" s="11" t="n">
        <v>0</v>
      </c>
      <c r="I48" s="13" t="n"/>
      <c r="J48" s="13" t="n"/>
      <c r="K48" s="13" t="n"/>
      <c r="L48" s="2" t="inlineStr">
        <is>
          <t>[sourced]</t>
        </is>
      </c>
      <c r="M48" s="2" t="inlineStr">
        <is>
          <t>RA23 p.260 (2021-22); IA25 p.16 (2023-25)</t>
        </is>
      </c>
    </row>
    <row r="49">
      <c r="A49" s="3" t="inlineStr">
        <is>
          <t>Flujos netos de efectivo de actividades de inversión</t>
        </is>
      </c>
      <c r="B49" s="14">
        <f>SUM(B37:B48)</f>
        <v/>
      </c>
      <c r="C49" s="14">
        <f>SUM(C37:C48)</f>
        <v/>
      </c>
      <c r="D49" s="14">
        <f>SUM(D37:D48)</f>
        <v/>
      </c>
      <c r="E49" s="14">
        <f>SUM(E37:E48)</f>
        <v/>
      </c>
      <c r="F49" s="14">
        <f>SUM(F37:F48)</f>
        <v/>
      </c>
      <c r="G49" s="14">
        <f>SUM(G37:G48)</f>
        <v/>
      </c>
      <c r="H49" s="14">
        <f>SUM(H37:H48)</f>
        <v/>
      </c>
      <c r="I49" s="14">
        <f>SUM(I37:I48)</f>
        <v/>
      </c>
      <c r="J49" s="14">
        <f>SUM(J37:J48)</f>
        <v/>
      </c>
      <c r="K49" s="14">
        <f>SUM(K37:K48)</f>
        <v/>
      </c>
      <c r="L49" s="2" t="inlineStr">
        <is>
          <t>[calc]</t>
        </is>
      </c>
      <c r="M49" s="2" t="inlineStr"/>
    </row>
    <row r="50">
      <c r="A50" t="inlineStr"/>
    </row>
    <row r="51">
      <c r="A51" s="8" t="inlineStr">
        <is>
          <t>Actividades de financiamiento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</row>
    <row r="52">
      <c r="A52" s="10" t="inlineStr">
        <is>
          <t>Préstamos obtenidos, netos de gastos de emisión</t>
        </is>
      </c>
      <c r="B52" s="11" t="n">
        <v>38924</v>
      </c>
      <c r="C52" s="11" t="n">
        <v>51670</v>
      </c>
      <c r="D52" s="11" t="n">
        <v>136638</v>
      </c>
      <c r="E52" s="11" t="n">
        <v>79111</v>
      </c>
      <c r="F52" s="11" t="n">
        <v>69267</v>
      </c>
      <c r="G52" s="11" t="n">
        <v>0</v>
      </c>
      <c r="H52" s="12">
        <f>Supuestos!B250</f>
        <v/>
      </c>
      <c r="I52" s="13" t="n"/>
      <c r="J52" s="13" t="n"/>
      <c r="K52" s="13" t="n"/>
      <c r="L52" s="2" t="inlineStr">
        <is>
          <t>[sourced]</t>
        </is>
      </c>
      <c r="M52" s="2" t="inlineStr">
        <is>
          <t>RA23 p.260 (2021-22); IA25 p.16 (2023-25)</t>
        </is>
      </c>
    </row>
    <row r="53">
      <c r="A53" s="10" t="inlineStr">
        <is>
          <t>Pago de préstamos</t>
        </is>
      </c>
      <c r="B53" s="11" t="n">
        <v>-33535</v>
      </c>
      <c r="C53" s="11" t="n">
        <v>-55542</v>
      </c>
      <c r="D53" s="11" t="n">
        <v>-109847</v>
      </c>
      <c r="E53" s="11" t="n">
        <v>-56495</v>
      </c>
      <c r="F53" s="11" t="n">
        <v>-55477</v>
      </c>
      <c r="G53" s="12">
        <f>BG!G25+BG!G35-BG!F25-BG!F35</f>
        <v/>
      </c>
      <c r="H53" s="12">
        <f>BG!H25+BG!H35-BG!G25-BG!G35-Supuestos!B250</f>
        <v/>
      </c>
      <c r="I53" s="13" t="n"/>
      <c r="J53" s="13" t="n"/>
      <c r="K53" s="13" t="n"/>
      <c r="L53" s="2" t="inlineStr">
        <is>
          <t>[sourced]</t>
        </is>
      </c>
      <c r="M53" s="2" t="inlineStr">
        <is>
          <t>RA23 p.260 (2021-22); IA25 p.16 (2023-25)</t>
        </is>
      </c>
    </row>
    <row r="54">
      <c r="A54" s="10" t="inlineStr">
        <is>
          <t>Intereses pagados</t>
        </is>
      </c>
      <c r="B54" s="11" t="n">
        <v>-6781</v>
      </c>
      <c r="C54" s="11" t="n">
        <v>-6407</v>
      </c>
      <c r="D54" s="11" t="n">
        <v>-7436</v>
      </c>
      <c r="E54" s="11" t="n">
        <v>-8376</v>
      </c>
      <c r="F54" s="11" t="n">
        <v>-11533</v>
      </c>
      <c r="G54" s="12">
        <f>-(ER!G17-Supuestos!B79)</f>
        <v/>
      </c>
      <c r="H54" s="12">
        <f>-(ER!H17-Supuestos!B79)</f>
        <v/>
      </c>
      <c r="I54" s="13" t="n"/>
      <c r="J54" s="13" t="n"/>
      <c r="K54" s="13" t="n"/>
      <c r="L54" s="2" t="inlineStr">
        <is>
          <t>[sourced]</t>
        </is>
      </c>
      <c r="M54" s="2" t="inlineStr">
        <is>
          <t>RA23 p.260 (2021-22); IA25 p.16 (2023-25); Intereses de deuda; los intereses de arrendamiento van dentro de pagos de arrendamiento</t>
        </is>
      </c>
    </row>
    <row r="55">
      <c r="A55" s="10" t="inlineStr">
        <is>
          <t>Rendimientos del instrumento financiero de capital (bonos perpetuos)</t>
        </is>
      </c>
      <c r="B55" s="11" t="n">
        <v>-621</v>
      </c>
      <c r="C55" s="11" t="n">
        <v>-649</v>
      </c>
      <c r="D55" s="11" t="n">
        <v>-395</v>
      </c>
      <c r="E55" s="11" t="n">
        <v>0</v>
      </c>
      <c r="F55" s="11" t="n">
        <v>0</v>
      </c>
      <c r="G55" s="11" t="n">
        <v>0</v>
      </c>
      <c r="H55" s="11" t="n">
        <v>0</v>
      </c>
      <c r="I55" s="13" t="n"/>
      <c r="J55" s="13" t="n"/>
      <c r="K55" s="13" t="n"/>
      <c r="L55" s="2" t="inlineStr">
        <is>
          <t>[sourced]</t>
        </is>
      </c>
      <c r="M55" s="2" t="inlineStr">
        <is>
          <t>RA23 p.260 (2021-22); IA25 p.16 (2023-25)</t>
        </is>
      </c>
    </row>
    <row r="56">
      <c r="A56" s="10" t="inlineStr">
        <is>
          <t>Recompra del instrumento financiero de capital (bonos perpetuos)</t>
        </is>
      </c>
      <c r="B56" s="11" t="n">
        <v>0</v>
      </c>
      <c r="C56" s="11" t="n">
        <v>-344</v>
      </c>
      <c r="D56" s="11" t="n">
        <v>-78</v>
      </c>
      <c r="E56" s="11" t="n">
        <v>0</v>
      </c>
      <c r="F56" s="11" t="n">
        <v>0</v>
      </c>
      <c r="G56" s="11" t="n">
        <v>0</v>
      </c>
      <c r="H56" s="11" t="n">
        <v>0</v>
      </c>
      <c r="I56" s="13" t="n"/>
      <c r="J56" s="13" t="n"/>
      <c r="K56" s="13" t="n"/>
      <c r="L56" s="2" t="inlineStr">
        <is>
          <t>[sourced]</t>
        </is>
      </c>
      <c r="M56" s="2" t="inlineStr">
        <is>
          <t>RA23 p.260 (2021-22); IA25 p.16 (2023-25)</t>
        </is>
      </c>
    </row>
    <row r="57">
      <c r="A57" s="10" t="inlineStr">
        <is>
          <t>Dividendos pagados</t>
        </is>
      </c>
      <c r="B57" s="11" t="n">
        <v>-4636</v>
      </c>
      <c r="C57" s="11" t="n">
        <v>-5885</v>
      </c>
      <c r="D57" s="11" t="n">
        <v>-3549</v>
      </c>
      <c r="E57" s="11" t="n">
        <v>-4234</v>
      </c>
      <c r="F57" s="11" t="n">
        <v>-4451</v>
      </c>
      <c r="G57" s="12">
        <f>-(Supuestos!B91+Supuestos!B92)</f>
        <v/>
      </c>
      <c r="H57" s="12">
        <f>-(Supuestos!B266+Supuestos!B267)</f>
        <v/>
      </c>
      <c r="I57" s="13" t="n"/>
      <c r="J57" s="13" t="n"/>
      <c r="K57" s="13" t="n"/>
      <c r="L57" s="2" t="inlineStr">
        <is>
          <t>[sourced]</t>
        </is>
      </c>
      <c r="M57" s="2" t="inlineStr">
        <is>
          <t>RA23 p.260 (2021-22); IA25 p.16 (2023-25); Controladora + no controladora</t>
        </is>
      </c>
    </row>
    <row r="58">
      <c r="A58" s="10" t="inlineStr">
        <is>
          <t>Pagos a distribuidores de EUA, entidades estructuradas (no controladora)</t>
        </is>
      </c>
      <c r="B58" s="11" t="n">
        <v>0</v>
      </c>
      <c r="C58" s="11" t="n">
        <v>0</v>
      </c>
      <c r="D58" s="11" t="n">
        <v>0</v>
      </c>
      <c r="E58" s="11" t="n">
        <v>0</v>
      </c>
      <c r="F58" s="11" t="n">
        <v>0</v>
      </c>
      <c r="G58" s="12">
        <f>Capital!G20</f>
        <v/>
      </c>
      <c r="H58" s="12">
        <f>Capital!H20</f>
        <v/>
      </c>
      <c r="I58" s="13" t="n"/>
      <c r="J58" s="13" t="n"/>
      <c r="K58" s="13" t="n"/>
      <c r="L58" s="2" t="inlineStr">
        <is>
          <t>[sourced]</t>
        </is>
      </c>
      <c r="M58" s="2" t="inlineStr">
        <is>
          <t>RA23 p.260 (2021-22); IA25 p.16 (2023-25); No se reporta por separado en la historia; proyección = 'efecto de consolidación de entidades estructuradas' del capital</t>
        </is>
      </c>
    </row>
    <row r="59">
      <c r="A59" s="10" t="inlineStr">
        <is>
          <t>Pagos de arrendamiento</t>
        </is>
      </c>
      <c r="B59" s="11" t="n">
        <v>-5372</v>
      </c>
      <c r="C59" s="11" t="n">
        <v>-6385</v>
      </c>
      <c r="D59" s="11" t="n">
        <v>-6278</v>
      </c>
      <c r="E59" s="11" t="n">
        <v>-7072</v>
      </c>
      <c r="F59" s="11" t="n">
        <v>-8060</v>
      </c>
      <c r="G59" s="12">
        <f>-(Supuestos!B78+Supuestos!B79)</f>
        <v/>
      </c>
      <c r="H59" s="12">
        <f>-(Supuestos!B78+Supuestos!B79)</f>
        <v/>
      </c>
      <c r="I59" s="13" t="n"/>
      <c r="J59" s="13" t="n"/>
      <c r="K59" s="13" t="n"/>
      <c r="L59" s="2" t="inlineStr">
        <is>
          <t>[sourced]</t>
        </is>
      </c>
      <c r="M59" s="2" t="inlineStr">
        <is>
          <t>RA23 p.260 (2021-22); IA25 p.16 (2023-25); Capital + intereses</t>
        </is>
      </c>
    </row>
    <row r="60">
      <c r="A60" s="10" t="inlineStr">
        <is>
          <t>Pagos de instrumentos financieros derivados</t>
        </is>
      </c>
      <c r="B60" s="11" t="n">
        <v>-1690</v>
      </c>
      <c r="C60" s="11" t="n">
        <v>0</v>
      </c>
      <c r="D60" s="11" t="n">
        <v>-1655</v>
      </c>
      <c r="E60" s="11" t="n">
        <v>-1889</v>
      </c>
      <c r="F60" s="11" t="n">
        <v>-1034</v>
      </c>
      <c r="G60" s="11" t="n">
        <v>0</v>
      </c>
      <c r="H60" s="11" t="n">
        <v>0</v>
      </c>
      <c r="I60" s="13" t="n"/>
      <c r="J60" s="13" t="n"/>
      <c r="K60" s="13" t="n"/>
      <c r="L60" s="2" t="inlineStr">
        <is>
          <t>[sourced]</t>
        </is>
      </c>
      <c r="M60" s="2" t="inlineStr">
        <is>
          <t>RA23 p.260 (2021-22); IA25 p.16 (2023-25)</t>
        </is>
      </c>
    </row>
    <row r="61">
      <c r="A61" s="10" t="inlineStr">
        <is>
          <t>Cobros de instrumentos financieros derivados</t>
        </is>
      </c>
      <c r="B61" s="11" t="n">
        <v>1496</v>
      </c>
      <c r="C61" s="11" t="n">
        <v>418</v>
      </c>
      <c r="D61" s="11" t="n">
        <v>2090</v>
      </c>
      <c r="E61" s="11" t="n">
        <v>692</v>
      </c>
      <c r="F61" s="11" t="n">
        <v>633</v>
      </c>
      <c r="G61" s="11" t="n">
        <v>0</v>
      </c>
      <c r="H61" s="11" t="n">
        <v>0</v>
      </c>
      <c r="I61" s="13" t="n"/>
      <c r="J61" s="13" t="n"/>
      <c r="K61" s="13" t="n"/>
      <c r="L61" s="2" t="inlineStr">
        <is>
          <t>[sourced]</t>
        </is>
      </c>
      <c r="M61" s="2" t="inlineStr">
        <is>
          <t>RA23 p.260 (2021-22); IA25 p.16 (2023-25)</t>
        </is>
      </c>
    </row>
    <row r="62">
      <c r="A62" s="10" t="inlineStr">
        <is>
          <t>Recompra de acciones</t>
        </is>
      </c>
      <c r="B62" s="11" t="n">
        <v>-1901</v>
      </c>
      <c r="C62" s="11" t="n">
        <v>-2568</v>
      </c>
      <c r="D62" s="11" t="n">
        <v>-3586</v>
      </c>
      <c r="E62" s="11" t="n">
        <v>-4433</v>
      </c>
      <c r="F62" s="11" t="n">
        <v>-1253</v>
      </c>
      <c r="G62" s="12">
        <f>-Supuestos!B95</f>
        <v/>
      </c>
      <c r="H62" s="12">
        <f>-Supuestos!B268</f>
        <v/>
      </c>
      <c r="I62" s="13" t="n"/>
      <c r="J62" s="13" t="n"/>
      <c r="K62" s="13" t="n"/>
      <c r="L62" s="2" t="inlineStr">
        <is>
          <t>[sourced]</t>
        </is>
      </c>
      <c r="M62" s="2" t="inlineStr">
        <is>
          <t>RA23 p.260 (2021-22); IA25 p.16 (2023-25)</t>
        </is>
      </c>
    </row>
    <row r="63">
      <c r="A63" s="3" t="inlineStr">
        <is>
          <t>Flujos netos de efectivo de actividades de financiamiento</t>
        </is>
      </c>
      <c r="B63" s="14">
        <f>SUM(B52:B62)</f>
        <v/>
      </c>
      <c r="C63" s="14">
        <f>SUM(C52:C62)</f>
        <v/>
      </c>
      <c r="D63" s="14">
        <f>SUM(D52:D62)</f>
        <v/>
      </c>
      <c r="E63" s="14">
        <f>SUM(E52:E62)</f>
        <v/>
      </c>
      <c r="F63" s="14">
        <f>SUM(F52:F62)</f>
        <v/>
      </c>
      <c r="G63" s="14">
        <f>SUM(G52:G62)</f>
        <v/>
      </c>
      <c r="H63" s="14">
        <f>SUM(H52:H62)</f>
        <v/>
      </c>
      <c r="I63" s="14">
        <f>SUM(I52:I62)</f>
        <v/>
      </c>
      <c r="J63" s="14">
        <f>SUM(J52:J62)</f>
        <v/>
      </c>
      <c r="K63" s="14">
        <f>SUM(K52:K62)</f>
        <v/>
      </c>
      <c r="L63" s="2" t="inlineStr">
        <is>
          <t>[calc]</t>
        </is>
      </c>
      <c r="M63" s="2" t="inlineStr"/>
    </row>
    <row r="64">
      <c r="A64" t="inlineStr"/>
    </row>
    <row r="65">
      <c r="A65" s="10" t="inlineStr">
        <is>
          <t>Ajuste al efectivo por tipo de cambio y efectos inflacionarios</t>
        </is>
      </c>
      <c r="B65" s="11" t="n">
        <v>279</v>
      </c>
      <c r="C65" s="11" t="n">
        <v>-472</v>
      </c>
      <c r="D65" s="11" t="n">
        <v>-835</v>
      </c>
      <c r="E65" s="11" t="n">
        <v>631</v>
      </c>
      <c r="F65" s="11" t="n">
        <v>-715</v>
      </c>
      <c r="G65" s="11" t="n">
        <v>0</v>
      </c>
      <c r="H65" s="11" t="n">
        <v>0</v>
      </c>
      <c r="I65" s="13" t="n"/>
      <c r="J65" s="13" t="n"/>
      <c r="K65" s="13" t="n"/>
      <c r="L65" s="2" t="inlineStr">
        <is>
          <t>[sourced]</t>
        </is>
      </c>
      <c r="M65" s="2" t="inlineStr">
        <is>
          <t>RA23 p.260 (2021-22); IA25 p.16 (2023-25)</t>
        </is>
      </c>
    </row>
    <row r="66">
      <c r="A66" s="3" t="inlineStr">
        <is>
          <t>Incremento (disminución) neto de efectivo</t>
        </is>
      </c>
      <c r="B66" s="14">
        <f>B34+B49+B63+B65</f>
        <v/>
      </c>
      <c r="C66" s="14">
        <f>C34+C49+C63+C65</f>
        <v/>
      </c>
      <c r="D66" s="14">
        <f>D34+D49+D63+D65</f>
        <v/>
      </c>
      <c r="E66" s="14">
        <f>E34+E49+E63+E65</f>
        <v/>
      </c>
      <c r="F66" s="14">
        <f>F34+F49+F63+F65</f>
        <v/>
      </c>
      <c r="G66" s="14">
        <f>G34+G49+G63+G65</f>
        <v/>
      </c>
      <c r="H66" s="14">
        <f>H34+H49+H63+H65</f>
        <v/>
      </c>
      <c r="I66" s="14">
        <f>I34+I49+I63+I65</f>
        <v/>
      </c>
      <c r="J66" s="14">
        <f>J34+J49+J63+J65</f>
        <v/>
      </c>
      <c r="K66" s="14">
        <f>K34+K49+K63+K65</f>
        <v/>
      </c>
      <c r="L66" s="2" t="inlineStr">
        <is>
          <t>[calc]</t>
        </is>
      </c>
      <c r="M66" s="2" t="inlineStr"/>
    </row>
    <row r="67">
      <c r="A67" s="10" t="inlineStr">
        <is>
          <t>Efectivo al principio del periodo</t>
        </is>
      </c>
      <c r="B67" s="11" t="n">
        <v>9268</v>
      </c>
      <c r="C67" s="12">
        <f>B68</f>
        <v/>
      </c>
      <c r="D67" s="12">
        <f>C68</f>
        <v/>
      </c>
      <c r="E67" s="12">
        <f>D68</f>
        <v/>
      </c>
      <c r="F67" s="12">
        <f>E68</f>
        <v/>
      </c>
      <c r="G67" s="12">
        <f>F68</f>
        <v/>
      </c>
      <c r="H67" s="12">
        <f>G68</f>
        <v/>
      </c>
      <c r="I67" s="12">
        <f>H68</f>
        <v/>
      </c>
      <c r="J67" s="12">
        <f>I68</f>
        <v/>
      </c>
      <c r="K67" s="12">
        <f>J68</f>
        <v/>
      </c>
      <c r="L67" s="2" t="inlineStr">
        <is>
          <t>[sourced] 2021; [calc] después</t>
        </is>
      </c>
      <c r="M67" s="2" t="inlineStr">
        <is>
          <t>RA23 p.260 (2021-22); IA25 p.16 (2023-25); 2021 capturado (cierre 2020); años siguientes = efectivo final del año anterior</t>
        </is>
      </c>
    </row>
    <row r="68">
      <c r="A68" s="3" t="inlineStr">
        <is>
          <t>Efectivo al final del periodo</t>
        </is>
      </c>
      <c r="B68" s="14">
        <f>B67+B66</f>
        <v/>
      </c>
      <c r="C68" s="14">
        <f>C67+C66</f>
        <v/>
      </c>
      <c r="D68" s="14">
        <f>D67+D66</f>
        <v/>
      </c>
      <c r="E68" s="14">
        <f>E67+E66</f>
        <v/>
      </c>
      <c r="F68" s="14">
        <f>F67+F66</f>
        <v/>
      </c>
      <c r="G68" s="14">
        <f>G67+G66</f>
        <v/>
      </c>
      <c r="H68" s="14">
        <f>H67+H66</f>
        <v/>
      </c>
      <c r="I68" s="14">
        <f>I67+I66</f>
        <v/>
      </c>
      <c r="J68" s="14">
        <f>J67+J66</f>
        <v/>
      </c>
      <c r="K68" s="14">
        <f>K67+K66</f>
        <v/>
      </c>
      <c r="L68" s="2" t="inlineStr">
        <is>
          <t>[calc]</t>
        </is>
      </c>
      <c r="M68" s="2" t="inlineStr">
        <is>
          <t>Debe ser igual al efectivo del BG</t>
        </is>
      </c>
    </row>
  </sheetData>
  <mergeCells count="2">
    <mergeCell ref="G3:K3"/>
    <mergeCell ref="B3:F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70" customWidth="1" min="13" max="13"/>
  </cols>
  <sheetData>
    <row r="1">
      <c r="A1" s="1" t="inlineStr">
        <is>
          <t>Grupo Bimbo - Movimientos del capital contable (estado de cambios en el capital contable)</t>
        </is>
      </c>
    </row>
    <row r="2">
      <c r="A2" s="2" t="inlineStr">
        <is>
          <t>Columnas del estado de cambios en el capital condensadas en participación controladora y no controladora.</t>
        </is>
      </c>
    </row>
    <row r="3">
      <c r="B3" s="4" t="inlineStr">
        <is>
          <t>Real (auditado)</t>
        </is>
      </c>
      <c r="G3" s="5" t="inlineStr">
        <is>
          <t>Proyección - el equipo proyecta y cuadra</t>
        </is>
      </c>
    </row>
    <row r="4">
      <c r="A4" s="6" t="inlineStr">
        <is>
          <t>Millones de MXN</t>
        </is>
      </c>
      <c r="B4" s="7" t="inlineStr">
        <is>
          <t>2021R</t>
        </is>
      </c>
      <c r="C4" s="7" t="inlineStr">
        <is>
          <t>2022R</t>
        </is>
      </c>
      <c r="D4" s="7" t="inlineStr">
        <is>
          <t>2023R</t>
        </is>
      </c>
      <c r="E4" s="7" t="inlineStr">
        <is>
          <t>2024R</t>
        </is>
      </c>
      <c r="F4" s="7" t="inlineStr">
        <is>
          <t>2025R</t>
        </is>
      </c>
      <c r="G4" s="7" t="inlineStr">
        <is>
          <t>2026E</t>
        </is>
      </c>
      <c r="H4" s="7" t="inlineStr">
        <is>
          <t>2027E</t>
        </is>
      </c>
      <c r="I4" s="7" t="inlineStr">
        <is>
          <t>2028E</t>
        </is>
      </c>
      <c r="J4" s="7" t="inlineStr">
        <is>
          <t>2029E</t>
        </is>
      </c>
      <c r="K4" s="7" t="inlineStr">
        <is>
          <t>2030E</t>
        </is>
      </c>
      <c r="L4" s="6" t="inlineStr">
        <is>
          <t>Etiqueta</t>
        </is>
      </c>
      <c r="M4" s="6" t="inlineStr">
        <is>
          <t>Fuente / nota</t>
        </is>
      </c>
    </row>
    <row r="5">
      <c r="A5" s="8" t="inlineStr">
        <is>
          <t>Participación controladora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</row>
    <row r="6">
      <c r="A6" s="10" t="inlineStr">
        <is>
          <t>Saldo inicial</t>
        </is>
      </c>
      <c r="B6" s="11" t="n">
        <v>83713</v>
      </c>
      <c r="C6" s="12">
        <f>B16</f>
        <v/>
      </c>
      <c r="D6" s="12">
        <f>C16</f>
        <v/>
      </c>
      <c r="E6" s="12">
        <f>D16</f>
        <v/>
      </c>
      <c r="F6" s="12">
        <f>E16</f>
        <v/>
      </c>
      <c r="G6" s="12">
        <f>F16</f>
        <v/>
      </c>
      <c r="H6" s="12">
        <f>G16</f>
        <v/>
      </c>
      <c r="I6" s="12">
        <f>H16</f>
        <v/>
      </c>
      <c r="J6" s="12">
        <f>I16</f>
        <v/>
      </c>
      <c r="K6" s="12">
        <f>J16</f>
        <v/>
      </c>
      <c r="L6" s="2" t="inlineStr">
        <is>
          <t>[sourced] 2021; [calc] después</t>
        </is>
      </c>
      <c r="M6" s="2" t="inlineStr">
        <is>
          <t>RA23 p.259 (2021-22); IA25 p.15 (2023-25); 2021 capturado (cierre 2020); años siguientes = saldo final del año anterior</t>
        </is>
      </c>
    </row>
    <row r="7">
      <c r="A7" s="10" t="inlineStr">
        <is>
          <t>Rendimientos del instrumento financiero de capital</t>
        </is>
      </c>
      <c r="B7" s="11" t="n">
        <v>-621</v>
      </c>
      <c r="C7" s="11" t="n">
        <v>-649</v>
      </c>
      <c r="D7" s="11" t="n">
        <v>-395</v>
      </c>
      <c r="E7" s="11" t="n">
        <v>0</v>
      </c>
      <c r="F7" s="11" t="n">
        <v>0</v>
      </c>
      <c r="G7" s="11" t="n">
        <v>0</v>
      </c>
      <c r="H7" s="11" t="n">
        <v>0</v>
      </c>
      <c r="I7" s="13" t="n"/>
      <c r="J7" s="13" t="n"/>
      <c r="K7" s="13" t="n"/>
      <c r="L7" s="2" t="inlineStr">
        <is>
          <t>[sourced]</t>
        </is>
      </c>
      <c r="M7" s="2" t="inlineStr">
        <is>
          <t>RA23 p.259 (2021-22); IA25 p.15 (2023-25)</t>
        </is>
      </c>
    </row>
    <row r="8">
      <c r="A8" s="10" t="inlineStr">
        <is>
          <t>Efecto de impuestos sobre el instrumento financiero de capital</t>
        </is>
      </c>
      <c r="B8" s="11" t="n">
        <v>58</v>
      </c>
      <c r="C8" s="11" t="n">
        <v>-229</v>
      </c>
      <c r="D8" s="11" t="n">
        <v>-20</v>
      </c>
      <c r="E8" s="11" t="n">
        <v>0</v>
      </c>
      <c r="F8" s="11" t="n">
        <v>0</v>
      </c>
      <c r="G8" s="11" t="n">
        <v>0</v>
      </c>
      <c r="H8" s="11" t="n">
        <v>0</v>
      </c>
      <c r="I8" s="13" t="n"/>
      <c r="J8" s="13" t="n"/>
      <c r="K8" s="13" t="n"/>
      <c r="L8" s="2" t="inlineStr">
        <is>
          <t>[sourced]</t>
        </is>
      </c>
      <c r="M8" s="2" t="inlineStr">
        <is>
          <t>RA23 p.259 (2021-22); IA25 p.15 (2023-25)</t>
        </is>
      </c>
    </row>
    <row r="9">
      <c r="A9" s="10" t="inlineStr">
        <is>
          <t>Recompra del instrumento financiero de capital (bonos perpetuos)</t>
        </is>
      </c>
      <c r="B9" s="11" t="n">
        <v>0</v>
      </c>
      <c r="C9" s="11" t="n">
        <v>-377</v>
      </c>
      <c r="D9" s="11" t="n">
        <v>-78</v>
      </c>
      <c r="E9" s="11" t="n">
        <v>0</v>
      </c>
      <c r="F9" s="11" t="n">
        <v>0</v>
      </c>
      <c r="G9" s="11" t="n">
        <v>0</v>
      </c>
      <c r="H9" s="11" t="n">
        <v>0</v>
      </c>
      <c r="I9" s="13" t="n"/>
      <c r="J9" s="13" t="n"/>
      <c r="K9" s="13" t="n"/>
      <c r="L9" s="2" t="inlineStr">
        <is>
          <t>[sourced]</t>
        </is>
      </c>
      <c r="M9" s="2" t="inlineStr">
        <is>
          <t>RA23 p.259 (2021-22); IA25 p.15 (2023-25)</t>
        </is>
      </c>
    </row>
    <row r="10">
      <c r="A10" s="10" t="inlineStr">
        <is>
          <t>Reclasificación del instrumento financiero de capital a deuda</t>
        </is>
      </c>
      <c r="B10" s="11" t="n">
        <v>0</v>
      </c>
      <c r="C10" s="11" t="n">
        <v>0</v>
      </c>
      <c r="D10" s="11" t="n">
        <v>-8844</v>
      </c>
      <c r="E10" s="11" t="n">
        <v>0</v>
      </c>
      <c r="F10" s="11" t="n">
        <v>0</v>
      </c>
      <c r="G10" s="11" t="n">
        <v>0</v>
      </c>
      <c r="H10" s="11" t="n">
        <v>0</v>
      </c>
      <c r="I10" s="13" t="n"/>
      <c r="J10" s="13" t="n"/>
      <c r="K10" s="13" t="n"/>
      <c r="L10" s="2" t="inlineStr">
        <is>
          <t>[sourced]</t>
        </is>
      </c>
      <c r="M10" s="2" t="inlineStr">
        <is>
          <t>RA23 p.259 (2021-22); IA25 p.15 (2023-25)</t>
        </is>
      </c>
    </row>
    <row r="11">
      <c r="A11" s="10" t="inlineStr">
        <is>
          <t>Decreto de dividendos</t>
        </is>
      </c>
      <c r="B11" s="11" t="n">
        <v>-4502</v>
      </c>
      <c r="C11" s="11" t="n">
        <v>-5791</v>
      </c>
      <c r="D11" s="11" t="n">
        <v>-3458</v>
      </c>
      <c r="E11" s="11" t="n">
        <v>-4125</v>
      </c>
      <c r="F11" s="11" t="n">
        <v>-4316</v>
      </c>
      <c r="G11" s="12">
        <f>-Supuestos!B91</f>
        <v/>
      </c>
      <c r="H11" s="12">
        <f>-Supuestos!B266</f>
        <v/>
      </c>
      <c r="I11" s="13" t="n"/>
      <c r="J11" s="13" t="n"/>
      <c r="K11" s="13" t="n"/>
      <c r="L11" s="2" t="inlineStr">
        <is>
          <t>[sourced]</t>
        </is>
      </c>
      <c r="M11" s="2" t="inlineStr">
        <is>
          <t>RA23 p.259 (2021-22); IA25 p.15 (2023-25)</t>
        </is>
      </c>
    </row>
    <row r="12">
      <c r="A12" s="10" t="inlineStr">
        <is>
          <t>Recompra de acciones</t>
        </is>
      </c>
      <c r="B12" s="11" t="n">
        <v>-1901</v>
      </c>
      <c r="C12" s="11" t="n">
        <v>-2568</v>
      </c>
      <c r="D12" s="11" t="n">
        <v>-3586</v>
      </c>
      <c r="E12" s="11" t="n">
        <v>-4433</v>
      </c>
      <c r="F12" s="11" t="n">
        <v>-1253</v>
      </c>
      <c r="G12" s="12">
        <f>-Supuestos!B95</f>
        <v/>
      </c>
      <c r="H12" s="12">
        <f>-Supuestos!B268</f>
        <v/>
      </c>
      <c r="I12" s="13" t="n"/>
      <c r="J12" s="13" t="n"/>
      <c r="K12" s="13" t="n"/>
      <c r="L12" s="2" t="inlineStr">
        <is>
          <t>[sourced]</t>
        </is>
      </c>
      <c r="M12" s="2" t="inlineStr">
        <is>
          <t>RA23 p.259 (2021-22); IA25 p.15 (2023-25)</t>
        </is>
      </c>
    </row>
    <row r="13">
      <c r="A13" s="10" t="inlineStr">
        <is>
          <t>Cambios en la participación</t>
        </is>
      </c>
      <c r="B13" s="11" t="n">
        <v>0</v>
      </c>
      <c r="C13" s="11" t="n">
        <v>0</v>
      </c>
      <c r="D13" s="11" t="n">
        <v>0</v>
      </c>
      <c r="E13" s="11" t="n">
        <v>0</v>
      </c>
      <c r="F13" s="11" t="n">
        <v>-752</v>
      </c>
      <c r="G13" s="11" t="n">
        <v>0</v>
      </c>
      <c r="H13" s="11" t="n">
        <v>0</v>
      </c>
      <c r="I13" s="13" t="n"/>
      <c r="J13" s="13" t="n"/>
      <c r="K13" s="13" t="n"/>
      <c r="L13" s="2" t="inlineStr">
        <is>
          <t>[sourced]</t>
        </is>
      </c>
      <c r="M13" s="2" t="inlineStr">
        <is>
          <t>RA23 p.259 (2021-22); IA25 p.15 (2023-25); Compra de la participación no controladora de Colombia</t>
        </is>
      </c>
    </row>
    <row r="14">
      <c r="A14" s="10" t="inlineStr">
        <is>
          <t>Utilidad neta (participación controladora)</t>
        </is>
      </c>
      <c r="B14" s="11" t="n">
        <v>15916</v>
      </c>
      <c r="C14" s="11" t="n">
        <v>46910</v>
      </c>
      <c r="D14" s="11" t="n">
        <v>15477</v>
      </c>
      <c r="E14" s="11" t="n">
        <v>12544</v>
      </c>
      <c r="F14" s="11" t="n">
        <v>11133</v>
      </c>
      <c r="G14" s="12">
        <f>ER!G31</f>
        <v/>
      </c>
      <c r="H14" s="12">
        <f>ER!H31</f>
        <v/>
      </c>
      <c r="I14" s="13" t="n"/>
      <c r="J14" s="13" t="n"/>
      <c r="K14" s="13" t="n"/>
      <c r="L14" s="2" t="inlineStr">
        <is>
          <t>[sourced]</t>
        </is>
      </c>
      <c r="M14" s="2" t="inlineStr">
        <is>
          <t>RA23 p.259 (2021-22); IA25 p.15 (2023-25); Debe ser igual a la utilidad controladora del ER</t>
        </is>
      </c>
    </row>
    <row r="15">
      <c r="A15" s="10" t="inlineStr">
        <is>
          <t>Otros resultados integrales (participación controladora)</t>
        </is>
      </c>
      <c r="B15" s="11" t="n">
        <v>4437</v>
      </c>
      <c r="C15" s="11" t="n">
        <v>-10285</v>
      </c>
      <c r="D15" s="11" t="n">
        <v>-14885</v>
      </c>
      <c r="E15" s="11" t="n">
        <v>13636</v>
      </c>
      <c r="F15" s="11" t="n">
        <v>-11244</v>
      </c>
      <c r="G15" s="11" t="n">
        <v>0</v>
      </c>
      <c r="H15" s="11" t="n">
        <v>0</v>
      </c>
      <c r="I15" s="13" t="n"/>
      <c r="J15" s="13" t="n"/>
      <c r="K15" s="13" t="n"/>
      <c r="L15" s="2" t="inlineStr">
        <is>
          <t>[sourced]</t>
        </is>
      </c>
      <c r="M15" s="2" t="inlineStr">
        <is>
          <t>RA23 p.259 (2021-22); IA25 p.15 (2023-25)</t>
        </is>
      </c>
    </row>
    <row r="16">
      <c r="A16" s="3" t="inlineStr">
        <is>
          <t>Saldo final, participación controladora</t>
        </is>
      </c>
      <c r="B16" s="14">
        <f>SUM(B6:B15)</f>
        <v/>
      </c>
      <c r="C16" s="14">
        <f>SUM(C6:C15)</f>
        <v/>
      </c>
      <c r="D16" s="14">
        <f>SUM(D6:D15)</f>
        <v/>
      </c>
      <c r="E16" s="14">
        <f>SUM(E6:E15)</f>
        <v/>
      </c>
      <c r="F16" s="14">
        <f>SUM(F6:F15)</f>
        <v/>
      </c>
      <c r="G16" s="14">
        <f>SUM(G6:G15)</f>
        <v/>
      </c>
      <c r="H16" s="14">
        <f>SUM(H6:H15)</f>
        <v/>
      </c>
      <c r="I16" s="14">
        <f>SUM(I6:I15)</f>
        <v/>
      </c>
      <c r="J16" s="14">
        <f>SUM(J6:J15)</f>
        <v/>
      </c>
      <c r="K16" s="14">
        <f>SUM(K6:K15)</f>
        <v/>
      </c>
      <c r="L16" s="2" t="inlineStr">
        <is>
          <t>[calc]</t>
        </is>
      </c>
      <c r="M16" s="2" t="inlineStr">
        <is>
          <t>Debe ser igual a la participación controladora del BG</t>
        </is>
      </c>
    </row>
    <row r="17">
      <c r="A17" t="inlineStr"/>
    </row>
    <row r="18">
      <c r="A18" s="8" t="inlineStr">
        <is>
          <t>Participación no controladora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>
      <c r="A19" s="10" t="inlineStr">
        <is>
          <t>Saldo inicial</t>
        </is>
      </c>
      <c r="B19" s="11" t="n">
        <v>4298</v>
      </c>
      <c r="C19" s="12">
        <f>B25</f>
        <v/>
      </c>
      <c r="D19" s="12">
        <f>C25</f>
        <v/>
      </c>
      <c r="E19" s="12">
        <f>D25</f>
        <v/>
      </c>
      <c r="F19" s="12">
        <f>E25</f>
        <v/>
      </c>
      <c r="G19" s="12">
        <f>F25</f>
        <v/>
      </c>
      <c r="H19" s="12">
        <f>G25</f>
        <v/>
      </c>
      <c r="I19" s="12">
        <f>H25</f>
        <v/>
      </c>
      <c r="J19" s="12">
        <f>I25</f>
        <v/>
      </c>
      <c r="K19" s="12">
        <f>J25</f>
        <v/>
      </c>
      <c r="L19" s="2" t="inlineStr">
        <is>
          <t>[sourced] 2021; [calc] después</t>
        </is>
      </c>
      <c r="M19" s="2" t="inlineStr">
        <is>
          <t>RA23 p.259 (2021-22); IA25 p.15 (2023-25); 2021 capturado (cierre 2020); años siguientes = saldo final del año anterior</t>
        </is>
      </c>
    </row>
    <row r="20">
      <c r="A20" s="10" t="inlineStr">
        <is>
          <t>Efecto de consolidación de entidades estructuradas</t>
        </is>
      </c>
      <c r="B20" s="11" t="n">
        <v>-1099</v>
      </c>
      <c r="C20" s="11" t="n">
        <v>-2011</v>
      </c>
      <c r="D20" s="11" t="n">
        <v>-1851</v>
      </c>
      <c r="E20" s="11" t="n">
        <v>-3120</v>
      </c>
      <c r="F20" s="11" t="n">
        <v>-2240</v>
      </c>
      <c r="G20" s="12">
        <f>-(G23+G21)</f>
        <v/>
      </c>
      <c r="H20" s="12">
        <f>-(H23+H21)</f>
        <v/>
      </c>
      <c r="I20" s="13" t="n"/>
      <c r="J20" s="13" t="n"/>
      <c r="K20" s="13" t="n"/>
      <c r="L20" s="2" t="inlineStr">
        <is>
          <t>[sourced]</t>
        </is>
      </c>
      <c r="M20" s="2" t="inlineStr">
        <is>
          <t>RA23 p.259 (2021-22); IA25 p.15 (2023-25)</t>
        </is>
      </c>
    </row>
    <row r="21">
      <c r="A21" s="10" t="inlineStr">
        <is>
          <t>Decreto de dividendos</t>
        </is>
      </c>
      <c r="B21" s="11" t="n">
        <v>-163</v>
      </c>
      <c r="C21" s="11" t="n">
        <v>-94</v>
      </c>
      <c r="D21" s="11" t="n">
        <v>-91</v>
      </c>
      <c r="E21" s="11" t="n">
        <v>-109</v>
      </c>
      <c r="F21" s="11" t="n">
        <v>-135</v>
      </c>
      <c r="G21" s="12">
        <f>-Supuestos!B92</f>
        <v/>
      </c>
      <c r="H21" s="12">
        <f>-Supuestos!B267</f>
        <v/>
      </c>
      <c r="I21" s="13" t="n"/>
      <c r="J21" s="13" t="n"/>
      <c r="K21" s="13" t="n"/>
      <c r="L21" s="2" t="inlineStr">
        <is>
          <t>[sourced]</t>
        </is>
      </c>
      <c r="M21" s="2" t="inlineStr">
        <is>
          <t>RA23 p.259 (2021-22); IA25 p.15 (2023-25)</t>
        </is>
      </c>
    </row>
    <row r="22">
      <c r="A22" s="10" t="inlineStr">
        <is>
          <t>Adquisiciones, disposiciones y cambios en la participación</t>
        </is>
      </c>
      <c r="B22" s="11" t="n">
        <v>0</v>
      </c>
      <c r="C22" s="11" t="n">
        <v>-65</v>
      </c>
      <c r="D22" s="11" t="n">
        <v>217</v>
      </c>
      <c r="E22" s="11" t="n">
        <v>0</v>
      </c>
      <c r="F22" s="11" t="n">
        <v>-648</v>
      </c>
      <c r="G22" s="11" t="n">
        <v>0</v>
      </c>
      <c r="H22" s="11" t="n">
        <v>0</v>
      </c>
      <c r="I22" s="13" t="n"/>
      <c r="J22" s="13" t="n"/>
      <c r="K22" s="13" t="n"/>
      <c r="L22" s="2" t="inlineStr">
        <is>
          <t>[sourced]</t>
        </is>
      </c>
      <c r="M22" s="2" t="inlineStr">
        <is>
          <t>RA23 p.259 (2021-22); IA25 p.15 (2023-25); 2022 operación discontinuada (-65); 2023 adquisiciones (+217); 2025 adquisiciones 68 menos disminución 716</t>
        </is>
      </c>
    </row>
    <row r="23">
      <c r="A23" s="10" t="inlineStr">
        <is>
          <t>Utilidad neta (participación no controladora)</t>
        </is>
      </c>
      <c r="B23" s="11" t="n">
        <v>1466</v>
      </c>
      <c r="C23" s="11" t="n">
        <v>1575</v>
      </c>
      <c r="D23" s="11" t="n">
        <v>1445</v>
      </c>
      <c r="E23" s="11" t="n">
        <v>1499</v>
      </c>
      <c r="F23" s="11" t="n">
        <v>1813</v>
      </c>
      <c r="G23" s="12">
        <f>ER!G30</f>
        <v/>
      </c>
      <c r="H23" s="12">
        <f>ER!H30</f>
        <v/>
      </c>
      <c r="I23" s="13" t="n"/>
      <c r="J23" s="13" t="n"/>
      <c r="K23" s="13" t="n"/>
      <c r="L23" s="2" t="inlineStr">
        <is>
          <t>[sourced]</t>
        </is>
      </c>
      <c r="M23" s="2" t="inlineStr">
        <is>
          <t>RA23 p.259 (2021-22); IA25 p.15 (2023-25); Debe ser igual a la participación no controladora del ER</t>
        </is>
      </c>
    </row>
    <row r="24">
      <c r="A24" s="10" t="inlineStr">
        <is>
          <t>Otros resultados integrales (participación no controladora)</t>
        </is>
      </c>
      <c r="B24" s="11" t="n">
        <v>4</v>
      </c>
      <c r="C24" s="11" t="n">
        <v>-420</v>
      </c>
      <c r="D24" s="11" t="n">
        <v>95</v>
      </c>
      <c r="E24" s="11" t="n">
        <v>178</v>
      </c>
      <c r="F24" s="11" t="n">
        <v>199</v>
      </c>
      <c r="G24" s="11" t="n">
        <v>0</v>
      </c>
      <c r="H24" s="11" t="n">
        <v>0</v>
      </c>
      <c r="I24" s="13" t="n"/>
      <c r="J24" s="13" t="n"/>
      <c r="K24" s="13" t="n"/>
      <c r="L24" s="2" t="inlineStr">
        <is>
          <t>[sourced]</t>
        </is>
      </c>
      <c r="M24" s="2" t="inlineStr">
        <is>
          <t>RA23 p.259 (2021-22); IA25 p.15 (2023-25)</t>
        </is>
      </c>
    </row>
    <row r="25">
      <c r="A25" s="3" t="inlineStr">
        <is>
          <t>Saldo final, participación no controladora</t>
        </is>
      </c>
      <c r="B25" s="14">
        <f>SUM(B19:B24)</f>
        <v/>
      </c>
      <c r="C25" s="14">
        <f>SUM(C19:C24)</f>
        <v/>
      </c>
      <c r="D25" s="14">
        <f>SUM(D19:D24)</f>
        <v/>
      </c>
      <c r="E25" s="14">
        <f>SUM(E19:E24)</f>
        <v/>
      </c>
      <c r="F25" s="14">
        <f>SUM(F19:F24)</f>
        <v/>
      </c>
      <c r="G25" s="14">
        <f>SUM(G19:G24)</f>
        <v/>
      </c>
      <c r="H25" s="14">
        <f>SUM(H19:H24)</f>
        <v/>
      </c>
      <c r="I25" s="14">
        <f>SUM(I19:I24)</f>
        <v/>
      </c>
      <c r="J25" s="14">
        <f>SUM(J19:J24)</f>
        <v/>
      </c>
      <c r="K25" s="14">
        <f>SUM(K19:K24)</f>
        <v/>
      </c>
      <c r="L25" s="2" t="inlineStr">
        <is>
          <t>[calc]</t>
        </is>
      </c>
      <c r="M25" s="2" t="inlineStr">
        <is>
          <t>Debe ser igual a la participación no controladora del BG</t>
        </is>
      </c>
    </row>
    <row r="26">
      <c r="A26" t="inlineStr"/>
    </row>
    <row r="27">
      <c r="A27" s="3" t="inlineStr">
        <is>
          <t>Total del capital contable, saldo final</t>
        </is>
      </c>
      <c r="B27" s="14">
        <f>B16+B25</f>
        <v/>
      </c>
      <c r="C27" s="14">
        <f>C16+C25</f>
        <v/>
      </c>
      <c r="D27" s="14">
        <f>D16+D25</f>
        <v/>
      </c>
      <c r="E27" s="14">
        <f>E16+E25</f>
        <v/>
      </c>
      <c r="F27" s="14">
        <f>F16+F25</f>
        <v/>
      </c>
      <c r="G27" s="14">
        <f>G16+G25</f>
        <v/>
      </c>
      <c r="H27" s="14">
        <f>H16+H25</f>
        <v/>
      </c>
      <c r="I27" s="14">
        <f>I16+I25</f>
        <v/>
      </c>
      <c r="J27" s="14">
        <f>J16+J25</f>
        <v/>
      </c>
      <c r="K27" s="14">
        <f>K16+K25</f>
        <v/>
      </c>
      <c r="L27" s="2" t="inlineStr">
        <is>
          <t>[calc]</t>
        </is>
      </c>
      <c r="M27" s="2" t="inlineStr">
        <is>
          <t>Debe ser igual al capital contable total del BG</t>
        </is>
      </c>
    </row>
  </sheetData>
  <mergeCells count="2">
    <mergeCell ref="G3:K3"/>
    <mergeCell ref="B3:F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Cuadres - cada renglón debe ser 0 en todos los años</t>
        </is>
      </c>
    </row>
    <row r="2">
      <c r="A2" s="2" t="inlineStr">
        <is>
          <t>En la historia todo da 0. En la proyección, un valor distinto de 0 indica qué vínculo falta.</t>
        </is>
      </c>
    </row>
    <row r="4">
      <c r="A4" s="6" t="inlineStr">
        <is>
          <t>Cuadre (diferencia, millones de MXN)</t>
        </is>
      </c>
      <c r="B4" s="7" t="inlineStr">
        <is>
          <t>2021R</t>
        </is>
      </c>
      <c r="C4" s="7" t="inlineStr">
        <is>
          <t>2022R</t>
        </is>
      </c>
      <c r="D4" s="7" t="inlineStr">
        <is>
          <t>2023R</t>
        </is>
      </c>
      <c r="E4" s="7" t="inlineStr">
        <is>
          <t>2024R</t>
        </is>
      </c>
      <c r="F4" s="7" t="inlineStr">
        <is>
          <t>2025R</t>
        </is>
      </c>
      <c r="G4" s="7" t="inlineStr">
        <is>
          <t>2026E</t>
        </is>
      </c>
      <c r="H4" s="7" t="inlineStr">
        <is>
          <t>2027E</t>
        </is>
      </c>
      <c r="I4" s="7" t="inlineStr">
        <is>
          <t>2028E</t>
        </is>
      </c>
      <c r="J4" s="7" t="inlineStr">
        <is>
          <t>2029E</t>
        </is>
      </c>
      <c r="K4" s="7" t="inlineStr">
        <is>
          <t>2030E</t>
        </is>
      </c>
    </row>
    <row r="5">
      <c r="A5" s="3" t="inlineStr">
        <is>
          <t>Vínculos entre estados (todos los años)</t>
        </is>
      </c>
    </row>
    <row r="6">
      <c r="A6" s="10" t="inlineStr">
        <is>
          <t>BG: activo total - (pasivo + capital)</t>
        </is>
      </c>
      <c r="B6" s="19">
        <f>BG!B22-BG!B54</f>
        <v/>
      </c>
      <c r="C6" s="19">
        <f>BG!C22-BG!C54</f>
        <v/>
      </c>
      <c r="D6" s="19">
        <f>BG!D22-BG!D54</f>
        <v/>
      </c>
      <c r="E6" s="19">
        <f>BG!E22-BG!E54</f>
        <v/>
      </c>
      <c r="F6" s="19">
        <f>BG!F22-BG!F54</f>
        <v/>
      </c>
      <c r="G6" s="19">
        <f>BG!G22-BG!G54</f>
        <v/>
      </c>
      <c r="H6" s="19">
        <f>BG!H22-BG!H54</f>
        <v/>
      </c>
      <c r="I6" s="19">
        <f>BG!I22-BG!I54</f>
        <v/>
      </c>
      <c r="J6" s="19">
        <f>BG!J22-BG!J54</f>
        <v/>
      </c>
      <c r="K6" s="19">
        <f>BG!K22-BG!K54</f>
        <v/>
      </c>
    </row>
    <row r="7">
      <c r="A7" s="10" t="inlineStr">
        <is>
          <t>FE efectivo final - efectivo del BG</t>
        </is>
      </c>
      <c r="B7" s="19">
        <f>FE!B68-BG!B6</f>
        <v/>
      </c>
      <c r="C7" s="19">
        <f>FE!C68-BG!C6</f>
        <v/>
      </c>
      <c r="D7" s="19">
        <f>FE!D68-BG!D6</f>
        <v/>
      </c>
      <c r="E7" s="19">
        <f>FE!E68-BG!E6</f>
        <v/>
      </c>
      <c r="F7" s="19">
        <f>FE!F68-BG!F6</f>
        <v/>
      </c>
      <c r="G7" s="19">
        <f>FE!G68-BG!G6</f>
        <v/>
      </c>
      <c r="H7" s="19">
        <f>FE!H68-BG!H6</f>
        <v/>
      </c>
      <c r="I7" s="19">
        <f>FE!I68-BG!I6</f>
        <v/>
      </c>
      <c r="J7" s="19">
        <f>FE!J68-BG!J6</f>
        <v/>
      </c>
      <c r="K7" s="19">
        <f>FE!K68-BG!K6</f>
        <v/>
      </c>
    </row>
    <row r="8">
      <c r="A8" s="10" t="inlineStr">
        <is>
          <t>FE utilidad antes de impuestos (continuas) - ER</t>
        </is>
      </c>
      <c r="B8" s="19">
        <f>FE!B6-ER!B23</f>
        <v/>
      </c>
      <c r="C8" s="19">
        <f>FE!C6-ER!C23</f>
        <v/>
      </c>
      <c r="D8" s="19">
        <f>FE!D6-ER!D23</f>
        <v/>
      </c>
      <c r="E8" s="19">
        <f>FE!E6-ER!E23</f>
        <v/>
      </c>
      <c r="F8" s="19">
        <f>FE!F6-ER!F23</f>
        <v/>
      </c>
      <c r="G8" s="19">
        <f>FE!G6-ER!G23</f>
        <v/>
      </c>
      <c r="H8" s="19">
        <f>FE!H6-ER!H23</f>
        <v/>
      </c>
      <c r="I8" s="19">
        <f>FE!I6-ER!I23</f>
        <v/>
      </c>
      <c r="J8" s="19">
        <f>FE!J6-ER!J23</f>
        <v/>
      </c>
      <c r="K8" s="19">
        <f>FE!K6-ER!K23</f>
        <v/>
      </c>
    </row>
    <row r="9">
      <c r="A9" s="10" t="inlineStr">
        <is>
          <t>ORI utilidad neta - utilidad neta consolidada del ER</t>
        </is>
      </c>
      <c r="B9" s="19">
        <f>ORI!B5-ER!B27</f>
        <v/>
      </c>
      <c r="C9" s="19">
        <f>ORI!C5-ER!C27</f>
        <v/>
      </c>
      <c r="D9" s="19">
        <f>ORI!D5-ER!D27</f>
        <v/>
      </c>
      <c r="E9" s="19">
        <f>ORI!E5-ER!E27</f>
        <v/>
      </c>
      <c r="F9" s="19">
        <f>ORI!F5-ER!F27</f>
        <v/>
      </c>
      <c r="G9" s="19">
        <f>ORI!G5-ER!G27</f>
        <v/>
      </c>
      <c r="H9" s="19">
        <f>ORI!H5-ER!H27</f>
        <v/>
      </c>
      <c r="I9" s="19">
        <f>ORI!I5-ER!I27</f>
        <v/>
      </c>
      <c r="J9" s="19">
        <f>ORI!J5-ER!J27</f>
        <v/>
      </c>
      <c r="K9" s="19">
        <f>ORI!K5-ER!K27</f>
        <v/>
      </c>
    </row>
    <row r="10">
      <c r="A10" s="10" t="inlineStr">
        <is>
          <t>Capital: utilidad controladora - ER</t>
        </is>
      </c>
      <c r="B10" s="19">
        <f>Capital!B14-ER!B31</f>
        <v/>
      </c>
      <c r="C10" s="19">
        <f>Capital!C14-ER!C31</f>
        <v/>
      </c>
      <c r="D10" s="19">
        <f>Capital!D14-ER!D31</f>
        <v/>
      </c>
      <c r="E10" s="19">
        <f>Capital!E14-ER!E31</f>
        <v/>
      </c>
      <c r="F10" s="19">
        <f>Capital!F14-ER!F31</f>
        <v/>
      </c>
      <c r="G10" s="19">
        <f>Capital!G14-ER!G31</f>
        <v/>
      </c>
      <c r="H10" s="19">
        <f>Capital!H14-ER!H31</f>
        <v/>
      </c>
      <c r="I10" s="19">
        <f>Capital!I14-ER!I31</f>
        <v/>
      </c>
      <c r="J10" s="19">
        <f>Capital!J14-ER!J31</f>
        <v/>
      </c>
      <c r="K10" s="19">
        <f>Capital!K14-ER!K31</f>
        <v/>
      </c>
    </row>
    <row r="11">
      <c r="A11" s="10" t="inlineStr">
        <is>
          <t>Capital: utilidad no controladora - ER</t>
        </is>
      </c>
      <c r="B11" s="19">
        <f>Capital!B23-ER!B30</f>
        <v/>
      </c>
      <c r="C11" s="19">
        <f>Capital!C23-ER!C30</f>
        <v/>
      </c>
      <c r="D11" s="19">
        <f>Capital!D23-ER!D30</f>
        <v/>
      </c>
      <c r="E11" s="19">
        <f>Capital!E23-ER!E30</f>
        <v/>
      </c>
      <c r="F11" s="19">
        <f>Capital!F23-ER!F30</f>
        <v/>
      </c>
      <c r="G11" s="19">
        <f>Capital!G23-ER!G30</f>
        <v/>
      </c>
      <c r="H11" s="19">
        <f>Capital!H23-ER!H30</f>
        <v/>
      </c>
      <c r="I11" s="19">
        <f>Capital!I23-ER!I30</f>
        <v/>
      </c>
      <c r="J11" s="19">
        <f>Capital!J23-ER!J30</f>
        <v/>
      </c>
      <c r="K11" s="19">
        <f>Capital!K23-ER!K30</f>
        <v/>
      </c>
    </row>
    <row r="12">
      <c r="A12" s="10" t="inlineStr">
        <is>
          <t>Capital: ORI (controladora + no controladora) - estado de ORI</t>
        </is>
      </c>
      <c r="B12" s="19">
        <f>Capital!B15+Capital!B24-ORI!B18</f>
        <v/>
      </c>
      <c r="C12" s="19">
        <f>Capital!C15+Capital!C24-ORI!C18</f>
        <v/>
      </c>
      <c r="D12" s="19">
        <f>Capital!D15+Capital!D24-ORI!D18</f>
        <v/>
      </c>
      <c r="E12" s="19">
        <f>Capital!E15+Capital!E24-ORI!E18</f>
        <v/>
      </c>
      <c r="F12" s="19">
        <f>Capital!F15+Capital!F24-ORI!F18</f>
        <v/>
      </c>
      <c r="G12" s="19">
        <f>Capital!G15+Capital!G24-ORI!G18</f>
        <v/>
      </c>
      <c r="H12" s="19">
        <f>Capital!H15+Capital!H24-ORI!H18</f>
        <v/>
      </c>
      <c r="I12" s="19">
        <f>Capital!I15+Capital!I24-ORI!I18</f>
        <v/>
      </c>
      <c r="J12" s="19">
        <f>Capital!J15+Capital!J24-ORI!J18</f>
        <v/>
      </c>
      <c r="K12" s="19">
        <f>Capital!K15+Capital!K24-ORI!K18</f>
        <v/>
      </c>
    </row>
    <row r="13">
      <c r="A13" s="10" t="inlineStr">
        <is>
          <t>Capital: ORI no controladora - estado de ORI</t>
        </is>
      </c>
      <c r="B13" s="19">
        <f>Capital!B24-(ORI!B20-ER!B30)</f>
        <v/>
      </c>
      <c r="C13" s="19">
        <f>Capital!C24-(ORI!C20-ER!C30)</f>
        <v/>
      </c>
      <c r="D13" s="19">
        <f>Capital!D24-(ORI!D20-ER!D30)</f>
        <v/>
      </c>
      <c r="E13" s="19">
        <f>Capital!E24-(ORI!E20-ER!E30)</f>
        <v/>
      </c>
      <c r="F13" s="19">
        <f>Capital!F24-(ORI!F20-ER!F30)</f>
        <v/>
      </c>
      <c r="G13" s="19">
        <f>Capital!G24-(ORI!G20-ER!G30)</f>
        <v/>
      </c>
      <c r="H13" s="19">
        <f>Capital!H24-(ORI!H20-ER!H30)</f>
        <v/>
      </c>
      <c r="I13" s="19">
        <f>Capital!I24-(ORI!I20-ER!I30)</f>
        <v/>
      </c>
      <c r="J13" s="19">
        <f>Capital!J24-(ORI!J20-ER!J30)</f>
        <v/>
      </c>
      <c r="K13" s="19">
        <f>Capital!K24-(ORI!K20-ER!K30)</f>
        <v/>
      </c>
    </row>
    <row r="14">
      <c r="A14" s="10" t="inlineStr">
        <is>
          <t>Capital: saldo final controladora - BG</t>
        </is>
      </c>
      <c r="B14" s="19">
        <f>Capital!B16-BG!B51</f>
        <v/>
      </c>
      <c r="C14" s="19">
        <f>Capital!C16-BG!C51</f>
        <v/>
      </c>
      <c r="D14" s="19">
        <f>Capital!D16-BG!D51</f>
        <v/>
      </c>
      <c r="E14" s="19">
        <f>Capital!E16-BG!E51</f>
        <v/>
      </c>
      <c r="F14" s="19">
        <f>Capital!F16-BG!F51</f>
        <v/>
      </c>
      <c r="G14" s="19">
        <f>Capital!G16-BG!G51</f>
        <v/>
      </c>
      <c r="H14" s="19">
        <f>Capital!H16-BG!H51</f>
        <v/>
      </c>
      <c r="I14" s="19">
        <f>Capital!I16-BG!I51</f>
        <v/>
      </c>
      <c r="J14" s="19">
        <f>Capital!J16-BG!J51</f>
        <v/>
      </c>
      <c r="K14" s="19">
        <f>Capital!K16-BG!K51</f>
        <v/>
      </c>
    </row>
    <row r="15">
      <c r="A15" s="10" t="inlineStr">
        <is>
          <t>Capital: saldo final no controladora - BG</t>
        </is>
      </c>
      <c r="B15" s="19">
        <f>Capital!B25-BG!B52</f>
        <v/>
      </c>
      <c r="C15" s="19">
        <f>Capital!C25-BG!C52</f>
        <v/>
      </c>
      <c r="D15" s="19">
        <f>Capital!D25-BG!D52</f>
        <v/>
      </c>
      <c r="E15" s="19">
        <f>Capital!E25-BG!E52</f>
        <v/>
      </c>
      <c r="F15" s="19">
        <f>Capital!F25-BG!F52</f>
        <v/>
      </c>
      <c r="G15" s="19">
        <f>Capital!G25-BG!G52</f>
        <v/>
      </c>
      <c r="H15" s="19">
        <f>Capital!H25-BG!H52</f>
        <v/>
      </c>
      <c r="I15" s="19">
        <f>Capital!I25-BG!I52</f>
        <v/>
      </c>
      <c r="J15" s="19">
        <f>Capital!J25-BG!J52</f>
        <v/>
      </c>
      <c r="K15" s="19">
        <f>Capital!K25-BG!K52</f>
        <v/>
      </c>
    </row>
    <row r="16">
      <c r="A16" s="10" t="inlineStr">
        <is>
          <t>Capital: recompra de acciones - FE</t>
        </is>
      </c>
      <c r="B16" s="19">
        <f>Capital!B12-FE!B62</f>
        <v/>
      </c>
      <c r="C16" s="19">
        <f>Capital!C12-FE!C62</f>
        <v/>
      </c>
      <c r="D16" s="19">
        <f>Capital!D12-FE!D62</f>
        <v/>
      </c>
      <c r="E16" s="19">
        <f>Capital!E12-FE!E62</f>
        <v/>
      </c>
      <c r="F16" s="19">
        <f>Capital!F12-FE!F62</f>
        <v/>
      </c>
      <c r="G16" s="19">
        <f>Capital!G12-FE!G62</f>
        <v/>
      </c>
      <c r="H16" s="19">
        <f>Capital!H12-FE!H62</f>
        <v/>
      </c>
      <c r="I16" s="19">
        <f>Capital!I12-FE!I62</f>
        <v/>
      </c>
      <c r="J16" s="19">
        <f>Capital!J12-FE!J62</f>
        <v/>
      </c>
      <c r="K16" s="19">
        <f>Capital!K12-FE!K62</f>
        <v/>
      </c>
    </row>
    <row r="18">
      <c r="A18" s="3" t="inlineStr">
        <is>
          <t>Subtotales contra el reporte auditado (solo historia)</t>
        </is>
      </c>
    </row>
    <row r="19">
      <c r="A19" s="10" t="inlineStr">
        <is>
          <t>ER ventas netas vs reporte</t>
        </is>
      </c>
      <c r="B19" s="19">
        <f>ER!B6-338792</f>
        <v/>
      </c>
      <c r="C19" s="19">
        <f>ER!C6-398706</f>
        <v/>
      </c>
      <c r="D19" s="19">
        <f>ER!D6-399879</f>
        <v/>
      </c>
      <c r="E19" s="19">
        <f>ER!E6-408335</f>
        <v/>
      </c>
      <c r="F19" s="19">
        <f>ER!F6-426952</f>
        <v/>
      </c>
    </row>
    <row r="20">
      <c r="A20" s="10" t="inlineStr">
        <is>
          <t>ER utilidad bruta vs reporte</t>
        </is>
      </c>
      <c r="B20" s="19">
        <f>ER!B8-181089</f>
        <v/>
      </c>
      <c r="C20" s="19">
        <f>ER!C8-205381</f>
        <v/>
      </c>
      <c r="D20" s="19">
        <f>ER!D8-205510</f>
        <v/>
      </c>
      <c r="E20" s="19">
        <f>ER!E8-214928</f>
        <v/>
      </c>
      <c r="F20" s="19">
        <f>ER!F8-223487</f>
        <v/>
      </c>
    </row>
    <row r="21">
      <c r="A21" s="10" t="inlineStr">
        <is>
          <t>ER utilidad de operación vs reporte</t>
        </is>
      </c>
      <c r="B21" s="19">
        <f>ER!B14-32580</f>
        <v/>
      </c>
      <c r="C21" s="19">
        <f>ER!C14-53696</f>
        <v/>
      </c>
      <c r="D21" s="19">
        <f>ER!D14-35455</f>
        <v/>
      </c>
      <c r="E21" s="19">
        <f>ER!E14-33149</f>
        <v/>
      </c>
      <c r="F21" s="19">
        <f>ER!F14-34146</f>
        <v/>
      </c>
    </row>
    <row r="22">
      <c r="A22" s="10" t="inlineStr">
        <is>
          <t>ER utilidad antes de impuestos vs reporte</t>
        </is>
      </c>
      <c r="B22" s="19">
        <f>ER!B23-24854</f>
        <v/>
      </c>
      <c r="C22" s="19">
        <f>ER!C23-45878</f>
        <v/>
      </c>
      <c r="D22" s="19">
        <f>ER!D23-25324</f>
        <v/>
      </c>
      <c r="E22" s="19">
        <f>ER!E23-21034</f>
        <v/>
      </c>
      <c r="F22" s="19">
        <f>ER!F23-20143</f>
        <v/>
      </c>
    </row>
    <row r="23">
      <c r="A23" s="10" t="inlineStr">
        <is>
          <t>ER utilidad neta consolidada vs reporte</t>
        </is>
      </c>
      <c r="B23" s="19">
        <f>ER!B27-17382</f>
        <v/>
      </c>
      <c r="C23" s="19">
        <f>ER!C27-48485</f>
        <v/>
      </c>
      <c r="D23" s="19">
        <f>ER!D27-16922</f>
        <v/>
      </c>
      <c r="E23" s="19">
        <f>ER!E27-14043</f>
        <v/>
      </c>
      <c r="F23" s="19">
        <f>ER!F27-12946</f>
        <v/>
      </c>
    </row>
    <row r="24">
      <c r="A24" s="10" t="inlineStr">
        <is>
          <t>ER utilidad controladora vs reporte</t>
        </is>
      </c>
      <c r="B24" s="19">
        <f>ER!B31-15916</f>
        <v/>
      </c>
      <c r="C24" s="19">
        <f>ER!C31-46910</f>
        <v/>
      </c>
      <c r="D24" s="19">
        <f>ER!D31-15477</f>
        <v/>
      </c>
      <c r="E24" s="19">
        <f>ER!E31-12544</f>
        <v/>
      </c>
      <c r="F24" s="19">
        <f>ER!F31-11133</f>
        <v/>
      </c>
    </row>
    <row r="25">
      <c r="A25" s="10" t="inlineStr">
        <is>
          <t>BG activo circulante vs reporte</t>
        </is>
      </c>
      <c r="B25" s="19">
        <f>BG!B13-53411</f>
        <v/>
      </c>
      <c r="C25" s="19">
        <f>BG!C13-63470</f>
        <v/>
      </c>
      <c r="D25" s="19">
        <f>BG!D13-58914</f>
        <v/>
      </c>
      <c r="E25" s="19">
        <f>BG!E13-67180</f>
        <v/>
      </c>
      <c r="F25" s="19">
        <f>BG!F13-64671</f>
        <v/>
      </c>
    </row>
    <row r="26">
      <c r="A26" s="10" t="inlineStr">
        <is>
          <t>BG activo total vs reporte</t>
        </is>
      </c>
      <c r="B26" s="19">
        <f>BG!B22-337640</f>
        <v/>
      </c>
      <c r="C26" s="19">
        <f>BG!C22-347764</f>
        <v/>
      </c>
      <c r="D26" s="19">
        <f>BG!D22-348102</f>
        <v/>
      </c>
      <c r="E26" s="19">
        <f>BG!E22-416804</f>
        <v/>
      </c>
      <c r="F26" s="19">
        <f>BG!F22-409805</f>
        <v/>
      </c>
    </row>
    <row r="27">
      <c r="A27" s="10" t="inlineStr">
        <is>
          <t>BG pasivo a corto plazo vs reporte</t>
        </is>
      </c>
      <c r="B27" s="19">
        <f>BG!B34-80760</f>
        <v/>
      </c>
      <c r="C27" s="19">
        <f>BG!C34-89734</f>
        <v/>
      </c>
      <c r="D27" s="19">
        <f>BG!D34-87192</f>
        <v/>
      </c>
      <c r="E27" s="19">
        <f>BG!E34-85155</f>
        <v/>
      </c>
      <c r="F27" s="19">
        <f>BG!F34-90573</f>
        <v/>
      </c>
    </row>
    <row r="28">
      <c r="A28" s="10" t="inlineStr">
        <is>
          <t>BG pasivo total vs reporte</t>
        </is>
      </c>
      <c r="B28" s="19">
        <f>BG!B41-236034</f>
        <v/>
      </c>
      <c r="C28" s="19">
        <f>BG!C41-220162</f>
        <v/>
      </c>
      <c r="D28" s="19">
        <f>BG!D41-236474</f>
        <v/>
      </c>
      <c r="E28" s="19">
        <f>BG!E41-289106</f>
        <v/>
      </c>
      <c r="F28" s="19">
        <f>BG!F41-289550</f>
        <v/>
      </c>
    </row>
    <row r="29">
      <c r="A29" s="10" t="inlineStr">
        <is>
          <t>BG capital contable vs reporte</t>
        </is>
      </c>
      <c r="B29" s="19">
        <f>BG!B53-101606</f>
        <v/>
      </c>
      <c r="C29" s="19">
        <f>BG!C53-127602</f>
        <v/>
      </c>
      <c r="D29" s="19">
        <f>BG!D53-111628</f>
        <v/>
      </c>
      <c r="E29" s="19">
        <f>BG!E53-127698</f>
        <v/>
      </c>
      <c r="F29" s="19">
        <f>BG!F53-120255</f>
        <v/>
      </c>
    </row>
    <row r="30">
      <c r="A30" s="10" t="inlineStr">
        <is>
          <t>FE operación vs reporte</t>
        </is>
      </c>
      <c r="B30" s="19">
        <f>FE!B34-45776</f>
        <v/>
      </c>
      <c r="C30" s="19">
        <f>FE!C34-38851</f>
        <v/>
      </c>
      <c r="D30" s="19">
        <f>FE!D34-31411</f>
        <v/>
      </c>
      <c r="E30" s="19">
        <f>FE!E34-39907</f>
        <v/>
      </c>
      <c r="F30" s="19">
        <f>FE!F34-47753</f>
        <v/>
      </c>
    </row>
    <row r="31">
      <c r="A31" s="10" t="inlineStr">
        <is>
          <t>FE inversión vs reporte</t>
        </is>
      </c>
      <c r="B31" s="19">
        <f>FE!B49--32459</f>
        <v/>
      </c>
      <c r="C31" s="19">
        <f>FE!C49--9122</f>
        <v/>
      </c>
      <c r="D31" s="19">
        <f>FE!D49--42440</f>
        <v/>
      </c>
      <c r="E31" s="19">
        <f>FE!E49--36138</f>
        <v/>
      </c>
      <c r="F31" s="19">
        <f>FE!F49--34652</f>
        <v/>
      </c>
    </row>
    <row r="32">
      <c r="A32" s="10" t="inlineStr">
        <is>
          <t>FE financiamiento vs reporte</t>
        </is>
      </c>
      <c r="B32" s="19">
        <f>FE!B63--14116</f>
        <v/>
      </c>
      <c r="C32" s="19">
        <f>FE!C63--25692</f>
        <v/>
      </c>
      <c r="D32" s="19">
        <f>FE!D63-5904</f>
        <v/>
      </c>
      <c r="E32" s="19">
        <f>FE!E63--2696</f>
        <v/>
      </c>
      <c r="F32" s="19">
        <f>FE!F63--11908</f>
        <v/>
      </c>
    </row>
    <row r="33">
      <c r="A33" s="10" t="inlineStr">
        <is>
          <t>ORI total vs reporte</t>
        </is>
      </c>
      <c r="B33" s="19">
        <f>ORI!B18-4441</f>
        <v/>
      </c>
      <c r="C33" s="19">
        <f>ORI!C18--10705</f>
        <v/>
      </c>
      <c r="D33" s="19">
        <f>ORI!D18--14790</f>
        <v/>
      </c>
      <c r="E33" s="19">
        <f>ORI!E18-13814</f>
        <v/>
      </c>
      <c r="F33" s="19">
        <f>ORI!F18--11045</f>
        <v/>
      </c>
    </row>
    <row r="35">
      <c r="A35" s="3" t="inlineStr">
        <is>
          <t>Suma de diferencias absolutas</t>
        </is>
      </c>
      <c r="B35" s="39">
        <f>SUMPRODUCT(ABS(B6:B33))</f>
        <v/>
      </c>
      <c r="C35" s="39">
        <f>SUMPRODUCT(ABS(C6:C33))</f>
        <v/>
      </c>
      <c r="D35" s="39">
        <f>SUMPRODUCT(ABS(D6:D33))</f>
        <v/>
      </c>
      <c r="E35" s="39">
        <f>SUMPRODUCT(ABS(E6:E33))</f>
        <v/>
      </c>
      <c r="F35" s="39">
        <f>SUMPRODUCT(ABS(F6:F33))</f>
        <v/>
      </c>
      <c r="G35" s="39">
        <f>SUMPRODUCT(ABS(G6:G33))</f>
        <v/>
      </c>
      <c r="H35" s="39">
        <f>SUMPRODUCT(ABS(H6:H33))</f>
        <v/>
      </c>
      <c r="I35" s="39">
        <f>SUMPRODUCT(ABS(I6:I33))</f>
        <v/>
      </c>
      <c r="J35" s="39">
        <f>SUMPRODUCT(ABS(J6:J33))</f>
        <v/>
      </c>
      <c r="K35" s="39">
        <f>SUMPRODUCT(ABS(K6:K33))</f>
        <v/>
      </c>
    </row>
    <row r="36">
      <c r="A36" s="3" t="inlineStr">
        <is>
          <t>Estado</t>
        </is>
      </c>
      <c r="B36" s="40">
        <f>IF(ROUND(B35,0)=0,"OK","REVISAR")</f>
        <v/>
      </c>
      <c r="C36" s="40">
        <f>IF(ROUND(C35,0)=0,"OK","REVISAR")</f>
        <v/>
      </c>
      <c r="D36" s="40">
        <f>IF(ROUND(D35,0)=0,"OK","REVISAR")</f>
        <v/>
      </c>
      <c r="E36" s="40">
        <f>IF(ROUND(E35,0)=0,"OK","REVISAR")</f>
        <v/>
      </c>
      <c r="F36" s="40">
        <f>IF(ROUND(F35,0)=0,"OK","REVISAR")</f>
        <v/>
      </c>
      <c r="G36" s="40">
        <f>IF(ROUND(G35,0)=0,"OK","REVISAR")</f>
        <v/>
      </c>
      <c r="H36" s="40">
        <f>IF(ROUND(H35,0)=0,"OK","REVISAR")</f>
        <v/>
      </c>
      <c r="I36" s="40">
        <f>IF(ROUND(I35,0)=0,"OK","REVISAR")</f>
        <v/>
      </c>
      <c r="J36" s="40">
        <f>IF(ROUND(J35,0)=0,"OK","REVISAR")</f>
        <v/>
      </c>
      <c r="K36" s="40">
        <f>IF(ROUND(K35,0)=0,"OK","REVISAR")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2026-10-25T09:24:32Z</dcterms:created>
  <dcterms:modified xmlns:dcterms="http://purl.org/dc/terms/" xmlns:xsi="http://www.w3.org/2001/XMLSchema-instance" xsi:type="dcterms:W3CDTF">2026-10-25T09:24:32Z</dcterms:modified>
</cp:coreProperties>
</file>