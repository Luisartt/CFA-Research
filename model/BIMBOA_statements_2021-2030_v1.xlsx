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403564_tec_mx/Documents/Escritorio/CFA-Research/.claude/worktrees/dcf-balance-general-dd4b56/model/"/>
    </mc:Choice>
  </mc:AlternateContent>
  <xr:revisionPtr revIDLastSave="0" documentId="11_AB40D00F951259BD6781F1475042E852FB54B0E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IS" sheetId="2" r:id="rId2"/>
    <sheet name="OCI" sheetId="3" r:id="rId3"/>
    <sheet name="BS" sheetId="4" r:id="rId4"/>
    <sheet name="CF" sheetId="5" r:id="rId5"/>
    <sheet name="Equity" sheetId="6" r:id="rId6"/>
    <sheet name="Chec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7" l="1"/>
  <c r="E19" i="7"/>
  <c r="D19" i="7"/>
  <c r="C19" i="7"/>
  <c r="B19" i="7"/>
  <c r="K16" i="7"/>
  <c r="J16" i="7"/>
  <c r="I16" i="7"/>
  <c r="H16" i="7"/>
  <c r="G16" i="7"/>
  <c r="F16" i="7"/>
  <c r="E16" i="7"/>
  <c r="D16" i="7"/>
  <c r="C16" i="7"/>
  <c r="B16" i="7"/>
  <c r="K13" i="7"/>
  <c r="J13" i="7"/>
  <c r="I13" i="7"/>
  <c r="H13" i="7"/>
  <c r="G13" i="7"/>
  <c r="F13" i="7"/>
  <c r="E13" i="7"/>
  <c r="D13" i="7"/>
  <c r="C13" i="7"/>
  <c r="B13" i="7"/>
  <c r="K11" i="7"/>
  <c r="J11" i="7"/>
  <c r="I11" i="7"/>
  <c r="H11" i="7"/>
  <c r="G11" i="7"/>
  <c r="F11" i="7"/>
  <c r="E11" i="7"/>
  <c r="D11" i="7"/>
  <c r="C11" i="7"/>
  <c r="B11" i="7"/>
  <c r="B25" i="6"/>
  <c r="B15" i="7" s="1"/>
  <c r="C19" i="6"/>
  <c r="C25" i="6" s="1"/>
  <c r="B16" i="6"/>
  <c r="C6" i="6"/>
  <c r="C16" i="6" s="1"/>
  <c r="K62" i="5"/>
  <c r="J62" i="5"/>
  <c r="I62" i="5"/>
  <c r="H62" i="5"/>
  <c r="G62" i="5"/>
  <c r="F62" i="5"/>
  <c r="F32" i="7" s="1"/>
  <c r="E62" i="5"/>
  <c r="E32" i="7" s="1"/>
  <c r="D62" i="5"/>
  <c r="D32" i="7" s="1"/>
  <c r="C62" i="5"/>
  <c r="C32" i="7" s="1"/>
  <c r="B62" i="5"/>
  <c r="B32" i="7" s="1"/>
  <c r="K49" i="5"/>
  <c r="J49" i="5"/>
  <c r="I49" i="5"/>
  <c r="H49" i="5"/>
  <c r="G49" i="5"/>
  <c r="F49" i="5"/>
  <c r="F31" i="7" s="1"/>
  <c r="E49" i="5"/>
  <c r="E31" i="7" s="1"/>
  <c r="D49" i="5"/>
  <c r="D31" i="7" s="1"/>
  <c r="C49" i="5"/>
  <c r="C31" i="7" s="1"/>
  <c r="B49" i="5"/>
  <c r="B31" i="7" s="1"/>
  <c r="K34" i="5"/>
  <c r="K65" i="5" s="1"/>
  <c r="J34" i="5"/>
  <c r="J65" i="5" s="1"/>
  <c r="I34" i="5"/>
  <c r="I65" i="5" s="1"/>
  <c r="H34" i="5"/>
  <c r="H65" i="5" s="1"/>
  <c r="G34" i="5"/>
  <c r="G65" i="5" s="1"/>
  <c r="F34" i="5"/>
  <c r="K8" i="5"/>
  <c r="J8" i="5"/>
  <c r="I8" i="5"/>
  <c r="H8" i="5"/>
  <c r="G8" i="5"/>
  <c r="F8" i="5"/>
  <c r="E8" i="5"/>
  <c r="E34" i="5" s="1"/>
  <c r="D8" i="5"/>
  <c r="D34" i="5" s="1"/>
  <c r="C8" i="5"/>
  <c r="C34" i="5" s="1"/>
  <c r="B8" i="5"/>
  <c r="B34" i="5" s="1"/>
  <c r="K51" i="4"/>
  <c r="K53" i="4" s="1"/>
  <c r="J51" i="4"/>
  <c r="J53" i="4" s="1"/>
  <c r="I51" i="4"/>
  <c r="I53" i="4" s="1"/>
  <c r="H51" i="4"/>
  <c r="H53" i="4" s="1"/>
  <c r="G51" i="4"/>
  <c r="G53" i="4" s="1"/>
  <c r="F51" i="4"/>
  <c r="F53" i="4" s="1"/>
  <c r="F29" i="7" s="1"/>
  <c r="E51" i="4"/>
  <c r="E53" i="4" s="1"/>
  <c r="E29" i="7" s="1"/>
  <c r="D51" i="4"/>
  <c r="D53" i="4" s="1"/>
  <c r="D29" i="7" s="1"/>
  <c r="C51" i="4"/>
  <c r="C53" i="4" s="1"/>
  <c r="C29" i="7" s="1"/>
  <c r="B51" i="4"/>
  <c r="B53" i="4" s="1"/>
  <c r="B29" i="7" s="1"/>
  <c r="K34" i="4"/>
  <c r="K41" i="4" s="1"/>
  <c r="K54" i="4" s="1"/>
  <c r="J34" i="4"/>
  <c r="J41" i="4" s="1"/>
  <c r="J54" i="4" s="1"/>
  <c r="I34" i="4"/>
  <c r="I41" i="4" s="1"/>
  <c r="I54" i="4" s="1"/>
  <c r="H34" i="4"/>
  <c r="H41" i="4" s="1"/>
  <c r="H54" i="4" s="1"/>
  <c r="G34" i="4"/>
  <c r="G41" i="4" s="1"/>
  <c r="G54" i="4" s="1"/>
  <c r="F34" i="4"/>
  <c r="E34" i="4"/>
  <c r="D34" i="4"/>
  <c r="C34" i="4"/>
  <c r="B34" i="4"/>
  <c r="K13" i="4"/>
  <c r="K22" i="4" s="1"/>
  <c r="J13" i="4"/>
  <c r="J22" i="4" s="1"/>
  <c r="I13" i="4"/>
  <c r="I22" i="4" s="1"/>
  <c r="H13" i="4"/>
  <c r="H22" i="4" s="1"/>
  <c r="G13" i="4"/>
  <c r="G22" i="4" s="1"/>
  <c r="F13" i="4"/>
  <c r="E13" i="4"/>
  <c r="D13" i="4"/>
  <c r="C13" i="4"/>
  <c r="B13" i="4"/>
  <c r="K17" i="3"/>
  <c r="J17" i="3"/>
  <c r="I17" i="3"/>
  <c r="H17" i="3"/>
  <c r="G17" i="3"/>
  <c r="F17" i="3"/>
  <c r="E17" i="3"/>
  <c r="D17" i="3"/>
  <c r="C17" i="3"/>
  <c r="B17" i="3"/>
  <c r="K11" i="3"/>
  <c r="K18" i="3" s="1"/>
  <c r="J11" i="3"/>
  <c r="J18" i="3" s="1"/>
  <c r="I11" i="3"/>
  <c r="I18" i="3" s="1"/>
  <c r="H11" i="3"/>
  <c r="H18" i="3" s="1"/>
  <c r="G11" i="3"/>
  <c r="G18" i="3" s="1"/>
  <c r="F11" i="3"/>
  <c r="F18" i="3" s="1"/>
  <c r="E11" i="3"/>
  <c r="E18" i="3" s="1"/>
  <c r="D11" i="3"/>
  <c r="D18" i="3" s="1"/>
  <c r="C11" i="3"/>
  <c r="B11" i="3"/>
  <c r="B18" i="3" s="1"/>
  <c r="K21" i="2"/>
  <c r="J21" i="2"/>
  <c r="I21" i="2"/>
  <c r="H21" i="2"/>
  <c r="G21" i="2"/>
  <c r="F21" i="2"/>
  <c r="E21" i="2"/>
  <c r="D21" i="2"/>
  <c r="C21" i="2"/>
  <c r="B21" i="2"/>
  <c r="K13" i="2"/>
  <c r="J13" i="2"/>
  <c r="I13" i="2"/>
  <c r="H13" i="2"/>
  <c r="G13" i="2"/>
  <c r="F13" i="2"/>
  <c r="E13" i="2"/>
  <c r="D13" i="2"/>
  <c r="C13" i="2"/>
  <c r="B13" i="2"/>
  <c r="K8" i="2"/>
  <c r="K14" i="2" s="1"/>
  <c r="J8" i="2"/>
  <c r="J14" i="2" s="1"/>
  <c r="I8" i="2"/>
  <c r="I14" i="2" s="1"/>
  <c r="H8" i="2"/>
  <c r="H14" i="2" s="1"/>
  <c r="G8" i="2"/>
  <c r="G14" i="2" s="1"/>
  <c r="F8" i="2"/>
  <c r="E8" i="2"/>
  <c r="D8" i="2"/>
  <c r="C8" i="2"/>
  <c r="B8" i="2"/>
  <c r="C18" i="3" l="1"/>
  <c r="C15" i="7"/>
  <c r="D19" i="6"/>
  <c r="D25" i="6" s="1"/>
  <c r="B14" i="7"/>
  <c r="B27" i="6"/>
  <c r="C14" i="7"/>
  <c r="C27" i="6"/>
  <c r="D6" i="6"/>
  <c r="D16" i="6" s="1"/>
  <c r="F30" i="7"/>
  <c r="F65" i="5"/>
  <c r="E30" i="7"/>
  <c r="E65" i="5"/>
  <c r="D30" i="7"/>
  <c r="D65" i="5"/>
  <c r="C65" i="5"/>
  <c r="C30" i="7"/>
  <c r="B65" i="5"/>
  <c r="B67" i="5" s="1"/>
  <c r="B30" i="7"/>
  <c r="F27" i="7"/>
  <c r="F41" i="4"/>
  <c r="E27" i="7"/>
  <c r="E41" i="4"/>
  <c r="D27" i="7"/>
  <c r="D41" i="4"/>
  <c r="C27" i="7"/>
  <c r="C41" i="4"/>
  <c r="B27" i="7"/>
  <c r="B41" i="4"/>
  <c r="K56" i="4"/>
  <c r="K6" i="7"/>
  <c r="J56" i="4"/>
  <c r="J6" i="7"/>
  <c r="I56" i="4"/>
  <c r="I6" i="7"/>
  <c r="H56" i="4"/>
  <c r="H6" i="7"/>
  <c r="G56" i="4"/>
  <c r="G6" i="7"/>
  <c r="F25" i="7"/>
  <c r="F22" i="4"/>
  <c r="E25" i="7"/>
  <c r="E22" i="4"/>
  <c r="D25" i="7"/>
  <c r="D22" i="4"/>
  <c r="C25" i="7"/>
  <c r="C22" i="4"/>
  <c r="B25" i="7"/>
  <c r="B22" i="4"/>
  <c r="K12" i="7"/>
  <c r="K19" i="3"/>
  <c r="K21" i="3" s="1"/>
  <c r="J19" i="3"/>
  <c r="J21" i="3" s="1"/>
  <c r="J12" i="7"/>
  <c r="I19" i="3"/>
  <c r="I21" i="3" s="1"/>
  <c r="I12" i="7"/>
  <c r="H19" i="3"/>
  <c r="H21" i="3" s="1"/>
  <c r="H12" i="7"/>
  <c r="G19" i="3"/>
  <c r="G21" i="3" s="1"/>
  <c r="G12" i="7"/>
  <c r="F19" i="3"/>
  <c r="F21" i="3" s="1"/>
  <c r="F12" i="7"/>
  <c r="F33" i="7"/>
  <c r="E19" i="3"/>
  <c r="E21" i="3" s="1"/>
  <c r="E12" i="7"/>
  <c r="E33" i="7"/>
  <c r="D19" i="3"/>
  <c r="D21" i="3" s="1"/>
  <c r="D12" i="7"/>
  <c r="D33" i="7"/>
  <c r="B19" i="3"/>
  <c r="B21" i="3" s="1"/>
  <c r="B12" i="7"/>
  <c r="B33" i="7"/>
  <c r="K37" i="2"/>
  <c r="K23" i="2"/>
  <c r="J37" i="2"/>
  <c r="J23" i="2"/>
  <c r="I37" i="2"/>
  <c r="I23" i="2"/>
  <c r="H37" i="2"/>
  <c r="H23" i="2"/>
  <c r="G37" i="2"/>
  <c r="G23" i="2"/>
  <c r="F20" i="7"/>
  <c r="F14" i="2"/>
  <c r="E20" i="7"/>
  <c r="E14" i="2"/>
  <c r="D20" i="7"/>
  <c r="D14" i="2"/>
  <c r="C20" i="7"/>
  <c r="C14" i="2"/>
  <c r="B20" i="7"/>
  <c r="B14" i="2"/>
  <c r="C19" i="3" l="1"/>
  <c r="C21" i="3" s="1"/>
  <c r="C12" i="7"/>
  <c r="C33" i="7"/>
  <c r="D15" i="7"/>
  <c r="E19" i="6"/>
  <c r="E25" i="6" s="1"/>
  <c r="D27" i="6"/>
  <c r="D14" i="7"/>
  <c r="E6" i="6"/>
  <c r="E16" i="6" s="1"/>
  <c r="B7" i="7"/>
  <c r="C66" i="5"/>
  <c r="C67" i="5" s="1"/>
  <c r="F54" i="4"/>
  <c r="F28" i="7"/>
  <c r="E54" i="4"/>
  <c r="E28" i="7"/>
  <c r="D54" i="4"/>
  <c r="D28" i="7"/>
  <c r="C54" i="4"/>
  <c r="C28" i="7"/>
  <c r="B54" i="4"/>
  <c r="B28" i="7"/>
  <c r="F26" i="7"/>
  <c r="E26" i="7"/>
  <c r="D26" i="7"/>
  <c r="C26" i="7"/>
  <c r="B56" i="4"/>
  <c r="B6" i="7"/>
  <c r="B26" i="7"/>
  <c r="K25" i="2"/>
  <c r="K27" i="2" s="1"/>
  <c r="K8" i="7"/>
  <c r="J25" i="2"/>
  <c r="J27" i="2" s="1"/>
  <c r="J8" i="7"/>
  <c r="I25" i="2"/>
  <c r="I27" i="2" s="1"/>
  <c r="I8" i="7"/>
  <c r="H25" i="2"/>
  <c r="H27" i="2" s="1"/>
  <c r="H8" i="7"/>
  <c r="G25" i="2"/>
  <c r="G27" i="2" s="1"/>
  <c r="G8" i="7"/>
  <c r="F37" i="2"/>
  <c r="F21" i="7"/>
  <c r="F23" i="2"/>
  <c r="E37" i="2"/>
  <c r="E21" i="7"/>
  <c r="E23" i="2"/>
  <c r="D37" i="2"/>
  <c r="D21" i="7"/>
  <c r="D23" i="2"/>
  <c r="C37" i="2"/>
  <c r="C21" i="7"/>
  <c r="C23" i="2"/>
  <c r="B37" i="2"/>
  <c r="B21" i="7"/>
  <c r="B23" i="2"/>
  <c r="F56" i="4" l="1"/>
  <c r="F6" i="7"/>
  <c r="E56" i="4"/>
  <c r="E6" i="7"/>
  <c r="D56" i="4"/>
  <c r="D6" i="7"/>
  <c r="C56" i="4"/>
  <c r="C6" i="7"/>
  <c r="E15" i="7"/>
  <c r="F19" i="6"/>
  <c r="F25" i="6" s="1"/>
  <c r="E14" i="7"/>
  <c r="E27" i="6"/>
  <c r="F6" i="6"/>
  <c r="F16" i="6" s="1"/>
  <c r="C7" i="7"/>
  <c r="D66" i="5"/>
  <c r="D67" i="5" s="1"/>
  <c r="K31" i="2"/>
  <c r="K9" i="7"/>
  <c r="J31" i="2"/>
  <c r="J9" i="7"/>
  <c r="I31" i="2"/>
  <c r="I9" i="7"/>
  <c r="H31" i="2"/>
  <c r="H9" i="7"/>
  <c r="G31" i="2"/>
  <c r="G9" i="7"/>
  <c r="F25" i="2"/>
  <c r="F27" i="2" s="1"/>
  <c r="F8" i="7"/>
  <c r="F22" i="7"/>
  <c r="E25" i="2"/>
  <c r="E27" i="2" s="1"/>
  <c r="E8" i="7"/>
  <c r="E22" i="7"/>
  <c r="D25" i="2"/>
  <c r="D27" i="2" s="1"/>
  <c r="D8" i="7"/>
  <c r="D22" i="7"/>
  <c r="C25" i="2"/>
  <c r="C27" i="2" s="1"/>
  <c r="C8" i="7"/>
  <c r="C22" i="7"/>
  <c r="B25" i="2"/>
  <c r="B27" i="2" s="1"/>
  <c r="B8" i="7"/>
  <c r="B22" i="7"/>
  <c r="F15" i="7" l="1"/>
  <c r="G19" i="6"/>
  <c r="G25" i="6" s="1"/>
  <c r="F27" i="6"/>
  <c r="F14" i="7"/>
  <c r="G6" i="6"/>
  <c r="G16" i="6" s="1"/>
  <c r="D7" i="7"/>
  <c r="E66" i="5"/>
  <c r="E67" i="5" s="1"/>
  <c r="K33" i="2"/>
  <c r="K10" i="7"/>
  <c r="J33" i="2"/>
  <c r="J10" i="7"/>
  <c r="I33" i="2"/>
  <c r="I10" i="7"/>
  <c r="H33" i="2"/>
  <c r="H10" i="7"/>
  <c r="G33" i="2"/>
  <c r="G10" i="7"/>
  <c r="F31" i="2"/>
  <c r="F9" i="7"/>
  <c r="F23" i="7"/>
  <c r="E31" i="2"/>
  <c r="E9" i="7"/>
  <c r="E23" i="7"/>
  <c r="D31" i="2"/>
  <c r="D9" i="7"/>
  <c r="D23" i="7"/>
  <c r="C31" i="2"/>
  <c r="C9" i="7"/>
  <c r="C23" i="7"/>
  <c r="B31" i="2"/>
  <c r="B9" i="7"/>
  <c r="B23" i="7"/>
  <c r="G15" i="7" l="1"/>
  <c r="H19" i="6"/>
  <c r="H25" i="6" s="1"/>
  <c r="G14" i="7"/>
  <c r="G27" i="6"/>
  <c r="H6" i="6"/>
  <c r="H16" i="6" s="1"/>
  <c r="E7" i="7"/>
  <c r="E35" i="7" s="1"/>
  <c r="E36" i="7" s="1"/>
  <c r="F66" i="5"/>
  <c r="F67" i="5" s="1"/>
  <c r="F33" i="2"/>
  <c r="F10" i="7"/>
  <c r="F24" i="7"/>
  <c r="E33" i="2"/>
  <c r="E10" i="7"/>
  <c r="E24" i="7"/>
  <c r="D33" i="2"/>
  <c r="D10" i="7"/>
  <c r="D35" i="7" s="1"/>
  <c r="D36" i="7" s="1"/>
  <c r="D24" i="7"/>
  <c r="C33" i="2"/>
  <c r="C10" i="7"/>
  <c r="C24" i="7"/>
  <c r="B33" i="2"/>
  <c r="B10" i="7"/>
  <c r="B24" i="7"/>
  <c r="H15" i="7" l="1"/>
  <c r="I19" i="6"/>
  <c r="I25" i="6" s="1"/>
  <c r="H27" i="6"/>
  <c r="H14" i="7"/>
  <c r="I6" i="6"/>
  <c r="I16" i="6" s="1"/>
  <c r="F7" i="7"/>
  <c r="F35" i="7" s="1"/>
  <c r="F36" i="7" s="1"/>
  <c r="G66" i="5"/>
  <c r="G67" i="5" s="1"/>
  <c r="C35" i="7"/>
  <c r="C36" i="7" s="1"/>
  <c r="B35" i="7"/>
  <c r="B36" i="7" s="1"/>
  <c r="I15" i="7" l="1"/>
  <c r="J19" i="6"/>
  <c r="J25" i="6" s="1"/>
  <c r="I27" i="6"/>
  <c r="I14" i="7"/>
  <c r="J6" i="6"/>
  <c r="J16" i="6" s="1"/>
  <c r="G7" i="7"/>
  <c r="G35" i="7" s="1"/>
  <c r="G36" i="7" s="1"/>
  <c r="H66" i="5"/>
  <c r="H67" i="5" s="1"/>
  <c r="K19" i="6" l="1"/>
  <c r="K25" i="6" s="1"/>
  <c r="K15" i="7" s="1"/>
  <c r="J15" i="7"/>
  <c r="J14" i="7"/>
  <c r="J27" i="6"/>
  <c r="K6" i="6"/>
  <c r="K16" i="6" s="1"/>
  <c r="H7" i="7"/>
  <c r="H35" i="7" s="1"/>
  <c r="H36" i="7" s="1"/>
  <c r="I66" i="5"/>
  <c r="I67" i="5" s="1"/>
  <c r="K27" i="6" l="1"/>
  <c r="K14" i="7"/>
  <c r="I7" i="7"/>
  <c r="I35" i="7" s="1"/>
  <c r="I36" i="7" s="1"/>
  <c r="J66" i="5"/>
  <c r="J67" i="5" s="1"/>
  <c r="J7" i="7" l="1"/>
  <c r="J35" i="7" s="1"/>
  <c r="J36" i="7" s="1"/>
  <c r="K66" i="5"/>
  <c r="K67" i="5" s="1"/>
  <c r="K7" i="7" s="1"/>
  <c r="K35" i="7" s="1"/>
  <c r="K36" i="7" s="1"/>
</calcChain>
</file>

<file path=xl/sharedStrings.xml><?xml version="1.0" encoding="utf-8"?>
<sst xmlns="http://schemas.openxmlformats.org/spreadsheetml/2006/main" count="621" uniqueCount="268">
  <si>
    <t>Grupo Bimbo (BIMBOA) - Consolidated financial statements FY2021A-FY2030E</t>
  </si>
  <si>
    <t>MXN millions. Built 2026-10-19 by model/build/build_statements_workbook.py.</t>
  </si>
  <si>
    <t>What is here</t>
  </si>
  <si>
    <t>IS, OCI, BS, CF and Equity: every line of the face of the audited statements, FY2021A-FY2025A.</t>
  </si>
  <si>
    <t>Checks: links between the statements and tie-outs of every subtotal to the filing. History: all 0.</t>
  </si>
  <si>
    <t>Sources (PDF page numbers)</t>
  </si>
  <si>
    <t>FY2023-FY2025: filings/annual/IA25_GB_EEFF_V10.pdf - BS p.12, IS p.13, OCI p.14, equity p.15, CF p.16.</t>
  </si>
  <si>
    <t>FY2021-FY2022: filings/bmv/Reporte Anual 2023_XBRL_VF.PDF - BS p.256, IS p.257, OCI p.258, equity p.259, CF p.260.</t>
  </si>
  <si>
    <t>Rule: the latest report that presents a year wins (data/adjustments.md). FY2021 is restated for the Ricolino disposal.</t>
  </si>
  <si>
    <t>Colour code</t>
  </si>
  <si>
    <t>Blue number = typed from the filing [sourced]. Black = formula [calc].</t>
  </si>
  <si>
    <t>Yellow cell (FY2026E-FY2030E) = empty input for the team to project.</t>
  </si>
  <si>
    <t>What is already wired in the forecast columns</t>
  </si>
  <si>
    <t>Every subtotal and total; CF beginning cash = prior-year ending cash; equity opening = prior-year closing.</t>
  </si>
  <si>
    <t>What the team must link to balance FY2026E-FY2030E</t>
  </si>
  <si>
    <t>1. IS net income (controlling and NCI) -&gt; Equity roll-forward; IS income before taxes -&gt; CF first line; IS NI -&gt; OCI.</t>
  </si>
  <si>
    <t>2. Changes in working-capital lines of the BS -&gt; CF 'changes in assets and liabilities' (sign: asset up = cash out).</t>
  </si>
  <si>
    <t>3. Capex and D&amp;A -&gt; PP&amp;E and intangibles roll-forward; debt issued/repaid -&gt; debt balances; lease payments -&gt; lease liabilities.</t>
  </si>
  <si>
    <t>4. Dividends and buybacks -&gt; both Equity and CF financing.</t>
  </si>
  <si>
    <t>5. BS cash = CF ending cash. When all links are in, Checks!B-K shows OK in every year.</t>
  </si>
  <si>
    <t>Notes</t>
  </si>
  <si>
    <t>Signs follow each filing: IS expenses positive; interest income negative inside the financing result; CF outflows negative.</t>
  </si>
  <si>
    <t>Lease interest is paid inside the CF line 'Lease payments' (data/adjustments.md, adjustment 6).</t>
  </si>
  <si>
    <t>The condensed model inputs (data/financials.csv) group these lines; totals agree with this workbook.</t>
  </si>
  <si>
    <t>Grupo Bimbo - Consolidated income statement</t>
  </si>
  <si>
    <t>Continuing operations; FY2021 restated for Ricolino (discontinued from 2022). Costs by function, as reported.</t>
  </si>
  <si>
    <t>Actual (audited)</t>
  </si>
  <si>
    <t>Forecast - team projects and balances</t>
  </si>
  <si>
    <t>MXN millions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</si>
  <si>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</si>
  <si>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</si>
  <si>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</si>
  <si>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</si>
  <si>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</si>
  <si>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</si>
  <si>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</si>
  <si>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</si>
  <si>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</si>
  <si>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</si>
  <si>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Tag</t>
  </si>
  <si>
    <t>Source / note</t>
  </si>
  <si>
    <t>Continuing operations</t>
  </si>
  <si>
    <t>Net sales</t>
  </si>
  <si>
    <t>[sourced]</t>
  </si>
  <si>
    <t>RA23 p.257 (FY21-22); IA25 p.13 (FY23-25)</t>
  </si>
  <si>
    <t>Cost of sales</t>
  </si>
  <si>
    <t>RA23 p.257 (FY21-22); IA25 p.13 (FY23-25); Positive = expense</t>
  </si>
  <si>
    <t>Gross profit</t>
  </si>
  <si>
    <t>[calc]</t>
  </si>
  <si>
    <t>Distribution and selling expenses</t>
  </si>
  <si>
    <t>Administrative expenses</t>
  </si>
  <si>
    <t>Integration expenses</t>
  </si>
  <si>
    <t>Other (income) expenses, net</t>
  </si>
  <si>
    <t>RA23 p.257 (FY21-22); IA25 p.13 (FY23-25); FY2022 includes the non-cash gain on multi-employer pension plans (MEPP)</t>
  </si>
  <si>
    <t>Total general expenses</t>
  </si>
  <si>
    <t>Operating income (EBIT)</t>
  </si>
  <si>
    <t>Comprehensive financing result</t>
  </si>
  <si>
    <t>Interest expense</t>
  </si>
  <si>
    <t>RA23 p.257 (FY21-22); IA25 p.13 (FY23-25); Includes IFRS 16 lease interest</t>
  </si>
  <si>
    <t>Interest income</t>
  </si>
  <si>
    <t>RA23 p.257 (FY21-22); IA25 p.13 (FY23-25); Negative = income (as in the filing)</t>
  </si>
  <si>
    <t>Foreign exchange loss, net</t>
  </si>
  <si>
    <t>Monetary position loss (gain)</t>
  </si>
  <si>
    <t>Total comprehensive financing result</t>
  </si>
  <si>
    <t>Share of results of associates</t>
  </si>
  <si>
    <t>Income before taxes, continuing operations</t>
  </si>
  <si>
    <t>Income taxes</t>
  </si>
  <si>
    <t>Net income from continuing operations</t>
  </si>
  <si>
    <t>Net income from discontinued operations, after tax</t>
  </si>
  <si>
    <t>RA23 p.257 (FY21-22); IA25 p.13 (FY23-25); Ricolino (sold 1-Nov-2022)</t>
  </si>
  <si>
    <t>Consolidated net income</t>
  </si>
  <si>
    <t>Attribution</t>
  </si>
  <si>
    <t>Non-controlling interest</t>
  </si>
  <si>
    <t>RA23 p.257 (FY21-22); IA25 p.13 (FY23-25); FY21-22 include discontinued NCI (30; 402)</t>
  </si>
  <si>
    <t>Controlling interest</t>
  </si>
  <si>
    <t>Weighted-average shares (millions)</t>
  </si>
  <si>
    <t>RA23 p.257 (FY21-22); IA25 p.13 (FY23-25); Filing reports thousands; basic = diluted</t>
  </si>
  <si>
    <t>Basic EPS (MXN)</t>
  </si>
  <si>
    <t>Memo</t>
  </si>
  <si>
    <t>D&amp;A, continuing (segment note)</t>
  </si>
  <si>
    <t>RA23 p.358-359; IA25 p.85-86 (data/financials.csv)</t>
  </si>
  <si>
    <t>EBITDA (EBIT + D&amp;A)</t>
  </si>
  <si>
    <t>Grupo Bimbo - Consolidated statement of other comprehensive income</t>
  </si>
  <si>
    <t>As reported. Positive = gain.</t>
  </si>
  <si>
    <t>RA23 p.258 (FY21-22); IA25 p.14 (FY23-25); Must equal IS consolidated net income</t>
  </si>
  <si>
    <t>Items that will not be reclassified to profit or loss</t>
  </si>
  <si>
    <t>Valuation of equity financial instruments</t>
  </si>
  <si>
    <t>RA23 p.258 (FY21-22); IA25 p.14 (FY23-25)</t>
  </si>
  <si>
    <t>Actuarial gains (losses) on defined-benefit plans</t>
  </si>
  <si>
    <t>Income tax</t>
  </si>
  <si>
    <t>Subtotal</t>
  </si>
  <si>
    <t>Items that may be reclassified to profit or loss</t>
  </si>
  <si>
    <t>Net investment hedge</t>
  </si>
  <si>
    <t>Translation of foreign operations</t>
  </si>
  <si>
    <t>Cash-flow hedges, net change</t>
  </si>
  <si>
    <t>Total other comprehensive income</t>
  </si>
  <si>
    <t>Consolidated comprehensive income</t>
  </si>
  <si>
    <t xml:space="preserve">  Attributable to non-controlling interest</t>
  </si>
  <si>
    <t xml:space="preserve">  Attributable to controlling interest</t>
  </si>
  <si>
    <t>Grupo Bimbo - Consolidated balance sheet (31 December)</t>
  </si>
  <si>
    <t>As reported, every line of the face of the statement.</t>
  </si>
  <si>
    <t>Current assets</t>
  </si>
  <si>
    <t>Cash and cash equivalents</t>
  </si>
  <si>
    <t>RA23 p.256 (FY21-22); IA25 p.12 (FY23-25); Must equal CF ending cash</t>
  </si>
  <si>
    <t>Trade and other receivables, net</t>
  </si>
  <si>
    <t>RA23 p.256 (FY21-22); IA25 p.12 (FY23-25)</t>
  </si>
  <si>
    <t>Inventories</t>
  </si>
  <si>
    <t>Prepaid expenses</t>
  </si>
  <si>
    <t>Derivative financial instruments</t>
  </si>
  <si>
    <t>Collateral deposits on derivatives</t>
  </si>
  <si>
    <t>Assets held for sale</t>
  </si>
  <si>
    <t>Total current assets</t>
  </si>
  <si>
    <t>Property, plant and equipment, net</t>
  </si>
  <si>
    <t>Right-of-use assets, net</t>
  </si>
  <si>
    <t>Investment in associates</t>
  </si>
  <si>
    <t>Deferred income taxes</t>
  </si>
  <si>
    <t>Intangible assets, net</t>
  </si>
  <si>
    <t>Goodwill</t>
  </si>
  <si>
    <t>Other assets, net</t>
  </si>
  <si>
    <t>TOTAL ASSETS</t>
  </si>
  <si>
    <t>Current liabilities</t>
  </si>
  <si>
    <t>Current portion of long-term debt</t>
  </si>
  <si>
    <t>Trade payables</t>
  </si>
  <si>
    <t>Other payables and accrued liabilities</t>
  </si>
  <si>
    <t>Lease liabilities</t>
  </si>
  <si>
    <t>Payables to related parties</t>
  </si>
  <si>
    <t>Income taxes payable</t>
  </si>
  <si>
    <t>Employee profit sharing (PTU)</t>
  </si>
  <si>
    <t>Other short-term liabilities</t>
  </si>
  <si>
    <t>Total current liabilities</t>
  </si>
  <si>
    <t>Long-term debt</t>
  </si>
  <si>
    <t>Employee benefits</t>
  </si>
  <si>
    <t>RA23 p.256 (FY21-22); IA25 p.12 (FY23-25); FY2022 drop = MEPP settlement</t>
  </si>
  <si>
    <t>Other long-term liabilities</t>
  </si>
  <si>
    <t>TOTAL LIABILITIES</t>
  </si>
  <si>
    <t>Stockholders' equity</t>
  </si>
  <si>
    <t>Capital stock</t>
  </si>
  <si>
    <t>Retained earnings</t>
  </si>
  <si>
    <t>Other equity financial instrument (perpetual notes)</t>
  </si>
  <si>
    <t>RA23 p.256 (FY21-22); IA25 p.12 (FY23-25); Reclassified to debt in 2023</t>
  </si>
  <si>
    <t>Cumulative translation adjustment</t>
  </si>
  <si>
    <t>Actuarial gains on defined-benefit plans</t>
  </si>
  <si>
    <t>Unrealized (losses) gains on cash-flow hedges</t>
  </si>
  <si>
    <t>TOTAL EQUITY</t>
  </si>
  <si>
    <t>TOTAL LIABILITIES AND EQUITY</t>
  </si>
  <si>
    <t>Check: total assets - (liabilities + equity)</t>
  </si>
  <si>
    <t>Must be 0</t>
  </si>
  <si>
    <t>Grupo Bimbo - Consolidated cash flow statement</t>
  </si>
  <si>
    <t>Indirect method, as reported. Sign as in the filing: negative = cash outflow. FY2021-22 include Ricolino until its sale.</t>
  </si>
  <si>
    <t>Operating activities</t>
  </si>
  <si>
    <t>RA23 p.260 (FY21-22); IA25 p.16 (FY23-25); Must equal IS</t>
  </si>
  <si>
    <t>Income (loss) before taxes, discontinued operations</t>
  </si>
  <si>
    <t>RA23 p.260 (FY21-22); IA25 p.16 (FY23-25)</t>
  </si>
  <si>
    <t>Income before taxes</t>
  </si>
  <si>
    <t>Adjustments for:</t>
  </si>
  <si>
    <t>Depreciation and amortization</t>
  </si>
  <si>
    <t>RA23 p.260 (FY21-22); IA25 p.16 (FY23-25); FY21-22 include discontinued D&amp;A (249; 244)</t>
  </si>
  <si>
    <t>Loss (gain) on sale of property, plant and equipment</t>
  </si>
  <si>
    <t>Write-off of PP&amp;E due to casualty</t>
  </si>
  <si>
    <t>Impairment of long-lived assets</t>
  </si>
  <si>
    <t>Gain on disposal of discontinued operation</t>
  </si>
  <si>
    <t>Multi-employer pension plans and other long-term liabilities</t>
  </si>
  <si>
    <t>Current service cost</t>
  </si>
  <si>
    <t>Short-term and low-value lease expenses</t>
  </si>
  <si>
    <t>Changes in assets and liabilities:</t>
  </si>
  <si>
    <t>Trade and other receivables</t>
  </si>
  <si>
    <t>Income taxes paid</t>
  </si>
  <si>
    <t>Employee benefits and social security</t>
  </si>
  <si>
    <t>Dividends receivable from discontinued operation</t>
  </si>
  <si>
    <t>Short-term and low-value lease payments</t>
  </si>
  <si>
    <t>Net cash from operating activities</t>
  </si>
  <si>
    <t>Investing activities</t>
  </si>
  <si>
    <t>Purchases of property, plant and equipment</t>
  </si>
  <si>
    <t>Business acquisitions and NCI, net of cash acquired</t>
  </si>
  <si>
    <t>Proceeds from sale of discontinued operation</t>
  </si>
  <si>
    <t>RA23 p.260 (FY21-22); IA25 p.16 (FY23-25); Ricolino</t>
  </si>
  <si>
    <t>Proceeds from sale of PP&amp;E</t>
  </si>
  <si>
    <t>Insurance recoveries</t>
  </si>
  <si>
    <t>Purchases of intangible assets, net of disposals</t>
  </si>
  <si>
    <t>Increase in distribution rights in structured entities</t>
  </si>
  <si>
    <t>Other assets</t>
  </si>
  <si>
    <t>Dividends received from associates and others</t>
  </si>
  <si>
    <t>Interest received</t>
  </si>
  <si>
    <t>Purchase of non-controlling interest</t>
  </si>
  <si>
    <t>RA23 p.260 (FY21-22); IA25 p.16 (FY23-25); Bimbo Colombia 40%</t>
  </si>
  <si>
    <t>Capital contributions to associates, net</t>
  </si>
  <si>
    <t>Net cash used in investing activities</t>
  </si>
  <si>
    <t>Financing activities</t>
  </si>
  <si>
    <t>Proceeds from borrowings, net of issuance costs</t>
  </si>
  <si>
    <t>Repayment of borrowings</t>
  </si>
  <si>
    <t>Interest paid</t>
  </si>
  <si>
    <t>RA23 p.260 (FY21-22); IA25 p.16 (FY23-25); Debt interest; lease interest is inside lease payments</t>
  </si>
  <si>
    <t>Yield on perpetual notes (equity instrument)</t>
  </si>
  <si>
    <t>Repurchase of perpetual notes</t>
  </si>
  <si>
    <t>Dividends paid</t>
  </si>
  <si>
    <t>RA23 p.260 (FY21-22); IA25 p.16 (FY23-25); Parent + NCI</t>
  </si>
  <si>
    <t>Lease payments</t>
  </si>
  <si>
    <t>RA23 p.260 (FY21-22); IA25 p.16 (FY23-25); Principal + interest</t>
  </si>
  <si>
    <t>Payments on derivative financial instruments</t>
  </si>
  <si>
    <t>Collections on derivative financial instruments</t>
  </si>
  <si>
    <t>Share repurchases</t>
  </si>
  <si>
    <t>Net cash from (used in) financing activities</t>
  </si>
  <si>
    <t>Effect of exchange rates and inflation on cash</t>
  </si>
  <si>
    <t>Net increase (decrease) in cash</t>
  </si>
  <si>
    <t>Cash at beginning of year</t>
  </si>
  <si>
    <t>[sourced] FY21; [calc] after</t>
  </si>
  <si>
    <t>RA23 p.260 (FY21-22); IA25 p.16 (FY23-25); FY2021 typed (FY2020 close); later years = prior-year ending cash</t>
  </si>
  <si>
    <t>Cash at end of year</t>
  </si>
  <si>
    <t>Must equal BS cash</t>
  </si>
  <si>
    <t>Grupo Bimbo - Equity roll-forward (statement of changes in equity)</t>
  </si>
  <si>
    <t>Columns of the statement of changes in equity condensed to controlling and non-controlling totals.</t>
  </si>
  <si>
    <t>Opening balance</t>
  </si>
  <si>
    <t>RA23 p.259 (FY21-22); IA25 p.15 (FY23-25); FY2021 typed (FY2020 close); later years = prior-year closing</t>
  </si>
  <si>
    <t>Yield on perpetual notes</t>
  </si>
  <si>
    <t>RA23 p.259 (FY21-22); IA25 p.15 (FY23-25)</t>
  </si>
  <si>
    <t>Tax effect on perpetual notes</t>
  </si>
  <si>
    <t>Reclassification of perpetual notes to debt</t>
  </si>
  <si>
    <t>Dividends declared</t>
  </si>
  <si>
    <t>Changes in ownership interest</t>
  </si>
  <si>
    <t>RA23 p.259 (FY21-22); IA25 p.15 (FY23-25); Colombia NCI purchase</t>
  </si>
  <si>
    <t>Net income (controlling)</t>
  </si>
  <si>
    <t>RA23 p.259 (FY21-22); IA25 p.15 (FY23-25); Must equal IS controlling NI</t>
  </si>
  <si>
    <t>Other comprehensive income (controlling)</t>
  </si>
  <si>
    <t>Closing balance, controlling</t>
  </si>
  <si>
    <t>Must equal BS controlling interest</t>
  </si>
  <si>
    <t>Consolidation of structured entities</t>
  </si>
  <si>
    <t>Acquisitions, disposals and ownership changes</t>
  </si>
  <si>
    <t>RA23 p.259 (FY21-22); IA25 p.15 (FY23-25); FY22 discontinued (-65); FY23 acquisitions (+217); FY25 acquisitions 68 less decrease 716</t>
  </si>
  <si>
    <t>Net income (NCI)</t>
  </si>
  <si>
    <t>RA23 p.259 (FY21-22); IA25 p.15 (FY23-25); Must equal IS NCI</t>
  </si>
  <si>
    <t>Other comprehensive income (NCI)</t>
  </si>
  <si>
    <t>Closing balance, NCI</t>
  </si>
  <si>
    <t>Must equal BS NCI</t>
  </si>
  <si>
    <t>Total equity, closing</t>
  </si>
  <si>
    <t>Must equal BS total equity</t>
  </si>
  <si>
    <t>Integrity checks - every line must be 0 in every year</t>
  </si>
  <si>
    <t>Historical columns are 0 by construction. In the forecast, a non-zero value tells you which link is still missing.</t>
  </si>
  <si>
    <t>Check (difference, MXN m)</t>
  </si>
  <si>
    <t>Links between statements (all years)</t>
  </si>
  <si>
    <t>BS: total assets - (liabilities + equity)</t>
  </si>
  <si>
    <t>CF ending cash - BS cash</t>
  </si>
  <si>
    <t>CF income before taxes (continuing) - IS</t>
  </si>
  <si>
    <t>OCI net income - IS consolidated net income</t>
  </si>
  <si>
    <t>Equity: controlling net income - IS</t>
  </si>
  <si>
    <t>Equity: NCI net income - IS</t>
  </si>
  <si>
    <t>Equity: OCI (controlling + NCI) - OCI statement</t>
  </si>
  <si>
    <t>Equity: OCI to NCI - OCI statement</t>
  </si>
  <si>
    <t>Equity: closing controlling - BS</t>
  </si>
  <si>
    <t>Equity: closing NCI - BS</t>
  </si>
  <si>
    <t>Equity: share repurchases - CF</t>
  </si>
  <si>
    <t>Subtotals vs the audited filing (history only)</t>
  </si>
  <si>
    <t>IS net sales vs filing</t>
  </si>
  <si>
    <t>IS gross profit vs filing</t>
  </si>
  <si>
    <t>IS operating income vs filing</t>
  </si>
  <si>
    <t>IS income before taxes vs filing</t>
  </si>
  <si>
    <t>IS consolidated net income vs filing</t>
  </si>
  <si>
    <t>IS controlling net income vs filing</t>
  </si>
  <si>
    <t>BS total current assets vs filing</t>
  </si>
  <si>
    <t>BS total assets vs filing</t>
  </si>
  <si>
    <t>BS total current liabilities vs filing</t>
  </si>
  <si>
    <t>BS total liabilities vs filing</t>
  </si>
  <si>
    <t>BS total equity vs filing</t>
  </si>
  <si>
    <t>CF operating vs filing</t>
  </si>
  <si>
    <t>CF investing vs filing</t>
  </si>
  <si>
    <t>CF financing vs filing</t>
  </si>
  <si>
    <t>OCI total vs filing</t>
  </si>
  <si>
    <t>Sum of absolute differences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</si>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</sst>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#,##0.000"/>
    <numFmt numFmtId="166" formatCode="#,##0.00;\(#,##0.00\);&quot;-&quot;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8"/>
      <color rgb="FF595959"/>
      <name val="Arial"/>
    </font>
    <font>
      <b/>
      <sz val="9"/>
      <color rgb="FFFFFFFF"/>
      <name val="Arial"/>
    </font>
    <font>
      <b/>
      <sz val="9"/>
      <name val="Arial"/>
    </font>
    <font>
      <sz val="9"/>
      <color rgb="FF000000"/>
      <name val="Arial"/>
    </font>
    <font>
      <sz val="9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5" borderId="0" xfId="0" applyFont="1" applyFill="1"/>
    <xf numFmtId="0" fontId="0" fillId="5" borderId="0" xfId="0" applyFill="1"/>
    <xf numFmtId="0" fontId="5" fillId="0" borderId="0" xfId="0" applyFont="1"/>
    <xf numFmtId="164" fontId="6" fillId="0" borderId="0" xfId="0" applyNumberFormat="1" applyFont="1"/>
    <xf numFmtId="164" fontId="0" fillId="6" borderId="0" xfId="0" applyNumberFormat="1" applyFill="1"/>
    <xf numFmtId="164" fontId="4" fillId="0" borderId="1" xfId="0" applyNumberFormat="1" applyFont="1" applyBorder="1"/>
    <xf numFmtId="164" fontId="5" fillId="0" borderId="0" xfId="0" applyNumberFormat="1" applyFont="1"/>
    <xf numFmtId="165" fontId="6" fillId="0" borderId="0" xfId="0" applyNumberFormat="1" applyFont="1"/>
    <xf numFmtId="165" fontId="0" fillId="6" borderId="0" xfId="0" applyNumberFormat="1" applyFill="1"/>
    <xf numFmtId="166" fontId="5" fillId="0" borderId="0" xfId="0" applyNumberFormat="1" applyFont="1"/>
    <xf numFmtId="164" fontId="6" fillId="0" borderId="1" xfId="0" applyNumberFormat="1" applyFont="1" applyBorder="1"/>
    <xf numFmtId="164" fontId="0" fillId="6" borderId="1" xfId="0" applyNumberFormat="1" applyFill="1" applyBorder="1"/>
    <xf numFmtId="164" fontId="0" fillId="0" borderId="0" xfId="0" applyNumberForma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baseColWidth="10" defaultColWidth="8.7265625" defaultRowHeight="14.5" x14ac:dyDescent="0.35"/>
  <cols>
    <col min="1" max="1" width="130" customWidth="1"/>
  </cols>
  <sheetData>
    <row r="1" spans="1:1" ht="15.5" x14ac:dyDescent="0.35">
      <c r="A1" s="1" t="s">
        <v>0</v>
      </c>
    </row>
    <row r="2" spans="1:1" x14ac:dyDescent="0.35">
      <c r="A2" s="2" t="s">
        <v>1</v>
      </c>
    </row>
    <row r="4" spans="1:1" x14ac:dyDescent="0.35">
      <c r="A4" s="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8" spans="1:1" x14ac:dyDescent="0.35">
      <c r="A8" s="3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s="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7" spans="1:1" x14ac:dyDescent="0.35">
      <c r="A17" s="3" t="s">
        <v>12</v>
      </c>
    </row>
    <row r="18" spans="1:1" x14ac:dyDescent="0.35">
      <c r="A18" t="s">
        <v>13</v>
      </c>
    </row>
    <row r="20" spans="1:1" x14ac:dyDescent="0.35">
      <c r="A20" s="3" t="s">
        <v>14</v>
      </c>
    </row>
    <row r="21" spans="1:1" x14ac:dyDescent="0.35">
      <c r="A21" t="s">
        <v>15</v>
      </c>
    </row>
    <row r="22" spans="1:1" x14ac:dyDescent="0.35">
      <c r="A22" t="s">
        <v>16</v>
      </c>
    </row>
    <row r="23" spans="1:1" x14ac:dyDescent="0.35">
      <c r="A23" t="s">
        <v>17</v>
      </c>
    </row>
    <row r="24" spans="1:1" x14ac:dyDescent="0.35">
      <c r="A24" t="s">
        <v>18</v>
      </c>
    </row>
    <row r="25" spans="1:1" x14ac:dyDescent="0.35">
      <c r="A25" t="s">
        <v>19</v>
      </c>
    </row>
    <row r="27" spans="1:1" x14ac:dyDescent="0.35">
      <c r="A27" s="3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x14ac:dyDescent="0.35">
      <c r="A1" s="1" t="s">
        <v>24</v>
      </c>
    </row>
    <row r="2" spans="1:13" x14ac:dyDescent="0.35">
      <c r="A2" s="2" t="s">
        <v>25</v>
      </c>
    </row>
    <row r="3" spans="1:13" x14ac:dyDescent="0.35">
      <c r="B3" s="23" t="s">
        <v>26</v>
      </c>
      <c r="C3" s="22"/>
      <c r="D3" s="22"/>
      <c r="E3" s="22"/>
      <c r="F3" s="22"/>
      <c r="G3" s="21" t="s">
        <v>27</v>
      </c>
      <c r="H3" s="22"/>
      <c r="I3" s="22"/>
      <c r="J3" s="22"/>
      <c r="K3" s="22"/>
    </row>
    <row r="4" spans="1:13" x14ac:dyDescent="0.35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4" t="s">
        <v>39</v>
      </c>
      <c r="M4" s="4" t="s">
        <v>40</v>
      </c>
    </row>
    <row r="5" spans="1:13" x14ac:dyDescent="0.35">
      <c r="A5" s="6" t="s">
        <v>41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 x14ac:dyDescent="0.35">
      <c r="A6" s="8" t="s">
        <v>42</v>
      </c>
      <c r="B6" s="9">
        <v>338792</v>
      </c>
      <c r="C6" s="9">
        <v>398706</v>
      </c>
      <c r="D6" s="9">
        <v>399879</v>
      </c>
      <c r="E6" s="9">
        <v>408335</v>
      </c>
      <c r="F6" s="9">
        <v>426952</v>
      </c>
      <c r="G6" s="10"/>
      <c r="H6" s="10"/>
      <c r="I6" s="10"/>
      <c r="J6" s="10"/>
      <c r="K6" s="10"/>
      <c r="L6" s="2" t="s">
        <v>43</v>
      </c>
      <c r="M6" s="2" t="s">
        <v>44</v>
      </c>
    </row>
    <row r="7" spans="1:13" x14ac:dyDescent="0.35">
      <c r="A7" s="8" t="s">
        <v>45</v>
      </c>
      <c r="B7" s="9">
        <v>157703</v>
      </c>
      <c r="C7" s="9">
        <v>193325</v>
      </c>
      <c r="D7" s="9">
        <v>194369</v>
      </c>
      <c r="E7" s="9">
        <v>193407</v>
      </c>
      <c r="F7" s="9">
        <v>203465</v>
      </c>
      <c r="G7" s="10"/>
      <c r="H7" s="10"/>
      <c r="I7" s="10"/>
      <c r="J7" s="10"/>
      <c r="K7" s="10"/>
      <c r="L7" s="2" t="s">
        <v>43</v>
      </c>
      <c r="M7" s="2" t="s">
        <v>46</v>
      </c>
    </row>
    <row r="8" spans="1:13" x14ac:dyDescent="0.35">
      <c r="A8" s="3" t="s">
        <v>47</v>
      </c>
      <c r="B8" s="11">
        <f t="shared" ref="B8:K8" si="0">B6-B7</f>
        <v>181089</v>
      </c>
      <c r="C8" s="11">
        <f t="shared" si="0"/>
        <v>205381</v>
      </c>
      <c r="D8" s="11">
        <f t="shared" si="0"/>
        <v>205510</v>
      </c>
      <c r="E8" s="11">
        <f t="shared" si="0"/>
        <v>214928</v>
      </c>
      <c r="F8" s="11">
        <f t="shared" si="0"/>
        <v>223487</v>
      </c>
      <c r="G8" s="11">
        <f t="shared" si="0"/>
        <v>0</v>
      </c>
      <c r="H8" s="11">
        <f t="shared" si="0"/>
        <v>0</v>
      </c>
      <c r="I8" s="11">
        <f t="shared" si="0"/>
        <v>0</v>
      </c>
      <c r="J8" s="11">
        <f t="shared" si="0"/>
        <v>0</v>
      </c>
      <c r="K8" s="11">
        <f t="shared" si="0"/>
        <v>0</v>
      </c>
      <c r="L8" s="2" t="s">
        <v>48</v>
      </c>
      <c r="M8" s="2"/>
    </row>
    <row r="9" spans="1:13" x14ac:dyDescent="0.35">
      <c r="A9" s="8" t="s">
        <v>49</v>
      </c>
      <c r="B9" s="9">
        <v>124422</v>
      </c>
      <c r="C9" s="9">
        <v>140455</v>
      </c>
      <c r="D9" s="9">
        <v>139477</v>
      </c>
      <c r="E9" s="9">
        <v>147628</v>
      </c>
      <c r="F9" s="9">
        <v>154866</v>
      </c>
      <c r="G9" s="10"/>
      <c r="H9" s="10"/>
      <c r="I9" s="10"/>
      <c r="J9" s="10"/>
      <c r="K9" s="10"/>
      <c r="L9" s="2" t="s">
        <v>43</v>
      </c>
      <c r="M9" s="2" t="s">
        <v>44</v>
      </c>
    </row>
    <row r="10" spans="1:13" x14ac:dyDescent="0.35">
      <c r="A10" s="8" t="s">
        <v>50</v>
      </c>
      <c r="B10" s="9">
        <v>23147</v>
      </c>
      <c r="C10" s="9">
        <v>26172</v>
      </c>
      <c r="D10" s="9">
        <v>25860</v>
      </c>
      <c r="E10" s="9">
        <v>27536</v>
      </c>
      <c r="F10" s="9">
        <v>29023</v>
      </c>
      <c r="G10" s="10"/>
      <c r="H10" s="10"/>
      <c r="I10" s="10"/>
      <c r="J10" s="10"/>
      <c r="K10" s="10"/>
      <c r="L10" s="2" t="s">
        <v>43</v>
      </c>
      <c r="M10" s="2" t="s">
        <v>44</v>
      </c>
    </row>
    <row r="11" spans="1:13" x14ac:dyDescent="0.35">
      <c r="A11" s="8" t="s">
        <v>51</v>
      </c>
      <c r="B11" s="9">
        <v>724</v>
      </c>
      <c r="C11" s="9">
        <v>367</v>
      </c>
      <c r="D11" s="9">
        <v>288</v>
      </c>
      <c r="E11" s="9">
        <v>317</v>
      </c>
      <c r="F11" s="9">
        <v>541</v>
      </c>
      <c r="G11" s="10"/>
      <c r="H11" s="10"/>
      <c r="I11" s="10"/>
      <c r="J11" s="10"/>
      <c r="K11" s="10"/>
      <c r="L11" s="2" t="s">
        <v>43</v>
      </c>
      <c r="M11" s="2" t="s">
        <v>44</v>
      </c>
    </row>
    <row r="12" spans="1:13" x14ac:dyDescent="0.35">
      <c r="A12" s="8" t="s">
        <v>52</v>
      </c>
      <c r="B12" s="9">
        <v>216</v>
      </c>
      <c r="C12" s="9">
        <v>-15309</v>
      </c>
      <c r="D12" s="9">
        <v>4430</v>
      </c>
      <c r="E12" s="9">
        <v>6298</v>
      </c>
      <c r="F12" s="9">
        <v>4911</v>
      </c>
      <c r="G12" s="10"/>
      <c r="H12" s="10"/>
      <c r="I12" s="10"/>
      <c r="J12" s="10"/>
      <c r="K12" s="10"/>
      <c r="L12" s="2" t="s">
        <v>43</v>
      </c>
      <c r="M12" s="2" t="s">
        <v>53</v>
      </c>
    </row>
    <row r="13" spans="1:13" x14ac:dyDescent="0.35">
      <c r="A13" s="3" t="s">
        <v>54</v>
      </c>
      <c r="B13" s="11">
        <f t="shared" ref="B13:K13" si="1">SUM(B9:B12)</f>
        <v>148509</v>
      </c>
      <c r="C13" s="11">
        <f t="shared" si="1"/>
        <v>151685</v>
      </c>
      <c r="D13" s="11">
        <f t="shared" si="1"/>
        <v>170055</v>
      </c>
      <c r="E13" s="11">
        <f t="shared" si="1"/>
        <v>181779</v>
      </c>
      <c r="F13" s="11">
        <f t="shared" si="1"/>
        <v>189341</v>
      </c>
      <c r="G13" s="11">
        <f t="shared" si="1"/>
        <v>0</v>
      </c>
      <c r="H13" s="11">
        <f t="shared" si="1"/>
        <v>0</v>
      </c>
      <c r="I13" s="11">
        <f t="shared" si="1"/>
        <v>0</v>
      </c>
      <c r="J13" s="11">
        <f t="shared" si="1"/>
        <v>0</v>
      </c>
      <c r="K13" s="11">
        <f t="shared" si="1"/>
        <v>0</v>
      </c>
      <c r="L13" s="2" t="s">
        <v>48</v>
      </c>
      <c r="M13" s="2"/>
    </row>
    <row r="14" spans="1:13" x14ac:dyDescent="0.35">
      <c r="A14" s="3" t="s">
        <v>55</v>
      </c>
      <c r="B14" s="11">
        <f t="shared" ref="B14:K14" si="2">B8-B13</f>
        <v>32580</v>
      </c>
      <c r="C14" s="11">
        <f t="shared" si="2"/>
        <v>53696</v>
      </c>
      <c r="D14" s="11">
        <f t="shared" si="2"/>
        <v>35455</v>
      </c>
      <c r="E14" s="11">
        <f t="shared" si="2"/>
        <v>33149</v>
      </c>
      <c r="F14" s="11">
        <f t="shared" si="2"/>
        <v>34146</v>
      </c>
      <c r="G14" s="11">
        <f t="shared" si="2"/>
        <v>0</v>
      </c>
      <c r="H14" s="11">
        <f t="shared" si="2"/>
        <v>0</v>
      </c>
      <c r="I14" s="11">
        <f t="shared" si="2"/>
        <v>0</v>
      </c>
      <c r="J14" s="11">
        <f t="shared" si="2"/>
        <v>0</v>
      </c>
      <c r="K14" s="11">
        <f t="shared" si="2"/>
        <v>0</v>
      </c>
      <c r="L14" s="2" t="s">
        <v>48</v>
      </c>
      <c r="M14" s="2"/>
    </row>
    <row r="16" spans="1:13" x14ac:dyDescent="0.35">
      <c r="A16" s="6" t="s">
        <v>56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3" x14ac:dyDescent="0.35">
      <c r="A17" s="8" t="s">
        <v>57</v>
      </c>
      <c r="B17" s="9">
        <v>7823</v>
      </c>
      <c r="C17" s="9">
        <v>8049</v>
      </c>
      <c r="D17" s="9">
        <v>10006</v>
      </c>
      <c r="E17" s="9">
        <v>13100</v>
      </c>
      <c r="F17" s="9">
        <v>14464</v>
      </c>
      <c r="G17" s="10"/>
      <c r="H17" s="10"/>
      <c r="I17" s="10"/>
      <c r="J17" s="10"/>
      <c r="K17" s="10"/>
      <c r="L17" s="2" t="s">
        <v>43</v>
      </c>
      <c r="M17" s="2" t="s">
        <v>58</v>
      </c>
    </row>
    <row r="18" spans="1:13" x14ac:dyDescent="0.35">
      <c r="A18" s="8" t="s">
        <v>59</v>
      </c>
      <c r="B18" s="9">
        <v>-363</v>
      </c>
      <c r="C18" s="9">
        <v>-740</v>
      </c>
      <c r="D18" s="9">
        <v>-809</v>
      </c>
      <c r="E18" s="9">
        <v>-924</v>
      </c>
      <c r="F18" s="9">
        <v>-897</v>
      </c>
      <c r="G18" s="10"/>
      <c r="H18" s="10"/>
      <c r="I18" s="10"/>
      <c r="J18" s="10"/>
      <c r="K18" s="10"/>
      <c r="L18" s="2" t="s">
        <v>43</v>
      </c>
      <c r="M18" s="2" t="s">
        <v>60</v>
      </c>
    </row>
    <row r="19" spans="1:13" x14ac:dyDescent="0.35">
      <c r="A19" s="8" t="s">
        <v>61</v>
      </c>
      <c r="B19" s="9">
        <v>538</v>
      </c>
      <c r="C19" s="9">
        <v>995</v>
      </c>
      <c r="D19" s="9">
        <v>1323</v>
      </c>
      <c r="E19" s="9">
        <v>506</v>
      </c>
      <c r="F19" s="9">
        <v>384</v>
      </c>
      <c r="G19" s="10"/>
      <c r="H19" s="10"/>
      <c r="I19" s="10"/>
      <c r="J19" s="10"/>
      <c r="K19" s="10"/>
      <c r="L19" s="2" t="s">
        <v>43</v>
      </c>
      <c r="M19" s="2" t="s">
        <v>44</v>
      </c>
    </row>
    <row r="20" spans="1:13" x14ac:dyDescent="0.35">
      <c r="A20" s="8" t="s">
        <v>62</v>
      </c>
      <c r="B20" s="9">
        <v>-25</v>
      </c>
      <c r="C20" s="9">
        <v>-34</v>
      </c>
      <c r="D20" s="9">
        <v>-73</v>
      </c>
      <c r="E20" s="9">
        <v>-103</v>
      </c>
      <c r="F20" s="9">
        <v>50</v>
      </c>
      <c r="G20" s="10"/>
      <c r="H20" s="10"/>
      <c r="I20" s="10"/>
      <c r="J20" s="10"/>
      <c r="K20" s="10"/>
      <c r="L20" s="2" t="s">
        <v>43</v>
      </c>
      <c r="M20" s="2" t="s">
        <v>44</v>
      </c>
    </row>
    <row r="21" spans="1:13" x14ac:dyDescent="0.35">
      <c r="A21" s="3" t="s">
        <v>63</v>
      </c>
      <c r="B21" s="11">
        <f t="shared" ref="B21:K21" si="3">SUM(B17:B20)</f>
        <v>7973</v>
      </c>
      <c r="C21" s="11">
        <f t="shared" si="3"/>
        <v>8270</v>
      </c>
      <c r="D21" s="11">
        <f t="shared" si="3"/>
        <v>10447</v>
      </c>
      <c r="E21" s="11">
        <f t="shared" si="3"/>
        <v>12579</v>
      </c>
      <c r="F21" s="11">
        <f t="shared" si="3"/>
        <v>14001</v>
      </c>
      <c r="G21" s="11">
        <f t="shared" si="3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 t="shared" si="3"/>
        <v>0</v>
      </c>
      <c r="L21" s="2" t="s">
        <v>48</v>
      </c>
      <c r="M21" s="2"/>
    </row>
    <row r="22" spans="1:13" x14ac:dyDescent="0.35">
      <c r="A22" s="8" t="s">
        <v>64</v>
      </c>
      <c r="B22" s="9">
        <v>247</v>
      </c>
      <c r="C22" s="9">
        <v>452</v>
      </c>
      <c r="D22" s="9">
        <v>316</v>
      </c>
      <c r="E22" s="9">
        <v>464</v>
      </c>
      <c r="F22" s="9">
        <v>-2</v>
      </c>
      <c r="G22" s="10"/>
      <c r="H22" s="10"/>
      <c r="I22" s="10"/>
      <c r="J22" s="10"/>
      <c r="K22" s="10"/>
      <c r="L22" s="2" t="s">
        <v>43</v>
      </c>
      <c r="M22" s="2" t="s">
        <v>44</v>
      </c>
    </row>
    <row r="23" spans="1:13" x14ac:dyDescent="0.35">
      <c r="A23" s="3" t="s">
        <v>65</v>
      </c>
      <c r="B23" s="11">
        <f t="shared" ref="B23:K23" si="4">B14-B21+B22</f>
        <v>24854</v>
      </c>
      <c r="C23" s="11">
        <f t="shared" si="4"/>
        <v>45878</v>
      </c>
      <c r="D23" s="11">
        <f t="shared" si="4"/>
        <v>25324</v>
      </c>
      <c r="E23" s="11">
        <f t="shared" si="4"/>
        <v>21034</v>
      </c>
      <c r="F23" s="11">
        <f t="shared" si="4"/>
        <v>20143</v>
      </c>
      <c r="G23" s="11">
        <f t="shared" si="4"/>
        <v>0</v>
      </c>
      <c r="H23" s="11">
        <f t="shared" si="4"/>
        <v>0</v>
      </c>
      <c r="I23" s="11">
        <f t="shared" si="4"/>
        <v>0</v>
      </c>
      <c r="J23" s="11">
        <f t="shared" si="4"/>
        <v>0</v>
      </c>
      <c r="K23" s="11">
        <f t="shared" si="4"/>
        <v>0</v>
      </c>
      <c r="L23" s="2" t="s">
        <v>48</v>
      </c>
      <c r="M23" s="2"/>
    </row>
    <row r="24" spans="1:13" x14ac:dyDescent="0.35">
      <c r="A24" s="8" t="s">
        <v>66</v>
      </c>
      <c r="B24" s="9">
        <v>8726</v>
      </c>
      <c r="C24" s="9">
        <v>14381</v>
      </c>
      <c r="D24" s="9">
        <v>8386</v>
      </c>
      <c r="E24" s="9">
        <v>6797</v>
      </c>
      <c r="F24" s="9">
        <v>7197</v>
      </c>
      <c r="G24" s="10"/>
      <c r="H24" s="10"/>
      <c r="I24" s="10"/>
      <c r="J24" s="10"/>
      <c r="K24" s="10"/>
      <c r="L24" s="2" t="s">
        <v>43</v>
      </c>
      <c r="M24" s="2" t="s">
        <v>44</v>
      </c>
    </row>
    <row r="25" spans="1:13" x14ac:dyDescent="0.35">
      <c r="A25" s="3" t="s">
        <v>67</v>
      </c>
      <c r="B25" s="11">
        <f t="shared" ref="B25:K25" si="5">B23-B24</f>
        <v>16128</v>
      </c>
      <c r="C25" s="11">
        <f t="shared" si="5"/>
        <v>31497</v>
      </c>
      <c r="D25" s="11">
        <f t="shared" si="5"/>
        <v>16938</v>
      </c>
      <c r="E25" s="11">
        <f t="shared" si="5"/>
        <v>14237</v>
      </c>
      <c r="F25" s="11">
        <f t="shared" si="5"/>
        <v>12946</v>
      </c>
      <c r="G25" s="11">
        <f t="shared" si="5"/>
        <v>0</v>
      </c>
      <c r="H25" s="11">
        <f t="shared" si="5"/>
        <v>0</v>
      </c>
      <c r="I25" s="11">
        <f t="shared" si="5"/>
        <v>0</v>
      </c>
      <c r="J25" s="11">
        <f t="shared" si="5"/>
        <v>0</v>
      </c>
      <c r="K25" s="11">
        <f t="shared" si="5"/>
        <v>0</v>
      </c>
      <c r="L25" s="2" t="s">
        <v>48</v>
      </c>
      <c r="M25" s="2"/>
    </row>
    <row r="26" spans="1:13" x14ac:dyDescent="0.35">
      <c r="A26" s="8" t="s">
        <v>68</v>
      </c>
      <c r="B26" s="9">
        <v>1254</v>
      </c>
      <c r="C26" s="9">
        <v>16988</v>
      </c>
      <c r="D26" s="9">
        <v>-16</v>
      </c>
      <c r="E26" s="9">
        <v>-194</v>
      </c>
      <c r="F26" s="9">
        <v>0</v>
      </c>
      <c r="G26" s="10"/>
      <c r="H26" s="10"/>
      <c r="I26" s="10"/>
      <c r="J26" s="10"/>
      <c r="K26" s="10"/>
      <c r="L26" s="2" t="s">
        <v>43</v>
      </c>
      <c r="M26" s="2" t="s">
        <v>69</v>
      </c>
    </row>
    <row r="27" spans="1:13" x14ac:dyDescent="0.35">
      <c r="A27" s="3" t="s">
        <v>70</v>
      </c>
      <c r="B27" s="11">
        <f t="shared" ref="B27:K27" si="6">B25+B26</f>
        <v>17382</v>
      </c>
      <c r="C27" s="11">
        <f t="shared" si="6"/>
        <v>48485</v>
      </c>
      <c r="D27" s="11">
        <f t="shared" si="6"/>
        <v>16922</v>
      </c>
      <c r="E27" s="11">
        <f t="shared" si="6"/>
        <v>14043</v>
      </c>
      <c r="F27" s="11">
        <f t="shared" si="6"/>
        <v>12946</v>
      </c>
      <c r="G27" s="11">
        <f t="shared" si="6"/>
        <v>0</v>
      </c>
      <c r="H27" s="11">
        <f t="shared" si="6"/>
        <v>0</v>
      </c>
      <c r="I27" s="11">
        <f t="shared" si="6"/>
        <v>0</v>
      </c>
      <c r="J27" s="11">
        <f t="shared" si="6"/>
        <v>0</v>
      </c>
      <c r="K27" s="11">
        <f t="shared" si="6"/>
        <v>0</v>
      </c>
      <c r="L27" s="2" t="s">
        <v>48</v>
      </c>
      <c r="M27" s="2"/>
    </row>
    <row r="29" spans="1:13" x14ac:dyDescent="0.35">
      <c r="A29" s="6" t="s">
        <v>71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3" x14ac:dyDescent="0.35">
      <c r="A30" s="8" t="s">
        <v>72</v>
      </c>
      <c r="B30" s="9">
        <v>1466</v>
      </c>
      <c r="C30" s="9">
        <v>1575</v>
      </c>
      <c r="D30" s="9">
        <v>1445</v>
      </c>
      <c r="E30" s="9">
        <v>1499</v>
      </c>
      <c r="F30" s="9">
        <v>1813</v>
      </c>
      <c r="G30" s="10"/>
      <c r="H30" s="10"/>
      <c r="I30" s="10"/>
      <c r="J30" s="10"/>
      <c r="K30" s="10"/>
      <c r="L30" s="2" t="s">
        <v>43</v>
      </c>
      <c r="M30" s="2" t="s">
        <v>73</v>
      </c>
    </row>
    <row r="31" spans="1:13" x14ac:dyDescent="0.35">
      <c r="A31" s="8" t="s">
        <v>74</v>
      </c>
      <c r="B31" s="12">
        <f t="shared" ref="B31:K31" si="7">B27-B30</f>
        <v>15916</v>
      </c>
      <c r="C31" s="12">
        <f t="shared" si="7"/>
        <v>46910</v>
      </c>
      <c r="D31" s="12">
        <f t="shared" si="7"/>
        <v>15477</v>
      </c>
      <c r="E31" s="12">
        <f t="shared" si="7"/>
        <v>12544</v>
      </c>
      <c r="F31" s="12">
        <f t="shared" si="7"/>
        <v>11133</v>
      </c>
      <c r="G31" s="12">
        <f t="shared" si="7"/>
        <v>0</v>
      </c>
      <c r="H31" s="12">
        <f t="shared" si="7"/>
        <v>0</v>
      </c>
      <c r="I31" s="12">
        <f t="shared" si="7"/>
        <v>0</v>
      </c>
      <c r="J31" s="12">
        <f t="shared" si="7"/>
        <v>0</v>
      </c>
      <c r="K31" s="12">
        <f t="shared" si="7"/>
        <v>0</v>
      </c>
      <c r="L31" s="2" t="s">
        <v>48</v>
      </c>
      <c r="M31" s="2"/>
    </row>
    <row r="32" spans="1:13" x14ac:dyDescent="0.35">
      <c r="A32" s="8" t="s">
        <v>75</v>
      </c>
      <c r="B32" s="13">
        <v>4487.268</v>
      </c>
      <c r="C32" s="13">
        <v>4448.6930000000002</v>
      </c>
      <c r="D32" s="13">
        <v>4418.1369999999997</v>
      </c>
      <c r="E32" s="13">
        <v>4357.25</v>
      </c>
      <c r="F32" s="13">
        <v>4310.5309999999999</v>
      </c>
      <c r="G32" s="14"/>
      <c r="H32" s="14"/>
      <c r="I32" s="14"/>
      <c r="J32" s="14"/>
      <c r="K32" s="14"/>
      <c r="L32" s="2" t="s">
        <v>43</v>
      </c>
      <c r="M32" s="2" t="s">
        <v>76</v>
      </c>
    </row>
    <row r="33" spans="1:13" x14ac:dyDescent="0.35">
      <c r="A33" s="8" t="s">
        <v>77</v>
      </c>
      <c r="B33" s="15">
        <f t="shared" ref="B33:K33" si="8">IFERROR(B31/B32,0)</f>
        <v>3.5469243200985545</v>
      </c>
      <c r="C33" s="15">
        <f t="shared" si="8"/>
        <v>10.544670086247804</v>
      </c>
      <c r="D33" s="15">
        <f t="shared" si="8"/>
        <v>3.5030602265162898</v>
      </c>
      <c r="E33" s="15">
        <f t="shared" si="8"/>
        <v>2.8788800275403066</v>
      </c>
      <c r="F33" s="15">
        <f t="shared" si="8"/>
        <v>2.5827444461018838</v>
      </c>
      <c r="G33" s="15">
        <f t="shared" si="8"/>
        <v>0</v>
      </c>
      <c r="H33" s="15">
        <f t="shared" si="8"/>
        <v>0</v>
      </c>
      <c r="I33" s="15">
        <f t="shared" si="8"/>
        <v>0</v>
      </c>
      <c r="J33" s="15">
        <f t="shared" si="8"/>
        <v>0</v>
      </c>
      <c r="K33" s="15">
        <f t="shared" si="8"/>
        <v>0</v>
      </c>
      <c r="L33" s="2" t="s">
        <v>48</v>
      </c>
      <c r="M33" s="2"/>
    </row>
    <row r="35" spans="1:13" x14ac:dyDescent="0.35">
      <c r="A35" s="6" t="s">
        <v>78</v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3" x14ac:dyDescent="0.35">
      <c r="A36" s="8" t="s">
        <v>79</v>
      </c>
      <c r="B36" s="9">
        <v>16126</v>
      </c>
      <c r="C36" s="9">
        <v>18038</v>
      </c>
      <c r="D36" s="9">
        <v>18929</v>
      </c>
      <c r="E36" s="9">
        <v>23051</v>
      </c>
      <c r="F36" s="9">
        <v>24838</v>
      </c>
      <c r="G36" s="10"/>
      <c r="H36" s="10"/>
      <c r="I36" s="10"/>
      <c r="J36" s="10"/>
      <c r="K36" s="10"/>
      <c r="L36" s="2" t="s">
        <v>43</v>
      </c>
      <c r="M36" s="2" t="s">
        <v>80</v>
      </c>
    </row>
    <row r="37" spans="1:13" x14ac:dyDescent="0.35">
      <c r="A37" s="8" t="s">
        <v>81</v>
      </c>
      <c r="B37" s="12">
        <f t="shared" ref="B37:K37" si="9">B14+B36</f>
        <v>48706</v>
      </c>
      <c r="C37" s="12">
        <f t="shared" si="9"/>
        <v>71734</v>
      </c>
      <c r="D37" s="12">
        <f t="shared" si="9"/>
        <v>54384</v>
      </c>
      <c r="E37" s="12">
        <f t="shared" si="9"/>
        <v>56200</v>
      </c>
      <c r="F37" s="12">
        <f t="shared" si="9"/>
        <v>58984</v>
      </c>
      <c r="G37" s="12">
        <f t="shared" si="9"/>
        <v>0</v>
      </c>
      <c r="H37" s="12">
        <f t="shared" si="9"/>
        <v>0</v>
      </c>
      <c r="I37" s="12">
        <f t="shared" si="9"/>
        <v>0</v>
      </c>
      <c r="J37" s="12">
        <f t="shared" si="9"/>
        <v>0</v>
      </c>
      <c r="K37" s="12">
        <f t="shared" si="9"/>
        <v>0</v>
      </c>
      <c r="L37" s="2" t="s">
        <v>48</v>
      </c>
      <c r="M37" s="2"/>
    </row>
  </sheetData>
  <mergeCells count="2">
    <mergeCell ref="G3:K3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x14ac:dyDescent="0.35">
      <c r="A1" s="1" t="s">
        <v>82</v>
      </c>
    </row>
    <row r="2" spans="1:13" x14ac:dyDescent="0.35">
      <c r="A2" s="2" t="s">
        <v>83</v>
      </c>
    </row>
    <row r="3" spans="1:13" x14ac:dyDescent="0.35">
      <c r="B3" s="23" t="s">
        <v>26</v>
      </c>
      <c r="C3" s="22"/>
      <c r="D3" s="22"/>
      <c r="E3" s="22"/>
      <c r="F3" s="22"/>
      <c r="G3" s="21" t="s">
        <v>27</v>
      </c>
      <c r="H3" s="22"/>
      <c r="I3" s="22"/>
      <c r="J3" s="22"/>
      <c r="K3" s="22"/>
    </row>
    <row r="4" spans="1:13" x14ac:dyDescent="0.35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4" t="s">
        <v>39</v>
      </c>
      <c r="M4" s="4" t="s">
        <v>40</v>
      </c>
    </row>
    <row r="5" spans="1:13" x14ac:dyDescent="0.35">
      <c r="A5" s="3" t="s">
        <v>70</v>
      </c>
      <c r="B5" s="16">
        <v>17382</v>
      </c>
      <c r="C5" s="16">
        <v>48485</v>
      </c>
      <c r="D5" s="16">
        <v>16922</v>
      </c>
      <c r="E5" s="16">
        <v>14043</v>
      </c>
      <c r="F5" s="16">
        <v>12946</v>
      </c>
      <c r="G5" s="17"/>
      <c r="H5" s="17"/>
      <c r="I5" s="17"/>
      <c r="J5" s="17"/>
      <c r="K5" s="17"/>
      <c r="L5" s="2" t="s">
        <v>43</v>
      </c>
      <c r="M5" s="2" t="s">
        <v>84</v>
      </c>
    </row>
    <row r="7" spans="1:13" x14ac:dyDescent="0.35">
      <c r="A7" s="6" t="s">
        <v>85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3" x14ac:dyDescent="0.35">
      <c r="A8" s="8" t="s">
        <v>86</v>
      </c>
      <c r="B8" s="9">
        <v>-112</v>
      </c>
      <c r="C8" s="9">
        <v>-32</v>
      </c>
      <c r="D8" s="9">
        <v>-236</v>
      </c>
      <c r="E8" s="9">
        <v>-43</v>
      </c>
      <c r="F8" s="9">
        <v>-118</v>
      </c>
      <c r="G8" s="10"/>
      <c r="H8" s="10"/>
      <c r="I8" s="10"/>
      <c r="J8" s="10"/>
      <c r="K8" s="10"/>
      <c r="L8" s="2" t="s">
        <v>43</v>
      </c>
      <c r="M8" s="2" t="s">
        <v>87</v>
      </c>
    </row>
    <row r="9" spans="1:13" x14ac:dyDescent="0.35">
      <c r="A9" s="8" t="s">
        <v>88</v>
      </c>
      <c r="B9" s="9">
        <v>1543</v>
      </c>
      <c r="C9" s="9">
        <v>800</v>
      </c>
      <c r="D9" s="9">
        <v>-349</v>
      </c>
      <c r="E9" s="9">
        <v>802</v>
      </c>
      <c r="F9" s="9">
        <v>-433</v>
      </c>
      <c r="G9" s="10"/>
      <c r="H9" s="10"/>
      <c r="I9" s="10"/>
      <c r="J9" s="10"/>
      <c r="K9" s="10"/>
      <c r="L9" s="2" t="s">
        <v>43</v>
      </c>
      <c r="M9" s="2" t="s">
        <v>87</v>
      </c>
    </row>
    <row r="10" spans="1:13" x14ac:dyDescent="0.35">
      <c r="A10" s="8" t="s">
        <v>89</v>
      </c>
      <c r="B10" s="9">
        <v>-432</v>
      </c>
      <c r="C10" s="9">
        <v>-207</v>
      </c>
      <c r="D10" s="9">
        <v>164</v>
      </c>
      <c r="E10" s="9">
        <v>-540</v>
      </c>
      <c r="F10" s="9">
        <v>369</v>
      </c>
      <c r="G10" s="10"/>
      <c r="H10" s="10"/>
      <c r="I10" s="10"/>
      <c r="J10" s="10"/>
      <c r="K10" s="10"/>
      <c r="L10" s="2" t="s">
        <v>43</v>
      </c>
      <c r="M10" s="2" t="s">
        <v>87</v>
      </c>
    </row>
    <row r="11" spans="1:13" x14ac:dyDescent="0.35">
      <c r="A11" s="3" t="s">
        <v>90</v>
      </c>
      <c r="B11" s="11">
        <f t="shared" ref="B11:K11" si="0">SUM(B8:B10)</f>
        <v>999</v>
      </c>
      <c r="C11" s="11">
        <f t="shared" si="0"/>
        <v>561</v>
      </c>
      <c r="D11" s="11">
        <f t="shared" si="0"/>
        <v>-421</v>
      </c>
      <c r="E11" s="11">
        <f t="shared" si="0"/>
        <v>219</v>
      </c>
      <c r="F11" s="11">
        <f t="shared" si="0"/>
        <v>-182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2" t="s">
        <v>48</v>
      </c>
      <c r="M11" s="2"/>
    </row>
    <row r="12" spans="1:13" x14ac:dyDescent="0.35">
      <c r="A12" s="6" t="s">
        <v>91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3" x14ac:dyDescent="0.35">
      <c r="A13" s="8" t="s">
        <v>92</v>
      </c>
      <c r="B13" s="9">
        <v>-723</v>
      </c>
      <c r="C13" s="9">
        <v>667</v>
      </c>
      <c r="D13" s="9">
        <v>1100</v>
      </c>
      <c r="E13" s="9">
        <v>-3407</v>
      </c>
      <c r="F13" s="9">
        <v>2096</v>
      </c>
      <c r="G13" s="10"/>
      <c r="H13" s="10"/>
      <c r="I13" s="10"/>
      <c r="J13" s="10"/>
      <c r="K13" s="10"/>
      <c r="L13" s="2" t="s">
        <v>43</v>
      </c>
      <c r="M13" s="2" t="s">
        <v>87</v>
      </c>
    </row>
    <row r="14" spans="1:13" x14ac:dyDescent="0.35">
      <c r="A14" s="8" t="s">
        <v>93</v>
      </c>
      <c r="B14" s="9">
        <v>2114</v>
      </c>
      <c r="C14" s="9">
        <v>-9862</v>
      </c>
      <c r="D14" s="9">
        <v>-15635</v>
      </c>
      <c r="E14" s="9">
        <v>15551</v>
      </c>
      <c r="F14" s="9">
        <v>-10811</v>
      </c>
      <c r="G14" s="10"/>
      <c r="H14" s="10"/>
      <c r="I14" s="10"/>
      <c r="J14" s="10"/>
      <c r="K14" s="10"/>
      <c r="L14" s="2" t="s">
        <v>43</v>
      </c>
      <c r="M14" s="2" t="s">
        <v>87</v>
      </c>
    </row>
    <row r="15" spans="1:13" x14ac:dyDescent="0.35">
      <c r="A15" s="8" t="s">
        <v>94</v>
      </c>
      <c r="B15" s="9">
        <v>2988</v>
      </c>
      <c r="C15" s="9">
        <v>-2213</v>
      </c>
      <c r="D15" s="9">
        <v>938</v>
      </c>
      <c r="E15" s="9">
        <v>287</v>
      </c>
      <c r="F15" s="9">
        <v>-1800</v>
      </c>
      <c r="G15" s="10"/>
      <c r="H15" s="10"/>
      <c r="I15" s="10"/>
      <c r="J15" s="10"/>
      <c r="K15" s="10"/>
      <c r="L15" s="2" t="s">
        <v>43</v>
      </c>
      <c r="M15" s="2" t="s">
        <v>87</v>
      </c>
    </row>
    <row r="16" spans="1:13" x14ac:dyDescent="0.35">
      <c r="A16" s="8" t="s">
        <v>89</v>
      </c>
      <c r="B16" s="9">
        <v>-937</v>
      </c>
      <c r="C16" s="9">
        <v>142</v>
      </c>
      <c r="D16" s="9">
        <v>-772</v>
      </c>
      <c r="E16" s="9">
        <v>1164</v>
      </c>
      <c r="F16" s="9">
        <v>-348</v>
      </c>
      <c r="G16" s="10"/>
      <c r="H16" s="10"/>
      <c r="I16" s="10"/>
      <c r="J16" s="10"/>
      <c r="K16" s="10"/>
      <c r="L16" s="2" t="s">
        <v>43</v>
      </c>
      <c r="M16" s="2" t="s">
        <v>87</v>
      </c>
    </row>
    <row r="17" spans="1:13" x14ac:dyDescent="0.35">
      <c r="A17" s="3" t="s">
        <v>90</v>
      </c>
      <c r="B17" s="11">
        <f t="shared" ref="B17:K17" si="1">SUM(B13:B16)</f>
        <v>3442</v>
      </c>
      <c r="C17" s="11">
        <f t="shared" si="1"/>
        <v>-11266</v>
      </c>
      <c r="D17" s="11">
        <f t="shared" si="1"/>
        <v>-14369</v>
      </c>
      <c r="E17" s="11">
        <f t="shared" si="1"/>
        <v>13595</v>
      </c>
      <c r="F17" s="11">
        <f t="shared" si="1"/>
        <v>-10863</v>
      </c>
      <c r="G17" s="11">
        <f t="shared" si="1"/>
        <v>0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2" t="s">
        <v>48</v>
      </c>
      <c r="M17" s="2"/>
    </row>
    <row r="18" spans="1:13" x14ac:dyDescent="0.35">
      <c r="A18" s="3" t="s">
        <v>95</v>
      </c>
      <c r="B18" s="11">
        <f t="shared" ref="B18:K18" si="2">B11+B17</f>
        <v>4441</v>
      </c>
      <c r="C18" s="11">
        <f t="shared" si="2"/>
        <v>-10705</v>
      </c>
      <c r="D18" s="11">
        <f t="shared" si="2"/>
        <v>-14790</v>
      </c>
      <c r="E18" s="11">
        <f t="shared" si="2"/>
        <v>13814</v>
      </c>
      <c r="F18" s="11">
        <f t="shared" si="2"/>
        <v>-11045</v>
      </c>
      <c r="G18" s="11">
        <f t="shared" si="2"/>
        <v>0</v>
      </c>
      <c r="H18" s="11">
        <f t="shared" si="2"/>
        <v>0</v>
      </c>
      <c r="I18" s="11">
        <f t="shared" si="2"/>
        <v>0</v>
      </c>
      <c r="J18" s="11">
        <f t="shared" si="2"/>
        <v>0</v>
      </c>
      <c r="K18" s="11">
        <f t="shared" si="2"/>
        <v>0</v>
      </c>
      <c r="L18" s="2" t="s">
        <v>48</v>
      </c>
      <c r="M18" s="2"/>
    </row>
    <row r="19" spans="1:13" x14ac:dyDescent="0.35">
      <c r="A19" s="3" t="s">
        <v>96</v>
      </c>
      <c r="B19" s="11">
        <f t="shared" ref="B19:K19" si="3">B5+B18</f>
        <v>21823</v>
      </c>
      <c r="C19" s="11">
        <f t="shared" si="3"/>
        <v>37780</v>
      </c>
      <c r="D19" s="11">
        <f t="shared" si="3"/>
        <v>2132</v>
      </c>
      <c r="E19" s="11">
        <f t="shared" si="3"/>
        <v>27857</v>
      </c>
      <c r="F19" s="11">
        <f t="shared" si="3"/>
        <v>1901</v>
      </c>
      <c r="G19" s="11">
        <f t="shared" si="3"/>
        <v>0</v>
      </c>
      <c r="H19" s="11">
        <f t="shared" si="3"/>
        <v>0</v>
      </c>
      <c r="I19" s="11">
        <f t="shared" si="3"/>
        <v>0</v>
      </c>
      <c r="J19" s="11">
        <f t="shared" si="3"/>
        <v>0</v>
      </c>
      <c r="K19" s="11">
        <f t="shared" si="3"/>
        <v>0</v>
      </c>
      <c r="L19" s="2" t="s">
        <v>48</v>
      </c>
      <c r="M19" s="2"/>
    </row>
    <row r="20" spans="1:13" x14ac:dyDescent="0.35">
      <c r="A20" s="8" t="s">
        <v>97</v>
      </c>
      <c r="B20" s="9">
        <v>1470</v>
      </c>
      <c r="C20" s="9">
        <v>1155</v>
      </c>
      <c r="D20" s="9">
        <v>1540</v>
      </c>
      <c r="E20" s="9">
        <v>1677</v>
      </c>
      <c r="F20" s="9">
        <v>2012</v>
      </c>
      <c r="G20" s="10"/>
      <c r="H20" s="10"/>
      <c r="I20" s="10"/>
      <c r="J20" s="10"/>
      <c r="K20" s="10"/>
      <c r="L20" s="2" t="s">
        <v>43</v>
      </c>
      <c r="M20" s="2" t="s">
        <v>87</v>
      </c>
    </row>
    <row r="21" spans="1:13" x14ac:dyDescent="0.35">
      <c r="A21" s="8" t="s">
        <v>98</v>
      </c>
      <c r="B21" s="12">
        <f t="shared" ref="B21:K21" si="4">B19-B20</f>
        <v>20353</v>
      </c>
      <c r="C21" s="12">
        <f t="shared" si="4"/>
        <v>36625</v>
      </c>
      <c r="D21" s="12">
        <f t="shared" si="4"/>
        <v>592</v>
      </c>
      <c r="E21" s="12">
        <f t="shared" si="4"/>
        <v>26180</v>
      </c>
      <c r="F21" s="12">
        <f t="shared" si="4"/>
        <v>-111</v>
      </c>
      <c r="G21" s="12">
        <f t="shared" si="4"/>
        <v>0</v>
      </c>
      <c r="H21" s="12">
        <f t="shared" si="4"/>
        <v>0</v>
      </c>
      <c r="I21" s="12">
        <f t="shared" si="4"/>
        <v>0</v>
      </c>
      <c r="J21" s="12">
        <f t="shared" si="4"/>
        <v>0</v>
      </c>
      <c r="K21" s="12">
        <f t="shared" si="4"/>
        <v>0</v>
      </c>
      <c r="L21" s="2" t="s">
        <v>48</v>
      </c>
      <c r="M21" s="2"/>
    </row>
  </sheetData>
  <mergeCells count="2">
    <mergeCell ref="G3:K3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x14ac:dyDescent="0.35">
      <c r="A1" s="1" t="s">
        <v>99</v>
      </c>
    </row>
    <row r="2" spans="1:13" x14ac:dyDescent="0.35">
      <c r="A2" s="2" t="s">
        <v>100</v>
      </c>
    </row>
    <row r="3" spans="1:13" x14ac:dyDescent="0.35">
      <c r="B3" s="23" t="s">
        <v>26</v>
      </c>
      <c r="C3" s="22"/>
      <c r="D3" s="22"/>
      <c r="E3" s="22"/>
      <c r="F3" s="22"/>
      <c r="G3" s="21" t="s">
        <v>27</v>
      </c>
      <c r="H3" s="22"/>
      <c r="I3" s="22"/>
      <c r="J3" s="22"/>
      <c r="K3" s="22"/>
    </row>
    <row r="4" spans="1:13" x14ac:dyDescent="0.35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4" t="s">
        <v>39</v>
      </c>
      <c r="M4" s="4" t="s">
        <v>40</v>
      </c>
    </row>
    <row r="5" spans="1:13" x14ac:dyDescent="0.35">
      <c r="A5" s="6" t="s">
        <v>101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 x14ac:dyDescent="0.35">
      <c r="A6" s="8" t="s">
        <v>102</v>
      </c>
      <c r="B6" s="9">
        <v>8748</v>
      </c>
      <c r="C6" s="9">
        <v>12313</v>
      </c>
      <c r="D6" s="9">
        <v>6353</v>
      </c>
      <c r="E6" s="9">
        <v>8057</v>
      </c>
      <c r="F6" s="9">
        <v>8535</v>
      </c>
      <c r="G6" s="10"/>
      <c r="H6" s="10"/>
      <c r="I6" s="10"/>
      <c r="J6" s="10"/>
      <c r="K6" s="10"/>
      <c r="L6" s="2" t="s">
        <v>43</v>
      </c>
      <c r="M6" s="2" t="s">
        <v>103</v>
      </c>
    </row>
    <row r="7" spans="1:13" x14ac:dyDescent="0.35">
      <c r="A7" s="8" t="s">
        <v>104</v>
      </c>
      <c r="B7" s="9">
        <v>27170</v>
      </c>
      <c r="C7" s="9">
        <v>32185</v>
      </c>
      <c r="D7" s="9">
        <v>33269</v>
      </c>
      <c r="E7" s="9">
        <v>36659</v>
      </c>
      <c r="F7" s="9">
        <v>35782</v>
      </c>
      <c r="G7" s="10"/>
      <c r="H7" s="10"/>
      <c r="I7" s="10"/>
      <c r="J7" s="10"/>
      <c r="K7" s="10"/>
      <c r="L7" s="2" t="s">
        <v>43</v>
      </c>
      <c r="M7" s="2" t="s">
        <v>105</v>
      </c>
    </row>
    <row r="8" spans="1:13" x14ac:dyDescent="0.35">
      <c r="A8" s="8" t="s">
        <v>106</v>
      </c>
      <c r="B8" s="9">
        <v>13710</v>
      </c>
      <c r="C8" s="9">
        <v>16989</v>
      </c>
      <c r="D8" s="9">
        <v>16120</v>
      </c>
      <c r="E8" s="9">
        <v>18832</v>
      </c>
      <c r="F8" s="9">
        <v>17151</v>
      </c>
      <c r="G8" s="10"/>
      <c r="H8" s="10"/>
      <c r="I8" s="10"/>
      <c r="J8" s="10"/>
      <c r="K8" s="10"/>
      <c r="L8" s="2" t="s">
        <v>43</v>
      </c>
      <c r="M8" s="2" t="s">
        <v>105</v>
      </c>
    </row>
    <row r="9" spans="1:13" x14ac:dyDescent="0.35">
      <c r="A9" s="8" t="s">
        <v>107</v>
      </c>
      <c r="B9" s="9">
        <v>2296</v>
      </c>
      <c r="C9" s="9">
        <v>928</v>
      </c>
      <c r="D9" s="9">
        <v>1378</v>
      </c>
      <c r="E9" s="9">
        <v>1371</v>
      </c>
      <c r="F9" s="9">
        <v>1798</v>
      </c>
      <c r="G9" s="10"/>
      <c r="H9" s="10"/>
      <c r="I9" s="10"/>
      <c r="J9" s="10"/>
      <c r="K9" s="10"/>
      <c r="L9" s="2" t="s">
        <v>43</v>
      </c>
      <c r="M9" s="2" t="s">
        <v>105</v>
      </c>
    </row>
    <row r="10" spans="1:13" x14ac:dyDescent="0.35">
      <c r="A10" s="8" t="s">
        <v>108</v>
      </c>
      <c r="B10" s="9">
        <v>1293</v>
      </c>
      <c r="C10" s="9">
        <v>38</v>
      </c>
      <c r="D10" s="9">
        <v>119</v>
      </c>
      <c r="E10" s="9">
        <v>1417</v>
      </c>
      <c r="F10" s="9">
        <v>60</v>
      </c>
      <c r="G10" s="10"/>
      <c r="H10" s="10"/>
      <c r="I10" s="10"/>
      <c r="J10" s="10"/>
      <c r="K10" s="10"/>
      <c r="L10" s="2" t="s">
        <v>43</v>
      </c>
      <c r="M10" s="2" t="s">
        <v>105</v>
      </c>
    </row>
    <row r="11" spans="1:13" x14ac:dyDescent="0.35">
      <c r="A11" s="8" t="s">
        <v>109</v>
      </c>
      <c r="B11" s="9">
        <v>0</v>
      </c>
      <c r="C11" s="9">
        <v>879</v>
      </c>
      <c r="D11" s="9">
        <v>1519</v>
      </c>
      <c r="E11" s="9">
        <v>577</v>
      </c>
      <c r="F11" s="9">
        <v>459</v>
      </c>
      <c r="G11" s="10"/>
      <c r="H11" s="10"/>
      <c r="I11" s="10"/>
      <c r="J11" s="10"/>
      <c r="K11" s="10"/>
      <c r="L11" s="2" t="s">
        <v>43</v>
      </c>
      <c r="M11" s="2" t="s">
        <v>105</v>
      </c>
    </row>
    <row r="12" spans="1:13" x14ac:dyDescent="0.35">
      <c r="A12" s="8" t="s">
        <v>110</v>
      </c>
      <c r="B12" s="9">
        <v>194</v>
      </c>
      <c r="C12" s="9">
        <v>138</v>
      </c>
      <c r="D12" s="9">
        <v>156</v>
      </c>
      <c r="E12" s="9">
        <v>267</v>
      </c>
      <c r="F12" s="9">
        <v>886</v>
      </c>
      <c r="G12" s="10"/>
      <c r="H12" s="10"/>
      <c r="I12" s="10"/>
      <c r="J12" s="10"/>
      <c r="K12" s="10"/>
      <c r="L12" s="2" t="s">
        <v>43</v>
      </c>
      <c r="M12" s="2" t="s">
        <v>105</v>
      </c>
    </row>
    <row r="13" spans="1:13" x14ac:dyDescent="0.35">
      <c r="A13" s="3" t="s">
        <v>111</v>
      </c>
      <c r="B13" s="11">
        <f t="shared" ref="B13:K13" si="0">SUM(B6:B12)</f>
        <v>53411</v>
      </c>
      <c r="C13" s="11">
        <f t="shared" si="0"/>
        <v>63470</v>
      </c>
      <c r="D13" s="11">
        <f t="shared" si="0"/>
        <v>58914</v>
      </c>
      <c r="E13" s="11">
        <f t="shared" si="0"/>
        <v>67180</v>
      </c>
      <c r="F13" s="11">
        <f t="shared" si="0"/>
        <v>64671</v>
      </c>
      <c r="G13" s="11">
        <f t="shared" si="0"/>
        <v>0</v>
      </c>
      <c r="H13" s="11">
        <f t="shared" si="0"/>
        <v>0</v>
      </c>
      <c r="I13" s="11">
        <f t="shared" si="0"/>
        <v>0</v>
      </c>
      <c r="J13" s="11">
        <f t="shared" si="0"/>
        <v>0</v>
      </c>
      <c r="K13" s="11">
        <f t="shared" si="0"/>
        <v>0</v>
      </c>
      <c r="L13" s="2" t="s">
        <v>48</v>
      </c>
      <c r="M13" s="2"/>
    </row>
    <row r="14" spans="1:13" x14ac:dyDescent="0.35">
      <c r="A14" s="8" t="s">
        <v>112</v>
      </c>
      <c r="B14" s="9">
        <v>103891</v>
      </c>
      <c r="C14" s="9">
        <v>113505</v>
      </c>
      <c r="D14" s="9">
        <v>129156</v>
      </c>
      <c r="E14" s="9">
        <v>155376</v>
      </c>
      <c r="F14" s="9">
        <v>157423</v>
      </c>
      <c r="G14" s="10"/>
      <c r="H14" s="10"/>
      <c r="I14" s="10"/>
      <c r="J14" s="10"/>
      <c r="K14" s="10"/>
      <c r="L14" s="2" t="s">
        <v>43</v>
      </c>
      <c r="M14" s="2" t="s">
        <v>105</v>
      </c>
    </row>
    <row r="15" spans="1:13" x14ac:dyDescent="0.35">
      <c r="A15" s="8" t="s">
        <v>113</v>
      </c>
      <c r="B15" s="9">
        <v>30754</v>
      </c>
      <c r="C15" s="9">
        <v>28477</v>
      </c>
      <c r="D15" s="9">
        <v>25848</v>
      </c>
      <c r="E15" s="9">
        <v>34220</v>
      </c>
      <c r="F15" s="9">
        <v>32757</v>
      </c>
      <c r="G15" s="10"/>
      <c r="H15" s="10"/>
      <c r="I15" s="10"/>
      <c r="J15" s="10"/>
      <c r="K15" s="10"/>
      <c r="L15" s="2" t="s">
        <v>43</v>
      </c>
      <c r="M15" s="2" t="s">
        <v>105</v>
      </c>
    </row>
    <row r="16" spans="1:13" x14ac:dyDescent="0.35">
      <c r="A16" s="8" t="s">
        <v>114</v>
      </c>
      <c r="B16" s="9">
        <v>3891</v>
      </c>
      <c r="C16" s="9">
        <v>4398</v>
      </c>
      <c r="D16" s="9">
        <v>5031</v>
      </c>
      <c r="E16" s="9">
        <v>7531</v>
      </c>
      <c r="F16" s="9">
        <v>7018</v>
      </c>
      <c r="G16" s="10"/>
      <c r="H16" s="10"/>
      <c r="I16" s="10"/>
      <c r="J16" s="10"/>
      <c r="K16" s="10"/>
      <c r="L16" s="2" t="s">
        <v>43</v>
      </c>
      <c r="M16" s="2" t="s">
        <v>105</v>
      </c>
    </row>
    <row r="17" spans="1:13" x14ac:dyDescent="0.35">
      <c r="A17" s="8" t="s">
        <v>108</v>
      </c>
      <c r="B17" s="9">
        <v>1962</v>
      </c>
      <c r="C17" s="9">
        <v>2005</v>
      </c>
      <c r="D17" s="9">
        <v>468</v>
      </c>
      <c r="E17" s="9">
        <v>784</v>
      </c>
      <c r="F17" s="9">
        <v>657</v>
      </c>
      <c r="G17" s="10"/>
      <c r="H17" s="10"/>
      <c r="I17" s="10"/>
      <c r="J17" s="10"/>
      <c r="K17" s="10"/>
      <c r="L17" s="2" t="s">
        <v>43</v>
      </c>
      <c r="M17" s="2" t="s">
        <v>105</v>
      </c>
    </row>
    <row r="18" spans="1:13" x14ac:dyDescent="0.35">
      <c r="A18" s="8" t="s">
        <v>115</v>
      </c>
      <c r="B18" s="9">
        <v>7861</v>
      </c>
      <c r="C18" s="9">
        <v>3962</v>
      </c>
      <c r="D18" s="9">
        <v>7313</v>
      </c>
      <c r="E18" s="9">
        <v>6884</v>
      </c>
      <c r="F18" s="9">
        <v>6908</v>
      </c>
      <c r="G18" s="10"/>
      <c r="H18" s="10"/>
      <c r="I18" s="10"/>
      <c r="J18" s="10"/>
      <c r="K18" s="10"/>
      <c r="L18" s="2" t="s">
        <v>43</v>
      </c>
      <c r="M18" s="2" t="s">
        <v>105</v>
      </c>
    </row>
    <row r="19" spans="1:13" x14ac:dyDescent="0.35">
      <c r="A19" s="8" t="s">
        <v>116</v>
      </c>
      <c r="B19" s="9">
        <v>56965</v>
      </c>
      <c r="C19" s="9">
        <v>59062</v>
      </c>
      <c r="D19" s="9">
        <v>55101</v>
      </c>
      <c r="E19" s="9">
        <v>65808</v>
      </c>
      <c r="F19" s="9">
        <v>62947</v>
      </c>
      <c r="G19" s="10"/>
      <c r="H19" s="10"/>
      <c r="I19" s="10"/>
      <c r="J19" s="10"/>
      <c r="K19" s="10"/>
      <c r="L19" s="2" t="s">
        <v>43</v>
      </c>
      <c r="M19" s="2" t="s">
        <v>105</v>
      </c>
    </row>
    <row r="20" spans="1:13" x14ac:dyDescent="0.35">
      <c r="A20" s="8" t="s">
        <v>117</v>
      </c>
      <c r="B20" s="9">
        <v>74565</v>
      </c>
      <c r="C20" s="9">
        <v>68085</v>
      </c>
      <c r="D20" s="9">
        <v>62000</v>
      </c>
      <c r="E20" s="9">
        <v>75100</v>
      </c>
      <c r="F20" s="9">
        <v>72568</v>
      </c>
      <c r="G20" s="10"/>
      <c r="H20" s="10"/>
      <c r="I20" s="10"/>
      <c r="J20" s="10"/>
      <c r="K20" s="10"/>
      <c r="L20" s="2" t="s">
        <v>43</v>
      </c>
      <c r="M20" s="2" t="s">
        <v>105</v>
      </c>
    </row>
    <row r="21" spans="1:13" x14ac:dyDescent="0.35">
      <c r="A21" s="8" t="s">
        <v>118</v>
      </c>
      <c r="B21" s="9">
        <v>4340</v>
      </c>
      <c r="C21" s="9">
        <v>4800</v>
      </c>
      <c r="D21" s="9">
        <v>4271</v>
      </c>
      <c r="E21" s="9">
        <v>3921</v>
      </c>
      <c r="F21" s="9">
        <v>4856</v>
      </c>
      <c r="G21" s="10"/>
      <c r="H21" s="10"/>
      <c r="I21" s="10"/>
      <c r="J21" s="10"/>
      <c r="K21" s="10"/>
      <c r="L21" s="2" t="s">
        <v>43</v>
      </c>
      <c r="M21" s="2" t="s">
        <v>105</v>
      </c>
    </row>
    <row r="22" spans="1:13" x14ac:dyDescent="0.35">
      <c r="A22" s="3" t="s">
        <v>119</v>
      </c>
      <c r="B22" s="11">
        <f t="shared" ref="B22:K22" si="1">B13+SUM(B14:B21)</f>
        <v>337640</v>
      </c>
      <c r="C22" s="11">
        <f t="shared" si="1"/>
        <v>347764</v>
      </c>
      <c r="D22" s="11">
        <f t="shared" si="1"/>
        <v>348102</v>
      </c>
      <c r="E22" s="11">
        <f t="shared" si="1"/>
        <v>416804</v>
      </c>
      <c r="F22" s="11">
        <f t="shared" si="1"/>
        <v>409805</v>
      </c>
      <c r="G22" s="11">
        <f t="shared" si="1"/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2" t="s">
        <v>48</v>
      </c>
      <c r="M22" s="2"/>
    </row>
    <row r="24" spans="1:13" x14ac:dyDescent="0.35">
      <c r="A24" s="6" t="s">
        <v>120</v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3" x14ac:dyDescent="0.35">
      <c r="A25" s="8" t="s">
        <v>121</v>
      </c>
      <c r="B25" s="9">
        <v>10625</v>
      </c>
      <c r="C25" s="9">
        <v>6435</v>
      </c>
      <c r="D25" s="9">
        <v>12932</v>
      </c>
      <c r="E25" s="9">
        <v>4862</v>
      </c>
      <c r="F25" s="9">
        <v>12635</v>
      </c>
      <c r="G25" s="10"/>
      <c r="H25" s="10"/>
      <c r="I25" s="10"/>
      <c r="J25" s="10"/>
      <c r="K25" s="10"/>
      <c r="L25" s="2" t="s">
        <v>43</v>
      </c>
      <c r="M25" s="2" t="s">
        <v>105</v>
      </c>
    </row>
    <row r="26" spans="1:13" x14ac:dyDescent="0.35">
      <c r="A26" s="8" t="s">
        <v>122</v>
      </c>
      <c r="B26" s="9">
        <v>35752</v>
      </c>
      <c r="C26" s="9">
        <v>44058</v>
      </c>
      <c r="D26" s="9">
        <v>40409</v>
      </c>
      <c r="E26" s="9">
        <v>40815</v>
      </c>
      <c r="F26" s="9">
        <v>39074</v>
      </c>
      <c r="G26" s="10"/>
      <c r="H26" s="10"/>
      <c r="I26" s="10"/>
      <c r="J26" s="10"/>
      <c r="K26" s="10"/>
      <c r="L26" s="2" t="s">
        <v>43</v>
      </c>
      <c r="M26" s="2" t="s">
        <v>105</v>
      </c>
    </row>
    <row r="27" spans="1:13" x14ac:dyDescent="0.35">
      <c r="A27" s="8" t="s">
        <v>123</v>
      </c>
      <c r="B27" s="9">
        <v>24102</v>
      </c>
      <c r="C27" s="9">
        <v>24198</v>
      </c>
      <c r="D27" s="9">
        <v>22072</v>
      </c>
      <c r="E27" s="9">
        <v>27280</v>
      </c>
      <c r="F27" s="9">
        <v>26395</v>
      </c>
      <c r="G27" s="10"/>
      <c r="H27" s="10"/>
      <c r="I27" s="10"/>
      <c r="J27" s="10"/>
      <c r="K27" s="10"/>
      <c r="L27" s="2" t="s">
        <v>43</v>
      </c>
      <c r="M27" s="2" t="s">
        <v>105</v>
      </c>
    </row>
    <row r="28" spans="1:13" x14ac:dyDescent="0.35">
      <c r="A28" s="8" t="s">
        <v>124</v>
      </c>
      <c r="B28" s="9">
        <v>5793</v>
      </c>
      <c r="C28" s="9">
        <v>5930</v>
      </c>
      <c r="D28" s="9">
        <v>5751</v>
      </c>
      <c r="E28" s="9">
        <v>7140</v>
      </c>
      <c r="F28" s="9">
        <v>7076</v>
      </c>
      <c r="G28" s="10"/>
      <c r="H28" s="10"/>
      <c r="I28" s="10"/>
      <c r="J28" s="10"/>
      <c r="K28" s="10"/>
      <c r="L28" s="2" t="s">
        <v>43</v>
      </c>
      <c r="M28" s="2" t="s">
        <v>105</v>
      </c>
    </row>
    <row r="29" spans="1:13" x14ac:dyDescent="0.35">
      <c r="A29" s="8" t="s">
        <v>125</v>
      </c>
      <c r="B29" s="9">
        <v>1527</v>
      </c>
      <c r="C29" s="9">
        <v>1240</v>
      </c>
      <c r="D29" s="9">
        <v>1412</v>
      </c>
      <c r="E29" s="9">
        <v>1260</v>
      </c>
      <c r="F29" s="9">
        <v>1154</v>
      </c>
      <c r="G29" s="10"/>
      <c r="H29" s="10"/>
      <c r="I29" s="10"/>
      <c r="J29" s="10"/>
      <c r="K29" s="10"/>
      <c r="L29" s="2" t="s">
        <v>43</v>
      </c>
      <c r="M29" s="2" t="s">
        <v>105</v>
      </c>
    </row>
    <row r="30" spans="1:13" x14ac:dyDescent="0.35">
      <c r="A30" s="8" t="s">
        <v>126</v>
      </c>
      <c r="B30" s="9">
        <v>708</v>
      </c>
      <c r="C30" s="9">
        <v>4604</v>
      </c>
      <c r="D30" s="9">
        <v>665</v>
      </c>
      <c r="E30" s="9">
        <v>1535</v>
      </c>
      <c r="F30" s="9">
        <v>1059</v>
      </c>
      <c r="G30" s="10"/>
      <c r="H30" s="10"/>
      <c r="I30" s="10"/>
      <c r="J30" s="10"/>
      <c r="K30" s="10"/>
      <c r="L30" s="2" t="s">
        <v>43</v>
      </c>
      <c r="M30" s="2" t="s">
        <v>105</v>
      </c>
    </row>
    <row r="31" spans="1:13" x14ac:dyDescent="0.35">
      <c r="A31" s="8" t="s">
        <v>127</v>
      </c>
      <c r="B31" s="9">
        <v>1692</v>
      </c>
      <c r="C31" s="9">
        <v>1811</v>
      </c>
      <c r="D31" s="9">
        <v>1787</v>
      </c>
      <c r="E31" s="9">
        <v>1752</v>
      </c>
      <c r="F31" s="9">
        <v>1592</v>
      </c>
      <c r="G31" s="10"/>
      <c r="H31" s="10"/>
      <c r="I31" s="10"/>
      <c r="J31" s="10"/>
      <c r="K31" s="10"/>
      <c r="L31" s="2" t="s">
        <v>43</v>
      </c>
      <c r="M31" s="2" t="s">
        <v>105</v>
      </c>
    </row>
    <row r="32" spans="1:13" x14ac:dyDescent="0.35">
      <c r="A32" s="8" t="s">
        <v>108</v>
      </c>
      <c r="B32" s="9">
        <v>169</v>
      </c>
      <c r="C32" s="9">
        <v>1458</v>
      </c>
      <c r="D32" s="9">
        <v>2164</v>
      </c>
      <c r="E32" s="9">
        <v>511</v>
      </c>
      <c r="F32" s="9">
        <v>1588</v>
      </c>
      <c r="G32" s="10"/>
      <c r="H32" s="10"/>
      <c r="I32" s="10"/>
      <c r="J32" s="10"/>
      <c r="K32" s="10"/>
      <c r="L32" s="2" t="s">
        <v>43</v>
      </c>
      <c r="M32" s="2" t="s">
        <v>105</v>
      </c>
    </row>
    <row r="33" spans="1:13" x14ac:dyDescent="0.35">
      <c r="A33" s="8" t="s">
        <v>128</v>
      </c>
      <c r="B33" s="9">
        <v>392</v>
      </c>
      <c r="C33" s="9">
        <v>0</v>
      </c>
      <c r="D33" s="9">
        <v>0</v>
      </c>
      <c r="E33" s="9">
        <v>0</v>
      </c>
      <c r="F33" s="9">
        <v>0</v>
      </c>
      <c r="G33" s="10"/>
      <c r="H33" s="10"/>
      <c r="I33" s="10"/>
      <c r="J33" s="10"/>
      <c r="K33" s="10"/>
      <c r="L33" s="2" t="s">
        <v>43</v>
      </c>
      <c r="M33" s="2" t="s">
        <v>105</v>
      </c>
    </row>
    <row r="34" spans="1:13" x14ac:dyDescent="0.35">
      <c r="A34" s="3" t="s">
        <v>129</v>
      </c>
      <c r="B34" s="11">
        <f t="shared" ref="B34:K34" si="2">SUM(B25:B33)</f>
        <v>80760</v>
      </c>
      <c r="C34" s="11">
        <f t="shared" si="2"/>
        <v>89734</v>
      </c>
      <c r="D34" s="11">
        <f t="shared" si="2"/>
        <v>87192</v>
      </c>
      <c r="E34" s="11">
        <f t="shared" si="2"/>
        <v>85155</v>
      </c>
      <c r="F34" s="11">
        <f t="shared" si="2"/>
        <v>90573</v>
      </c>
      <c r="G34" s="11">
        <f t="shared" si="2"/>
        <v>0</v>
      </c>
      <c r="H34" s="11">
        <f t="shared" si="2"/>
        <v>0</v>
      </c>
      <c r="I34" s="11">
        <f t="shared" si="2"/>
        <v>0</v>
      </c>
      <c r="J34" s="11">
        <f t="shared" si="2"/>
        <v>0</v>
      </c>
      <c r="K34" s="11">
        <f t="shared" si="2"/>
        <v>0</v>
      </c>
      <c r="L34" s="2" t="s">
        <v>48</v>
      </c>
      <c r="M34" s="2"/>
    </row>
    <row r="35" spans="1:13" x14ac:dyDescent="0.35">
      <c r="A35" s="8" t="s">
        <v>130</v>
      </c>
      <c r="B35" s="9">
        <v>82230</v>
      </c>
      <c r="C35" s="9">
        <v>77619</v>
      </c>
      <c r="D35" s="9">
        <v>97003</v>
      </c>
      <c r="E35" s="9">
        <v>146043</v>
      </c>
      <c r="F35" s="9">
        <v>141028</v>
      </c>
      <c r="G35" s="10"/>
      <c r="H35" s="10"/>
      <c r="I35" s="10"/>
      <c r="J35" s="10"/>
      <c r="K35" s="10"/>
      <c r="L35" s="2" t="s">
        <v>43</v>
      </c>
      <c r="M35" s="2" t="s">
        <v>105</v>
      </c>
    </row>
    <row r="36" spans="1:13" x14ac:dyDescent="0.35">
      <c r="A36" s="8" t="s">
        <v>124</v>
      </c>
      <c r="B36" s="9">
        <v>25356</v>
      </c>
      <c r="C36" s="9">
        <v>23255</v>
      </c>
      <c r="D36" s="9">
        <v>21064</v>
      </c>
      <c r="E36" s="9">
        <v>28661</v>
      </c>
      <c r="F36" s="9">
        <v>27714</v>
      </c>
      <c r="G36" s="10"/>
      <c r="H36" s="10"/>
      <c r="I36" s="10"/>
      <c r="J36" s="10"/>
      <c r="K36" s="10"/>
      <c r="L36" s="2" t="s">
        <v>43</v>
      </c>
      <c r="M36" s="2" t="s">
        <v>105</v>
      </c>
    </row>
    <row r="37" spans="1:13" x14ac:dyDescent="0.35">
      <c r="A37" s="8" t="s">
        <v>108</v>
      </c>
      <c r="B37" s="9">
        <v>67</v>
      </c>
      <c r="C37" s="9">
        <v>590</v>
      </c>
      <c r="D37" s="9">
        <v>1888</v>
      </c>
      <c r="E37" s="9">
        <v>689</v>
      </c>
      <c r="F37" s="9">
        <v>2314</v>
      </c>
      <c r="G37" s="10"/>
      <c r="H37" s="10"/>
      <c r="I37" s="10"/>
      <c r="J37" s="10"/>
      <c r="K37" s="10"/>
      <c r="L37" s="2" t="s">
        <v>43</v>
      </c>
      <c r="M37" s="2" t="s">
        <v>105</v>
      </c>
    </row>
    <row r="38" spans="1:13" x14ac:dyDescent="0.35">
      <c r="A38" s="8" t="s">
        <v>131</v>
      </c>
      <c r="B38" s="9">
        <v>30712</v>
      </c>
      <c r="C38" s="9">
        <v>9382</v>
      </c>
      <c r="D38" s="9">
        <v>7217</v>
      </c>
      <c r="E38" s="9">
        <v>6635</v>
      </c>
      <c r="F38" s="9">
        <v>6507</v>
      </c>
      <c r="G38" s="10"/>
      <c r="H38" s="10"/>
      <c r="I38" s="10"/>
      <c r="J38" s="10"/>
      <c r="K38" s="10"/>
      <c r="L38" s="2" t="s">
        <v>43</v>
      </c>
      <c r="M38" s="2" t="s">
        <v>132</v>
      </c>
    </row>
    <row r="39" spans="1:13" x14ac:dyDescent="0.35">
      <c r="A39" s="8" t="s">
        <v>115</v>
      </c>
      <c r="B39" s="9">
        <v>7087</v>
      </c>
      <c r="C39" s="9">
        <v>7575</v>
      </c>
      <c r="D39" s="9">
        <v>9224</v>
      </c>
      <c r="E39" s="9">
        <v>8891</v>
      </c>
      <c r="F39" s="9">
        <v>8415</v>
      </c>
      <c r="G39" s="10"/>
      <c r="H39" s="10"/>
      <c r="I39" s="10"/>
      <c r="J39" s="10"/>
      <c r="K39" s="10"/>
      <c r="L39" s="2" t="s">
        <v>43</v>
      </c>
      <c r="M39" s="2" t="s">
        <v>105</v>
      </c>
    </row>
    <row r="40" spans="1:13" x14ac:dyDescent="0.35">
      <c r="A40" s="8" t="s">
        <v>133</v>
      </c>
      <c r="B40" s="9">
        <v>9822</v>
      </c>
      <c r="C40" s="9">
        <v>12007</v>
      </c>
      <c r="D40" s="9">
        <v>12886</v>
      </c>
      <c r="E40" s="9">
        <v>13032</v>
      </c>
      <c r="F40" s="9">
        <v>12999</v>
      </c>
      <c r="G40" s="10"/>
      <c r="H40" s="10"/>
      <c r="I40" s="10"/>
      <c r="J40" s="10"/>
      <c r="K40" s="10"/>
      <c r="L40" s="2" t="s">
        <v>43</v>
      </c>
      <c r="M40" s="2" t="s">
        <v>105</v>
      </c>
    </row>
    <row r="41" spans="1:13" x14ac:dyDescent="0.35">
      <c r="A41" s="3" t="s">
        <v>134</v>
      </c>
      <c r="B41" s="11">
        <f t="shared" ref="B41:K41" si="3">B34+SUM(B35:B40)</f>
        <v>236034</v>
      </c>
      <c r="C41" s="11">
        <f t="shared" si="3"/>
        <v>220162</v>
      </c>
      <c r="D41" s="11">
        <f t="shared" si="3"/>
        <v>236474</v>
      </c>
      <c r="E41" s="11">
        <f t="shared" si="3"/>
        <v>289106</v>
      </c>
      <c r="F41" s="11">
        <f t="shared" si="3"/>
        <v>289550</v>
      </c>
      <c r="G41" s="11">
        <f t="shared" si="3"/>
        <v>0</v>
      </c>
      <c r="H41" s="11">
        <f t="shared" si="3"/>
        <v>0</v>
      </c>
      <c r="I41" s="11">
        <f t="shared" si="3"/>
        <v>0</v>
      </c>
      <c r="J41" s="11">
        <f t="shared" si="3"/>
        <v>0</v>
      </c>
      <c r="K41" s="11">
        <f t="shared" si="3"/>
        <v>0</v>
      </c>
      <c r="L41" s="2" t="s">
        <v>48</v>
      </c>
      <c r="M41" s="2"/>
    </row>
    <row r="43" spans="1:13" x14ac:dyDescent="0.35">
      <c r="A43" s="6" t="s">
        <v>135</v>
      </c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3" x14ac:dyDescent="0.35">
      <c r="A44" s="8" t="s">
        <v>136</v>
      </c>
      <c r="B44" s="9">
        <v>4021</v>
      </c>
      <c r="C44" s="9">
        <v>3984</v>
      </c>
      <c r="D44" s="9">
        <v>3946</v>
      </c>
      <c r="E44" s="9">
        <v>3887</v>
      </c>
      <c r="F44" s="9">
        <v>3866</v>
      </c>
      <c r="G44" s="10"/>
      <c r="H44" s="10"/>
      <c r="I44" s="10"/>
      <c r="J44" s="10"/>
      <c r="K44" s="10"/>
      <c r="L44" s="2" t="s">
        <v>43</v>
      </c>
      <c r="M44" s="2" t="s">
        <v>105</v>
      </c>
    </row>
    <row r="45" spans="1:13" x14ac:dyDescent="0.35">
      <c r="A45" s="8" t="s">
        <v>137</v>
      </c>
      <c r="B45" s="9">
        <v>73384</v>
      </c>
      <c r="C45" s="9">
        <v>111486</v>
      </c>
      <c r="D45" s="9">
        <v>118718</v>
      </c>
      <c r="E45" s="9">
        <v>122763</v>
      </c>
      <c r="F45" s="9">
        <v>127596</v>
      </c>
      <c r="G45" s="10"/>
      <c r="H45" s="10"/>
      <c r="I45" s="10"/>
      <c r="J45" s="10"/>
      <c r="K45" s="10"/>
      <c r="L45" s="2" t="s">
        <v>43</v>
      </c>
      <c r="M45" s="2" t="s">
        <v>105</v>
      </c>
    </row>
    <row r="46" spans="1:13" x14ac:dyDescent="0.35">
      <c r="A46" s="8" t="s">
        <v>138</v>
      </c>
      <c r="B46" s="9">
        <v>8867</v>
      </c>
      <c r="C46" s="9">
        <v>8098</v>
      </c>
      <c r="D46" s="9">
        <v>0</v>
      </c>
      <c r="E46" s="9">
        <v>0</v>
      </c>
      <c r="F46" s="9">
        <v>0</v>
      </c>
      <c r="G46" s="10"/>
      <c r="H46" s="10"/>
      <c r="I46" s="10"/>
      <c r="J46" s="10"/>
      <c r="K46" s="10"/>
      <c r="L46" s="2" t="s">
        <v>43</v>
      </c>
      <c r="M46" s="2" t="s">
        <v>139</v>
      </c>
    </row>
    <row r="47" spans="1:13" x14ac:dyDescent="0.35">
      <c r="A47" s="8" t="s">
        <v>140</v>
      </c>
      <c r="B47" s="9">
        <v>10297</v>
      </c>
      <c r="C47" s="9">
        <v>1132</v>
      </c>
      <c r="D47" s="9">
        <v>-13832</v>
      </c>
      <c r="E47" s="9">
        <v>-868</v>
      </c>
      <c r="F47" s="9">
        <v>-10377</v>
      </c>
      <c r="G47" s="10"/>
      <c r="H47" s="10"/>
      <c r="I47" s="10"/>
      <c r="J47" s="10"/>
      <c r="K47" s="10"/>
      <c r="L47" s="2" t="s">
        <v>43</v>
      </c>
      <c r="M47" s="2" t="s">
        <v>105</v>
      </c>
    </row>
    <row r="48" spans="1:13" x14ac:dyDescent="0.35">
      <c r="A48" s="8" t="s">
        <v>141</v>
      </c>
      <c r="B48" s="9">
        <v>696</v>
      </c>
      <c r="C48" s="9">
        <v>1152</v>
      </c>
      <c r="D48" s="9">
        <v>734</v>
      </c>
      <c r="E48" s="9">
        <v>1315</v>
      </c>
      <c r="F48" s="9">
        <v>1008</v>
      </c>
      <c r="G48" s="10"/>
      <c r="H48" s="10"/>
      <c r="I48" s="10"/>
      <c r="J48" s="10"/>
      <c r="K48" s="10"/>
      <c r="L48" s="2" t="s">
        <v>43</v>
      </c>
      <c r="M48" s="2" t="s">
        <v>105</v>
      </c>
    </row>
    <row r="49" spans="1:13" x14ac:dyDescent="0.35">
      <c r="A49" s="8" t="s">
        <v>86</v>
      </c>
      <c r="B49" s="9">
        <v>-742</v>
      </c>
      <c r="C49" s="9">
        <v>-690</v>
      </c>
      <c r="D49" s="9">
        <v>-857</v>
      </c>
      <c r="E49" s="9">
        <v>-1011</v>
      </c>
      <c r="F49" s="9">
        <v>-1132</v>
      </c>
      <c r="G49" s="10"/>
      <c r="H49" s="10"/>
      <c r="I49" s="10"/>
      <c r="J49" s="10"/>
      <c r="K49" s="10"/>
      <c r="L49" s="2" t="s">
        <v>43</v>
      </c>
      <c r="M49" s="2" t="s">
        <v>105</v>
      </c>
    </row>
    <row r="50" spans="1:13" x14ac:dyDescent="0.35">
      <c r="A50" s="8" t="s">
        <v>142</v>
      </c>
      <c r="B50" s="9">
        <v>577</v>
      </c>
      <c r="C50" s="9">
        <v>-1051</v>
      </c>
      <c r="D50" s="9">
        <v>-387</v>
      </c>
      <c r="E50" s="9">
        <v>-142</v>
      </c>
      <c r="F50" s="9">
        <v>-1449</v>
      </c>
      <c r="G50" s="10"/>
      <c r="H50" s="10"/>
      <c r="I50" s="10"/>
      <c r="J50" s="10"/>
      <c r="K50" s="10"/>
      <c r="L50" s="2" t="s">
        <v>43</v>
      </c>
      <c r="M50" s="2" t="s">
        <v>105</v>
      </c>
    </row>
    <row r="51" spans="1:13" x14ac:dyDescent="0.35">
      <c r="A51" s="3" t="s">
        <v>74</v>
      </c>
      <c r="B51" s="11">
        <f t="shared" ref="B51:K51" si="4">SUM(B44:B50)</f>
        <v>97100</v>
      </c>
      <c r="C51" s="11">
        <f t="shared" si="4"/>
        <v>124111</v>
      </c>
      <c r="D51" s="11">
        <f t="shared" si="4"/>
        <v>108322</v>
      </c>
      <c r="E51" s="11">
        <f t="shared" si="4"/>
        <v>125944</v>
      </c>
      <c r="F51" s="11">
        <f t="shared" si="4"/>
        <v>119512</v>
      </c>
      <c r="G51" s="11">
        <f t="shared" si="4"/>
        <v>0</v>
      </c>
      <c r="H51" s="11">
        <f t="shared" si="4"/>
        <v>0</v>
      </c>
      <c r="I51" s="11">
        <f t="shared" si="4"/>
        <v>0</v>
      </c>
      <c r="J51" s="11">
        <f t="shared" si="4"/>
        <v>0</v>
      </c>
      <c r="K51" s="11">
        <f t="shared" si="4"/>
        <v>0</v>
      </c>
      <c r="L51" s="2" t="s">
        <v>48</v>
      </c>
      <c r="M51" s="2"/>
    </row>
    <row r="52" spans="1:13" x14ac:dyDescent="0.35">
      <c r="A52" s="8" t="s">
        <v>72</v>
      </c>
      <c r="B52" s="9">
        <v>4506</v>
      </c>
      <c r="C52" s="9">
        <v>3491</v>
      </c>
      <c r="D52" s="9">
        <v>3306</v>
      </c>
      <c r="E52" s="9">
        <v>1754</v>
      </c>
      <c r="F52" s="9">
        <v>743</v>
      </c>
      <c r="G52" s="10"/>
      <c r="H52" s="10"/>
      <c r="I52" s="10"/>
      <c r="J52" s="10"/>
      <c r="K52" s="10"/>
      <c r="L52" s="2" t="s">
        <v>43</v>
      </c>
      <c r="M52" s="2" t="s">
        <v>105</v>
      </c>
    </row>
    <row r="53" spans="1:13" x14ac:dyDescent="0.35">
      <c r="A53" s="3" t="s">
        <v>143</v>
      </c>
      <c r="B53" s="11">
        <f t="shared" ref="B53:K53" si="5">B51+B52</f>
        <v>101606</v>
      </c>
      <c r="C53" s="11">
        <f t="shared" si="5"/>
        <v>127602</v>
      </c>
      <c r="D53" s="11">
        <f t="shared" si="5"/>
        <v>111628</v>
      </c>
      <c r="E53" s="11">
        <f t="shared" si="5"/>
        <v>127698</v>
      </c>
      <c r="F53" s="11">
        <f t="shared" si="5"/>
        <v>120255</v>
      </c>
      <c r="G53" s="11">
        <f t="shared" si="5"/>
        <v>0</v>
      </c>
      <c r="H53" s="11">
        <f t="shared" si="5"/>
        <v>0</v>
      </c>
      <c r="I53" s="11">
        <f t="shared" si="5"/>
        <v>0</v>
      </c>
      <c r="J53" s="11">
        <f t="shared" si="5"/>
        <v>0</v>
      </c>
      <c r="K53" s="11">
        <f t="shared" si="5"/>
        <v>0</v>
      </c>
      <c r="L53" s="2" t="s">
        <v>48</v>
      </c>
      <c r="M53" s="2"/>
    </row>
    <row r="54" spans="1:13" x14ac:dyDescent="0.35">
      <c r="A54" s="3" t="s">
        <v>144</v>
      </c>
      <c r="B54" s="11">
        <f t="shared" ref="B54:K54" si="6">B41+B53</f>
        <v>337640</v>
      </c>
      <c r="C54" s="11">
        <f t="shared" si="6"/>
        <v>347764</v>
      </c>
      <c r="D54" s="11">
        <f t="shared" si="6"/>
        <v>348102</v>
      </c>
      <c r="E54" s="11">
        <f t="shared" si="6"/>
        <v>416804</v>
      </c>
      <c r="F54" s="11">
        <f t="shared" si="6"/>
        <v>409805</v>
      </c>
      <c r="G54" s="11">
        <f t="shared" si="6"/>
        <v>0</v>
      </c>
      <c r="H54" s="11">
        <f t="shared" si="6"/>
        <v>0</v>
      </c>
      <c r="I54" s="11">
        <f t="shared" si="6"/>
        <v>0</v>
      </c>
      <c r="J54" s="11">
        <f t="shared" si="6"/>
        <v>0</v>
      </c>
      <c r="K54" s="11">
        <f t="shared" si="6"/>
        <v>0</v>
      </c>
      <c r="L54" s="2" t="s">
        <v>48</v>
      </c>
      <c r="M54" s="2"/>
    </row>
    <row r="56" spans="1:13" x14ac:dyDescent="0.35">
      <c r="A56" s="8" t="s">
        <v>145</v>
      </c>
      <c r="B56" s="12">
        <f t="shared" ref="B56:K56" si="7">B22-B54</f>
        <v>0</v>
      </c>
      <c r="C56" s="12">
        <f t="shared" si="7"/>
        <v>0</v>
      </c>
      <c r="D56" s="12">
        <f t="shared" si="7"/>
        <v>0</v>
      </c>
      <c r="E56" s="12">
        <f t="shared" si="7"/>
        <v>0</v>
      </c>
      <c r="F56" s="12">
        <f t="shared" si="7"/>
        <v>0</v>
      </c>
      <c r="G56" s="12">
        <f t="shared" si="7"/>
        <v>0</v>
      </c>
      <c r="H56" s="12">
        <f t="shared" si="7"/>
        <v>0</v>
      </c>
      <c r="I56" s="12">
        <f t="shared" si="7"/>
        <v>0</v>
      </c>
      <c r="J56" s="12">
        <f t="shared" si="7"/>
        <v>0</v>
      </c>
      <c r="K56" s="12">
        <f t="shared" si="7"/>
        <v>0</v>
      </c>
      <c r="L56" s="2" t="s">
        <v>48</v>
      </c>
      <c r="M56" s="2" t="s">
        <v>146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x14ac:dyDescent="0.35">
      <c r="A1" s="1" t="s">
        <v>147</v>
      </c>
    </row>
    <row r="2" spans="1:13" x14ac:dyDescent="0.35">
      <c r="A2" s="2" t="s">
        <v>148</v>
      </c>
    </row>
    <row r="3" spans="1:13" x14ac:dyDescent="0.35">
      <c r="B3" s="23" t="s">
        <v>26</v>
      </c>
      <c r="C3" s="22"/>
      <c r="D3" s="22"/>
      <c r="E3" s="22"/>
      <c r="F3" s="22"/>
      <c r="G3" s="21" t="s">
        <v>27</v>
      </c>
      <c r="H3" s="22"/>
      <c r="I3" s="22"/>
      <c r="J3" s="22"/>
      <c r="K3" s="22"/>
    </row>
    <row r="4" spans="1:13" x14ac:dyDescent="0.35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4" t="s">
        <v>39</v>
      </c>
      <c r="M4" s="4" t="s">
        <v>40</v>
      </c>
    </row>
    <row r="5" spans="1:13" x14ac:dyDescent="0.35">
      <c r="A5" s="6" t="s">
        <v>149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 x14ac:dyDescent="0.35">
      <c r="A6" s="8" t="s">
        <v>65</v>
      </c>
      <c r="B6" s="9">
        <v>24854</v>
      </c>
      <c r="C6" s="9">
        <v>45878</v>
      </c>
      <c r="D6" s="9">
        <v>25324</v>
      </c>
      <c r="E6" s="9">
        <v>21034</v>
      </c>
      <c r="F6" s="9">
        <v>20143</v>
      </c>
      <c r="G6" s="10"/>
      <c r="H6" s="10"/>
      <c r="I6" s="10"/>
      <c r="J6" s="10"/>
      <c r="K6" s="10"/>
      <c r="L6" s="2" t="s">
        <v>43</v>
      </c>
      <c r="M6" s="2" t="s">
        <v>150</v>
      </c>
    </row>
    <row r="7" spans="1:13" x14ac:dyDescent="0.35">
      <c r="A7" s="8" t="s">
        <v>151</v>
      </c>
      <c r="B7" s="9">
        <v>1499</v>
      </c>
      <c r="C7" s="9">
        <v>23516</v>
      </c>
      <c r="D7" s="9">
        <v>-23</v>
      </c>
      <c r="E7" s="9">
        <v>-277</v>
      </c>
      <c r="F7" s="9">
        <v>0</v>
      </c>
      <c r="G7" s="10"/>
      <c r="H7" s="10"/>
      <c r="I7" s="10"/>
      <c r="J7" s="10"/>
      <c r="K7" s="10"/>
      <c r="L7" s="2" t="s">
        <v>43</v>
      </c>
      <c r="M7" s="2" t="s">
        <v>152</v>
      </c>
    </row>
    <row r="8" spans="1:13" x14ac:dyDescent="0.35">
      <c r="A8" s="3" t="s">
        <v>153</v>
      </c>
      <c r="B8" s="11">
        <f t="shared" ref="B8:K8" si="0">B6+B7</f>
        <v>26353</v>
      </c>
      <c r="C8" s="11">
        <f t="shared" si="0"/>
        <v>69394</v>
      </c>
      <c r="D8" s="11">
        <f t="shared" si="0"/>
        <v>25301</v>
      </c>
      <c r="E8" s="11">
        <f t="shared" si="0"/>
        <v>20757</v>
      </c>
      <c r="F8" s="11">
        <f t="shared" si="0"/>
        <v>20143</v>
      </c>
      <c r="G8" s="11">
        <f t="shared" si="0"/>
        <v>0</v>
      </c>
      <c r="H8" s="11">
        <f t="shared" si="0"/>
        <v>0</v>
      </c>
      <c r="I8" s="11">
        <f t="shared" si="0"/>
        <v>0</v>
      </c>
      <c r="J8" s="11">
        <f t="shared" si="0"/>
        <v>0</v>
      </c>
      <c r="K8" s="11">
        <f t="shared" si="0"/>
        <v>0</v>
      </c>
      <c r="L8" s="2" t="s">
        <v>48</v>
      </c>
      <c r="M8" s="2"/>
    </row>
    <row r="9" spans="1:13" x14ac:dyDescent="0.35">
      <c r="A9" s="6" t="s">
        <v>154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3" x14ac:dyDescent="0.35">
      <c r="A10" s="8" t="s">
        <v>155</v>
      </c>
      <c r="B10" s="9">
        <v>16375</v>
      </c>
      <c r="C10" s="9">
        <v>18282</v>
      </c>
      <c r="D10" s="9">
        <v>18929</v>
      </c>
      <c r="E10" s="9">
        <v>23051</v>
      </c>
      <c r="F10" s="9">
        <v>24838</v>
      </c>
      <c r="G10" s="10"/>
      <c r="H10" s="10"/>
      <c r="I10" s="10"/>
      <c r="J10" s="10"/>
      <c r="K10" s="10"/>
      <c r="L10" s="2" t="s">
        <v>43</v>
      </c>
      <c r="M10" s="2" t="s">
        <v>156</v>
      </c>
    </row>
    <row r="11" spans="1:13" x14ac:dyDescent="0.35">
      <c r="A11" s="8" t="s">
        <v>157</v>
      </c>
      <c r="B11" s="9">
        <v>-157</v>
      </c>
      <c r="C11" s="9">
        <v>650</v>
      </c>
      <c r="D11" s="9">
        <v>751</v>
      </c>
      <c r="E11" s="9">
        <v>-192</v>
      </c>
      <c r="F11" s="9">
        <v>68</v>
      </c>
      <c r="G11" s="10"/>
      <c r="H11" s="10"/>
      <c r="I11" s="10"/>
      <c r="J11" s="10"/>
      <c r="K11" s="10"/>
      <c r="L11" s="2" t="s">
        <v>43</v>
      </c>
      <c r="M11" s="2" t="s">
        <v>152</v>
      </c>
    </row>
    <row r="12" spans="1:13" x14ac:dyDescent="0.35">
      <c r="A12" s="8" t="s">
        <v>158</v>
      </c>
      <c r="B12" s="9">
        <v>379</v>
      </c>
      <c r="C12" s="9">
        <v>0</v>
      </c>
      <c r="D12" s="9">
        <v>0</v>
      </c>
      <c r="E12" s="9">
        <v>0</v>
      </c>
      <c r="F12" s="9">
        <v>0</v>
      </c>
      <c r="G12" s="10"/>
      <c r="H12" s="10"/>
      <c r="I12" s="10"/>
      <c r="J12" s="10"/>
      <c r="K12" s="10"/>
      <c r="L12" s="2" t="s">
        <v>43</v>
      </c>
      <c r="M12" s="2" t="s">
        <v>152</v>
      </c>
    </row>
    <row r="13" spans="1:13" x14ac:dyDescent="0.35">
      <c r="A13" s="8" t="s">
        <v>64</v>
      </c>
      <c r="B13" s="9">
        <v>-247</v>
      </c>
      <c r="C13" s="9">
        <v>-452</v>
      </c>
      <c r="D13" s="9">
        <v>-316</v>
      </c>
      <c r="E13" s="9">
        <v>-464</v>
      </c>
      <c r="F13" s="9">
        <v>2</v>
      </c>
      <c r="G13" s="10"/>
      <c r="H13" s="10"/>
      <c r="I13" s="10"/>
      <c r="J13" s="10"/>
      <c r="K13" s="10"/>
      <c r="L13" s="2" t="s">
        <v>43</v>
      </c>
      <c r="M13" s="2" t="s">
        <v>152</v>
      </c>
    </row>
    <row r="14" spans="1:13" x14ac:dyDescent="0.35">
      <c r="A14" s="8" t="s">
        <v>159</v>
      </c>
      <c r="B14" s="9">
        <v>694</v>
      </c>
      <c r="C14" s="9">
        <v>1046</v>
      </c>
      <c r="D14" s="9">
        <v>383</v>
      </c>
      <c r="E14" s="9">
        <v>249</v>
      </c>
      <c r="F14" s="9">
        <v>445</v>
      </c>
      <c r="G14" s="10"/>
      <c r="H14" s="10"/>
      <c r="I14" s="10"/>
      <c r="J14" s="10"/>
      <c r="K14" s="10"/>
      <c r="L14" s="2" t="s">
        <v>43</v>
      </c>
      <c r="M14" s="2" t="s">
        <v>152</v>
      </c>
    </row>
    <row r="15" spans="1:13" x14ac:dyDescent="0.35">
      <c r="A15" s="8" t="s">
        <v>160</v>
      </c>
      <c r="B15" s="9">
        <v>0</v>
      </c>
      <c r="C15" s="9">
        <v>-22038</v>
      </c>
      <c r="D15" s="9">
        <v>0</v>
      </c>
      <c r="E15" s="9">
        <v>277</v>
      </c>
      <c r="F15" s="9">
        <v>0</v>
      </c>
      <c r="G15" s="10"/>
      <c r="H15" s="10"/>
      <c r="I15" s="10"/>
      <c r="J15" s="10"/>
      <c r="K15" s="10"/>
      <c r="L15" s="2" t="s">
        <v>43</v>
      </c>
      <c r="M15" s="2" t="s">
        <v>152</v>
      </c>
    </row>
    <row r="16" spans="1:13" x14ac:dyDescent="0.35">
      <c r="A16" s="8" t="s">
        <v>161</v>
      </c>
      <c r="B16" s="9">
        <v>-2247</v>
      </c>
      <c r="C16" s="9">
        <v>-19010</v>
      </c>
      <c r="D16" s="9">
        <v>0</v>
      </c>
      <c r="E16" s="9">
        <v>-982</v>
      </c>
      <c r="F16" s="9">
        <v>27</v>
      </c>
      <c r="G16" s="10"/>
      <c r="H16" s="10"/>
      <c r="I16" s="10"/>
      <c r="J16" s="10"/>
      <c r="K16" s="10"/>
      <c r="L16" s="2" t="s">
        <v>43</v>
      </c>
      <c r="M16" s="2" t="s">
        <v>152</v>
      </c>
    </row>
    <row r="17" spans="1:13" x14ac:dyDescent="0.35">
      <c r="A17" s="8" t="s">
        <v>162</v>
      </c>
      <c r="B17" s="9">
        <v>1128</v>
      </c>
      <c r="C17" s="9">
        <v>1013</v>
      </c>
      <c r="D17" s="9">
        <v>837</v>
      </c>
      <c r="E17" s="9">
        <v>942</v>
      </c>
      <c r="F17" s="9">
        <v>909</v>
      </c>
      <c r="G17" s="10"/>
      <c r="H17" s="10"/>
      <c r="I17" s="10"/>
      <c r="J17" s="10"/>
      <c r="K17" s="10"/>
      <c r="L17" s="2" t="s">
        <v>43</v>
      </c>
      <c r="M17" s="2" t="s">
        <v>152</v>
      </c>
    </row>
    <row r="18" spans="1:13" x14ac:dyDescent="0.35">
      <c r="A18" s="8" t="s">
        <v>57</v>
      </c>
      <c r="B18" s="9">
        <v>7884</v>
      </c>
      <c r="C18" s="9">
        <v>8049</v>
      </c>
      <c r="D18" s="9">
        <v>10006</v>
      </c>
      <c r="E18" s="9">
        <v>13100</v>
      </c>
      <c r="F18" s="9">
        <v>14464</v>
      </c>
      <c r="G18" s="10"/>
      <c r="H18" s="10"/>
      <c r="I18" s="10"/>
      <c r="J18" s="10"/>
      <c r="K18" s="10"/>
      <c r="L18" s="2" t="s">
        <v>43</v>
      </c>
      <c r="M18" s="2" t="s">
        <v>152</v>
      </c>
    </row>
    <row r="19" spans="1:13" x14ac:dyDescent="0.35">
      <c r="A19" s="8" t="s">
        <v>59</v>
      </c>
      <c r="B19" s="9">
        <v>-373</v>
      </c>
      <c r="C19" s="9">
        <v>-740</v>
      </c>
      <c r="D19" s="9">
        <v>-809</v>
      </c>
      <c r="E19" s="9">
        <v>-924</v>
      </c>
      <c r="F19" s="9">
        <v>-897</v>
      </c>
      <c r="G19" s="10"/>
      <c r="H19" s="10"/>
      <c r="I19" s="10"/>
      <c r="J19" s="10"/>
      <c r="K19" s="10"/>
      <c r="L19" s="2" t="s">
        <v>43</v>
      </c>
      <c r="M19" s="2" t="s">
        <v>152</v>
      </c>
    </row>
    <row r="20" spans="1:13" x14ac:dyDescent="0.35">
      <c r="A20" s="8" t="s">
        <v>163</v>
      </c>
      <c r="B20" s="9">
        <v>2183</v>
      </c>
      <c r="C20" s="9">
        <v>2519</v>
      </c>
      <c r="D20" s="9">
        <v>3968</v>
      </c>
      <c r="E20" s="9">
        <v>4526</v>
      </c>
      <c r="F20" s="9">
        <v>4964</v>
      </c>
      <c r="G20" s="10"/>
      <c r="H20" s="10"/>
      <c r="I20" s="10"/>
      <c r="J20" s="10"/>
      <c r="K20" s="10"/>
      <c r="L20" s="2" t="s">
        <v>43</v>
      </c>
      <c r="M20" s="2" t="s">
        <v>152</v>
      </c>
    </row>
    <row r="21" spans="1:13" x14ac:dyDescent="0.35">
      <c r="A21" s="6" t="s">
        <v>164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3" x14ac:dyDescent="0.35">
      <c r="A22" s="8" t="s">
        <v>165</v>
      </c>
      <c r="B22" s="9">
        <v>666</v>
      </c>
      <c r="C22" s="9">
        <v>-6647</v>
      </c>
      <c r="D22" s="9">
        <v>-4206</v>
      </c>
      <c r="E22" s="9">
        <v>-319</v>
      </c>
      <c r="F22" s="9">
        <v>601</v>
      </c>
      <c r="G22" s="10"/>
      <c r="H22" s="10"/>
      <c r="I22" s="10"/>
      <c r="J22" s="10"/>
      <c r="K22" s="10"/>
      <c r="L22" s="2" t="s">
        <v>43</v>
      </c>
      <c r="M22" s="2" t="s">
        <v>152</v>
      </c>
    </row>
    <row r="23" spans="1:13" x14ac:dyDescent="0.35">
      <c r="A23" s="8" t="s">
        <v>106</v>
      </c>
      <c r="B23" s="9">
        <v>-2320</v>
      </c>
      <c r="C23" s="9">
        <v>-4163</v>
      </c>
      <c r="D23" s="9">
        <v>-1078</v>
      </c>
      <c r="E23" s="9">
        <v>-1104</v>
      </c>
      <c r="F23" s="9">
        <v>901</v>
      </c>
      <c r="G23" s="10"/>
      <c r="H23" s="10"/>
      <c r="I23" s="10"/>
      <c r="J23" s="10"/>
      <c r="K23" s="10"/>
      <c r="L23" s="2" t="s">
        <v>43</v>
      </c>
      <c r="M23" s="2" t="s">
        <v>152</v>
      </c>
    </row>
    <row r="24" spans="1:13" x14ac:dyDescent="0.35">
      <c r="A24" s="8" t="s">
        <v>107</v>
      </c>
      <c r="B24" s="9">
        <v>-365</v>
      </c>
      <c r="C24" s="9">
        <v>1261</v>
      </c>
      <c r="D24" s="9">
        <v>-625</v>
      </c>
      <c r="E24" s="9">
        <v>189</v>
      </c>
      <c r="F24" s="9">
        <v>-594</v>
      </c>
      <c r="G24" s="10"/>
      <c r="H24" s="10"/>
      <c r="I24" s="10"/>
      <c r="J24" s="10"/>
      <c r="K24" s="10"/>
      <c r="L24" s="2" t="s">
        <v>43</v>
      </c>
      <c r="M24" s="2" t="s">
        <v>152</v>
      </c>
    </row>
    <row r="25" spans="1:13" x14ac:dyDescent="0.35">
      <c r="A25" s="8" t="s">
        <v>122</v>
      </c>
      <c r="B25" s="9">
        <v>8286</v>
      </c>
      <c r="C25" s="9">
        <v>9920</v>
      </c>
      <c r="D25" s="9">
        <v>-851</v>
      </c>
      <c r="E25" s="9">
        <v>-2825</v>
      </c>
      <c r="F25" s="9">
        <v>-1108</v>
      </c>
      <c r="G25" s="10"/>
      <c r="H25" s="10"/>
      <c r="I25" s="10"/>
      <c r="J25" s="10"/>
      <c r="K25" s="10"/>
      <c r="L25" s="2" t="s">
        <v>43</v>
      </c>
      <c r="M25" s="2" t="s">
        <v>152</v>
      </c>
    </row>
    <row r="26" spans="1:13" x14ac:dyDescent="0.35">
      <c r="A26" s="8" t="s">
        <v>123</v>
      </c>
      <c r="B26" s="9">
        <v>-1025</v>
      </c>
      <c r="C26" s="9">
        <v>-3395</v>
      </c>
      <c r="D26" s="9">
        <v>390</v>
      </c>
      <c r="E26" s="9">
        <v>-3827</v>
      </c>
      <c r="F26" s="9">
        <v>-560</v>
      </c>
      <c r="G26" s="10"/>
      <c r="H26" s="10"/>
      <c r="I26" s="10"/>
      <c r="J26" s="10"/>
      <c r="K26" s="10"/>
      <c r="L26" s="2" t="s">
        <v>43</v>
      </c>
      <c r="M26" s="2" t="s">
        <v>152</v>
      </c>
    </row>
    <row r="27" spans="1:13" x14ac:dyDescent="0.35">
      <c r="A27" s="8" t="s">
        <v>125</v>
      </c>
      <c r="B27" s="9">
        <v>209</v>
      </c>
      <c r="C27" s="9">
        <v>287</v>
      </c>
      <c r="D27" s="9">
        <v>-172</v>
      </c>
      <c r="E27" s="9">
        <v>153</v>
      </c>
      <c r="F27" s="9">
        <v>105</v>
      </c>
      <c r="G27" s="10"/>
      <c r="H27" s="10"/>
      <c r="I27" s="10"/>
      <c r="J27" s="10"/>
      <c r="K27" s="10"/>
      <c r="L27" s="2" t="s">
        <v>43</v>
      </c>
      <c r="M27" s="2" t="s">
        <v>152</v>
      </c>
    </row>
    <row r="28" spans="1:13" x14ac:dyDescent="0.35">
      <c r="A28" s="8" t="s">
        <v>166</v>
      </c>
      <c r="B28" s="9">
        <v>-7578</v>
      </c>
      <c r="C28" s="9">
        <v>-11824</v>
      </c>
      <c r="D28" s="9">
        <v>-13831</v>
      </c>
      <c r="E28" s="9">
        <v>-6472</v>
      </c>
      <c r="F28" s="9">
        <v>-8955</v>
      </c>
      <c r="G28" s="10"/>
      <c r="H28" s="10"/>
      <c r="I28" s="10"/>
      <c r="J28" s="10"/>
      <c r="K28" s="10"/>
      <c r="L28" s="2" t="s">
        <v>43</v>
      </c>
      <c r="M28" s="2" t="s">
        <v>152</v>
      </c>
    </row>
    <row r="29" spans="1:13" x14ac:dyDescent="0.35">
      <c r="A29" s="8" t="s">
        <v>109</v>
      </c>
      <c r="B29" s="9">
        <v>6</v>
      </c>
      <c r="C29" s="9">
        <v>-1271</v>
      </c>
      <c r="D29" s="9">
        <v>-640</v>
      </c>
      <c r="E29" s="9">
        <v>942</v>
      </c>
      <c r="F29" s="9">
        <v>118</v>
      </c>
      <c r="G29" s="10"/>
      <c r="H29" s="10"/>
      <c r="I29" s="10"/>
      <c r="J29" s="10"/>
      <c r="K29" s="10"/>
      <c r="L29" s="2" t="s">
        <v>43</v>
      </c>
      <c r="M29" s="2" t="s">
        <v>152</v>
      </c>
    </row>
    <row r="30" spans="1:13" x14ac:dyDescent="0.35">
      <c r="A30" s="8" t="s">
        <v>127</v>
      </c>
      <c r="B30" s="9">
        <v>675</v>
      </c>
      <c r="C30" s="9">
        <v>122</v>
      </c>
      <c r="D30" s="9">
        <v>-21</v>
      </c>
      <c r="E30" s="9">
        <v>-36</v>
      </c>
      <c r="F30" s="9">
        <v>-159</v>
      </c>
      <c r="G30" s="10"/>
      <c r="H30" s="10"/>
      <c r="I30" s="10"/>
      <c r="J30" s="10"/>
      <c r="K30" s="10"/>
      <c r="L30" s="2" t="s">
        <v>43</v>
      </c>
      <c r="M30" s="2" t="s">
        <v>152</v>
      </c>
    </row>
    <row r="31" spans="1:13" x14ac:dyDescent="0.35">
      <c r="A31" s="8" t="s">
        <v>167</v>
      </c>
      <c r="B31" s="9">
        <v>-2567</v>
      </c>
      <c r="C31" s="9">
        <v>-754</v>
      </c>
      <c r="D31" s="9">
        <v>-2637</v>
      </c>
      <c r="E31" s="9">
        <v>-2608</v>
      </c>
      <c r="F31" s="9">
        <v>-2595</v>
      </c>
      <c r="G31" s="10"/>
      <c r="H31" s="10"/>
      <c r="I31" s="10"/>
      <c r="J31" s="10"/>
      <c r="K31" s="10"/>
      <c r="L31" s="2" t="s">
        <v>43</v>
      </c>
      <c r="M31" s="2" t="s">
        <v>152</v>
      </c>
    </row>
    <row r="32" spans="1:13" x14ac:dyDescent="0.35">
      <c r="A32" s="8" t="s">
        <v>168</v>
      </c>
      <c r="B32" s="9">
        <v>0</v>
      </c>
      <c r="C32" s="9">
        <v>-879</v>
      </c>
      <c r="D32" s="9">
        <v>0</v>
      </c>
      <c r="E32" s="9">
        <v>0</v>
      </c>
      <c r="F32" s="9">
        <v>0</v>
      </c>
      <c r="G32" s="10"/>
      <c r="H32" s="10"/>
      <c r="I32" s="10"/>
      <c r="J32" s="10"/>
      <c r="K32" s="10"/>
      <c r="L32" s="2" t="s">
        <v>43</v>
      </c>
      <c r="M32" s="2" t="s">
        <v>152</v>
      </c>
    </row>
    <row r="33" spans="1:13" x14ac:dyDescent="0.35">
      <c r="A33" s="8" t="s">
        <v>169</v>
      </c>
      <c r="B33" s="9">
        <v>-2183</v>
      </c>
      <c r="C33" s="9">
        <v>-2519</v>
      </c>
      <c r="D33" s="9">
        <v>-3968</v>
      </c>
      <c r="E33" s="9">
        <v>-4526</v>
      </c>
      <c r="F33" s="9">
        <v>-4964</v>
      </c>
      <c r="G33" s="10"/>
      <c r="H33" s="10"/>
      <c r="I33" s="10"/>
      <c r="J33" s="10"/>
      <c r="K33" s="10"/>
      <c r="L33" s="2" t="s">
        <v>43</v>
      </c>
      <c r="M33" s="2" t="s">
        <v>152</v>
      </c>
    </row>
    <row r="34" spans="1:13" x14ac:dyDescent="0.35">
      <c r="A34" s="3" t="s">
        <v>170</v>
      </c>
      <c r="B34" s="11">
        <f t="shared" ref="B34:K34" si="1">SUM(B8:B33)</f>
        <v>45776</v>
      </c>
      <c r="C34" s="11">
        <f t="shared" si="1"/>
        <v>38851</v>
      </c>
      <c r="D34" s="11">
        <f t="shared" si="1"/>
        <v>31411</v>
      </c>
      <c r="E34" s="11">
        <f t="shared" si="1"/>
        <v>39907</v>
      </c>
      <c r="F34" s="11">
        <f t="shared" si="1"/>
        <v>47753</v>
      </c>
      <c r="G34" s="11">
        <f t="shared" si="1"/>
        <v>0</v>
      </c>
      <c r="H34" s="11">
        <f t="shared" si="1"/>
        <v>0</v>
      </c>
      <c r="I34" s="11">
        <f t="shared" si="1"/>
        <v>0</v>
      </c>
      <c r="J34" s="11">
        <f t="shared" si="1"/>
        <v>0</v>
      </c>
      <c r="K34" s="11">
        <f t="shared" si="1"/>
        <v>0</v>
      </c>
      <c r="L34" s="2" t="s">
        <v>48</v>
      </c>
      <c r="M34" s="2"/>
    </row>
    <row r="36" spans="1:13" x14ac:dyDescent="0.35">
      <c r="A36" s="6" t="s">
        <v>171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3" x14ac:dyDescent="0.35">
      <c r="A37" s="8" t="s">
        <v>172</v>
      </c>
      <c r="B37" s="9">
        <v>-20671</v>
      </c>
      <c r="C37" s="9">
        <v>-28669</v>
      </c>
      <c r="D37" s="9">
        <v>-34754</v>
      </c>
      <c r="E37" s="9">
        <v>-29402</v>
      </c>
      <c r="F37" s="9">
        <v>-22530</v>
      </c>
      <c r="G37" s="10"/>
      <c r="H37" s="10"/>
      <c r="I37" s="10"/>
      <c r="J37" s="10"/>
      <c r="K37" s="10"/>
      <c r="L37" s="2" t="s">
        <v>43</v>
      </c>
      <c r="M37" s="2" t="s">
        <v>152</v>
      </c>
    </row>
    <row r="38" spans="1:13" x14ac:dyDescent="0.35">
      <c r="A38" s="8" t="s">
        <v>173</v>
      </c>
      <c r="B38" s="9">
        <v>-10637</v>
      </c>
      <c r="C38" s="9">
        <v>-6520</v>
      </c>
      <c r="D38" s="9">
        <v>-6548</v>
      </c>
      <c r="E38" s="9">
        <v>-5988</v>
      </c>
      <c r="F38" s="9">
        <v>-11294</v>
      </c>
      <c r="G38" s="10"/>
      <c r="H38" s="10"/>
      <c r="I38" s="10"/>
      <c r="J38" s="10"/>
      <c r="K38" s="10"/>
      <c r="L38" s="2" t="s">
        <v>43</v>
      </c>
      <c r="M38" s="2" t="s">
        <v>152</v>
      </c>
    </row>
    <row r="39" spans="1:13" x14ac:dyDescent="0.35">
      <c r="A39" s="8" t="s">
        <v>174</v>
      </c>
      <c r="B39" s="9">
        <v>0</v>
      </c>
      <c r="C39" s="9">
        <v>25797</v>
      </c>
      <c r="D39" s="9">
        <v>0</v>
      </c>
      <c r="E39" s="9">
        <v>0</v>
      </c>
      <c r="F39" s="9">
        <v>0</v>
      </c>
      <c r="G39" s="10"/>
      <c r="H39" s="10"/>
      <c r="I39" s="10"/>
      <c r="J39" s="10"/>
      <c r="K39" s="10"/>
      <c r="L39" s="2" t="s">
        <v>43</v>
      </c>
      <c r="M39" s="2" t="s">
        <v>175</v>
      </c>
    </row>
    <row r="40" spans="1:13" x14ac:dyDescent="0.35">
      <c r="A40" s="8" t="s">
        <v>176</v>
      </c>
      <c r="B40" s="9">
        <v>882</v>
      </c>
      <c r="C40" s="9">
        <v>20</v>
      </c>
      <c r="D40" s="9">
        <v>152</v>
      </c>
      <c r="E40" s="9">
        <v>984</v>
      </c>
      <c r="F40" s="9">
        <v>824</v>
      </c>
      <c r="G40" s="10"/>
      <c r="H40" s="10"/>
      <c r="I40" s="10"/>
      <c r="J40" s="10"/>
      <c r="K40" s="10"/>
      <c r="L40" s="2" t="s">
        <v>43</v>
      </c>
      <c r="M40" s="2" t="s">
        <v>152</v>
      </c>
    </row>
    <row r="41" spans="1:13" x14ac:dyDescent="0.35">
      <c r="A41" s="8" t="s">
        <v>177</v>
      </c>
      <c r="B41" s="9">
        <v>201</v>
      </c>
      <c r="C41" s="9">
        <v>272</v>
      </c>
      <c r="D41" s="9">
        <v>0</v>
      </c>
      <c r="E41" s="9">
        <v>0</v>
      </c>
      <c r="F41" s="9">
        <v>0</v>
      </c>
      <c r="G41" s="10"/>
      <c r="H41" s="10"/>
      <c r="I41" s="10"/>
      <c r="J41" s="10"/>
      <c r="K41" s="10"/>
      <c r="L41" s="2" t="s">
        <v>43</v>
      </c>
      <c r="M41" s="2" t="s">
        <v>152</v>
      </c>
    </row>
    <row r="42" spans="1:13" x14ac:dyDescent="0.35">
      <c r="A42" s="8" t="s">
        <v>178</v>
      </c>
      <c r="B42" s="9">
        <v>-622</v>
      </c>
      <c r="C42" s="9">
        <v>-798</v>
      </c>
      <c r="D42" s="9">
        <v>-918</v>
      </c>
      <c r="E42" s="9">
        <v>-772</v>
      </c>
      <c r="F42" s="9">
        <v>-311</v>
      </c>
      <c r="G42" s="10"/>
      <c r="H42" s="10"/>
      <c r="I42" s="10"/>
      <c r="J42" s="10"/>
      <c r="K42" s="10"/>
      <c r="L42" s="2" t="s">
        <v>43</v>
      </c>
      <c r="M42" s="2" t="s">
        <v>152</v>
      </c>
    </row>
    <row r="43" spans="1:13" x14ac:dyDescent="0.35">
      <c r="A43" s="8" t="s">
        <v>179</v>
      </c>
      <c r="B43" s="9">
        <v>-77</v>
      </c>
      <c r="C43" s="9">
        <v>3</v>
      </c>
      <c r="D43" s="9">
        <v>-129</v>
      </c>
      <c r="E43" s="9">
        <v>-705</v>
      </c>
      <c r="F43" s="9">
        <v>-52</v>
      </c>
      <c r="G43" s="10"/>
      <c r="H43" s="10"/>
      <c r="I43" s="10"/>
      <c r="J43" s="10"/>
      <c r="K43" s="10"/>
      <c r="L43" s="2" t="s">
        <v>43</v>
      </c>
      <c r="M43" s="2" t="s">
        <v>152</v>
      </c>
    </row>
    <row r="44" spans="1:13" x14ac:dyDescent="0.35">
      <c r="A44" s="8" t="s">
        <v>180</v>
      </c>
      <c r="B44" s="9">
        <v>-1433</v>
      </c>
      <c r="C44" s="9">
        <v>-794</v>
      </c>
      <c r="D44" s="9">
        <v>-577</v>
      </c>
      <c r="E44" s="9">
        <v>455</v>
      </c>
      <c r="F44" s="9">
        <v>-860</v>
      </c>
      <c r="G44" s="10"/>
      <c r="H44" s="10"/>
      <c r="I44" s="10"/>
      <c r="J44" s="10"/>
      <c r="K44" s="10"/>
      <c r="L44" s="2" t="s">
        <v>43</v>
      </c>
      <c r="M44" s="2" t="s">
        <v>152</v>
      </c>
    </row>
    <row r="45" spans="1:13" x14ac:dyDescent="0.35">
      <c r="A45" s="8" t="s">
        <v>181</v>
      </c>
      <c r="B45" s="9">
        <v>59</v>
      </c>
      <c r="C45" s="9">
        <v>954</v>
      </c>
      <c r="D45" s="9">
        <v>86</v>
      </c>
      <c r="E45" s="9">
        <v>207</v>
      </c>
      <c r="F45" s="9">
        <v>158</v>
      </c>
      <c r="G45" s="10"/>
      <c r="H45" s="10"/>
      <c r="I45" s="10"/>
      <c r="J45" s="10"/>
      <c r="K45" s="10"/>
      <c r="L45" s="2" t="s">
        <v>43</v>
      </c>
      <c r="M45" s="2" t="s">
        <v>152</v>
      </c>
    </row>
    <row r="46" spans="1:13" x14ac:dyDescent="0.35">
      <c r="A46" s="8" t="s">
        <v>182</v>
      </c>
      <c r="B46" s="9">
        <v>373</v>
      </c>
      <c r="C46" s="9">
        <v>740</v>
      </c>
      <c r="D46" s="9">
        <v>809</v>
      </c>
      <c r="E46" s="9">
        <v>924</v>
      </c>
      <c r="F46" s="9">
        <v>897</v>
      </c>
      <c r="G46" s="10"/>
      <c r="H46" s="10"/>
      <c r="I46" s="10"/>
      <c r="J46" s="10"/>
      <c r="K46" s="10"/>
      <c r="L46" s="2" t="s">
        <v>43</v>
      </c>
      <c r="M46" s="2" t="s">
        <v>152</v>
      </c>
    </row>
    <row r="47" spans="1:13" x14ac:dyDescent="0.35">
      <c r="A47" s="8" t="s">
        <v>183</v>
      </c>
      <c r="B47" s="9">
        <v>0</v>
      </c>
      <c r="C47" s="9">
        <v>0</v>
      </c>
      <c r="D47" s="9">
        <v>0</v>
      </c>
      <c r="E47" s="9">
        <v>0</v>
      </c>
      <c r="F47" s="9">
        <v>-1468</v>
      </c>
      <c r="G47" s="10"/>
      <c r="H47" s="10"/>
      <c r="I47" s="10"/>
      <c r="J47" s="10"/>
      <c r="K47" s="10"/>
      <c r="L47" s="2" t="s">
        <v>43</v>
      </c>
      <c r="M47" s="2" t="s">
        <v>184</v>
      </c>
    </row>
    <row r="48" spans="1:13" x14ac:dyDescent="0.35">
      <c r="A48" s="8" t="s">
        <v>185</v>
      </c>
      <c r="B48" s="9">
        <v>-534</v>
      </c>
      <c r="C48" s="9">
        <v>-127</v>
      </c>
      <c r="D48" s="9">
        <v>-561</v>
      </c>
      <c r="E48" s="9">
        <v>-1841</v>
      </c>
      <c r="F48" s="9">
        <v>-16</v>
      </c>
      <c r="G48" s="10"/>
      <c r="H48" s="10"/>
      <c r="I48" s="10"/>
      <c r="J48" s="10"/>
      <c r="K48" s="10"/>
      <c r="L48" s="2" t="s">
        <v>43</v>
      </c>
      <c r="M48" s="2" t="s">
        <v>152</v>
      </c>
    </row>
    <row r="49" spans="1:13" x14ac:dyDescent="0.35">
      <c r="A49" s="3" t="s">
        <v>186</v>
      </c>
      <c r="B49" s="11">
        <f t="shared" ref="B49:K49" si="2">SUM(B37:B48)</f>
        <v>-32459</v>
      </c>
      <c r="C49" s="11">
        <f t="shared" si="2"/>
        <v>-9122</v>
      </c>
      <c r="D49" s="11">
        <f t="shared" si="2"/>
        <v>-42440</v>
      </c>
      <c r="E49" s="11">
        <f t="shared" si="2"/>
        <v>-36138</v>
      </c>
      <c r="F49" s="11">
        <f t="shared" si="2"/>
        <v>-34652</v>
      </c>
      <c r="G49" s="11">
        <f t="shared" si="2"/>
        <v>0</v>
      </c>
      <c r="H49" s="11">
        <f t="shared" si="2"/>
        <v>0</v>
      </c>
      <c r="I49" s="11">
        <f t="shared" si="2"/>
        <v>0</v>
      </c>
      <c r="J49" s="11">
        <f t="shared" si="2"/>
        <v>0</v>
      </c>
      <c r="K49" s="11">
        <f t="shared" si="2"/>
        <v>0</v>
      </c>
      <c r="L49" s="2" t="s">
        <v>48</v>
      </c>
      <c r="M49" s="2"/>
    </row>
    <row r="51" spans="1:13" x14ac:dyDescent="0.35">
      <c r="A51" s="6" t="s">
        <v>187</v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3" x14ac:dyDescent="0.35">
      <c r="A52" s="8" t="s">
        <v>188</v>
      </c>
      <c r="B52" s="9">
        <v>38924</v>
      </c>
      <c r="C52" s="9">
        <v>51670</v>
      </c>
      <c r="D52" s="9">
        <v>136638</v>
      </c>
      <c r="E52" s="9">
        <v>79111</v>
      </c>
      <c r="F52" s="9">
        <v>69267</v>
      </c>
      <c r="G52" s="10"/>
      <c r="H52" s="10"/>
      <c r="I52" s="10"/>
      <c r="J52" s="10"/>
      <c r="K52" s="10"/>
      <c r="L52" s="2" t="s">
        <v>43</v>
      </c>
      <c r="M52" s="2" t="s">
        <v>152</v>
      </c>
    </row>
    <row r="53" spans="1:13" x14ac:dyDescent="0.35">
      <c r="A53" s="8" t="s">
        <v>189</v>
      </c>
      <c r="B53" s="9">
        <v>-33535</v>
      </c>
      <c r="C53" s="9">
        <v>-55542</v>
      </c>
      <c r="D53" s="9">
        <v>-109847</v>
      </c>
      <c r="E53" s="9">
        <v>-56495</v>
      </c>
      <c r="F53" s="9">
        <v>-55477</v>
      </c>
      <c r="G53" s="10"/>
      <c r="H53" s="10"/>
      <c r="I53" s="10"/>
      <c r="J53" s="10"/>
      <c r="K53" s="10"/>
      <c r="L53" s="2" t="s">
        <v>43</v>
      </c>
      <c r="M53" s="2" t="s">
        <v>152</v>
      </c>
    </row>
    <row r="54" spans="1:13" x14ac:dyDescent="0.35">
      <c r="A54" s="8" t="s">
        <v>190</v>
      </c>
      <c r="B54" s="9">
        <v>-6781</v>
      </c>
      <c r="C54" s="9">
        <v>-6407</v>
      </c>
      <c r="D54" s="9">
        <v>-7436</v>
      </c>
      <c r="E54" s="9">
        <v>-8376</v>
      </c>
      <c r="F54" s="9">
        <v>-11533</v>
      </c>
      <c r="G54" s="10"/>
      <c r="H54" s="10"/>
      <c r="I54" s="10"/>
      <c r="J54" s="10"/>
      <c r="K54" s="10"/>
      <c r="L54" s="2" t="s">
        <v>43</v>
      </c>
      <c r="M54" s="2" t="s">
        <v>191</v>
      </c>
    </row>
    <row r="55" spans="1:13" x14ac:dyDescent="0.35">
      <c r="A55" s="8" t="s">
        <v>192</v>
      </c>
      <c r="B55" s="9">
        <v>-621</v>
      </c>
      <c r="C55" s="9">
        <v>-649</v>
      </c>
      <c r="D55" s="9">
        <v>-395</v>
      </c>
      <c r="E55" s="9">
        <v>0</v>
      </c>
      <c r="F55" s="9">
        <v>0</v>
      </c>
      <c r="G55" s="10"/>
      <c r="H55" s="10"/>
      <c r="I55" s="10"/>
      <c r="J55" s="10"/>
      <c r="K55" s="10"/>
      <c r="L55" s="2" t="s">
        <v>43</v>
      </c>
      <c r="M55" s="2" t="s">
        <v>152</v>
      </c>
    </row>
    <row r="56" spans="1:13" x14ac:dyDescent="0.35">
      <c r="A56" s="8" t="s">
        <v>193</v>
      </c>
      <c r="B56" s="9">
        <v>0</v>
      </c>
      <c r="C56" s="9">
        <v>-344</v>
      </c>
      <c r="D56" s="9">
        <v>-78</v>
      </c>
      <c r="E56" s="9">
        <v>0</v>
      </c>
      <c r="F56" s="9">
        <v>0</v>
      </c>
      <c r="G56" s="10"/>
      <c r="H56" s="10"/>
      <c r="I56" s="10"/>
      <c r="J56" s="10"/>
      <c r="K56" s="10"/>
      <c r="L56" s="2" t="s">
        <v>43</v>
      </c>
      <c r="M56" s="2" t="s">
        <v>152</v>
      </c>
    </row>
    <row r="57" spans="1:13" x14ac:dyDescent="0.35">
      <c r="A57" s="8" t="s">
        <v>194</v>
      </c>
      <c r="B57" s="9">
        <v>-4636</v>
      </c>
      <c r="C57" s="9">
        <v>-5885</v>
      </c>
      <c r="D57" s="9">
        <v>-3549</v>
      </c>
      <c r="E57" s="9">
        <v>-4234</v>
      </c>
      <c r="F57" s="9">
        <v>-4451</v>
      </c>
      <c r="G57" s="10"/>
      <c r="H57" s="10"/>
      <c r="I57" s="10"/>
      <c r="J57" s="10"/>
      <c r="K57" s="10"/>
      <c r="L57" s="2" t="s">
        <v>43</v>
      </c>
      <c r="M57" s="2" t="s">
        <v>195</v>
      </c>
    </row>
    <row r="58" spans="1:13" x14ac:dyDescent="0.35">
      <c r="A58" s="8" t="s">
        <v>196</v>
      </c>
      <c r="B58" s="9">
        <v>-5372</v>
      </c>
      <c r="C58" s="9">
        <v>-6385</v>
      </c>
      <c r="D58" s="9">
        <v>-6278</v>
      </c>
      <c r="E58" s="9">
        <v>-7072</v>
      </c>
      <c r="F58" s="9">
        <v>-8060</v>
      </c>
      <c r="G58" s="10"/>
      <c r="H58" s="10"/>
      <c r="I58" s="10"/>
      <c r="J58" s="10"/>
      <c r="K58" s="10"/>
      <c r="L58" s="2" t="s">
        <v>43</v>
      </c>
      <c r="M58" s="2" t="s">
        <v>197</v>
      </c>
    </row>
    <row r="59" spans="1:13" x14ac:dyDescent="0.35">
      <c r="A59" s="8" t="s">
        <v>198</v>
      </c>
      <c r="B59" s="9">
        <v>-1690</v>
      </c>
      <c r="C59" s="9">
        <v>0</v>
      </c>
      <c r="D59" s="9">
        <v>-1655</v>
      </c>
      <c r="E59" s="9">
        <v>-1889</v>
      </c>
      <c r="F59" s="9">
        <v>-1034</v>
      </c>
      <c r="G59" s="10"/>
      <c r="H59" s="10"/>
      <c r="I59" s="10"/>
      <c r="J59" s="10"/>
      <c r="K59" s="10"/>
      <c r="L59" s="2" t="s">
        <v>43</v>
      </c>
      <c r="M59" s="2" t="s">
        <v>152</v>
      </c>
    </row>
    <row r="60" spans="1:13" x14ac:dyDescent="0.35">
      <c r="A60" s="8" t="s">
        <v>199</v>
      </c>
      <c r="B60" s="9">
        <v>1496</v>
      </c>
      <c r="C60" s="9">
        <v>418</v>
      </c>
      <c r="D60" s="9">
        <v>2090</v>
      </c>
      <c r="E60" s="9">
        <v>692</v>
      </c>
      <c r="F60" s="9">
        <v>633</v>
      </c>
      <c r="G60" s="10"/>
      <c r="H60" s="10"/>
      <c r="I60" s="10"/>
      <c r="J60" s="10"/>
      <c r="K60" s="10"/>
      <c r="L60" s="2" t="s">
        <v>43</v>
      </c>
      <c r="M60" s="2" t="s">
        <v>152</v>
      </c>
    </row>
    <row r="61" spans="1:13" x14ac:dyDescent="0.35">
      <c r="A61" s="8" t="s">
        <v>200</v>
      </c>
      <c r="B61" s="9">
        <v>-1901</v>
      </c>
      <c r="C61" s="9">
        <v>-2568</v>
      </c>
      <c r="D61" s="9">
        <v>-3586</v>
      </c>
      <c r="E61" s="9">
        <v>-4433</v>
      </c>
      <c r="F61" s="9">
        <v>-1253</v>
      </c>
      <c r="G61" s="10"/>
      <c r="H61" s="10"/>
      <c r="I61" s="10"/>
      <c r="J61" s="10"/>
      <c r="K61" s="10"/>
      <c r="L61" s="2" t="s">
        <v>43</v>
      </c>
      <c r="M61" s="2" t="s">
        <v>152</v>
      </c>
    </row>
    <row r="62" spans="1:13" x14ac:dyDescent="0.35">
      <c r="A62" s="3" t="s">
        <v>201</v>
      </c>
      <c r="B62" s="11">
        <f t="shared" ref="B62:K62" si="3">SUM(B52:B61)</f>
        <v>-14116</v>
      </c>
      <c r="C62" s="11">
        <f t="shared" si="3"/>
        <v>-25692</v>
      </c>
      <c r="D62" s="11">
        <f t="shared" si="3"/>
        <v>5904</v>
      </c>
      <c r="E62" s="11">
        <f t="shared" si="3"/>
        <v>-2696</v>
      </c>
      <c r="F62" s="11">
        <f t="shared" si="3"/>
        <v>-11908</v>
      </c>
      <c r="G62" s="11">
        <f t="shared" si="3"/>
        <v>0</v>
      </c>
      <c r="H62" s="11">
        <f t="shared" si="3"/>
        <v>0</v>
      </c>
      <c r="I62" s="11">
        <f t="shared" si="3"/>
        <v>0</v>
      </c>
      <c r="J62" s="11">
        <f t="shared" si="3"/>
        <v>0</v>
      </c>
      <c r="K62" s="11">
        <f t="shared" si="3"/>
        <v>0</v>
      </c>
      <c r="L62" s="2" t="s">
        <v>48</v>
      </c>
      <c r="M62" s="2"/>
    </row>
    <row r="64" spans="1:13" x14ac:dyDescent="0.35">
      <c r="A64" s="8" t="s">
        <v>202</v>
      </c>
      <c r="B64" s="9">
        <v>279</v>
      </c>
      <c r="C64" s="9">
        <v>-472</v>
      </c>
      <c r="D64" s="9">
        <v>-835</v>
      </c>
      <c r="E64" s="9">
        <v>631</v>
      </c>
      <c r="F64" s="9">
        <v>-715</v>
      </c>
      <c r="G64" s="10"/>
      <c r="H64" s="10"/>
      <c r="I64" s="10"/>
      <c r="J64" s="10"/>
      <c r="K64" s="10"/>
      <c r="L64" s="2" t="s">
        <v>43</v>
      </c>
      <c r="M64" s="2" t="s">
        <v>152</v>
      </c>
    </row>
    <row r="65" spans="1:13" x14ac:dyDescent="0.35">
      <c r="A65" s="3" t="s">
        <v>203</v>
      </c>
      <c r="B65" s="11">
        <f t="shared" ref="B65:K65" si="4">B34+B49+B62+B64</f>
        <v>-520</v>
      </c>
      <c r="C65" s="11">
        <f t="shared" si="4"/>
        <v>3565</v>
      </c>
      <c r="D65" s="11">
        <f t="shared" si="4"/>
        <v>-5960</v>
      </c>
      <c r="E65" s="11">
        <f t="shared" si="4"/>
        <v>1704</v>
      </c>
      <c r="F65" s="11">
        <f t="shared" si="4"/>
        <v>478</v>
      </c>
      <c r="G65" s="11">
        <f t="shared" si="4"/>
        <v>0</v>
      </c>
      <c r="H65" s="11">
        <f t="shared" si="4"/>
        <v>0</v>
      </c>
      <c r="I65" s="11">
        <f t="shared" si="4"/>
        <v>0</v>
      </c>
      <c r="J65" s="11">
        <f t="shared" si="4"/>
        <v>0</v>
      </c>
      <c r="K65" s="11">
        <f t="shared" si="4"/>
        <v>0</v>
      </c>
      <c r="L65" s="2" t="s">
        <v>48</v>
      </c>
      <c r="M65" s="2"/>
    </row>
    <row r="66" spans="1:13" x14ac:dyDescent="0.35">
      <c r="A66" s="8" t="s">
        <v>204</v>
      </c>
      <c r="B66" s="9">
        <v>9268</v>
      </c>
      <c r="C66" s="12">
        <f t="shared" ref="C66:K66" si="5">B67</f>
        <v>8748</v>
      </c>
      <c r="D66" s="12">
        <f t="shared" si="5"/>
        <v>12313</v>
      </c>
      <c r="E66" s="12">
        <f t="shared" si="5"/>
        <v>6353</v>
      </c>
      <c r="F66" s="12">
        <f t="shared" si="5"/>
        <v>8057</v>
      </c>
      <c r="G66" s="12">
        <f t="shared" si="5"/>
        <v>8535</v>
      </c>
      <c r="H66" s="12">
        <f t="shared" si="5"/>
        <v>8535</v>
      </c>
      <c r="I66" s="12">
        <f t="shared" si="5"/>
        <v>8535</v>
      </c>
      <c r="J66" s="12">
        <f t="shared" si="5"/>
        <v>8535</v>
      </c>
      <c r="K66" s="12">
        <f t="shared" si="5"/>
        <v>8535</v>
      </c>
      <c r="L66" s="2" t="s">
        <v>205</v>
      </c>
      <c r="M66" s="2" t="s">
        <v>206</v>
      </c>
    </row>
    <row r="67" spans="1:13" x14ac:dyDescent="0.35">
      <c r="A67" s="3" t="s">
        <v>207</v>
      </c>
      <c r="B67" s="11">
        <f t="shared" ref="B67:K67" si="6">B66+B65</f>
        <v>8748</v>
      </c>
      <c r="C67" s="11">
        <f t="shared" si="6"/>
        <v>12313</v>
      </c>
      <c r="D67" s="11">
        <f t="shared" si="6"/>
        <v>6353</v>
      </c>
      <c r="E67" s="11">
        <f t="shared" si="6"/>
        <v>8057</v>
      </c>
      <c r="F67" s="11">
        <f t="shared" si="6"/>
        <v>8535</v>
      </c>
      <c r="G67" s="11">
        <f t="shared" si="6"/>
        <v>8535</v>
      </c>
      <c r="H67" s="11">
        <f t="shared" si="6"/>
        <v>8535</v>
      </c>
      <c r="I67" s="11">
        <f t="shared" si="6"/>
        <v>8535</v>
      </c>
      <c r="J67" s="11">
        <f t="shared" si="6"/>
        <v>8535</v>
      </c>
      <c r="K67" s="11">
        <f t="shared" si="6"/>
        <v>8535</v>
      </c>
      <c r="L67" s="2" t="s">
        <v>48</v>
      </c>
      <c r="M67" s="2" t="s">
        <v>208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x14ac:dyDescent="0.35">
      <c r="A1" s="1" t="s">
        <v>209</v>
      </c>
    </row>
    <row r="2" spans="1:13" x14ac:dyDescent="0.35">
      <c r="A2" s="2" t="s">
        <v>210</v>
      </c>
    </row>
    <row r="3" spans="1:13" x14ac:dyDescent="0.35">
      <c r="B3" s="23" t="s">
        <v>26</v>
      </c>
      <c r="C3" s="22"/>
      <c r="D3" s="22"/>
      <c r="E3" s="22"/>
      <c r="F3" s="22"/>
      <c r="G3" s="21" t="s">
        <v>27</v>
      </c>
      <c r="H3" s="22"/>
      <c r="I3" s="22"/>
      <c r="J3" s="22"/>
      <c r="K3" s="22"/>
    </row>
    <row r="4" spans="1:13" x14ac:dyDescent="0.35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4" t="s">
        <v>39</v>
      </c>
      <c r="M4" s="4" t="s">
        <v>40</v>
      </c>
    </row>
    <row r="5" spans="1:13" x14ac:dyDescent="0.35">
      <c r="A5" s="6" t="s">
        <v>74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 x14ac:dyDescent="0.35">
      <c r="A6" s="8" t="s">
        <v>211</v>
      </c>
      <c r="B6" s="9">
        <v>83713</v>
      </c>
      <c r="C6" s="12">
        <f t="shared" ref="C6:K6" si="0">B16</f>
        <v>97100</v>
      </c>
      <c r="D6" s="12">
        <f t="shared" si="0"/>
        <v>124111</v>
      </c>
      <c r="E6" s="12">
        <f t="shared" si="0"/>
        <v>108322</v>
      </c>
      <c r="F6" s="12">
        <f t="shared" si="0"/>
        <v>125944</v>
      </c>
      <c r="G6" s="12">
        <f t="shared" si="0"/>
        <v>119512</v>
      </c>
      <c r="H6" s="12">
        <f t="shared" si="0"/>
        <v>119512</v>
      </c>
      <c r="I6" s="12">
        <f t="shared" si="0"/>
        <v>119512</v>
      </c>
      <c r="J6" s="12">
        <f t="shared" si="0"/>
        <v>119512</v>
      </c>
      <c r="K6" s="12">
        <f t="shared" si="0"/>
        <v>119512</v>
      </c>
      <c r="L6" s="2" t="s">
        <v>205</v>
      </c>
      <c r="M6" s="2" t="s">
        <v>212</v>
      </c>
    </row>
    <row r="7" spans="1:13" x14ac:dyDescent="0.35">
      <c r="A7" s="8" t="s">
        <v>213</v>
      </c>
      <c r="B7" s="9">
        <v>-621</v>
      </c>
      <c r="C7" s="9">
        <v>-649</v>
      </c>
      <c r="D7" s="9">
        <v>-395</v>
      </c>
      <c r="E7" s="9">
        <v>0</v>
      </c>
      <c r="F7" s="9">
        <v>0</v>
      </c>
      <c r="G7" s="10"/>
      <c r="H7" s="10"/>
      <c r="I7" s="10"/>
      <c r="J7" s="10"/>
      <c r="K7" s="10"/>
      <c r="L7" s="2" t="s">
        <v>43</v>
      </c>
      <c r="M7" s="2" t="s">
        <v>214</v>
      </c>
    </row>
    <row r="8" spans="1:13" x14ac:dyDescent="0.35">
      <c r="A8" s="8" t="s">
        <v>215</v>
      </c>
      <c r="B8" s="9">
        <v>58</v>
      </c>
      <c r="C8" s="9">
        <v>-229</v>
      </c>
      <c r="D8" s="9">
        <v>-20</v>
      </c>
      <c r="E8" s="9">
        <v>0</v>
      </c>
      <c r="F8" s="9">
        <v>0</v>
      </c>
      <c r="G8" s="10"/>
      <c r="H8" s="10"/>
      <c r="I8" s="10"/>
      <c r="J8" s="10"/>
      <c r="K8" s="10"/>
      <c r="L8" s="2" t="s">
        <v>43</v>
      </c>
      <c r="M8" s="2" t="s">
        <v>214</v>
      </c>
    </row>
    <row r="9" spans="1:13" x14ac:dyDescent="0.35">
      <c r="A9" s="8" t="s">
        <v>193</v>
      </c>
      <c r="B9" s="9">
        <v>0</v>
      </c>
      <c r="C9" s="9">
        <v>-377</v>
      </c>
      <c r="D9" s="9">
        <v>-78</v>
      </c>
      <c r="E9" s="9">
        <v>0</v>
      </c>
      <c r="F9" s="9">
        <v>0</v>
      </c>
      <c r="G9" s="10"/>
      <c r="H9" s="10"/>
      <c r="I9" s="10"/>
      <c r="J9" s="10"/>
      <c r="K9" s="10"/>
      <c r="L9" s="2" t="s">
        <v>43</v>
      </c>
      <c r="M9" s="2" t="s">
        <v>214</v>
      </c>
    </row>
    <row r="10" spans="1:13" x14ac:dyDescent="0.35">
      <c r="A10" s="8" t="s">
        <v>216</v>
      </c>
      <c r="B10" s="9">
        <v>0</v>
      </c>
      <c r="C10" s="9">
        <v>0</v>
      </c>
      <c r="D10" s="9">
        <v>-8844</v>
      </c>
      <c r="E10" s="9">
        <v>0</v>
      </c>
      <c r="F10" s="9">
        <v>0</v>
      </c>
      <c r="G10" s="10"/>
      <c r="H10" s="10"/>
      <c r="I10" s="10"/>
      <c r="J10" s="10"/>
      <c r="K10" s="10"/>
      <c r="L10" s="2" t="s">
        <v>43</v>
      </c>
      <c r="M10" s="2" t="s">
        <v>214</v>
      </c>
    </row>
    <row r="11" spans="1:13" x14ac:dyDescent="0.35">
      <c r="A11" s="8" t="s">
        <v>217</v>
      </c>
      <c r="B11" s="9">
        <v>-4502</v>
      </c>
      <c r="C11" s="9">
        <v>-5791</v>
      </c>
      <c r="D11" s="9">
        <v>-3458</v>
      </c>
      <c r="E11" s="9">
        <v>-4125</v>
      </c>
      <c r="F11" s="9">
        <v>-4316</v>
      </c>
      <c r="G11" s="10"/>
      <c r="H11" s="10"/>
      <c r="I11" s="10"/>
      <c r="J11" s="10"/>
      <c r="K11" s="10"/>
      <c r="L11" s="2" t="s">
        <v>43</v>
      </c>
      <c r="M11" s="2" t="s">
        <v>214</v>
      </c>
    </row>
    <row r="12" spans="1:13" x14ac:dyDescent="0.35">
      <c r="A12" s="8" t="s">
        <v>200</v>
      </c>
      <c r="B12" s="9">
        <v>-1901</v>
      </c>
      <c r="C12" s="9">
        <v>-2568</v>
      </c>
      <c r="D12" s="9">
        <v>-3586</v>
      </c>
      <c r="E12" s="9">
        <v>-4433</v>
      </c>
      <c r="F12" s="9">
        <v>-1253</v>
      </c>
      <c r="G12" s="10"/>
      <c r="H12" s="10"/>
      <c r="I12" s="10"/>
      <c r="J12" s="10"/>
      <c r="K12" s="10"/>
      <c r="L12" s="2" t="s">
        <v>43</v>
      </c>
      <c r="M12" s="2" t="s">
        <v>214</v>
      </c>
    </row>
    <row r="13" spans="1:13" x14ac:dyDescent="0.35">
      <c r="A13" s="8" t="s">
        <v>218</v>
      </c>
      <c r="B13" s="9">
        <v>0</v>
      </c>
      <c r="C13" s="9">
        <v>0</v>
      </c>
      <c r="D13" s="9">
        <v>0</v>
      </c>
      <c r="E13" s="9">
        <v>0</v>
      </c>
      <c r="F13" s="9">
        <v>-752</v>
      </c>
      <c r="G13" s="10"/>
      <c r="H13" s="10"/>
      <c r="I13" s="10"/>
      <c r="J13" s="10"/>
      <c r="K13" s="10"/>
      <c r="L13" s="2" t="s">
        <v>43</v>
      </c>
      <c r="M13" s="2" t="s">
        <v>219</v>
      </c>
    </row>
    <row r="14" spans="1:13" x14ac:dyDescent="0.35">
      <c r="A14" s="8" t="s">
        <v>220</v>
      </c>
      <c r="B14" s="9">
        <v>15916</v>
      </c>
      <c r="C14" s="9">
        <v>46910</v>
      </c>
      <c r="D14" s="9">
        <v>15477</v>
      </c>
      <c r="E14" s="9">
        <v>12544</v>
      </c>
      <c r="F14" s="9">
        <v>11133</v>
      </c>
      <c r="G14" s="10"/>
      <c r="H14" s="10"/>
      <c r="I14" s="10"/>
      <c r="J14" s="10"/>
      <c r="K14" s="10"/>
      <c r="L14" s="2" t="s">
        <v>43</v>
      </c>
      <c r="M14" s="2" t="s">
        <v>221</v>
      </c>
    </row>
    <row r="15" spans="1:13" x14ac:dyDescent="0.35">
      <c r="A15" s="8" t="s">
        <v>222</v>
      </c>
      <c r="B15" s="9">
        <v>4437</v>
      </c>
      <c r="C15" s="9">
        <v>-10285</v>
      </c>
      <c r="D15" s="9">
        <v>-14885</v>
      </c>
      <c r="E15" s="9">
        <v>13636</v>
      </c>
      <c r="F15" s="9">
        <v>-11244</v>
      </c>
      <c r="G15" s="10"/>
      <c r="H15" s="10"/>
      <c r="I15" s="10"/>
      <c r="J15" s="10"/>
      <c r="K15" s="10"/>
      <c r="L15" s="2" t="s">
        <v>43</v>
      </c>
      <c r="M15" s="2" t="s">
        <v>214</v>
      </c>
    </row>
    <row r="16" spans="1:13" x14ac:dyDescent="0.35">
      <c r="A16" s="3" t="s">
        <v>223</v>
      </c>
      <c r="B16" s="11">
        <f t="shared" ref="B16:K16" si="1">SUM(B6:B15)</f>
        <v>97100</v>
      </c>
      <c r="C16" s="11">
        <f t="shared" si="1"/>
        <v>124111</v>
      </c>
      <c r="D16" s="11">
        <f t="shared" si="1"/>
        <v>108322</v>
      </c>
      <c r="E16" s="11">
        <f t="shared" si="1"/>
        <v>125944</v>
      </c>
      <c r="F16" s="11">
        <f t="shared" si="1"/>
        <v>119512</v>
      </c>
      <c r="G16" s="11">
        <f t="shared" si="1"/>
        <v>119512</v>
      </c>
      <c r="H16" s="11">
        <f t="shared" si="1"/>
        <v>119512</v>
      </c>
      <c r="I16" s="11">
        <f t="shared" si="1"/>
        <v>119512</v>
      </c>
      <c r="J16" s="11">
        <f t="shared" si="1"/>
        <v>119512</v>
      </c>
      <c r="K16" s="11">
        <f t="shared" si="1"/>
        <v>119512</v>
      </c>
      <c r="L16" s="2" t="s">
        <v>48</v>
      </c>
      <c r="M16" s="2" t="s">
        <v>224</v>
      </c>
    </row>
    <row r="18" spans="1:13" x14ac:dyDescent="0.35">
      <c r="A18" s="6" t="s">
        <v>72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3" x14ac:dyDescent="0.35">
      <c r="A19" s="8" t="s">
        <v>211</v>
      </c>
      <c r="B19" s="9">
        <v>4298</v>
      </c>
      <c r="C19" s="12">
        <f t="shared" ref="C19:K19" si="2">B25</f>
        <v>4506</v>
      </c>
      <c r="D19" s="12">
        <f t="shared" si="2"/>
        <v>3491</v>
      </c>
      <c r="E19" s="12">
        <f t="shared" si="2"/>
        <v>3306</v>
      </c>
      <c r="F19" s="12">
        <f t="shared" si="2"/>
        <v>1754</v>
      </c>
      <c r="G19" s="12">
        <f t="shared" si="2"/>
        <v>743</v>
      </c>
      <c r="H19" s="12">
        <f t="shared" si="2"/>
        <v>743</v>
      </c>
      <c r="I19" s="12">
        <f t="shared" si="2"/>
        <v>743</v>
      </c>
      <c r="J19" s="12">
        <f t="shared" si="2"/>
        <v>743</v>
      </c>
      <c r="K19" s="12">
        <f t="shared" si="2"/>
        <v>743</v>
      </c>
      <c r="L19" s="2" t="s">
        <v>205</v>
      </c>
      <c r="M19" s="2" t="s">
        <v>212</v>
      </c>
    </row>
    <row r="20" spans="1:13" x14ac:dyDescent="0.35">
      <c r="A20" s="8" t="s">
        <v>225</v>
      </c>
      <c r="B20" s="9">
        <v>-1099</v>
      </c>
      <c r="C20" s="9">
        <v>-2011</v>
      </c>
      <c r="D20" s="9">
        <v>-1851</v>
      </c>
      <c r="E20" s="9">
        <v>-3120</v>
      </c>
      <c r="F20" s="9">
        <v>-2240</v>
      </c>
      <c r="G20" s="10"/>
      <c r="H20" s="10"/>
      <c r="I20" s="10"/>
      <c r="J20" s="10"/>
      <c r="K20" s="10"/>
      <c r="L20" s="2" t="s">
        <v>43</v>
      </c>
      <c r="M20" s="2" t="s">
        <v>214</v>
      </c>
    </row>
    <row r="21" spans="1:13" x14ac:dyDescent="0.35">
      <c r="A21" s="8" t="s">
        <v>217</v>
      </c>
      <c r="B21" s="9">
        <v>-163</v>
      </c>
      <c r="C21" s="9">
        <v>-94</v>
      </c>
      <c r="D21" s="9">
        <v>-91</v>
      </c>
      <c r="E21" s="9">
        <v>-109</v>
      </c>
      <c r="F21" s="9">
        <v>-135</v>
      </c>
      <c r="G21" s="10"/>
      <c r="H21" s="10"/>
      <c r="I21" s="10"/>
      <c r="J21" s="10"/>
      <c r="K21" s="10"/>
      <c r="L21" s="2" t="s">
        <v>43</v>
      </c>
      <c r="M21" s="2" t="s">
        <v>214</v>
      </c>
    </row>
    <row r="22" spans="1:13" x14ac:dyDescent="0.35">
      <c r="A22" s="8" t="s">
        <v>226</v>
      </c>
      <c r="B22" s="9">
        <v>0</v>
      </c>
      <c r="C22" s="9">
        <v>-65</v>
      </c>
      <c r="D22" s="9">
        <v>217</v>
      </c>
      <c r="E22" s="9">
        <v>0</v>
      </c>
      <c r="F22" s="9">
        <v>-648</v>
      </c>
      <c r="G22" s="10"/>
      <c r="H22" s="10"/>
      <c r="I22" s="10"/>
      <c r="J22" s="10"/>
      <c r="K22" s="10"/>
      <c r="L22" s="2" t="s">
        <v>43</v>
      </c>
      <c r="M22" s="2" t="s">
        <v>227</v>
      </c>
    </row>
    <row r="23" spans="1:13" x14ac:dyDescent="0.35">
      <c r="A23" s="8" t="s">
        <v>228</v>
      </c>
      <c r="B23" s="9">
        <v>1466</v>
      </c>
      <c r="C23" s="9">
        <v>1575</v>
      </c>
      <c r="D23" s="9">
        <v>1445</v>
      </c>
      <c r="E23" s="9">
        <v>1499</v>
      </c>
      <c r="F23" s="9">
        <v>1813</v>
      </c>
      <c r="G23" s="10"/>
      <c r="H23" s="10"/>
      <c r="I23" s="10"/>
      <c r="J23" s="10"/>
      <c r="K23" s="10"/>
      <c r="L23" s="2" t="s">
        <v>43</v>
      </c>
      <c r="M23" s="2" t="s">
        <v>229</v>
      </c>
    </row>
    <row r="24" spans="1:13" x14ac:dyDescent="0.35">
      <c r="A24" s="8" t="s">
        <v>230</v>
      </c>
      <c r="B24" s="9">
        <v>4</v>
      </c>
      <c r="C24" s="9">
        <v>-420</v>
      </c>
      <c r="D24" s="9">
        <v>95</v>
      </c>
      <c r="E24" s="9">
        <v>178</v>
      </c>
      <c r="F24" s="9">
        <v>199</v>
      </c>
      <c r="G24" s="10"/>
      <c r="H24" s="10"/>
      <c r="I24" s="10"/>
      <c r="J24" s="10"/>
      <c r="K24" s="10"/>
      <c r="L24" s="2" t="s">
        <v>43</v>
      </c>
      <c r="M24" s="2" t="s">
        <v>214</v>
      </c>
    </row>
    <row r="25" spans="1:13" x14ac:dyDescent="0.35">
      <c r="A25" s="3" t="s">
        <v>231</v>
      </c>
      <c r="B25" s="11">
        <f t="shared" ref="B25:K25" si="3">SUM(B19:B24)</f>
        <v>4506</v>
      </c>
      <c r="C25" s="11">
        <f t="shared" si="3"/>
        <v>3491</v>
      </c>
      <c r="D25" s="11">
        <f t="shared" si="3"/>
        <v>3306</v>
      </c>
      <c r="E25" s="11">
        <f t="shared" si="3"/>
        <v>1754</v>
      </c>
      <c r="F25" s="11">
        <f t="shared" si="3"/>
        <v>743</v>
      </c>
      <c r="G25" s="11">
        <f t="shared" si="3"/>
        <v>743</v>
      </c>
      <c r="H25" s="11">
        <f t="shared" si="3"/>
        <v>743</v>
      </c>
      <c r="I25" s="11">
        <f t="shared" si="3"/>
        <v>743</v>
      </c>
      <c r="J25" s="11">
        <f t="shared" si="3"/>
        <v>743</v>
      </c>
      <c r="K25" s="11">
        <f t="shared" si="3"/>
        <v>743</v>
      </c>
      <c r="L25" s="2" t="s">
        <v>48</v>
      </c>
      <c r="M25" s="2" t="s">
        <v>232</v>
      </c>
    </row>
    <row r="27" spans="1:13" x14ac:dyDescent="0.35">
      <c r="A27" s="3" t="s">
        <v>233</v>
      </c>
      <c r="B27" s="11">
        <f t="shared" ref="B27:K27" si="4">B16+B25</f>
        <v>101606</v>
      </c>
      <c r="C27" s="11">
        <f t="shared" si="4"/>
        <v>127602</v>
      </c>
      <c r="D27" s="11">
        <f t="shared" si="4"/>
        <v>111628</v>
      </c>
      <c r="E27" s="11">
        <f t="shared" si="4"/>
        <v>127698</v>
      </c>
      <c r="F27" s="11">
        <f t="shared" si="4"/>
        <v>120255</v>
      </c>
      <c r="G27" s="11">
        <f t="shared" si="4"/>
        <v>120255</v>
      </c>
      <c r="H27" s="11">
        <f t="shared" si="4"/>
        <v>120255</v>
      </c>
      <c r="I27" s="11">
        <f t="shared" si="4"/>
        <v>120255</v>
      </c>
      <c r="J27" s="11">
        <f t="shared" si="4"/>
        <v>120255</v>
      </c>
      <c r="K27" s="11">
        <f t="shared" si="4"/>
        <v>120255</v>
      </c>
      <c r="L27" s="2" t="s">
        <v>48</v>
      </c>
      <c r="M27" s="2" t="s">
        <v>234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2" customWidth="1"/>
    <col min="2" max="11" width="11" customWidth="1"/>
  </cols>
  <sheetData>
    <row r="1" spans="1:11" ht="15.5" x14ac:dyDescent="0.35">
      <c r="A1" s="1" t="s">
        <v>235</v>
      </c>
    </row>
    <row r="2" spans="1:11" x14ac:dyDescent="0.35">
      <c r="A2" s="2" t="s">
        <v>236</v>
      </c>
    </row>
    <row r="4" spans="1:11" x14ac:dyDescent="0.35">
      <c r="A4" s="4" t="s">
        <v>237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</row>
    <row r="5" spans="1:11" x14ac:dyDescent="0.35">
      <c r="A5" s="3" t="s">
        <v>238</v>
      </c>
    </row>
    <row r="6" spans="1:11" x14ac:dyDescent="0.35">
      <c r="A6" s="8" t="s">
        <v>239</v>
      </c>
      <c r="B6" s="18">
        <f>BS!B22-BS!B54</f>
        <v>0</v>
      </c>
      <c r="C6" s="18">
        <f>BS!C22-BS!C54</f>
        <v>0</v>
      </c>
      <c r="D6" s="18">
        <f>BS!D22-BS!D54</f>
        <v>0</v>
      </c>
      <c r="E6" s="18">
        <f>BS!E22-BS!E54</f>
        <v>0</v>
      </c>
      <c r="F6" s="18">
        <f>BS!F22-BS!F54</f>
        <v>0</v>
      </c>
      <c r="G6" s="18">
        <f>BS!G22-BS!G54</f>
        <v>0</v>
      </c>
      <c r="H6" s="18">
        <f>BS!H22-BS!H54</f>
        <v>0</v>
      </c>
      <c r="I6" s="18">
        <f>BS!I22-BS!I54</f>
        <v>0</v>
      </c>
      <c r="J6" s="18">
        <f>BS!J22-BS!J54</f>
        <v>0</v>
      </c>
      <c r="K6" s="18">
        <f>BS!K22-BS!K54</f>
        <v>0</v>
      </c>
    </row>
    <row r="7" spans="1:11" x14ac:dyDescent="0.35">
      <c r="A7" s="8" t="s">
        <v>240</v>
      </c>
      <c r="B7" s="18">
        <f>CF!B67-BS!B6</f>
        <v>0</v>
      </c>
      <c r="C7" s="18">
        <f>CF!C67-BS!C6</f>
        <v>0</v>
      </c>
      <c r="D7" s="18">
        <f>CF!D67-BS!D6</f>
        <v>0</v>
      </c>
      <c r="E7" s="18">
        <f>CF!E67-BS!E6</f>
        <v>0</v>
      </c>
      <c r="F7" s="18">
        <f>CF!F67-BS!F6</f>
        <v>0</v>
      </c>
      <c r="G7" s="18">
        <f>CF!G67-BS!G6</f>
        <v>8535</v>
      </c>
      <c r="H7" s="18">
        <f>CF!H67-BS!H6</f>
        <v>8535</v>
      </c>
      <c r="I7" s="18">
        <f>CF!I67-BS!I6</f>
        <v>8535</v>
      </c>
      <c r="J7" s="18">
        <f>CF!J67-BS!J6</f>
        <v>8535</v>
      </c>
      <c r="K7" s="18">
        <f>CF!K67-BS!K6</f>
        <v>8535</v>
      </c>
    </row>
    <row r="8" spans="1:11" x14ac:dyDescent="0.35">
      <c r="A8" s="8" t="s">
        <v>241</v>
      </c>
      <c r="B8" s="18">
        <f>CF!B6-IS!B23</f>
        <v>0</v>
      </c>
      <c r="C8" s="18">
        <f>CF!C6-IS!C23</f>
        <v>0</v>
      </c>
      <c r="D8" s="18">
        <f>CF!D6-IS!D23</f>
        <v>0</v>
      </c>
      <c r="E8" s="18">
        <f>CF!E6-IS!E23</f>
        <v>0</v>
      </c>
      <c r="F8" s="18">
        <f>CF!F6-IS!F23</f>
        <v>0</v>
      </c>
      <c r="G8" s="18">
        <f>CF!G6-IS!G23</f>
        <v>0</v>
      </c>
      <c r="H8" s="18">
        <f>CF!H6-IS!H23</f>
        <v>0</v>
      </c>
      <c r="I8" s="18">
        <f>CF!I6-IS!I23</f>
        <v>0</v>
      </c>
      <c r="J8" s="18">
        <f>CF!J6-IS!J23</f>
        <v>0</v>
      </c>
      <c r="K8" s="18">
        <f>CF!K6-IS!K23</f>
        <v>0</v>
      </c>
    </row>
    <row r="9" spans="1:11" x14ac:dyDescent="0.35">
      <c r="A9" s="8" t="s">
        <v>242</v>
      </c>
      <c r="B9" s="18">
        <f>OCI!B5-IS!B27</f>
        <v>0</v>
      </c>
      <c r="C9" s="18">
        <f>OCI!C5-IS!C27</f>
        <v>0</v>
      </c>
      <c r="D9" s="18">
        <f>OCI!D5-IS!D27</f>
        <v>0</v>
      </c>
      <c r="E9" s="18">
        <f>OCI!E5-IS!E27</f>
        <v>0</v>
      </c>
      <c r="F9" s="18">
        <f>OCI!F5-IS!F27</f>
        <v>0</v>
      </c>
      <c r="G9" s="18">
        <f>OCI!G5-IS!G27</f>
        <v>0</v>
      </c>
      <c r="H9" s="18">
        <f>OCI!H5-IS!H27</f>
        <v>0</v>
      </c>
      <c r="I9" s="18">
        <f>OCI!I5-IS!I27</f>
        <v>0</v>
      </c>
      <c r="J9" s="18">
        <f>OCI!J5-IS!J27</f>
        <v>0</v>
      </c>
      <c r="K9" s="18">
        <f>OCI!K5-IS!K27</f>
        <v>0</v>
      </c>
    </row>
    <row r="10" spans="1:11" x14ac:dyDescent="0.35">
      <c r="A10" s="8" t="s">
        <v>243</v>
      </c>
      <c r="B10" s="18">
        <f>Equity!B14-IS!B31</f>
        <v>0</v>
      </c>
      <c r="C10" s="18">
        <f>Equity!C14-IS!C31</f>
        <v>0</v>
      </c>
      <c r="D10" s="18">
        <f>Equity!D14-IS!D31</f>
        <v>0</v>
      </c>
      <c r="E10" s="18">
        <f>Equity!E14-IS!E31</f>
        <v>0</v>
      </c>
      <c r="F10" s="18">
        <f>Equity!F14-IS!F31</f>
        <v>0</v>
      </c>
      <c r="G10" s="18">
        <f>Equity!G14-IS!G31</f>
        <v>0</v>
      </c>
      <c r="H10" s="18">
        <f>Equity!H14-IS!H31</f>
        <v>0</v>
      </c>
      <c r="I10" s="18">
        <f>Equity!I14-IS!I31</f>
        <v>0</v>
      </c>
      <c r="J10" s="18">
        <f>Equity!J14-IS!J31</f>
        <v>0</v>
      </c>
      <c r="K10" s="18">
        <f>Equity!K14-IS!K31</f>
        <v>0</v>
      </c>
    </row>
    <row r="11" spans="1:11" x14ac:dyDescent="0.35">
      <c r="A11" s="8" t="s">
        <v>244</v>
      </c>
      <c r="B11" s="18">
        <f>Equity!B23-IS!B30</f>
        <v>0</v>
      </c>
      <c r="C11" s="18">
        <f>Equity!C23-IS!C30</f>
        <v>0</v>
      </c>
      <c r="D11" s="18">
        <f>Equity!D23-IS!D30</f>
        <v>0</v>
      </c>
      <c r="E11" s="18">
        <f>Equity!E23-IS!E30</f>
        <v>0</v>
      </c>
      <c r="F11" s="18">
        <f>Equity!F23-IS!F30</f>
        <v>0</v>
      </c>
      <c r="G11" s="18">
        <f>Equity!G23-IS!G30</f>
        <v>0</v>
      </c>
      <c r="H11" s="18">
        <f>Equity!H23-IS!H30</f>
        <v>0</v>
      </c>
      <c r="I11" s="18">
        <f>Equity!I23-IS!I30</f>
        <v>0</v>
      </c>
      <c r="J11" s="18">
        <f>Equity!J23-IS!J30</f>
        <v>0</v>
      </c>
      <c r="K11" s="18">
        <f>Equity!K23-IS!K30</f>
        <v>0</v>
      </c>
    </row>
    <row r="12" spans="1:11" x14ac:dyDescent="0.35">
      <c r="A12" s="8" t="s">
        <v>245</v>
      </c>
      <c r="B12" s="18">
        <f>Equity!B15+Equity!B24-OCI!B18</f>
        <v>0</v>
      </c>
      <c r="C12" s="18">
        <f>Equity!C15+Equity!C24-OCI!C18</f>
        <v>0</v>
      </c>
      <c r="D12" s="18">
        <f>Equity!D15+Equity!D24-OCI!D18</f>
        <v>0</v>
      </c>
      <c r="E12" s="18">
        <f>Equity!E15+Equity!E24-OCI!E18</f>
        <v>0</v>
      </c>
      <c r="F12" s="18">
        <f>Equity!F15+Equity!F24-OCI!F18</f>
        <v>0</v>
      </c>
      <c r="G12" s="18">
        <f>Equity!G15+Equity!G24-OCI!G18</f>
        <v>0</v>
      </c>
      <c r="H12" s="18">
        <f>Equity!H15+Equity!H24-OCI!H18</f>
        <v>0</v>
      </c>
      <c r="I12" s="18">
        <f>Equity!I15+Equity!I24-OCI!I18</f>
        <v>0</v>
      </c>
      <c r="J12" s="18">
        <f>Equity!J15+Equity!J24-OCI!J18</f>
        <v>0</v>
      </c>
      <c r="K12" s="18">
        <f>Equity!K15+Equity!K24-OCI!K18</f>
        <v>0</v>
      </c>
    </row>
    <row r="13" spans="1:11" x14ac:dyDescent="0.35">
      <c r="A13" s="8" t="s">
        <v>246</v>
      </c>
      <c r="B13" s="18">
        <f>Equity!B24-(OCI!B20-IS!B30)</f>
        <v>0</v>
      </c>
      <c r="C13" s="18">
        <f>Equity!C24-(OCI!C20-IS!C30)</f>
        <v>0</v>
      </c>
      <c r="D13" s="18">
        <f>Equity!D24-(OCI!D20-IS!D30)</f>
        <v>0</v>
      </c>
      <c r="E13" s="18">
        <f>Equity!E24-(OCI!E20-IS!E30)</f>
        <v>0</v>
      </c>
      <c r="F13" s="18">
        <f>Equity!F24-(OCI!F20-IS!F30)</f>
        <v>0</v>
      </c>
      <c r="G13" s="18">
        <f>Equity!G24-(OCI!G20-IS!G30)</f>
        <v>0</v>
      </c>
      <c r="H13" s="18">
        <f>Equity!H24-(OCI!H20-IS!H30)</f>
        <v>0</v>
      </c>
      <c r="I13" s="18">
        <f>Equity!I24-(OCI!I20-IS!I30)</f>
        <v>0</v>
      </c>
      <c r="J13" s="18">
        <f>Equity!J24-(OCI!J20-IS!J30)</f>
        <v>0</v>
      </c>
      <c r="K13" s="18">
        <f>Equity!K24-(OCI!K20-IS!K30)</f>
        <v>0</v>
      </c>
    </row>
    <row r="14" spans="1:11" x14ac:dyDescent="0.35">
      <c r="A14" s="8" t="s">
        <v>247</v>
      </c>
      <c r="B14" s="18">
        <f>Equity!B16-BS!B51</f>
        <v>0</v>
      </c>
      <c r="C14" s="18">
        <f>Equity!C16-BS!C51</f>
        <v>0</v>
      </c>
      <c r="D14" s="18">
        <f>Equity!D16-BS!D51</f>
        <v>0</v>
      </c>
      <c r="E14" s="18">
        <f>Equity!E16-BS!E51</f>
        <v>0</v>
      </c>
      <c r="F14" s="18">
        <f>Equity!F16-BS!F51</f>
        <v>0</v>
      </c>
      <c r="G14" s="18">
        <f>Equity!G16-BS!G51</f>
        <v>119512</v>
      </c>
      <c r="H14" s="18">
        <f>Equity!H16-BS!H51</f>
        <v>119512</v>
      </c>
      <c r="I14" s="18">
        <f>Equity!I16-BS!I51</f>
        <v>119512</v>
      </c>
      <c r="J14" s="18">
        <f>Equity!J16-BS!J51</f>
        <v>119512</v>
      </c>
      <c r="K14" s="18">
        <f>Equity!K16-BS!K51</f>
        <v>119512</v>
      </c>
    </row>
    <row r="15" spans="1:11" x14ac:dyDescent="0.35">
      <c r="A15" s="8" t="s">
        <v>248</v>
      </c>
      <c r="B15" s="18">
        <f>Equity!B25-BS!B52</f>
        <v>0</v>
      </c>
      <c r="C15" s="18">
        <f>Equity!C25-BS!C52</f>
        <v>0</v>
      </c>
      <c r="D15" s="18">
        <f>Equity!D25-BS!D52</f>
        <v>0</v>
      </c>
      <c r="E15" s="18">
        <f>Equity!E25-BS!E52</f>
        <v>0</v>
      </c>
      <c r="F15" s="18">
        <f>Equity!F25-BS!F52</f>
        <v>0</v>
      </c>
      <c r="G15" s="18">
        <f>Equity!G25-BS!G52</f>
        <v>743</v>
      </c>
      <c r="H15" s="18">
        <f>Equity!H25-BS!H52</f>
        <v>743</v>
      </c>
      <c r="I15" s="18">
        <f>Equity!I25-BS!I52</f>
        <v>743</v>
      </c>
      <c r="J15" s="18">
        <f>Equity!J25-BS!J52</f>
        <v>743</v>
      </c>
      <c r="K15" s="18">
        <f>Equity!K25-BS!K52</f>
        <v>743</v>
      </c>
    </row>
    <row r="16" spans="1:11" x14ac:dyDescent="0.35">
      <c r="A16" s="8" t="s">
        <v>249</v>
      </c>
      <c r="B16" s="18">
        <f>Equity!B12-CF!B61</f>
        <v>0</v>
      </c>
      <c r="C16" s="18">
        <f>Equity!C12-CF!C61</f>
        <v>0</v>
      </c>
      <c r="D16" s="18">
        <f>Equity!D12-CF!D61</f>
        <v>0</v>
      </c>
      <c r="E16" s="18">
        <f>Equity!E12-CF!E61</f>
        <v>0</v>
      </c>
      <c r="F16" s="18">
        <f>Equity!F12-CF!F61</f>
        <v>0</v>
      </c>
      <c r="G16" s="18">
        <f>Equity!G12-CF!G61</f>
        <v>0</v>
      </c>
      <c r="H16" s="18">
        <f>Equity!H12-CF!H61</f>
        <v>0</v>
      </c>
      <c r="I16" s="18">
        <f>Equity!I12-CF!I61</f>
        <v>0</v>
      </c>
      <c r="J16" s="18">
        <f>Equity!J12-CF!J61</f>
        <v>0</v>
      </c>
      <c r="K16" s="18">
        <f>Equity!K12-CF!K61</f>
        <v>0</v>
      </c>
    </row>
    <row r="18" spans="1:6" x14ac:dyDescent="0.35">
      <c r="A18" s="3" t="s">
        <v>250</v>
      </c>
    </row>
    <row r="19" spans="1:6" x14ac:dyDescent="0.35">
      <c r="A19" s="8" t="s">
        <v>251</v>
      </c>
      <c r="B19" s="18">
        <f>IS!B6-338792</f>
        <v>0</v>
      </c>
      <c r="C19" s="18">
        <f>IS!C6-398706</f>
        <v>0</v>
      </c>
      <c r="D19" s="18">
        <f>IS!D6-399879</f>
        <v>0</v>
      </c>
      <c r="E19" s="18">
        <f>IS!E6-408335</f>
        <v>0</v>
      </c>
      <c r="F19" s="18">
        <f>IS!F6-426952</f>
        <v>0</v>
      </c>
    </row>
    <row r="20" spans="1:6" x14ac:dyDescent="0.35">
      <c r="A20" s="8" t="s">
        <v>252</v>
      </c>
      <c r="B20" s="18">
        <f>IS!B8-181089</f>
        <v>0</v>
      </c>
      <c r="C20" s="18">
        <f>IS!C8-205381</f>
        <v>0</v>
      </c>
      <c r="D20" s="18">
        <f>IS!D8-205510</f>
        <v>0</v>
      </c>
      <c r="E20" s="18">
        <f>IS!E8-214928</f>
        <v>0</v>
      </c>
      <c r="F20" s="18">
        <f>IS!F8-223487</f>
        <v>0</v>
      </c>
    </row>
    <row r="21" spans="1:6" x14ac:dyDescent="0.35">
      <c r="A21" s="8" t="s">
        <v>253</v>
      </c>
      <c r="B21" s="18">
        <f>IS!B14-32580</f>
        <v>0</v>
      </c>
      <c r="C21" s="18">
        <f>IS!C14-53696</f>
        <v>0</v>
      </c>
      <c r="D21" s="18">
        <f>IS!D14-35455</f>
        <v>0</v>
      </c>
      <c r="E21" s="18">
        <f>IS!E14-33149</f>
        <v>0</v>
      </c>
      <c r="F21" s="18">
        <f>IS!F14-34146</f>
        <v>0</v>
      </c>
    </row>
    <row r="22" spans="1:6" x14ac:dyDescent="0.35">
      <c r="A22" s="8" t="s">
        <v>254</v>
      </c>
      <c r="B22" s="18">
        <f>IS!B23-24854</f>
        <v>0</v>
      </c>
      <c r="C22" s="18">
        <f>IS!C23-45878</f>
        <v>0</v>
      </c>
      <c r="D22" s="18">
        <f>IS!D23-25324</f>
        <v>0</v>
      </c>
      <c r="E22" s="18">
        <f>IS!E23-21034</f>
        <v>0</v>
      </c>
      <c r="F22" s="18">
        <f>IS!F23-20143</f>
        <v>0</v>
      </c>
    </row>
    <row r="23" spans="1:6" x14ac:dyDescent="0.35">
      <c r="A23" s="8" t="s">
        <v>255</v>
      </c>
      <c r="B23" s="18">
        <f>IS!B27-17382</f>
        <v>0</v>
      </c>
      <c r="C23" s="18">
        <f>IS!C27-48485</f>
        <v>0</v>
      </c>
      <c r="D23" s="18">
        <f>IS!D27-16922</f>
        <v>0</v>
      </c>
      <c r="E23" s="18">
        <f>IS!E27-14043</f>
        <v>0</v>
      </c>
      <c r="F23" s="18">
        <f>IS!F27-12946</f>
        <v>0</v>
      </c>
    </row>
    <row r="24" spans="1:6" x14ac:dyDescent="0.35">
      <c r="A24" s="8" t="s">
        <v>256</v>
      </c>
      <c r="B24" s="18">
        <f>IS!B31-15916</f>
        <v>0</v>
      </c>
      <c r="C24" s="18">
        <f>IS!C31-46910</f>
        <v>0</v>
      </c>
      <c r="D24" s="18">
        <f>IS!D31-15477</f>
        <v>0</v>
      </c>
      <c r="E24" s="18">
        <f>IS!E31-12544</f>
        <v>0</v>
      </c>
      <c r="F24" s="18">
        <f>IS!F31-11133</f>
        <v>0</v>
      </c>
    </row>
    <row r="25" spans="1:6" x14ac:dyDescent="0.35">
      <c r="A25" s="8" t="s">
        <v>257</v>
      </c>
      <c r="B25" s="18">
        <f>BS!B13-53411</f>
        <v>0</v>
      </c>
      <c r="C25" s="18">
        <f>BS!C13-63470</f>
        <v>0</v>
      </c>
      <c r="D25" s="18">
        <f>BS!D13-58914</f>
        <v>0</v>
      </c>
      <c r="E25" s="18">
        <f>BS!E13-67180</f>
        <v>0</v>
      </c>
      <c r="F25" s="18">
        <f>BS!F13-64671</f>
        <v>0</v>
      </c>
    </row>
    <row r="26" spans="1:6" x14ac:dyDescent="0.35">
      <c r="A26" s="8" t="s">
        <v>258</v>
      </c>
      <c r="B26" s="18">
        <f>BS!B22-337640</f>
        <v>0</v>
      </c>
      <c r="C26" s="18">
        <f>BS!C22-347764</f>
        <v>0</v>
      </c>
      <c r="D26" s="18">
        <f>BS!D22-348102</f>
        <v>0</v>
      </c>
      <c r="E26" s="18">
        <f>BS!E22-416804</f>
        <v>0</v>
      </c>
      <c r="F26" s="18">
        <f>BS!F22-409805</f>
        <v>0</v>
      </c>
    </row>
    <row r="27" spans="1:6" x14ac:dyDescent="0.35">
      <c r="A27" s="8" t="s">
        <v>259</v>
      </c>
      <c r="B27" s="18">
        <f>BS!B34-80760</f>
        <v>0</v>
      </c>
      <c r="C27" s="18">
        <f>BS!C34-89734</f>
        <v>0</v>
      </c>
      <c r="D27" s="18">
        <f>BS!D34-87192</f>
        <v>0</v>
      </c>
      <c r="E27" s="18">
        <f>BS!E34-85155</f>
        <v>0</v>
      </c>
      <c r="F27" s="18">
        <f>BS!F34-90573</f>
        <v>0</v>
      </c>
    </row>
    <row r="28" spans="1:6" x14ac:dyDescent="0.35">
      <c r="A28" s="8" t="s">
        <v>260</v>
      </c>
      <c r="B28" s="18">
        <f>BS!B41-236034</f>
        <v>0</v>
      </c>
      <c r="C28" s="18">
        <f>BS!C41-220162</f>
        <v>0</v>
      </c>
      <c r="D28" s="18">
        <f>BS!D41-236474</f>
        <v>0</v>
      </c>
      <c r="E28" s="18">
        <f>BS!E41-289106</f>
        <v>0</v>
      </c>
      <c r="F28" s="18">
        <f>BS!F41-289550</f>
        <v>0</v>
      </c>
    </row>
    <row r="29" spans="1:6" x14ac:dyDescent="0.35">
      <c r="A29" s="8" t="s">
        <v>261</v>
      </c>
      <c r="B29" s="18">
        <f>BS!B53-101606</f>
        <v>0</v>
      </c>
      <c r="C29" s="18">
        <f>BS!C53-127602</f>
        <v>0</v>
      </c>
      <c r="D29" s="18">
        <f>BS!D53-111628</f>
        <v>0</v>
      </c>
      <c r="E29" s="18">
        <f>BS!E53-127698</f>
        <v>0</v>
      </c>
      <c r="F29" s="18">
        <f>BS!F53-120255</f>
        <v>0</v>
      </c>
    </row>
    <row r="30" spans="1:6" x14ac:dyDescent="0.35">
      <c r="A30" s="8" t="s">
        <v>262</v>
      </c>
      <c r="B30" s="18">
        <f>CF!B34-45776</f>
        <v>0</v>
      </c>
      <c r="C30" s="18">
        <f>CF!C34-38851</f>
        <v>0</v>
      </c>
      <c r="D30" s="18">
        <f>CF!D34-31411</f>
        <v>0</v>
      </c>
      <c r="E30" s="18">
        <f>CF!E34-39907</f>
        <v>0</v>
      </c>
      <c r="F30" s="18">
        <f>CF!F34-47753</f>
        <v>0</v>
      </c>
    </row>
    <row r="31" spans="1:6" x14ac:dyDescent="0.35">
      <c r="A31" s="8" t="s">
        <v>263</v>
      </c>
      <c r="B31" s="18">
        <f>CF!B49--32459</f>
        <v>0</v>
      </c>
      <c r="C31" s="18">
        <f>CF!C49--9122</f>
        <v>0</v>
      </c>
      <c r="D31" s="18">
        <f>CF!D49--42440</f>
        <v>0</v>
      </c>
      <c r="E31" s="18">
        <f>CF!E49--36138</f>
        <v>0</v>
      </c>
      <c r="F31" s="18">
        <f>CF!F49--34652</f>
        <v>0</v>
      </c>
    </row>
    <row r="32" spans="1:6" x14ac:dyDescent="0.35">
      <c r="A32" s="8" t="s">
        <v>264</v>
      </c>
      <c r="B32" s="18">
        <f>CF!B62--14116</f>
        <v>0</v>
      </c>
      <c r="C32" s="18">
        <f>CF!C62--25692</f>
        <v>0</v>
      </c>
      <c r="D32" s="18">
        <f>CF!D62-5904</f>
        <v>0</v>
      </c>
      <c r="E32" s="18">
        <f>CF!E62--2696</f>
        <v>0</v>
      </c>
      <c r="F32" s="18">
        <f>CF!F62--11908</f>
        <v>0</v>
      </c>
    </row>
    <row r="33" spans="1:11" x14ac:dyDescent="0.35">
      <c r="A33" s="8" t="s">
        <v>265</v>
      </c>
      <c r="B33" s="18">
        <f>OCI!B18-4441</f>
        <v>0</v>
      </c>
      <c r="C33" s="18">
        <f>OCI!C18--10705</f>
        <v>0</v>
      </c>
      <c r="D33" s="18">
        <f>OCI!D18--14790</f>
        <v>0</v>
      </c>
      <c r="E33" s="18">
        <f>OCI!E18-13814</f>
        <v>0</v>
      </c>
      <c r="F33" s="18">
        <f>OCI!F18--11045</f>
        <v>0</v>
      </c>
    </row>
    <row r="35" spans="1:11" x14ac:dyDescent="0.35">
      <c r="A35" s="3" t="s">
        <v>266</v>
      </c>
      <c r="B35" s="19">
        <f t="shared" ref="B35:K35" si="0">SUMPRODUCT(ABS(B6:B33))</f>
        <v>0</v>
      </c>
      <c r="C35" s="19">
        <f t="shared" si="0"/>
        <v>0</v>
      </c>
      <c r="D35" s="19">
        <f t="shared" si="0"/>
        <v>0</v>
      </c>
      <c r="E35" s="19">
        <f t="shared" si="0"/>
        <v>0</v>
      </c>
      <c r="F35" s="19">
        <f t="shared" si="0"/>
        <v>0</v>
      </c>
      <c r="G35" s="19">
        <f t="shared" si="0"/>
        <v>128790</v>
      </c>
      <c r="H35" s="19">
        <f t="shared" si="0"/>
        <v>128790</v>
      </c>
      <c r="I35" s="19">
        <f t="shared" si="0"/>
        <v>128790</v>
      </c>
      <c r="J35" s="19">
        <f t="shared" si="0"/>
        <v>128790</v>
      </c>
      <c r="K35" s="19">
        <f t="shared" si="0"/>
        <v>128790</v>
      </c>
    </row>
    <row r="36" spans="1:11" x14ac:dyDescent="0.35">
      <c r="A36" s="3" t="s">
        <v>267</v>
      </c>
      <c r="B36" s="20" t="str">
        <f t="shared" ref="B36:K36" si="1">IF(ROUND(B35,0)=0,"OK","CHECK")</f>
        <v>OK</v>
      </c>
      <c r="C36" s="20" t="str">
        <f t="shared" si="1"/>
        <v>OK</v>
      </c>
      <c r="D36" s="20" t="str">
        <f t="shared" si="1"/>
        <v>OK</v>
      </c>
      <c r="E36" s="20" t="str">
        <f t="shared" si="1"/>
        <v>OK</v>
      </c>
      <c r="F36" s="20" t="str">
        <f t="shared" si="1"/>
        <v>OK</v>
      </c>
      <c r="G36" s="20" t="str">
        <f t="shared" si="1"/>
        <v>CHECK</v>
      </c>
      <c r="H36" s="20" t="str">
        <f t="shared" si="1"/>
        <v>CHECK</v>
      </c>
      <c r="I36" s="20" t="str">
        <f t="shared" si="1"/>
        <v>CHECK</v>
      </c>
      <c r="J36" s="20" t="str">
        <f t="shared" si="1"/>
        <v>CHECK</v>
      </c>
      <c r="K36" s="20" t="str">
        <f t="shared" si="1"/>
        <v>CHECK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IS</vt:lpstr>
      <vt:lpstr>OCI</vt:lpstr>
      <vt:lpstr>BS</vt:lpstr>
      <vt:lpstr>CF</vt:lpstr>
      <vt:lpstr>Equity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Gaytan Ibarra</cp:lastModifiedBy>
  <dcterms:created xsi:type="dcterms:W3CDTF">2026-10-20T05:07:32Z</dcterms:created>
  <dcterms:modified xsi:type="dcterms:W3CDTF">2026-10-20T05:07:34Z</dcterms:modified>
</cp:coreProperties>
</file>